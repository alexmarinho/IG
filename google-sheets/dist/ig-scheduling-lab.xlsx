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drawings/charts/chart4.xml" ContentType="application/vnd.openxmlformats-officedocument.drawingml.chart+xml"/>
  <Override PartName="/xl/worksheets/sheet5.xml" ContentType="application/vnd.openxmlformats-officedocument.spreadsheetml.worksheet+xml"/>
  <Override PartName="/xl/drawings/drawing3.xml" ContentType="application/vnd.openxmlformats-officedocument.drawing+xml"/>
  <Override PartName="/xl/drawings/charts/chart5.xml" ContentType="application/vnd.openxmlformats-officedocument.drawingml.chart+xml"/>
  <Override PartName="/xl/drawings/charts/chart6.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tables/table4.xml" ContentType="application/vnd.openxmlformats-officedocument.spreadsheetml.table+xml"/>
  <Override PartName="/xl/worksheets/sheet12.xml" ContentType="application/vnd.openxmlformats-officedocument.spreadsheetml.worksheet+xml"/>
  <Override PartName="/xl/tables/table5.xml" ContentType="application/vnd.openxmlformats-officedocument.spreadsheetml.table+xml"/>
  <Override PartName="/xl/worksheets/sheet1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7455917dd440d6" /></Relationships>
</file>

<file path=xl/workbook.xml><?xml version="1.0" encoding="utf-8"?>
<x:workbook xmlns:x="http://schemas.openxmlformats.org/spreadsheetml/2006/main">
  <x:sheets>
    <x:sheet xmlns:r="http://schemas.openxmlformats.org/officeDocument/2006/relationships" name="START" sheetId="1" r:id="R211a7ac4ac974153"/>
    <x:sheet xmlns:r="http://schemas.openxmlformats.org/officeDocument/2006/relationships" name="DASHBOARD" sheetId="2" r:id="R7f95533ecb5248a0"/>
    <x:sheet xmlns:r="http://schemas.openxmlformats.org/officeDocument/2006/relationships" name="SCHEDULE" sheetId="3" r:id="R011a76fbb44649a0"/>
    <x:sheet xmlns:r="http://schemas.openxmlformats.org/officeDocument/2006/relationships" name="EXPERIMENTS" sheetId="4" r:id="R6ec3b1b2d75e49f9"/>
    <x:sheet xmlns:r="http://schemas.openxmlformats.org/officeDocument/2006/relationships" name="INSTANCE" sheetId="5" r:id="Rfe54af0633784f3f"/>
    <x:sheet xmlns:r="http://schemas.openxmlformats.org/officeDocument/2006/relationships" name="METHOD" sheetId="6" r:id="R25182fd9e1ab4fda"/>
    <x:sheet xmlns:r="http://schemas.openxmlformats.org/officeDocument/2006/relationships" name="ENGINEERING" sheetId="7" r:id="R0e67e593e0bc4006"/>
    <x:sheet xmlns:r="http://schemas.openxmlformats.org/officeDocument/2006/relationships" name="_CONFIG" sheetId="8" r:id="R2bc59911b51241fc"/>
    <x:sheet xmlns:r="http://schemas.openxmlformats.org/officeDocument/2006/relationships" name="_RUNS" sheetId="9" r:id="R21a48c8a33214614"/>
    <x:sheet xmlns:r="http://schemas.openxmlformats.org/officeDocument/2006/relationships" name="_CHECKPOINTS" sheetId="10" r:id="R7bf19790d6ed4840"/>
    <x:sheet xmlns:r="http://schemas.openxmlformats.org/officeDocument/2006/relationships" name="_SCHEDULE" sheetId="11" r:id="R55295223da294890"/>
    <x:sheet xmlns:r="http://schemas.openxmlformats.org/officeDocument/2006/relationships" name="_INSTANCE" sheetId="12" r:id="R48a0c4c54a8a4996"/>
    <x:sheet xmlns:r="http://schemas.openxmlformats.org/officeDocument/2006/relationships" name="_SETUPS" sheetId="13" r:id="R847e6ff91bf54659"/>
    <x:sheet xmlns:r="http://schemas.openxmlformats.org/officeDocument/2006/relationships" name="_CATALOG" sheetId="14" r:id="R864b519538484c80"/>
    <x:sheet xmlns:r="http://schemas.openxmlformats.org/officeDocument/2006/relationships" name="_CHARTS" sheetId="15" r:id="R3d809218d3d74b11"/>
    <x:sheet xmlns:r="http://schemas.openxmlformats.org/officeDocument/2006/relationships" name="_STATS" sheetId="16" r:id="R3d2783be1cab4c0a"/>
    <x:sheet xmlns:r="http://schemas.openxmlformats.org/officeDocument/2006/relationships" name="_I18N" sheetId="17" r:id="Raa2b448367684028"/>
    <x:sheet xmlns:r="http://schemas.openxmlformats.org/officeDocument/2006/relationships" name="_STATE" sheetId="18" r:id="Rf0430194828d4937"/>
    <x:sheet xmlns:r="http://schemas.openxmlformats.org/officeDocument/2006/relationships" name="_AUDIT" sheetId="19" r:id="Rcfb14ef91f1f45f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00"/>
    <x:numFmt numFmtId="202" formatCode="0.0"/>
    <x:numFmt numFmtId="203" formatCode="#,##0.00"/>
    <x:numFmt numFmtId="204" formatCode="#,##0.0"/>
    <x:numFmt numFmtId="205" formatCode="0.0%"/>
    <x:numFmt numFmtId="206" formatCode="@"/>
    <x:numFmt numFmtId="207" formatCode="0.00%"/>
  </x:numFmts>
  <x:fonts count="28">
    <x:font>
      <x:sz val="11"/>
      <x:name val="Carlito"/>
    </x:font>
    <x:font>
      <x:sz val="8"/>
      <x:color rgb="FF24333C"/>
      <x:name val="Roboto Mono"/>
    </x:font>
    <x:font>
      <x:b/>
      <x:sz val="9"/>
      <x:color rgb="FFFFFFFF"/>
      <x:name val="Roboto"/>
    </x:font>
    <x:font>
      <x:sz val="10"/>
      <x:color rgb="FF24333C"/>
      <x:name val="Roboto"/>
    </x:font>
    <x:font>
      <x:b/>
      <x:sz val="11"/>
      <x:color rgb="FFFFFFFF"/>
      <x:name val="Roboto"/>
    </x:font>
    <x:font>
      <x:b/>
      <x:sz val="18"/>
      <x:color rgb="FFFFFFFF"/>
      <x:name val="Roboto"/>
    </x:font>
    <x:font>
      <x:sz val="9"/>
      <x:color rgb="FFC7D3D9"/>
      <x:name val="Roboto"/>
    </x:font>
    <x:font>
      <x:b/>
      <x:sz val="9"/>
      <x:color rgb="FF24333C"/>
      <x:name val="Roboto"/>
    </x:font>
    <x:font>
      <x:b/>
      <x:sz val="9"/>
      <x:color rgb="FFFFFFFF"/>
      <x:name val="Roboto"/>
    </x:font>
    <x:font>
      <x:b/>
      <x:sz val="11"/>
      <x:color rgb="FFFFFFFF"/>
      <x:name val="Roboto"/>
    </x:font>
    <x:font>
      <x:b/>
      <x:sz val="10"/>
      <x:color rgb="FFFFFFFF"/>
      <x:name val="Roboto"/>
    </x:font>
    <x:font>
      <x:sz val="9"/>
      <x:color rgb="FF24333C"/>
      <x:name val="Roboto"/>
    </x:font>
    <x:font>
      <x:sz val="9"/>
      <x:color rgb="FF65747D"/>
      <x:name val="Roboto"/>
    </x:font>
    <x:font>
      <x:b/>
      <x:sz val="10"/>
      <x:color rgb="FF14212B"/>
      <x:name val="Roboto Mono"/>
    </x:font>
    <x:font>
      <x:sz val="10"/>
      <x:color rgb="FF24333C"/>
      <x:name val="Roboto"/>
    </x:font>
    <x:font>
      <x:b/>
      <x:sz val="22"/>
      <x:color rgb="FF14212B"/>
      <x:name val="Roboto"/>
    </x:font>
    <x:font>
      <x:b/>
      <x:sz val="10"/>
      <x:color rgb="FF24333C"/>
      <x:name val="Roboto"/>
    </x:font>
    <x:font>
      <x:i/>
      <x:sz val="9"/>
      <x:color rgb="FF65747D"/>
      <x:name val="Roboto"/>
    </x:font>
    <x:font>
      <x:sz val="8"/>
      <x:color rgb="FF65747D"/>
      <x:name val="Roboto"/>
    </x:font>
    <x:font>
      <x:sz val="9"/>
      <x:color rgb="FF24333C"/>
      <x:name val="Roboto"/>
    </x:font>
    <x:font>
      <x:sz val="7"/>
      <x:color rgb="FFFFFFFF"/>
      <x:name val="Roboto Mono"/>
    </x:font>
    <x:font>
      <x:sz val="1"/>
      <x:color rgb="FFFFFFFF"/>
      <x:name val="Roboto Mono"/>
    </x:font>
    <x:font>
      <x:b/>
      <x:sz val="8"/>
      <x:color rgb="FF14212B"/>
      <x:name val="Roboto Mono"/>
    </x:font>
    <x:font>
      <x:b/>
      <x:sz val="10"/>
      <x:color rgb="FF24333C"/>
      <x:name val="Roboto Mono"/>
    </x:font>
    <x:font>
      <x:sz val="9"/>
      <x:color rgb="FFE5EEF1"/>
      <x:name val="Roboto Mono"/>
    </x:font>
    <x:font>
      <x:b/>
      <x:sz val="8"/>
      <x:color rgb="FF24333C"/>
      <x:name val="Roboto"/>
    </x:font>
    <x:font>
      <x:sz val="8"/>
      <x:color rgb="FF24333C"/>
      <x:name val="Roboto"/>
    </x:font>
    <x:font>
      <x:b/>
      <x:sz val="10"/>
      <x:color rgb="FFFFFFFF"/>
      <x:name val="Roboto"/>
    </x:font>
  </x:fonts>
  <x:fills count="16">
    <x:fill>
      <x:patternFill patternType="none"/>
    </x:fill>
    <x:fill>
      <x:patternFill patternType="gray125"/>
    </x:fill>
    <x:fill>
      <x:patternFill patternType="solid">
        <x:fgColor rgb="FFFFFFFF"/>
      </x:patternFill>
    </x:fill>
    <x:fill>
      <x:patternFill patternType="solid">
        <x:fgColor rgb="FF0C7C82"/>
      </x:patternFill>
    </x:fill>
    <x:fill>
      <x:patternFill patternType="solid">
        <x:fgColor rgb="FFD99A2B"/>
      </x:patternFill>
    </x:fill>
    <x:fill>
      <x:patternFill patternType="solid">
        <x:fgColor rgb="FFF7F4EE"/>
      </x:patternFill>
    </x:fill>
    <x:fill>
      <x:patternFill patternType="solid">
        <x:fgColor rgb="FF14212B"/>
      </x:patternFill>
    </x:fill>
    <x:fill>
      <x:patternFill patternType="solid">
        <x:fgColor rgb="FFF5E9CF"/>
      </x:patternFill>
    </x:fill>
    <x:fill>
      <x:patternFill patternType="solid">
        <x:fgColor rgb="FFDDEEEF"/>
      </x:patternFill>
    </x:fill>
    <x:fill>
      <x:patternFill patternType="solid">
        <x:fgColor rgb="FF223542"/>
      </x:patternFill>
    </x:fill>
    <x:fill>
      <x:patternFill patternType="solid">
        <x:fgColor rgb="FFEEEAE2"/>
      </x:patternFill>
    </x:fill>
    <x:fill>
      <x:patternFill patternType="solid">
        <x:fgColor rgb="FF2F8A63"/>
      </x:patternFill>
    </x:fill>
    <x:fill>
      <x:patternFill patternType="solid">
        <x:fgColor rgb="FF467AA0"/>
      </x:patternFill>
    </x:fill>
    <x:fill>
      <x:patternFill patternType="solid">
        <x:fgColor rgb="FFC6534B"/>
      </x:patternFill>
    </x:fill>
    <x:fill>
      <x:patternFill patternType="solid">
        <x:fgColor rgb="FF7A628E"/>
      </x:patternFill>
    </x:fill>
    <x:fill>
      <x:patternFill patternType="solid">
        <x:fgColor rgb="FFDFE9F0"/>
      </x:patternFill>
    </x:fill>
  </x:fills>
  <x:borders count="52">
    <x:border/>
    <x:border>
      <x:left style="thin">
        <x:color rgb="FF0C7C82"/>
      </x:left>
      <x:top style="thin">
        <x:color rgb="FF0C7C82"/>
      </x:top>
      <x:bottom style="thin">
        <x:color rgb="FF0C7C82"/>
      </x:bottom>
    </x:border>
    <x:border>
      <x:right style="thin">
        <x:color rgb="FF0C7C82"/>
      </x:right>
      <x:top style="thin">
        <x:color rgb="FF0C7C82"/>
      </x:top>
      <x:bottom style="thin">
        <x:color rgb="FF0C7C82"/>
      </x:bottom>
    </x:border>
    <x:border>
      <x:top style="thin">
        <x:color rgb="FF0C7C82"/>
      </x:top>
      <x:bottom style="thin">
        <x:color rgb="FF0C7C82"/>
      </x:bottom>
    </x:border>
    <x:border>
      <x:left style="thin">
        <x:color rgb="FFD99A2B"/>
      </x:left>
      <x:top style="thin">
        <x:color rgb="FFD99A2B"/>
      </x:top>
      <x:bottom style="thin">
        <x:color rgb="FFD99A2B"/>
      </x:bottom>
    </x:border>
    <x:border>
      <x:top style="thin">
        <x:color rgb="FFD99A2B"/>
      </x:top>
      <x:bottom style="thin">
        <x:color rgb="FFD99A2B"/>
      </x:bottom>
    </x:border>
    <x:border>
      <x:right style="thin">
        <x:color rgb="FFD99A2B"/>
      </x:right>
      <x:top style="thin">
        <x:color rgb="FFD99A2B"/>
      </x:top>
      <x:bottom style="thin">
        <x:color rgb="FFD99A2B"/>
      </x:bottom>
    </x:border>
    <x:border>
      <x:left style="thin">
        <x:color rgb="FFD99A2B"/>
      </x:left>
      <x:top style="thin">
        <x:color rgb="FFD99A2B"/>
      </x:top>
    </x:border>
    <x:border>
      <x:top style="thin">
        <x:color rgb="FFD99A2B"/>
      </x:top>
    </x:border>
    <x:border>
      <x:right style="thin">
        <x:color rgb="FFD99A2B"/>
      </x:right>
      <x:top style="thin">
        <x:color rgb="FFD99A2B"/>
      </x:top>
    </x:border>
    <x:border>
      <x:left style="thin">
        <x:color rgb="FFD99A2B"/>
      </x:left>
    </x:border>
    <x:border>
      <x:right style="thin">
        <x:color rgb="FFD99A2B"/>
      </x:right>
    </x:border>
    <x:border>
      <x:left style="thin">
        <x:color rgb="FFD99A2B"/>
      </x:left>
      <x:bottom style="thin">
        <x:color rgb="FFD99A2B"/>
      </x:bottom>
    </x:border>
    <x:border>
      <x:bottom style="thin">
        <x:color rgb="FFD99A2B"/>
      </x:bottom>
    </x:border>
    <x:border>
      <x:right style="thin">
        <x:color rgb="FFD99A2B"/>
      </x:right>
      <x:bottom style="thin">
        <x:color rgb="FFD99A2B"/>
      </x:bottom>
    </x:border>
    <x:border>
      <x:left style="thin">
        <x:color rgb="FF14212B"/>
      </x:left>
      <x:top style="thin">
        <x:color rgb="FF14212B"/>
      </x:top>
    </x:border>
    <x:border>
      <x:top style="thin">
        <x:color rgb="FF14212B"/>
      </x:top>
    </x:border>
    <x:border>
      <x:right style="thin">
        <x:color rgb="FF14212B"/>
      </x:right>
      <x:top style="thin">
        <x:color rgb="FF14212B"/>
      </x:top>
    </x:border>
    <x:border>
      <x:left style="thin">
        <x:color rgb="FF14212B"/>
      </x:left>
      <x:bottom style="thin">
        <x:color rgb="FF14212B"/>
      </x:bottom>
    </x:border>
    <x:border>
      <x:bottom style="thin">
        <x:color rgb="FF14212B"/>
      </x:bottom>
    </x:border>
    <x:border>
      <x:right style="thin">
        <x:color rgb="FF14212B"/>
      </x:right>
      <x:bottom style="thin">
        <x:color rgb="FF14212B"/>
      </x:bottom>
    </x:border>
    <x:border>
      <x:left style="thin">
        <x:color rgb="FF0C7C82"/>
      </x:left>
      <x:top style="thin">
        <x:color rgb="FF0C7C82"/>
      </x:top>
    </x:border>
    <x:border>
      <x:top style="thin">
        <x:color rgb="FF0C7C82"/>
      </x:top>
    </x:border>
    <x:border>
      <x:right style="thin">
        <x:color rgb="FF0C7C82"/>
      </x:right>
      <x:top style="thin">
        <x:color rgb="FF0C7C82"/>
      </x:top>
    </x:border>
    <x:border>
      <x:left style="thin">
        <x:color rgb="FF0C7C82"/>
      </x:left>
    </x:border>
    <x:border>
      <x:right style="thin">
        <x:color rgb="FF0C7C82"/>
      </x:right>
    </x:border>
    <x:border>
      <x:left style="thin">
        <x:color rgb="FF0C7C82"/>
      </x:left>
      <x:bottom style="thin">
        <x:color rgb="FF0C7C82"/>
      </x:bottom>
    </x:border>
    <x:border>
      <x:bottom style="thin">
        <x:color rgb="FF0C7C82"/>
      </x:bottom>
    </x:border>
    <x:border>
      <x:right style="thin">
        <x:color rgb="FF0C7C82"/>
      </x:right>
      <x:bottom style="thin">
        <x:color rgb="FF0C7C82"/>
      </x:bottom>
    </x:border>
    <x:border>
      <x:bottom style="thin">
        <x:color rgb="FFD9D8D2"/>
      </x:bottom>
    </x:border>
    <x:border>
      <x:top style="thin">
        <x:color rgb="FFD9D8D2"/>
      </x:top>
      <x:bottom style="thin">
        <x:color rgb="FFD9D8D2"/>
      </x:bottom>
    </x:border>
    <x:border>
      <x:left style="thin">
        <x:color rgb="FFD9D8D2"/>
      </x:left>
      <x:top style="thin">
        <x:color rgb="FFD9D8D2"/>
      </x:top>
      <x:bottom style="thin">
        <x:color rgb="FFD9D8D2"/>
      </x:bottom>
    </x:border>
    <x:border>
      <x:right style="thin">
        <x:color rgb="FFD9D8D2"/>
      </x:right>
      <x:top style="thin">
        <x:color rgb="FFD9D8D2"/>
      </x:top>
      <x:bottom style="thin">
        <x:color rgb="FFD9D8D2"/>
      </x:bottom>
    </x:border>
    <x:border>
      <x:left style="thin">
        <x:color rgb="FF14212B"/>
      </x:left>
    </x:border>
    <x:border>
      <x:right style="thin">
        <x:color rgb="FF14212B"/>
      </x:right>
    </x:border>
    <x:border>
      <x:left style="thin">
        <x:color rgb="FFD9D8D2"/>
      </x:left>
      <x:top style="thin">
        <x:color rgb="FFD9D8D2"/>
      </x:top>
    </x:border>
    <x:border>
      <x:top style="thin">
        <x:color rgb="FFD9D8D2"/>
      </x:top>
    </x:border>
    <x:border>
      <x:right style="thin">
        <x:color rgb="FFD9D8D2"/>
      </x:right>
      <x:top style="thin">
        <x:color rgb="FFD9D8D2"/>
      </x:top>
    </x:border>
    <x:border>
      <x:left style="thin">
        <x:color rgb="FFD9D8D2"/>
      </x:left>
    </x:border>
    <x:border>
      <x:right style="thin">
        <x:color rgb="FFD9D8D2"/>
      </x:right>
    </x:border>
    <x:border>
      <x:left style="thin">
        <x:color rgb="FFD9D8D2"/>
      </x:left>
      <x:bottom style="thin">
        <x:color rgb="FFD9D8D2"/>
      </x:bottom>
    </x:border>
    <x:border>
      <x:right style="thin">
        <x:color rgb="FFD9D8D2"/>
      </x:right>
      <x:bottom style="thin">
        <x:color rgb="FFD9D8D2"/>
      </x:bottom>
    </x:border>
    <x:border>
      <x:left style="thin">
        <x:color rgb="FF223542"/>
      </x:left>
      <x:top style="thin">
        <x:color rgb="FF223542"/>
      </x:top>
      <x:bottom style="thin">
        <x:color rgb="FF223542"/>
      </x:bottom>
    </x:border>
    <x:border>
      <x:top style="thin">
        <x:color rgb="FF223542"/>
      </x:top>
      <x:bottom style="thin">
        <x:color rgb="FF223542"/>
      </x:bottom>
    </x:border>
    <x:border>
      <x:right style="thin">
        <x:color rgb="FF223542"/>
      </x:right>
      <x:top style="thin">
        <x:color rgb="FF223542"/>
      </x:top>
      <x:bottom style="thin">
        <x:color rgb="FF223542"/>
      </x:bottom>
    </x:border>
    <x:border>
      <x:right style="thin">
        <x:color rgb="FF41515A"/>
      </x:right>
    </x:border>
    <x:border>
      <x:left style="thin">
        <x:color rgb="FF41515A"/>
      </x:left>
      <x:right style="thin">
        <x:color rgb="FF41515A"/>
      </x:right>
    </x:border>
    <x:border>
      <x:left style="thin">
        <x:color rgb="FF41515A"/>
      </x:left>
    </x:border>
    <x:border>
      <x:left style="thin">
        <x:color rgb="FFD9D8D2"/>
      </x:left>
      <x:right style="thin">
        <x:color rgb="FFD9D8D2"/>
      </x:right>
      <x:top style="thin">
        <x:color rgb="FFD9D8D2"/>
      </x:top>
      <x:bottom style="thin">
        <x:color rgb="FFD9D8D2"/>
      </x:bottom>
    </x:border>
    <x:border>
      <x:left style="thin">
        <x:color rgb="FF467AA0"/>
      </x:left>
      <x:top style="thin">
        <x:color rgb="FF467AA0"/>
      </x:top>
      <x:bottom style="thin">
        <x:color rgb="FF467AA0"/>
      </x:bottom>
    </x:border>
    <x:border>
      <x:top style="thin">
        <x:color rgb="FF467AA0"/>
      </x:top>
      <x:bottom style="thin">
        <x:color rgb="FF467AA0"/>
      </x:bottom>
    </x:border>
    <x:border>
      <x:right style="thin">
        <x:color rgb="FF467AA0"/>
      </x:right>
      <x:top style="thin">
        <x:color rgb="FF467AA0"/>
      </x:top>
      <x:bottom style="thin">
        <x:color rgb="FF467AA0"/>
      </x:bottom>
    </x:border>
  </x:borders>
  <x:cellStyleXfs count="1">
    <x:xf numFmtId="0" fontId="0" fillId="0" borderId="0"/>
  </x:cellStyleXfs>
  <x:cellXfs count="87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0"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1" fillId="2"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center"/>
    </x:xf>
    <x:xf numFmtId="0" fontId="2" fillId="3" borderId="0" xfId="0" applyNumberFormat="1" applyFont="1" applyFill="1" applyBorder="1" applyAlignment="1">
      <x:alignment vertical="center"/>
    </x:xf>
    <x:xf numFmtId="0" fontId="2" fillId="3" borderId="1" xfId="0" applyNumberFormat="1" applyFont="1" applyFill="1" applyBorder="1" applyAlignment="1">
      <x:alignment vertical="center"/>
    </x:xf>
    <x:xf numFmtId="0" fontId="2" fillId="3" borderId="2" xfId="0" applyNumberFormat="1" applyFont="1" applyFill="1" applyBorder="1" applyAlignment="1">
      <x:alignment vertical="center"/>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vertical="center"/>
    </x:xf>
    <x:xf numFmtId="0" fontId="2" fillId="3" borderId="3" xfId="0" applyNumberFormat="1" applyFont="1" applyFill="1" applyBorder="1" applyAlignment="1">
      <x:alignment vertical="center" wrapText="1"/>
    </x:xf>
    <x:xf numFmtId="0" fontId="2" fillId="3" borderId="3" xfId="0" applyNumberFormat="1" applyFont="1" applyFill="1" applyBorder="1" applyAlignment="1">
      <x:alignment horizontal="center" vertical="center" wrapText="1"/>
    </x:xf>
    <x:xf numFmtId="200" fontId="1" fillId="2" borderId="0" xfId="0" applyNumberFormat="1" applyFont="1" applyFill="1" applyBorder="1" applyAlignment="1">
      <x:alignment vertical="center"/>
    </x:xf>
    <x:xf numFmtId="201" fontId="1" fillId="2" borderId="0" xfId="0" applyNumberFormat="1" applyFont="1" applyFill="1" applyBorder="1" applyAlignment="1">
      <x:alignment vertical="center"/>
    </x:xf>
    <x:xf numFmtId="202" fontId="1" fillId="2"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2" fillId="4" borderId="0" xfId="0" applyNumberFormat="1" applyFont="1" applyFill="1" applyBorder="1" applyAlignment="1">
      <x:alignment vertical="center"/>
    </x:xf>
    <x:xf numFmtId="0" fontId="2" fillId="4" borderId="4" xfId="0" applyNumberFormat="1" applyFont="1" applyFill="1" applyBorder="1" applyAlignment="1">
      <x:alignment vertical="center"/>
    </x:xf>
    <x:xf numFmtId="0" fontId="2" fillId="4" borderId="5" xfId="0" applyNumberFormat="1" applyFont="1" applyFill="1" applyBorder="1" applyAlignment="1">
      <x:alignment vertical="center"/>
    </x:xf>
    <x:xf numFmtId="0" fontId="2" fillId="4" borderId="6" xfId="0" applyNumberFormat="1" applyFont="1" applyFill="1" applyBorder="1" applyAlignment="1">
      <x:alignment vertical="center"/>
    </x:xf>
    <x:xf numFmtId="0" fontId="2" fillId="4" borderId="4" xfId="0" applyNumberFormat="1" applyFont="1" applyFill="1" applyBorder="1" applyAlignment="1">
      <x:alignment vertical="center" wrapText="1"/>
    </x:xf>
    <x:xf numFmtId="0" fontId="2" fillId="4" borderId="5" xfId="0" applyNumberFormat="1" applyFont="1" applyFill="1" applyBorder="1" applyAlignment="1">
      <x:alignment vertical="center" wrapText="1"/>
    </x:xf>
    <x:xf numFmtId="0" fontId="2" fillId="4" borderId="6" xfId="0" applyNumberFormat="1" applyFont="1" applyFill="1" applyBorder="1" applyAlignment="1">
      <x:alignment vertical="center" wrapText="1"/>
    </x:xf>
    <x:xf numFmtId="0" fontId="2" fillId="4" borderId="4" xfId="0" applyNumberFormat="1" applyFont="1" applyFill="1" applyBorder="1" applyAlignment="1">
      <x:alignment horizontal="center" vertical="center" wrapText="1"/>
    </x:xf>
    <x:xf numFmtId="0" fontId="2" fillId="4" borderId="5" xfId="0" applyNumberFormat="1" applyFont="1" applyFill="1" applyBorder="1" applyAlignment="1">
      <x:alignment horizontal="center" vertical="center" wrapText="1"/>
    </x:xf>
    <x:xf numFmtId="0" fontId="2" fillId="4" borderId="6" xfId="0" applyNumberFormat="1" applyFont="1" applyFill="1" applyBorder="1" applyAlignment="1">
      <x:alignment horizontal="center" vertical="center" wrapText="1"/>
    </x:xf>
    <x:xf numFmtId="203" fontId="1" fillId="2" borderId="0" xfId="0" applyNumberFormat="1" applyFont="1" applyFill="1" applyBorder="1" applyAlignment="1">
      <x:alignment vertical="center"/>
    </x:xf>
    <x:xf numFmtId="204" fontId="1" fillId="2" borderId="0" xfId="0" applyNumberFormat="1" applyFont="1" applyFill="1" applyBorder="1" applyAlignment="1">
      <x:alignment vertical="center"/>
    </x:xf>
    <x:xf numFmtId="205" fontId="1" fillId="2" borderId="0" xfId="0" applyNumberFormat="1" applyFont="1" applyFill="1" applyBorder="1" applyAlignment="1">
      <x:alignmen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5"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3" fillId="7" borderId="0" xfId="0" applyNumberFormat="1" applyFont="1" applyFill="1" applyBorder="1" applyAlignment="1">
      <x:alignment vertical="center"/>
    </x:xf>
    <x:xf numFmtId="0" fontId="7" fillId="7" borderId="0" xfId="0" applyNumberFormat="1" applyFont="1" applyFill="1" applyBorder="1" applyAlignment="1">
      <x:alignment vertical="center"/>
    </x:xf>
    <x:xf numFmtId="0" fontId="7" fillId="7" borderId="7" xfId="0" applyNumberFormat="1" applyFont="1" applyFill="1" applyBorder="1" applyAlignment="1">
      <x:alignment vertical="center"/>
    </x:xf>
    <x:xf numFmtId="0" fontId="7" fillId="7" borderId="8" xfId="0" applyNumberFormat="1" applyFont="1" applyFill="1" applyBorder="1" applyAlignment="1">
      <x:alignment vertical="center"/>
    </x:xf>
    <x:xf numFmtId="0" fontId="7" fillId="7" borderId="9" xfId="0" applyNumberFormat="1" applyFont="1" applyFill="1" applyBorder="1" applyAlignment="1">
      <x:alignment vertical="center"/>
    </x:xf>
    <x:xf numFmtId="0" fontId="7" fillId="7" borderId="10" xfId="0" applyNumberFormat="1" applyFont="1" applyFill="1" applyBorder="1" applyAlignment="1">
      <x:alignment vertical="center"/>
    </x:xf>
    <x:xf numFmtId="0" fontId="7" fillId="7" borderId="11" xfId="0" applyNumberFormat="1" applyFont="1" applyFill="1" applyBorder="1" applyAlignment="1">
      <x:alignment vertical="center"/>
    </x:xf>
    <x:xf numFmtId="0" fontId="7" fillId="7" borderId="12" xfId="0" applyNumberFormat="1" applyFont="1" applyFill="1" applyBorder="1" applyAlignment="1">
      <x:alignment vertical="center"/>
    </x:xf>
    <x:xf numFmtId="0" fontId="7" fillId="7" borderId="13" xfId="0" applyNumberFormat="1" applyFont="1" applyFill="1" applyBorder="1" applyAlignment="1">
      <x:alignment vertical="center"/>
    </x:xf>
    <x:xf numFmtId="0" fontId="7" fillId="7" borderId="14" xfId="0" applyNumberFormat="1" applyFont="1" applyFill="1" applyBorder="1" applyAlignment="1">
      <x:alignment vertical="center"/>
    </x:xf>
    <x:xf numFmtId="0" fontId="7" fillId="7" borderId="7" xfId="0" applyNumberFormat="1" applyFont="1" applyFill="1" applyBorder="1" applyAlignment="1">
      <x:alignment vertical="center" wrapText="1"/>
    </x:xf>
    <x:xf numFmtId="0" fontId="7" fillId="7" borderId="8" xfId="0" applyNumberFormat="1" applyFont="1" applyFill="1" applyBorder="1" applyAlignment="1">
      <x:alignment vertical="center" wrapText="1"/>
    </x:xf>
    <x:xf numFmtId="0" fontId="7" fillId="7" borderId="9" xfId="0" applyNumberFormat="1" applyFont="1" applyFill="1" applyBorder="1" applyAlignment="1">
      <x:alignment vertical="center" wrapText="1"/>
    </x:xf>
    <x:xf numFmtId="0" fontId="7" fillId="7" borderId="1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11" xfId="0" applyNumberFormat="1" applyFont="1" applyFill="1" applyBorder="1" applyAlignment="1">
      <x:alignment vertical="center" wrapText="1"/>
    </x:xf>
    <x:xf numFmtId="0" fontId="7" fillId="7" borderId="12" xfId="0" applyNumberFormat="1" applyFont="1" applyFill="1" applyBorder="1" applyAlignment="1">
      <x:alignment vertical="center" wrapText="1"/>
    </x:xf>
    <x:xf numFmtId="0" fontId="7" fillId="7" borderId="13" xfId="0" applyNumberFormat="1" applyFont="1" applyFill="1" applyBorder="1" applyAlignment="1">
      <x:alignment vertical="center" wrapText="1"/>
    </x:xf>
    <x:xf numFmtId="0" fontId="7" fillId="7" borderId="14" xfId="0" applyNumberFormat="1" applyFont="1" applyFill="1" applyBorder="1" applyAlignment="1">
      <x:alignment vertical="center" wrapText="1"/>
    </x:xf>
    <x:xf numFmtId="0" fontId="7" fillId="7" borderId="7" xfId="0" applyNumberFormat="1" applyFont="1" applyFill="1" applyBorder="1" applyAlignment="1">
      <x:alignment horizontal="left" vertical="center" wrapText="1"/>
    </x:xf>
    <x:xf numFmtId="0" fontId="7" fillId="7" borderId="8" xfId="0" applyNumberFormat="1" applyFont="1" applyFill="1" applyBorder="1" applyAlignment="1">
      <x:alignment horizontal="left" vertical="center" wrapText="1"/>
    </x:xf>
    <x:xf numFmtId="0" fontId="7" fillId="7" borderId="9" xfId="0" applyNumberFormat="1" applyFont="1" applyFill="1" applyBorder="1" applyAlignment="1">
      <x:alignment horizontal="left" vertical="center" wrapText="1"/>
    </x:xf>
    <x:xf numFmtId="0" fontId="7" fillId="7" borderId="10" xfId="0" applyNumberFormat="1" applyFont="1" applyFill="1" applyBorder="1" applyAlignment="1">
      <x:alignment horizontal="left" vertical="center" wrapText="1"/>
    </x:xf>
    <x:xf numFmtId="0" fontId="7" fillId="7" borderId="0" xfId="0" applyNumberFormat="1" applyFont="1" applyFill="1" applyBorder="1" applyAlignment="1">
      <x:alignment horizontal="left" vertical="center" wrapText="1"/>
    </x:xf>
    <x:xf numFmtId="0" fontId="7" fillId="7" borderId="11" xfId="0" applyNumberFormat="1" applyFont="1" applyFill="1" applyBorder="1" applyAlignment="1">
      <x:alignment horizontal="left" vertical="center" wrapText="1"/>
    </x:xf>
    <x:xf numFmtId="0" fontId="7" fillId="7" borderId="12" xfId="0" applyNumberFormat="1" applyFont="1" applyFill="1" applyBorder="1" applyAlignment="1">
      <x:alignment horizontal="left" vertical="center" wrapText="1"/>
    </x:xf>
    <x:xf numFmtId="0" fontId="7" fillId="7" borderId="13" xfId="0" applyNumberFormat="1" applyFont="1" applyFill="1" applyBorder="1" applyAlignment="1">
      <x:alignment horizontal="left" vertical="center" wrapText="1"/>
    </x:xf>
    <x:xf numFmtId="0" fontId="7" fillId="7" borderId="14" xfId="0" applyNumberFormat="1" applyFont="1" applyFill="1" applyBorder="1" applyAlignment="1">
      <x:alignment horizontal="left" vertical="center" wrapText="1"/>
    </x:xf>
    <x:xf numFmtId="0" fontId="7" fillId="7" borderId="7" xfId="0" applyNumberFormat="1" applyFont="1" applyFill="1" applyBorder="1" applyAlignment="1">
      <x:alignment horizontal="left" vertical="top" wrapText="1"/>
    </x:xf>
    <x:xf numFmtId="0" fontId="7" fillId="7" borderId="8" xfId="0" applyNumberFormat="1" applyFont="1" applyFill="1" applyBorder="1" applyAlignment="1">
      <x:alignment horizontal="left" vertical="top" wrapText="1"/>
    </x:xf>
    <x:xf numFmtId="0" fontId="7" fillId="7" borderId="9" xfId="0" applyNumberFormat="1" applyFont="1" applyFill="1" applyBorder="1" applyAlignment="1">
      <x:alignment horizontal="left" vertical="top" wrapText="1"/>
    </x:xf>
    <x:xf numFmtId="0" fontId="7" fillId="7" borderId="10" xfId="0" applyNumberFormat="1" applyFont="1" applyFill="1" applyBorder="1" applyAlignment="1">
      <x:alignment horizontal="left" vertical="top" wrapText="1"/>
    </x:xf>
    <x:xf numFmtId="0" fontId="7" fillId="7" borderId="0" xfId="0" applyNumberFormat="1" applyFont="1" applyFill="1" applyBorder="1" applyAlignment="1">
      <x:alignment horizontal="left" vertical="top" wrapText="1"/>
    </x:xf>
    <x:xf numFmtId="0" fontId="7" fillId="7" borderId="11" xfId="0" applyNumberFormat="1" applyFont="1" applyFill="1" applyBorder="1" applyAlignment="1">
      <x:alignment horizontal="left" vertical="top" wrapText="1"/>
    </x:xf>
    <x:xf numFmtId="0" fontId="7" fillId="7" borderId="12" xfId="0" applyNumberFormat="1" applyFont="1" applyFill="1" applyBorder="1" applyAlignment="1">
      <x:alignment horizontal="left" vertical="top" wrapText="1"/>
    </x:xf>
    <x:xf numFmtId="0" fontId="7" fillId="7" borderId="13" xfId="0" applyNumberFormat="1" applyFont="1" applyFill="1" applyBorder="1" applyAlignment="1">
      <x:alignment horizontal="left" vertical="top" wrapText="1"/>
    </x:xf>
    <x:xf numFmtId="0" fontId="7" fillId="7" borderId="14" xfId="0" applyNumberFormat="1" applyFont="1" applyFill="1" applyBorder="1" applyAlignment="1">
      <x:alignment horizontal="left" vertical="top" wrapText="1"/>
    </x:xf>
    <x:xf numFmtId="0" fontId="8" fillId="6" borderId="0" xfId="0" applyNumberFormat="1" applyFont="1" applyFill="1" applyBorder="1" applyAlignment="1">
      <x:alignment vertical="center"/>
    </x:xf>
    <x:xf numFmtId="0" fontId="8" fillId="6" borderId="15" xfId="0" applyNumberFormat="1" applyFont="1" applyFill="1" applyBorder="1" applyAlignment="1">
      <x:alignment vertical="center"/>
    </x:xf>
    <x:xf numFmtId="0" fontId="8" fillId="6" borderId="16" xfId="0" applyNumberFormat="1" applyFont="1" applyFill="1" applyBorder="1" applyAlignment="1">
      <x:alignment vertical="center"/>
    </x:xf>
    <x:xf numFmtId="0" fontId="8" fillId="6" borderId="17" xfId="0" applyNumberFormat="1" applyFont="1" applyFill="1" applyBorder="1" applyAlignment="1">
      <x:alignment vertical="center"/>
    </x:xf>
    <x:xf numFmtId="0" fontId="8" fillId="6" borderId="18" xfId="0" applyNumberFormat="1" applyFont="1" applyFill="1" applyBorder="1" applyAlignment="1">
      <x:alignment vertical="center"/>
    </x:xf>
    <x:xf numFmtId="0" fontId="8" fillId="6" borderId="19" xfId="0" applyNumberFormat="1" applyFont="1" applyFill="1" applyBorder="1" applyAlignment="1">
      <x:alignment vertical="center"/>
    </x:xf>
    <x:xf numFmtId="0" fontId="8" fillId="6" borderId="20" xfId="0" applyNumberFormat="1" applyFont="1" applyFill="1" applyBorder="1" applyAlignment="1">
      <x:alignment vertical="center"/>
    </x:xf>
    <x:xf numFmtId="0" fontId="8" fillId="6" borderId="15" xfId="0" applyNumberFormat="1" applyFont="1" applyFill="1" applyBorder="1" applyAlignment="1">
      <x:alignment vertical="center" wrapText="1"/>
    </x:xf>
    <x:xf numFmtId="0" fontId="8" fillId="6" borderId="16" xfId="0" applyNumberFormat="1" applyFont="1" applyFill="1" applyBorder="1" applyAlignment="1">
      <x:alignment vertical="center" wrapText="1"/>
    </x:xf>
    <x:xf numFmtId="0" fontId="8" fillId="6" borderId="17" xfId="0" applyNumberFormat="1" applyFont="1" applyFill="1" applyBorder="1" applyAlignment="1">
      <x:alignment vertical="center" wrapText="1"/>
    </x:xf>
    <x:xf numFmtId="0" fontId="8" fillId="6" borderId="18" xfId="0" applyNumberFormat="1" applyFont="1" applyFill="1" applyBorder="1" applyAlignment="1">
      <x:alignment vertical="center" wrapText="1"/>
    </x:xf>
    <x:xf numFmtId="0" fontId="8" fillId="6" borderId="19" xfId="0" applyNumberFormat="1" applyFont="1" applyFill="1" applyBorder="1" applyAlignment="1">
      <x:alignment vertical="center" wrapText="1"/>
    </x:xf>
    <x:xf numFmtId="0" fontId="8" fillId="6" borderId="20" xfId="0" applyNumberFormat="1" applyFont="1" applyFill="1" applyBorder="1" applyAlignment="1">
      <x:alignment vertical="center" wrapText="1"/>
    </x:xf>
    <x:xf numFmtId="0" fontId="8" fillId="6" borderId="15" xfId="0" applyNumberFormat="1" applyFont="1" applyFill="1" applyBorder="1" applyAlignment="1">
      <x:alignment horizontal="center" vertical="center" wrapText="1"/>
    </x:xf>
    <x:xf numFmtId="0" fontId="8" fillId="6" borderId="16" xfId="0" applyNumberFormat="1" applyFont="1" applyFill="1" applyBorder="1" applyAlignment="1">
      <x:alignment horizontal="center" vertical="center" wrapText="1"/>
    </x:xf>
    <x:xf numFmtId="0" fontId="8" fillId="6" borderId="17" xfId="0" applyNumberFormat="1" applyFont="1" applyFill="1" applyBorder="1" applyAlignment="1">
      <x:alignment horizontal="center" vertical="center" wrapText="1"/>
    </x:xf>
    <x:xf numFmtId="0" fontId="8" fillId="6" borderId="18" xfId="0" applyNumberFormat="1" applyFont="1" applyFill="1" applyBorder="1" applyAlignment="1">
      <x:alignment horizontal="center" vertical="center" wrapText="1"/>
    </x:xf>
    <x:xf numFmtId="0" fontId="8" fillId="6" borderId="19" xfId="0" applyNumberFormat="1" applyFont="1" applyFill="1" applyBorder="1" applyAlignment="1">
      <x:alignment horizontal="center" vertical="center" wrapText="1"/>
    </x:xf>
    <x:xf numFmtId="0" fontId="8" fillId="6" borderId="20" xfId="0" applyNumberFormat="1" applyFont="1" applyFill="1" applyBorder="1" applyAlignment="1">
      <x:alignment horizontal="center" vertical="center" wrapText="1"/>
    </x:xf>
    <x:xf numFmtId="0" fontId="9" fillId="3" borderId="0" xfId="0" applyNumberFormat="1" applyFont="1" applyFill="1" applyBorder="1" applyAlignment="1">
      <x:alignment vertical="center"/>
    </x:xf>
    <x:xf numFmtId="0" fontId="9" fillId="3" borderId="21" xfId="0" applyNumberFormat="1" applyFont="1" applyFill="1" applyBorder="1" applyAlignment="1">
      <x:alignment vertical="center"/>
    </x:xf>
    <x:xf numFmtId="0" fontId="9" fillId="3" borderId="22" xfId="0" applyNumberFormat="1" applyFont="1" applyFill="1" applyBorder="1" applyAlignment="1">
      <x:alignment vertical="center"/>
    </x:xf>
    <x:xf numFmtId="0" fontId="9" fillId="3" borderId="23" xfId="0" applyNumberFormat="1" applyFont="1" applyFill="1" applyBorder="1" applyAlignment="1">
      <x:alignment vertical="center"/>
    </x:xf>
    <x:xf numFmtId="0" fontId="9" fillId="3" borderId="24" xfId="0" applyNumberFormat="1" applyFont="1" applyFill="1" applyBorder="1" applyAlignment="1">
      <x:alignment vertical="center"/>
    </x:xf>
    <x:xf numFmtId="0" fontId="9" fillId="3" borderId="25" xfId="0" applyNumberFormat="1" applyFont="1" applyFill="1" applyBorder="1" applyAlignment="1">
      <x:alignment vertical="center"/>
    </x:xf>
    <x:xf numFmtId="0" fontId="9" fillId="3" borderId="26" xfId="0" applyNumberFormat="1" applyFont="1" applyFill="1" applyBorder="1" applyAlignment="1">
      <x:alignment vertical="center"/>
    </x:xf>
    <x:xf numFmtId="0" fontId="9" fillId="3" borderId="27" xfId="0" applyNumberFormat="1" applyFont="1" applyFill="1" applyBorder="1" applyAlignment="1">
      <x:alignment vertical="center"/>
    </x:xf>
    <x:xf numFmtId="0" fontId="9" fillId="3" borderId="28" xfId="0" applyNumberFormat="1" applyFont="1" applyFill="1" applyBorder="1" applyAlignment="1">
      <x:alignment vertical="center"/>
    </x:xf>
    <x:xf numFmtId="0" fontId="9" fillId="3" borderId="21" xfId="0" applyNumberFormat="1" applyFont="1" applyFill="1" applyBorder="1" applyAlignment="1">
      <x:alignment vertical="center" wrapText="1"/>
    </x:xf>
    <x:xf numFmtId="0" fontId="9" fillId="3" borderId="22" xfId="0" applyNumberFormat="1" applyFont="1" applyFill="1" applyBorder="1" applyAlignment="1">
      <x:alignment vertical="center" wrapText="1"/>
    </x:xf>
    <x:xf numFmtId="0" fontId="9" fillId="3" borderId="23" xfId="0" applyNumberFormat="1" applyFont="1" applyFill="1" applyBorder="1" applyAlignment="1">
      <x:alignment vertical="center" wrapText="1"/>
    </x:xf>
    <x:xf numFmtId="0" fontId="9" fillId="3" borderId="24"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25" xfId="0" applyNumberFormat="1" applyFont="1" applyFill="1" applyBorder="1" applyAlignment="1">
      <x:alignment vertical="center" wrapText="1"/>
    </x:xf>
    <x:xf numFmtId="0" fontId="9" fillId="3" borderId="26" xfId="0" applyNumberFormat="1" applyFont="1" applyFill="1" applyBorder="1" applyAlignment="1">
      <x:alignment vertical="center" wrapText="1"/>
    </x:xf>
    <x:xf numFmtId="0" fontId="9" fillId="3" borderId="27" xfId="0" applyNumberFormat="1" applyFont="1" applyFill="1" applyBorder="1" applyAlignment="1">
      <x:alignment vertical="center" wrapText="1"/>
    </x:xf>
    <x:xf numFmtId="0" fontId="9" fillId="3" borderId="28" xfId="0" applyNumberFormat="1" applyFont="1" applyFill="1" applyBorder="1" applyAlignment="1">
      <x:alignment vertical="center" wrapText="1"/>
    </x:xf>
    <x:xf numFmtId="0" fontId="9" fillId="3" borderId="21" xfId="0" applyNumberFormat="1" applyFont="1" applyFill="1" applyBorder="1" applyAlignment="1">
      <x:alignment horizontal="center" vertical="center" wrapText="1"/>
    </x:xf>
    <x:xf numFmtId="0" fontId="9" fillId="3" borderId="22" xfId="0" applyNumberFormat="1" applyFont="1" applyFill="1" applyBorder="1" applyAlignment="1">
      <x:alignment horizontal="center" vertical="center" wrapText="1"/>
    </x:xf>
    <x:xf numFmtId="0" fontId="9" fillId="3" borderId="23" xfId="0" applyNumberFormat="1" applyFont="1" applyFill="1" applyBorder="1" applyAlignment="1">
      <x:alignment horizontal="center" vertical="center" wrapText="1"/>
    </x:xf>
    <x:xf numFmtId="0" fontId="9" fillId="3" borderId="24" xfId="0" applyNumberFormat="1" applyFont="1" applyFill="1" applyBorder="1" applyAlignment="1">
      <x:alignment horizontal="center" vertical="center" wrapText="1"/>
    </x:xf>
    <x:xf numFmtId="0" fontId="9" fillId="3" borderId="0" xfId="0" applyNumberFormat="1" applyFont="1" applyFill="1" applyBorder="1" applyAlignment="1">
      <x:alignment horizontal="center" vertical="center" wrapText="1"/>
    </x:xf>
    <x:xf numFmtId="0" fontId="9" fillId="3" borderId="25" xfId="0" applyNumberFormat="1" applyFont="1" applyFill="1" applyBorder="1" applyAlignment="1">
      <x:alignment horizontal="center" vertical="center" wrapText="1"/>
    </x:xf>
    <x:xf numFmtId="0" fontId="9" fillId="3" borderId="26" xfId="0" applyNumberFormat="1" applyFont="1" applyFill="1" applyBorder="1" applyAlignment="1">
      <x:alignment horizontal="center" vertical="center" wrapText="1"/>
    </x:xf>
    <x:xf numFmtId="0" fontId="9" fillId="3" borderId="27" xfId="0" applyNumberFormat="1" applyFont="1" applyFill="1" applyBorder="1" applyAlignment="1">
      <x:alignment horizontal="center" vertical="center" wrapText="1"/>
    </x:xf>
    <x:xf numFmtId="0" fontId="9" fillId="3" borderId="28" xfId="0" applyNumberFormat="1" applyFont="1" applyFill="1" applyBorder="1" applyAlignment="1">
      <x:alignment horizontal="center" vertical="center" wrapText="1"/>
    </x:xf>
    <x:xf numFmtId="0" fontId="10" fillId="3"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1" fillId="2" borderId="0" xfId="0" applyNumberFormat="1" applyFont="1" applyFill="1" applyBorder="1" applyAlignment="1">
      <x:alignment vertical="center"/>
    </x:xf>
    <x:xf numFmtId="0" fontId="11" fillId="2" borderId="29" xfId="0" applyNumberFormat="1" applyFont="1" applyFill="1" applyBorder="1" applyAlignment="1">
      <x:alignment vertical="center"/>
    </x:xf>
    <x:xf numFmtId="0" fontId="11" fillId="2" borderId="30" xfId="0" applyNumberFormat="1" applyFont="1" applyFill="1" applyBorder="1" applyAlignment="1">
      <x:alignment vertical="center"/>
    </x:xf>
    <x:xf numFmtId="0" fontId="11" fillId="2" borderId="29" xfId="0" applyNumberFormat="1" applyFont="1" applyFill="1" applyBorder="1" applyAlignment="1">
      <x:alignment vertical="center" wrapText="0"/>
    </x:xf>
    <x:xf numFmtId="0" fontId="11" fillId="2" borderId="30" xfId="0" applyNumberFormat="1" applyFont="1" applyFill="1" applyBorder="1" applyAlignment="1">
      <x:alignment vertical="center" wrapText="0"/>
    </x:xf>
    <x:xf numFmtId="0" fontId="12" fillId="2" borderId="29" xfId="0" applyNumberFormat="1" applyFont="1" applyFill="1" applyBorder="1" applyAlignment="1">
      <x:alignment vertical="center" wrapText="0"/>
    </x:xf>
    <x:xf numFmtId="0" fontId="12" fillId="2" borderId="30" xfId="0" applyNumberFormat="1" applyFont="1" applyFill="1" applyBorder="1" applyAlignment="1">
      <x:alignment vertical="center" wrapText="0"/>
    </x:xf>
    <x:xf numFmtId="0" fontId="11" fillId="8" borderId="29" xfId="0" applyNumberFormat="1" applyFont="1" applyFill="1" applyBorder="1" applyAlignment="1">
      <x:alignment vertical="center" wrapText="0"/>
    </x:xf>
    <x:xf numFmtId="0" fontId="11" fillId="8" borderId="30" xfId="0" applyNumberFormat="1" applyFont="1" applyFill="1" applyBorder="1" applyAlignment="1">
      <x:alignment vertical="center" wrapText="0"/>
    </x:xf>
    <x:xf numFmtId="0" fontId="13" fillId="8" borderId="29" xfId="0" applyNumberFormat="1" applyFont="1" applyFill="1" applyBorder="1" applyAlignment="1">
      <x:alignment vertical="center" wrapText="0"/>
    </x:xf>
    <x:xf numFmtId="0" fontId="13" fillId="8" borderId="30" xfId="0" applyNumberFormat="1" applyFont="1" applyFill="1" applyBorder="1" applyAlignment="1">
      <x:alignment vertical="center" wrapText="0"/>
    </x:xf>
    <x:xf numFmtId="0" fontId="13" fillId="8" borderId="31" xfId="0" applyNumberFormat="1" applyFont="1" applyFill="1" applyBorder="1" applyAlignment="1">
      <x:alignment vertical="center" wrapText="0"/>
    </x:xf>
    <x:xf numFmtId="0" fontId="13" fillId="8" borderId="32" xfId="0" applyNumberFormat="1" applyFont="1" applyFill="1" applyBorder="1" applyAlignment="1">
      <x:alignment vertical="center" wrapText="0"/>
    </x:xf>
    <x:xf numFmtId="0" fontId="13" fillId="8" borderId="31" xfId="0" applyNumberFormat="1" applyFont="1" applyFill="1" applyBorder="1" applyAlignment="1">
      <x:alignment horizontal="right" vertical="center" wrapText="0"/>
    </x:xf>
    <x:xf numFmtId="0" fontId="13" fillId="8" borderId="32" xfId="0" applyNumberFormat="1" applyFont="1" applyFill="1" applyBorder="1" applyAlignment="1">
      <x:alignment horizontal="right" vertical="center" wrapText="0"/>
    </x:xf>
    <x:xf numFmtId="206" fontId="13" fillId="8" borderId="31" xfId="0" applyNumberFormat="1" applyFont="1" applyFill="1" applyBorder="1" applyAlignment="1">
      <x:alignment horizontal="right" vertical="center" wrapText="0"/>
    </x:xf>
    <x:xf numFmtId="206" fontId="13" fillId="8" borderId="32" xfId="0" applyNumberFormat="1" applyFont="1" applyFill="1" applyBorder="1" applyAlignment="1">
      <x:alignment horizontal="right" vertical="center" wrapText="0"/>
    </x:xf>
    <x:xf numFmtId="200" fontId="13" fillId="8" borderId="31" xfId="0" applyNumberFormat="1" applyFont="1" applyFill="1" applyBorder="1" applyAlignment="1">
      <x:alignment horizontal="right" vertical="center" wrapText="0"/>
    </x:xf>
    <x:xf numFmtId="200" fontId="13" fillId="8" borderId="32" xfId="0" applyNumberFormat="1" applyFont="1" applyFill="1" applyBorder="1" applyAlignment="1">
      <x:alignment horizontal="right" vertical="center" wrapText="0"/>
    </x:xf>
    <x:xf numFmtId="0" fontId="8" fillId="6" borderId="33" xfId="0" applyNumberFormat="1" applyFont="1" applyFill="1" applyBorder="1" applyAlignment="1">
      <x:alignment vertical="center"/>
    </x:xf>
    <x:xf numFmtId="0" fontId="8" fillId="6" borderId="34" xfId="0" applyNumberFormat="1" applyFont="1" applyFill="1" applyBorder="1" applyAlignment="1">
      <x:alignment vertical="center"/>
    </x:xf>
    <x:xf numFmtId="0" fontId="8" fillId="6" borderId="33" xfId="0" applyNumberFormat="1" applyFont="1" applyFill="1" applyBorder="1" applyAlignment="1">
      <x:alignment vertical="center" wrapText="1"/>
    </x:xf>
    <x:xf numFmtId="0" fontId="8" fillId="6" borderId="0" xfId="0" applyNumberFormat="1" applyFont="1" applyFill="1" applyBorder="1" applyAlignment="1">
      <x:alignment vertical="center" wrapText="1"/>
    </x:xf>
    <x:xf numFmtId="0" fontId="8" fillId="6" borderId="34" xfId="0" applyNumberFormat="1" applyFont="1" applyFill="1" applyBorder="1" applyAlignment="1">
      <x:alignment vertical="center" wrapText="1"/>
    </x:xf>
    <x:xf numFmtId="0" fontId="8" fillId="6" borderId="15" xfId="0" applyNumberFormat="1" applyFont="1" applyFill="1" applyBorder="1" applyAlignment="1">
      <x:alignment horizontal="left" vertical="center" wrapText="1"/>
    </x:xf>
    <x:xf numFmtId="0" fontId="8" fillId="6" borderId="16" xfId="0" applyNumberFormat="1" applyFont="1" applyFill="1" applyBorder="1" applyAlignment="1">
      <x:alignment horizontal="left" vertical="center" wrapText="1"/>
    </x:xf>
    <x:xf numFmtId="0" fontId="8" fillId="6" borderId="17" xfId="0" applyNumberFormat="1" applyFont="1" applyFill="1" applyBorder="1" applyAlignment="1">
      <x:alignment horizontal="left" vertical="center" wrapText="1"/>
    </x:xf>
    <x:xf numFmtId="0" fontId="8" fillId="6" borderId="33" xfId="0" applyNumberFormat="1" applyFont="1" applyFill="1" applyBorder="1" applyAlignment="1">
      <x:alignment horizontal="left" vertical="center" wrapText="1"/>
    </x:xf>
    <x:xf numFmtId="0" fontId="8" fillId="6" borderId="0" xfId="0" applyNumberFormat="1" applyFont="1" applyFill="1" applyBorder="1" applyAlignment="1">
      <x:alignment horizontal="left" vertical="center" wrapText="1"/>
    </x:xf>
    <x:xf numFmtId="0" fontId="8" fillId="6" borderId="34" xfId="0" applyNumberFormat="1" applyFont="1" applyFill="1" applyBorder="1" applyAlignment="1">
      <x:alignment horizontal="left" vertical="center" wrapText="1"/>
    </x:xf>
    <x:xf numFmtId="0" fontId="8" fillId="6" borderId="18" xfId="0" applyNumberFormat="1" applyFont="1" applyFill="1" applyBorder="1" applyAlignment="1">
      <x:alignment horizontal="left" vertical="center" wrapText="1"/>
    </x:xf>
    <x:xf numFmtId="0" fontId="8" fillId="6" borderId="19" xfId="0" applyNumberFormat="1" applyFont="1" applyFill="1" applyBorder="1" applyAlignment="1">
      <x:alignment horizontal="left" vertical="center" wrapText="1"/>
    </x:xf>
    <x:xf numFmtId="0" fontId="8" fillId="6" borderId="20" xfId="0" applyNumberFormat="1" applyFont="1" applyFill="1" applyBorder="1" applyAlignment="1">
      <x:alignment horizontal="left" vertical="center" wrapText="1"/>
    </x:xf>
    <x:xf numFmtId="0" fontId="8" fillId="6" borderId="15" xfId="0" applyNumberFormat="1" applyFont="1" applyFill="1" applyBorder="1" applyAlignment="1">
      <x:alignment horizontal="left" vertical="top" wrapText="1"/>
    </x:xf>
    <x:xf numFmtId="0" fontId="8" fillId="6" borderId="16" xfId="0" applyNumberFormat="1" applyFont="1" applyFill="1" applyBorder="1" applyAlignment="1">
      <x:alignment horizontal="left" vertical="top" wrapText="1"/>
    </x:xf>
    <x:xf numFmtId="0" fontId="8" fillId="6" borderId="17" xfId="0" applyNumberFormat="1" applyFont="1" applyFill="1" applyBorder="1" applyAlignment="1">
      <x:alignment horizontal="left" vertical="top" wrapText="1"/>
    </x:xf>
    <x:xf numFmtId="0" fontId="8" fillId="6" borderId="33" xfId="0" applyNumberFormat="1" applyFont="1" applyFill="1" applyBorder="1" applyAlignment="1">
      <x:alignment horizontal="left" vertical="top" wrapText="1"/>
    </x:xf>
    <x:xf numFmtId="0" fontId="8" fillId="6" borderId="0" xfId="0" applyNumberFormat="1" applyFont="1" applyFill="1" applyBorder="1" applyAlignment="1">
      <x:alignment horizontal="left" vertical="top" wrapText="1"/>
    </x:xf>
    <x:xf numFmtId="0" fontId="8" fillId="6" borderId="34" xfId="0" applyNumberFormat="1" applyFont="1" applyFill="1" applyBorder="1" applyAlignment="1">
      <x:alignment horizontal="left" vertical="top" wrapText="1"/>
    </x:xf>
    <x:xf numFmtId="0" fontId="8" fillId="6" borderId="18" xfId="0" applyNumberFormat="1" applyFont="1" applyFill="1" applyBorder="1" applyAlignment="1">
      <x:alignment horizontal="left" vertical="top" wrapText="1"/>
    </x:xf>
    <x:xf numFmtId="0" fontId="8" fillId="6" borderId="19" xfId="0" applyNumberFormat="1" applyFont="1" applyFill="1" applyBorder="1" applyAlignment="1">
      <x:alignment horizontal="left" vertical="top" wrapText="1"/>
    </x:xf>
    <x:xf numFmtId="0" fontId="8" fillId="6" borderId="20" xfId="0" applyNumberFormat="1" applyFont="1" applyFill="1" applyBorder="1" applyAlignment="1">
      <x:alignment horizontal="left" vertical="top" wrapText="1"/>
    </x:xf>
    <x:xf numFmtId="0" fontId="8" fillId="3" borderId="0" xfId="0" applyNumberFormat="1" applyFont="1" applyFill="1" applyBorder="1" applyAlignment="1">
      <x:alignment vertical="center"/>
    </x:xf>
    <x:xf numFmtId="0" fontId="8" fillId="3" borderId="1" xfId="0" applyNumberFormat="1" applyFont="1" applyFill="1" applyBorder="1" applyAlignment="1">
      <x:alignment vertical="center"/>
    </x:xf>
    <x:xf numFmtId="0" fontId="8" fillId="3" borderId="3" xfId="0" applyNumberFormat="1" applyFont="1" applyFill="1" applyBorder="1" applyAlignment="1">
      <x:alignment vertical="center"/>
    </x:xf>
    <x:xf numFmtId="0" fontId="8" fillId="3" borderId="2" xfId="0" applyNumberFormat="1" applyFont="1" applyFill="1" applyBorder="1" applyAlignment="1">
      <x:alignment vertical="center"/>
    </x:xf>
    <x:xf numFmtId="0" fontId="8" fillId="3" borderId="1" xfId="0" applyNumberFormat="1" applyFont="1" applyFill="1" applyBorder="1" applyAlignment="1">
      <x:alignment vertical="center" wrapText="1"/>
    </x:xf>
    <x:xf numFmtId="0" fontId="8" fillId="3" borderId="3" xfId="0" applyNumberFormat="1" applyFont="1" applyFill="1" applyBorder="1" applyAlignment="1">
      <x:alignment vertical="center" wrapText="1"/>
    </x:xf>
    <x:xf numFmtId="0" fontId="8" fillId="3" borderId="2" xfId="0" applyNumberFormat="1" applyFont="1" applyFill="1" applyBorder="1" applyAlignment="1">
      <x:alignment vertical="center" wrapText="1"/>
    </x:xf>
    <x:xf numFmtId="0" fontId="8" fillId="3" borderId="1" xfId="0" applyNumberFormat="1" applyFont="1" applyFill="1" applyBorder="1" applyAlignment="1">
      <x:alignment horizontal="center" vertical="center" wrapText="1"/>
    </x:xf>
    <x:xf numFmtId="0" fontId="8" fillId="3" borderId="3" xfId="0" applyNumberFormat="1" applyFont="1" applyFill="1" applyBorder="1" applyAlignment="1">
      <x:alignment horizontal="center" vertical="center" wrapText="1"/>
    </x:xf>
    <x:xf numFmtId="0" fontId="8" fillId="3" borderId="2" xfId="0" applyNumberFormat="1" applyFont="1" applyFill="1" applyBorder="1" applyAlignment="1">
      <x:alignment horizontal="center" vertical="center" wrapText="1"/>
    </x:xf>
    <x:xf numFmtId="0" fontId="3" fillId="4" borderId="0" xfId="0" applyNumberFormat="1" applyFont="1" applyFill="1" applyBorder="1" applyAlignment="1">
      <x:alignment vertical="center"/>
    </x:xf>
    <x:xf numFmtId="0" fontId="10" fillId="4" borderId="0" xfId="0" applyNumberFormat="1" applyFont="1" applyFill="1" applyBorder="1" applyAlignment="1">
      <x:alignment vertical="center"/>
    </x:xf>
    <x:xf numFmtId="0" fontId="14" fillId="2" borderId="0" xfId="0" applyNumberFormat="1" applyFont="1" applyFill="1" applyBorder="1" applyAlignment="1">
      <x:alignment vertical="center"/>
    </x:xf>
    <x:xf numFmtId="0" fontId="14" fillId="2" borderId="35" xfId="0" applyNumberFormat="1" applyFont="1" applyFill="1" applyBorder="1" applyAlignment="1">
      <x:alignment vertical="center"/>
    </x:xf>
    <x:xf numFmtId="0" fontId="14" fillId="2" borderId="36" xfId="0" applyNumberFormat="1" applyFont="1" applyFill="1" applyBorder="1" applyAlignment="1">
      <x:alignment vertical="center"/>
    </x:xf>
    <x:xf numFmtId="0" fontId="14" fillId="2" borderId="37" xfId="0" applyNumberFormat="1" applyFont="1" applyFill="1" applyBorder="1" applyAlignment="1">
      <x:alignment vertical="center"/>
    </x:xf>
    <x:xf numFmtId="0" fontId="14" fillId="2" borderId="38" xfId="0" applyNumberFormat="1" applyFont="1" applyFill="1" applyBorder="1" applyAlignment="1">
      <x:alignment vertical="center"/>
    </x:xf>
    <x:xf numFmtId="0" fontId="14" fillId="2" borderId="39" xfId="0" applyNumberFormat="1" applyFont="1" applyFill="1" applyBorder="1" applyAlignment="1">
      <x:alignment vertical="center"/>
    </x:xf>
    <x:xf numFmtId="0" fontId="14" fillId="2" borderId="40" xfId="0" applyNumberFormat="1" applyFont="1" applyFill="1" applyBorder="1" applyAlignment="1">
      <x:alignment vertical="center"/>
    </x:xf>
    <x:xf numFmtId="0" fontId="14" fillId="2" borderId="29" xfId="0" applyNumberFormat="1" applyFont="1" applyFill="1" applyBorder="1" applyAlignment="1">
      <x:alignment vertical="center"/>
    </x:xf>
    <x:xf numFmtId="0" fontId="14" fillId="2" borderId="41" xfId="0" applyNumberFormat="1" applyFont="1" applyFill="1" applyBorder="1" applyAlignment="1">
      <x:alignment vertical="center"/>
    </x:xf>
    <x:xf numFmtId="0" fontId="14" fillId="2" borderId="35" xfId="0" applyNumberFormat="1" applyFont="1" applyFill="1" applyBorder="1" applyAlignment="1">
      <x:alignment vertical="center" wrapText="1"/>
    </x:xf>
    <x:xf numFmtId="0" fontId="14" fillId="2" borderId="36" xfId="0" applyNumberFormat="1" applyFont="1" applyFill="1" applyBorder="1" applyAlignment="1">
      <x:alignment vertical="center" wrapText="1"/>
    </x:xf>
    <x:xf numFmtId="0" fontId="14" fillId="2" borderId="37" xfId="0" applyNumberFormat="1" applyFont="1" applyFill="1" applyBorder="1" applyAlignment="1">
      <x:alignment vertical="center" wrapText="1"/>
    </x:xf>
    <x:xf numFmtId="0" fontId="14" fillId="2" borderId="38" xfId="0" applyNumberFormat="1" applyFont="1" applyFill="1" applyBorder="1" applyAlignment="1">
      <x:alignment vertical="center" wrapText="1"/>
    </x:xf>
    <x:xf numFmtId="0" fontId="14" fillId="2" borderId="0" xfId="0" applyNumberFormat="1" applyFont="1" applyFill="1" applyBorder="1" applyAlignment="1">
      <x:alignment vertical="center" wrapText="1"/>
    </x:xf>
    <x:xf numFmtId="0" fontId="14" fillId="2" borderId="39" xfId="0" applyNumberFormat="1" applyFont="1" applyFill="1" applyBorder="1" applyAlignment="1">
      <x:alignment vertical="center" wrapText="1"/>
    </x:xf>
    <x:xf numFmtId="0" fontId="14" fillId="2" borderId="40" xfId="0" applyNumberFormat="1" applyFont="1" applyFill="1" applyBorder="1" applyAlignment="1">
      <x:alignment vertical="center" wrapText="1"/>
    </x:xf>
    <x:xf numFmtId="0" fontId="14" fillId="2" borderId="29" xfId="0" applyNumberFormat="1" applyFont="1" applyFill="1" applyBorder="1" applyAlignment="1">
      <x:alignment vertical="center" wrapText="1"/>
    </x:xf>
    <x:xf numFmtId="0" fontId="14" fillId="2" borderId="41" xfId="0" applyNumberFormat="1" applyFont="1" applyFill="1" applyBorder="1" applyAlignment="1">
      <x:alignment vertical="center" wrapText="1"/>
    </x:xf>
    <x:xf numFmtId="0" fontId="14" fillId="2" borderId="35" xfId="0" applyNumberFormat="1" applyFont="1" applyFill="1" applyBorder="1" applyAlignment="1">
      <x:alignment horizontal="left" vertical="center" wrapText="1"/>
    </x:xf>
    <x:xf numFmtId="0" fontId="14" fillId="2" borderId="36" xfId="0" applyNumberFormat="1" applyFont="1" applyFill="1" applyBorder="1" applyAlignment="1">
      <x:alignment horizontal="left" vertical="center" wrapText="1"/>
    </x:xf>
    <x:xf numFmtId="0" fontId="14" fillId="2" borderId="37" xfId="0" applyNumberFormat="1" applyFont="1" applyFill="1" applyBorder="1" applyAlignment="1">
      <x:alignment horizontal="left" vertical="center" wrapText="1"/>
    </x:xf>
    <x:xf numFmtId="0" fontId="14" fillId="2" borderId="38" xfId="0" applyNumberFormat="1" applyFont="1" applyFill="1" applyBorder="1" applyAlignment="1">
      <x:alignment horizontal="left" vertical="center" wrapText="1"/>
    </x:xf>
    <x:xf numFmtId="0" fontId="14" fillId="2" borderId="0" xfId="0" applyNumberFormat="1" applyFont="1" applyFill="1" applyBorder="1" applyAlignment="1">
      <x:alignment horizontal="left" vertical="center" wrapText="1"/>
    </x:xf>
    <x:xf numFmtId="0" fontId="14" fillId="2" borderId="39" xfId="0" applyNumberFormat="1" applyFont="1" applyFill="1" applyBorder="1" applyAlignment="1">
      <x:alignment horizontal="left" vertical="center" wrapText="1"/>
    </x:xf>
    <x:xf numFmtId="0" fontId="14" fillId="2" borderId="40" xfId="0" applyNumberFormat="1" applyFont="1" applyFill="1" applyBorder="1" applyAlignment="1">
      <x:alignment horizontal="left" vertical="center" wrapText="1"/>
    </x:xf>
    <x:xf numFmtId="0" fontId="14" fillId="2" borderId="29" xfId="0" applyNumberFormat="1" applyFont="1" applyFill="1" applyBorder="1" applyAlignment="1">
      <x:alignment horizontal="left" vertical="center" wrapText="1"/>
    </x:xf>
    <x:xf numFmtId="0" fontId="14" fillId="2" borderId="41" xfId="0" applyNumberFormat="1" applyFont="1" applyFill="1" applyBorder="1" applyAlignment="1">
      <x:alignment horizontal="left" vertical="center" wrapText="1"/>
    </x:xf>
    <x:xf numFmtId="0" fontId="14" fillId="2" borderId="35" xfId="0" applyNumberFormat="1" applyFont="1" applyFill="1" applyBorder="1" applyAlignment="1">
      <x:alignment horizontal="left" vertical="top" wrapText="1"/>
    </x:xf>
    <x:xf numFmtId="0" fontId="14" fillId="2" borderId="36" xfId="0" applyNumberFormat="1" applyFont="1" applyFill="1" applyBorder="1" applyAlignment="1">
      <x:alignment horizontal="left" vertical="top" wrapText="1"/>
    </x:xf>
    <x:xf numFmtId="0" fontId="14" fillId="2" borderId="37" xfId="0" applyNumberFormat="1" applyFont="1" applyFill="1" applyBorder="1" applyAlignment="1">
      <x:alignment horizontal="left" vertical="top" wrapText="1"/>
    </x:xf>
    <x:xf numFmtId="0" fontId="14" fillId="2" borderId="38" xfId="0" applyNumberFormat="1" applyFont="1" applyFill="1" applyBorder="1" applyAlignment="1">
      <x:alignment horizontal="left" vertical="top" wrapText="1"/>
    </x:xf>
    <x:xf numFmtId="0" fontId="14" fillId="2" borderId="0" xfId="0" applyNumberFormat="1" applyFont="1" applyFill="1" applyBorder="1" applyAlignment="1">
      <x:alignment horizontal="left" vertical="top" wrapText="1"/>
    </x:xf>
    <x:xf numFmtId="0" fontId="14" fillId="2" borderId="39" xfId="0" applyNumberFormat="1" applyFont="1" applyFill="1" applyBorder="1" applyAlignment="1">
      <x:alignment horizontal="left" vertical="top" wrapText="1"/>
    </x:xf>
    <x:xf numFmtId="0" fontId="14" fillId="2" borderId="40" xfId="0" applyNumberFormat="1" applyFont="1" applyFill="1" applyBorder="1" applyAlignment="1">
      <x:alignment horizontal="left" vertical="top" wrapText="1"/>
    </x:xf>
    <x:xf numFmtId="0" fontId="14" fillId="2" borderId="29" xfId="0" applyNumberFormat="1" applyFont="1" applyFill="1" applyBorder="1" applyAlignment="1">
      <x:alignment horizontal="left" vertical="top" wrapText="1"/>
    </x:xf>
    <x:xf numFmtId="0" fontId="14" fillId="2" borderId="41" xfId="0" applyNumberFormat="1" applyFont="1" applyFill="1" applyBorder="1" applyAlignment="1">
      <x:alignment horizontal="left" vertical="top" wrapText="1"/>
    </x:xf>
    <x:xf numFmtId="0" fontId="15" fillId="7" borderId="0" xfId="0" applyNumberFormat="1" applyFont="1" applyFill="1" applyBorder="1" applyAlignment="1">
      <x:alignment vertical="center"/>
    </x:xf>
    <x:xf numFmtId="0" fontId="15" fillId="7" borderId="35" xfId="0" applyNumberFormat="1" applyFont="1" applyFill="1" applyBorder="1" applyAlignment="1">
      <x:alignment vertical="center"/>
    </x:xf>
    <x:xf numFmtId="0" fontId="15" fillId="7" borderId="36" xfId="0" applyNumberFormat="1" applyFont="1" applyFill="1" applyBorder="1" applyAlignment="1">
      <x:alignment vertical="center"/>
    </x:xf>
    <x:xf numFmtId="0" fontId="15" fillId="7" borderId="37" xfId="0" applyNumberFormat="1" applyFont="1" applyFill="1" applyBorder="1" applyAlignment="1">
      <x:alignment vertical="center"/>
    </x:xf>
    <x:xf numFmtId="0" fontId="15" fillId="7" borderId="38" xfId="0" applyNumberFormat="1" applyFont="1" applyFill="1" applyBorder="1" applyAlignment="1">
      <x:alignment vertical="center"/>
    </x:xf>
    <x:xf numFmtId="0" fontId="15" fillId="7" borderId="39" xfId="0" applyNumberFormat="1" applyFont="1" applyFill="1" applyBorder="1" applyAlignment="1">
      <x:alignment vertical="center"/>
    </x:xf>
    <x:xf numFmtId="0" fontId="15" fillId="7" borderId="40" xfId="0" applyNumberFormat="1" applyFont="1" applyFill="1" applyBorder="1" applyAlignment="1">
      <x:alignment vertical="center"/>
    </x:xf>
    <x:xf numFmtId="0" fontId="15" fillId="7" borderId="29" xfId="0" applyNumberFormat="1" applyFont="1" applyFill="1" applyBorder="1" applyAlignment="1">
      <x:alignment vertical="center"/>
    </x:xf>
    <x:xf numFmtId="0" fontId="15" fillId="7" borderId="41" xfId="0" applyNumberFormat="1" applyFont="1" applyFill="1" applyBorder="1" applyAlignment="1">
      <x:alignment vertical="center"/>
    </x:xf>
    <x:xf numFmtId="200" fontId="15" fillId="7" borderId="35" xfId="0" applyNumberFormat="1" applyFont="1" applyFill="1" applyBorder="1" applyAlignment="1">
      <x:alignment vertical="center"/>
    </x:xf>
    <x:xf numFmtId="200" fontId="15" fillId="7" borderId="36" xfId="0" applyNumberFormat="1" applyFont="1" applyFill="1" applyBorder="1" applyAlignment="1">
      <x:alignment vertical="center"/>
    </x:xf>
    <x:xf numFmtId="200" fontId="15" fillId="7" borderId="37" xfId="0" applyNumberFormat="1" applyFont="1" applyFill="1" applyBorder="1" applyAlignment="1">
      <x:alignment vertical="center"/>
    </x:xf>
    <x:xf numFmtId="200" fontId="15" fillId="7" borderId="38" xfId="0" applyNumberFormat="1" applyFont="1" applyFill="1" applyBorder="1" applyAlignment="1">
      <x:alignment vertical="center"/>
    </x:xf>
    <x:xf numFmtId="200" fontId="15" fillId="7" borderId="0" xfId="0" applyNumberFormat="1" applyFont="1" applyFill="1" applyBorder="1" applyAlignment="1">
      <x:alignment vertical="center"/>
    </x:xf>
    <x:xf numFmtId="200" fontId="15" fillId="7" borderId="39" xfId="0" applyNumberFormat="1" applyFont="1" applyFill="1" applyBorder="1" applyAlignment="1">
      <x:alignment vertical="center"/>
    </x:xf>
    <x:xf numFmtId="200" fontId="15" fillId="7" borderId="40" xfId="0" applyNumberFormat="1" applyFont="1" applyFill="1" applyBorder="1" applyAlignment="1">
      <x:alignment vertical="center"/>
    </x:xf>
    <x:xf numFmtId="200" fontId="15" fillId="7" borderId="29" xfId="0" applyNumberFormat="1" applyFont="1" applyFill="1" applyBorder="1" applyAlignment="1">
      <x:alignment vertical="center"/>
    </x:xf>
    <x:xf numFmtId="200" fontId="15" fillId="7" borderId="41" xfId="0" applyNumberFormat="1" applyFont="1" applyFill="1" applyBorder="1" applyAlignment="1">
      <x:alignment vertical="center"/>
    </x:xf>
    <x:xf numFmtId="200" fontId="15" fillId="7" borderId="35" xfId="0" applyNumberFormat="1" applyFont="1" applyFill="1" applyBorder="1" applyAlignment="1">
      <x:alignment vertical="center" wrapText="1"/>
    </x:xf>
    <x:xf numFmtId="200" fontId="15" fillId="7" borderId="36" xfId="0" applyNumberFormat="1" applyFont="1" applyFill="1" applyBorder="1" applyAlignment="1">
      <x:alignment vertical="center" wrapText="1"/>
    </x:xf>
    <x:xf numFmtId="200" fontId="15" fillId="7" borderId="37" xfId="0" applyNumberFormat="1" applyFont="1" applyFill="1" applyBorder="1" applyAlignment="1">
      <x:alignment vertical="center" wrapText="1"/>
    </x:xf>
    <x:xf numFmtId="200" fontId="15" fillId="7" borderId="38" xfId="0" applyNumberFormat="1" applyFont="1" applyFill="1" applyBorder="1" applyAlignment="1">
      <x:alignment vertical="center" wrapText="1"/>
    </x:xf>
    <x:xf numFmtId="200" fontId="15" fillId="7" borderId="0" xfId="0" applyNumberFormat="1" applyFont="1" applyFill="1" applyBorder="1" applyAlignment="1">
      <x:alignment vertical="center" wrapText="1"/>
    </x:xf>
    <x:xf numFmtId="200" fontId="15" fillId="7" borderId="39" xfId="0" applyNumberFormat="1" applyFont="1" applyFill="1" applyBorder="1" applyAlignment="1">
      <x:alignment vertical="center" wrapText="1"/>
    </x:xf>
    <x:xf numFmtId="200" fontId="15" fillId="7" borderId="40" xfId="0" applyNumberFormat="1" applyFont="1" applyFill="1" applyBorder="1" applyAlignment="1">
      <x:alignment vertical="center" wrapText="1"/>
    </x:xf>
    <x:xf numFmtId="200" fontId="15" fillId="7" borderId="29" xfId="0" applyNumberFormat="1" applyFont="1" applyFill="1" applyBorder="1" applyAlignment="1">
      <x:alignment vertical="center" wrapText="1"/>
    </x:xf>
    <x:xf numFmtId="200" fontId="15" fillId="7" borderId="41" xfId="0" applyNumberFormat="1" applyFont="1" applyFill="1" applyBorder="1" applyAlignment="1">
      <x:alignment vertical="center" wrapText="1"/>
    </x:xf>
    <x:xf numFmtId="200" fontId="15" fillId="7" borderId="35" xfId="0" applyNumberFormat="1" applyFont="1" applyFill="1" applyBorder="1" applyAlignment="1">
      <x:alignment horizontal="center" vertical="center" wrapText="1"/>
    </x:xf>
    <x:xf numFmtId="200" fontId="15" fillId="7" borderId="36" xfId="0" applyNumberFormat="1" applyFont="1" applyFill="1" applyBorder="1" applyAlignment="1">
      <x:alignment horizontal="center" vertical="center" wrapText="1"/>
    </x:xf>
    <x:xf numFmtId="200" fontId="15" fillId="7" borderId="37" xfId="0" applyNumberFormat="1" applyFont="1" applyFill="1" applyBorder="1" applyAlignment="1">
      <x:alignment horizontal="center" vertical="center" wrapText="1"/>
    </x:xf>
    <x:xf numFmtId="200" fontId="15" fillId="7" borderId="38" xfId="0" applyNumberFormat="1" applyFont="1" applyFill="1" applyBorder="1" applyAlignment="1">
      <x:alignment horizontal="center" vertical="center" wrapText="1"/>
    </x:xf>
    <x:xf numFmtId="200" fontId="15" fillId="7" borderId="0" xfId="0" applyNumberFormat="1" applyFont="1" applyFill="1" applyBorder="1" applyAlignment="1">
      <x:alignment horizontal="center" vertical="center" wrapText="1"/>
    </x:xf>
    <x:xf numFmtId="200" fontId="15" fillId="7" borderId="39" xfId="0" applyNumberFormat="1" applyFont="1" applyFill="1" applyBorder="1" applyAlignment="1">
      <x:alignment horizontal="center" vertical="center" wrapText="1"/>
    </x:xf>
    <x:xf numFmtId="200" fontId="15" fillId="7" borderId="40" xfId="0" applyNumberFormat="1" applyFont="1" applyFill="1" applyBorder="1" applyAlignment="1">
      <x:alignment horizontal="center" vertical="center" wrapText="1"/>
    </x:xf>
    <x:xf numFmtId="200" fontId="15" fillId="7" borderId="29" xfId="0" applyNumberFormat="1" applyFont="1" applyFill="1" applyBorder="1" applyAlignment="1">
      <x:alignment horizontal="center" vertical="center" wrapText="1"/>
    </x:xf>
    <x:xf numFmtId="200" fontId="15" fillId="7" borderId="41" xfId="0" applyNumberFormat="1" applyFont="1" applyFill="1" applyBorder="1" applyAlignment="1">
      <x:alignment horizontal="center" vertical="center" wrapText="1"/>
    </x:xf>
    <x:xf numFmtId="0" fontId="7" fillId="2" borderId="0" xfId="0" applyNumberFormat="1" applyFont="1" applyFill="1" applyBorder="1" applyAlignment="1">
      <x:alignment vertical="center"/>
    </x:xf>
    <x:xf numFmtId="0" fontId="7" fillId="2" borderId="35" xfId="0" applyNumberFormat="1" applyFont="1" applyFill="1" applyBorder="1" applyAlignment="1">
      <x:alignment vertical="center"/>
    </x:xf>
    <x:xf numFmtId="0" fontId="7" fillId="2" borderId="36" xfId="0" applyNumberFormat="1" applyFont="1" applyFill="1" applyBorder="1" applyAlignment="1">
      <x:alignment vertical="center"/>
    </x:xf>
    <x:xf numFmtId="0" fontId="7" fillId="2" borderId="37" xfId="0" applyNumberFormat="1" applyFont="1" applyFill="1" applyBorder="1" applyAlignment="1">
      <x:alignment vertical="center"/>
    </x:xf>
    <x:xf numFmtId="0" fontId="7" fillId="2" borderId="38" xfId="0" applyNumberFormat="1" applyFont="1" applyFill="1" applyBorder="1" applyAlignment="1">
      <x:alignment vertical="center"/>
    </x:xf>
    <x:xf numFmtId="0" fontId="7" fillId="2" borderId="39" xfId="0" applyNumberFormat="1" applyFont="1" applyFill="1" applyBorder="1" applyAlignment="1">
      <x:alignment vertical="center"/>
    </x:xf>
    <x:xf numFmtId="0" fontId="7" fillId="2" borderId="40" xfId="0" applyNumberFormat="1" applyFont="1" applyFill="1" applyBorder="1" applyAlignment="1">
      <x:alignment vertical="center"/>
    </x:xf>
    <x:xf numFmtId="0" fontId="7" fillId="2" borderId="29" xfId="0" applyNumberFormat="1" applyFont="1" applyFill="1" applyBorder="1" applyAlignment="1">
      <x:alignment vertical="center"/>
    </x:xf>
    <x:xf numFmtId="0" fontId="7" fillId="2" borderId="41" xfId="0" applyNumberFormat="1" applyFont="1" applyFill="1" applyBorder="1" applyAlignment="1">
      <x:alignment vertical="center"/>
    </x:xf>
    <x:xf numFmtId="0" fontId="7" fillId="2" borderId="35" xfId="0" applyNumberFormat="1" applyFont="1" applyFill="1" applyBorder="1" applyAlignment="1">
      <x:alignment vertical="center" wrapText="1"/>
    </x:xf>
    <x:xf numFmtId="0" fontId="7" fillId="2" borderId="36" xfId="0" applyNumberFormat="1" applyFont="1" applyFill="1" applyBorder="1" applyAlignment="1">
      <x:alignment vertical="center" wrapText="1"/>
    </x:xf>
    <x:xf numFmtId="0" fontId="7" fillId="2" borderId="37" xfId="0" applyNumberFormat="1" applyFont="1" applyFill="1" applyBorder="1" applyAlignment="1">
      <x:alignment vertical="center" wrapText="1"/>
    </x:xf>
    <x:xf numFmtId="0" fontId="7" fillId="2" borderId="38"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7" fillId="2" borderId="39" xfId="0" applyNumberFormat="1" applyFont="1" applyFill="1" applyBorder="1" applyAlignment="1">
      <x:alignment vertical="center" wrapText="1"/>
    </x:xf>
    <x:xf numFmtId="0" fontId="7" fillId="2" borderId="40" xfId="0" applyNumberFormat="1" applyFont="1" applyFill="1" applyBorder="1" applyAlignment="1">
      <x:alignment vertical="center" wrapText="1"/>
    </x:xf>
    <x:xf numFmtId="0" fontId="7" fillId="2" borderId="29" xfId="0" applyNumberFormat="1" applyFont="1" applyFill="1" applyBorder="1" applyAlignment="1">
      <x:alignment vertical="center" wrapText="1"/>
    </x:xf>
    <x:xf numFmtId="0" fontId="7" fillId="2" borderId="41" xfId="0" applyNumberFormat="1" applyFont="1" applyFill="1" applyBorder="1" applyAlignment="1">
      <x:alignment vertical="center" wrapText="1"/>
    </x:xf>
    <x:xf numFmtId="0" fontId="7" fillId="2" borderId="35" xfId="0" applyNumberFormat="1" applyFont="1" applyFill="1" applyBorder="1" applyAlignment="1">
      <x:alignment horizontal="center" vertical="center" wrapText="1"/>
    </x:xf>
    <x:xf numFmtId="0" fontId="7" fillId="2" borderId="36" xfId="0" applyNumberFormat="1" applyFont="1" applyFill="1" applyBorder="1" applyAlignment="1">
      <x:alignment horizontal="center" vertical="center" wrapText="1"/>
    </x:xf>
    <x:xf numFmtId="0" fontId="7" fillId="2" borderId="37" xfId="0" applyNumberFormat="1" applyFont="1" applyFill="1" applyBorder="1" applyAlignment="1">
      <x:alignment horizontal="center" vertical="center" wrapText="1"/>
    </x:xf>
    <x:xf numFmtId="0" fontId="7" fillId="2" borderId="38"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center" wrapText="1"/>
    </x:xf>
    <x:xf numFmtId="0" fontId="7" fillId="2" borderId="39" xfId="0" applyNumberFormat="1" applyFont="1" applyFill="1" applyBorder="1" applyAlignment="1">
      <x:alignment horizontal="center" vertical="center" wrapText="1"/>
    </x:xf>
    <x:xf numFmtId="0" fontId="7" fillId="2" borderId="40" xfId="0" applyNumberFormat="1" applyFont="1" applyFill="1" applyBorder="1" applyAlignment="1">
      <x:alignment horizontal="center" vertical="center" wrapText="1"/>
    </x:xf>
    <x:xf numFmtId="0" fontId="7" fillId="2" borderId="29" xfId="0" applyNumberFormat="1" applyFont="1" applyFill="1" applyBorder="1" applyAlignment="1">
      <x:alignment horizontal="center" vertical="center" wrapText="1"/>
    </x:xf>
    <x:xf numFmtId="0" fontId="7" fillId="2" borderId="41" xfId="0" applyNumberFormat="1" applyFont="1" applyFill="1" applyBorder="1" applyAlignment="1">
      <x:alignment horizontal="center" vertical="center" wrapText="1"/>
    </x:xf>
    <x:xf numFmtId="0" fontId="7" fillId="2" borderId="35" xfId="0" applyNumberFormat="1" applyFont="1" applyFill="1" applyBorder="1" applyAlignment="1">
      <x:alignment horizontal="center" vertical="top" wrapText="1"/>
    </x:xf>
    <x:xf numFmtId="0" fontId="7" fillId="2" borderId="36" xfId="0" applyNumberFormat="1" applyFont="1" applyFill="1" applyBorder="1" applyAlignment="1">
      <x:alignment horizontal="center" vertical="top" wrapText="1"/>
    </x:xf>
    <x:xf numFmtId="0" fontId="7" fillId="2" borderId="37" xfId="0" applyNumberFormat="1" applyFont="1" applyFill="1" applyBorder="1" applyAlignment="1">
      <x:alignment horizontal="center" vertical="top" wrapText="1"/>
    </x:xf>
    <x:xf numFmtId="0" fontId="7" fillId="2" borderId="38"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top" wrapText="1"/>
    </x:xf>
    <x:xf numFmtId="0" fontId="7" fillId="2" borderId="39" xfId="0" applyNumberFormat="1" applyFont="1" applyFill="1" applyBorder="1" applyAlignment="1">
      <x:alignment horizontal="center" vertical="top" wrapText="1"/>
    </x:xf>
    <x:xf numFmtId="0" fontId="7" fillId="2" borderId="40" xfId="0" applyNumberFormat="1" applyFont="1" applyFill="1" applyBorder="1" applyAlignment="1">
      <x:alignment horizontal="center" vertical="top" wrapText="1"/>
    </x:xf>
    <x:xf numFmtId="0" fontId="7" fillId="2" borderId="29" xfId="0" applyNumberFormat="1" applyFont="1" applyFill="1" applyBorder="1" applyAlignment="1">
      <x:alignment horizontal="center" vertical="top" wrapText="1"/>
    </x:xf>
    <x:xf numFmtId="0" fontId="7" fillId="2" borderId="41" xfId="0" applyNumberFormat="1" applyFont="1" applyFill="1" applyBorder="1" applyAlignment="1">
      <x:alignment horizontal="center" vertical="top" wrapText="1"/>
    </x:xf>
    <x:xf numFmtId="0" fontId="3" fillId="9" borderId="0" xfId="0" applyNumberFormat="1" applyFont="1" applyFill="1" applyBorder="1" applyAlignment="1">
      <x:alignment vertical="center"/>
    </x:xf>
    <x:xf numFmtId="0" fontId="10" fillId="9" borderId="0" xfId="0" applyNumberFormat="1" applyFont="1" applyFill="1" applyBorder="1" applyAlignment="1">
      <x:alignment vertical="center"/>
    </x:xf>
    <x:xf numFmtId="0" fontId="3" fillId="8" borderId="0" xfId="0" applyNumberFormat="1" applyFont="1" applyFill="1" applyBorder="1" applyAlignment="1">
      <x:alignment vertical="center"/>
    </x:xf>
    <x:xf numFmtId="0" fontId="16" fillId="8" borderId="0" xfId="0" applyNumberFormat="1" applyFont="1" applyFill="1" applyBorder="1" applyAlignment="1">
      <x:alignment vertical="center"/>
    </x:xf>
    <x:xf numFmtId="0" fontId="16" fillId="8" borderId="35" xfId="0" applyNumberFormat="1" applyFont="1" applyFill="1" applyBorder="1" applyAlignment="1">
      <x:alignment vertical="center"/>
    </x:xf>
    <x:xf numFmtId="0" fontId="16" fillId="8" borderId="36" xfId="0" applyNumberFormat="1" applyFont="1" applyFill="1" applyBorder="1" applyAlignment="1">
      <x:alignment vertical="center"/>
    </x:xf>
    <x:xf numFmtId="0" fontId="16" fillId="8" borderId="37" xfId="0" applyNumberFormat="1" applyFont="1" applyFill="1" applyBorder="1" applyAlignment="1">
      <x:alignment vertical="center"/>
    </x:xf>
    <x:xf numFmtId="0" fontId="16" fillId="8" borderId="38" xfId="0" applyNumberFormat="1" applyFont="1" applyFill="1" applyBorder="1" applyAlignment="1">
      <x:alignment vertical="center"/>
    </x:xf>
    <x:xf numFmtId="0" fontId="16" fillId="8" borderId="39" xfId="0" applyNumberFormat="1" applyFont="1" applyFill="1" applyBorder="1" applyAlignment="1">
      <x:alignment vertical="center"/>
    </x:xf>
    <x:xf numFmtId="0" fontId="16" fillId="8" borderId="40" xfId="0" applyNumberFormat="1" applyFont="1" applyFill="1" applyBorder="1" applyAlignment="1">
      <x:alignment vertical="center"/>
    </x:xf>
    <x:xf numFmtId="0" fontId="16" fillId="8" borderId="29" xfId="0" applyNumberFormat="1" applyFont="1" applyFill="1" applyBorder="1" applyAlignment="1">
      <x:alignment vertical="center"/>
    </x:xf>
    <x:xf numFmtId="0" fontId="16" fillId="8" borderId="41" xfId="0" applyNumberFormat="1" applyFont="1" applyFill="1" applyBorder="1" applyAlignment="1">
      <x:alignment vertical="center"/>
    </x:xf>
    <x:xf numFmtId="0" fontId="16" fillId="8" borderId="35" xfId="0" applyNumberFormat="1" applyFont="1" applyFill="1" applyBorder="1" applyAlignment="1">
      <x:alignment vertical="center" wrapText="1"/>
    </x:xf>
    <x:xf numFmtId="0" fontId="16" fillId="8" borderId="36" xfId="0" applyNumberFormat="1" applyFont="1" applyFill="1" applyBorder="1" applyAlignment="1">
      <x:alignment vertical="center" wrapText="1"/>
    </x:xf>
    <x:xf numFmtId="0" fontId="16" fillId="8" borderId="37" xfId="0" applyNumberFormat="1" applyFont="1" applyFill="1" applyBorder="1" applyAlignment="1">
      <x:alignment vertical="center" wrapText="1"/>
    </x:xf>
    <x:xf numFmtId="0" fontId="16" fillId="8" borderId="38" xfId="0" applyNumberFormat="1" applyFont="1" applyFill="1" applyBorder="1" applyAlignment="1">
      <x:alignment vertical="center" wrapText="1"/>
    </x:xf>
    <x:xf numFmtId="0" fontId="16" fillId="8" borderId="0" xfId="0" applyNumberFormat="1" applyFont="1" applyFill="1" applyBorder="1" applyAlignment="1">
      <x:alignment vertical="center" wrapText="1"/>
    </x:xf>
    <x:xf numFmtId="0" fontId="16" fillId="8" borderId="39" xfId="0" applyNumberFormat="1" applyFont="1" applyFill="1" applyBorder="1" applyAlignment="1">
      <x:alignment vertical="center" wrapText="1"/>
    </x:xf>
    <x:xf numFmtId="0" fontId="16" fillId="8" borderId="40" xfId="0" applyNumberFormat="1" applyFont="1" applyFill="1" applyBorder="1" applyAlignment="1">
      <x:alignment vertical="center" wrapText="1"/>
    </x:xf>
    <x:xf numFmtId="0" fontId="16" fillId="8" borderId="29" xfId="0" applyNumberFormat="1" applyFont="1" applyFill="1" applyBorder="1" applyAlignment="1">
      <x:alignment vertical="center" wrapText="1"/>
    </x:xf>
    <x:xf numFmtId="0" fontId="16" fillId="8" borderId="41" xfId="0" applyNumberFormat="1" applyFont="1" applyFill="1" applyBorder="1" applyAlignment="1">
      <x:alignment vertical="center" wrapText="1"/>
    </x:xf>
    <x:xf numFmtId="0" fontId="16" fillId="8" borderId="35" xfId="0" applyNumberFormat="1" applyFont="1" applyFill="1" applyBorder="1" applyAlignment="1">
      <x:alignment horizontal="left" vertical="center" wrapText="1"/>
    </x:xf>
    <x:xf numFmtId="0" fontId="16" fillId="8" borderId="36" xfId="0" applyNumberFormat="1" applyFont="1" applyFill="1" applyBorder="1" applyAlignment="1">
      <x:alignment horizontal="left" vertical="center" wrapText="1"/>
    </x:xf>
    <x:xf numFmtId="0" fontId="16" fillId="8" borderId="37" xfId="0" applyNumberFormat="1" applyFont="1" applyFill="1" applyBorder="1" applyAlignment="1">
      <x:alignment horizontal="left" vertical="center" wrapText="1"/>
    </x:xf>
    <x:xf numFmtId="0" fontId="16" fillId="8" borderId="38" xfId="0" applyNumberFormat="1" applyFont="1" applyFill="1" applyBorder="1" applyAlignment="1">
      <x:alignment horizontal="left" vertical="center" wrapText="1"/>
    </x:xf>
    <x:xf numFmtId="0" fontId="16" fillId="8" borderId="0" xfId="0" applyNumberFormat="1" applyFont="1" applyFill="1" applyBorder="1" applyAlignment="1">
      <x:alignment horizontal="left" vertical="center" wrapText="1"/>
    </x:xf>
    <x:xf numFmtId="0" fontId="16" fillId="8" borderId="39" xfId="0" applyNumberFormat="1" applyFont="1" applyFill="1" applyBorder="1" applyAlignment="1">
      <x:alignment horizontal="left" vertical="center" wrapText="1"/>
    </x:xf>
    <x:xf numFmtId="0" fontId="16" fillId="8" borderId="40" xfId="0" applyNumberFormat="1" applyFont="1" applyFill="1" applyBorder="1" applyAlignment="1">
      <x:alignment horizontal="left" vertical="center" wrapText="1"/>
    </x:xf>
    <x:xf numFmtId="0" fontId="16" fillId="8" borderId="29" xfId="0" applyNumberFormat="1" applyFont="1" applyFill="1" applyBorder="1" applyAlignment="1">
      <x:alignment horizontal="left" vertical="center" wrapText="1"/>
    </x:xf>
    <x:xf numFmtId="0" fontId="16" fillId="8" borderId="41" xfId="0" applyNumberFormat="1" applyFont="1" applyFill="1" applyBorder="1" applyAlignment="1">
      <x:alignment horizontal="left" vertical="center" wrapText="1"/>
    </x:xf>
    <x:xf numFmtId="0" fontId="16" fillId="8" borderId="35" xfId="0" applyNumberFormat="1" applyFont="1" applyFill="1" applyBorder="1" applyAlignment="1">
      <x:alignment horizontal="left" vertical="top" wrapText="1"/>
    </x:xf>
    <x:xf numFmtId="0" fontId="16" fillId="8" borderId="36" xfId="0" applyNumberFormat="1" applyFont="1" applyFill="1" applyBorder="1" applyAlignment="1">
      <x:alignment horizontal="left" vertical="top" wrapText="1"/>
    </x:xf>
    <x:xf numFmtId="0" fontId="16" fillId="8" borderId="37" xfId="0" applyNumberFormat="1" applyFont="1" applyFill="1" applyBorder="1" applyAlignment="1">
      <x:alignment horizontal="left" vertical="top" wrapText="1"/>
    </x:xf>
    <x:xf numFmtId="0" fontId="16" fillId="8" borderId="38" xfId="0" applyNumberFormat="1" applyFont="1" applyFill="1" applyBorder="1" applyAlignment="1">
      <x:alignment horizontal="left" vertical="top" wrapText="1"/>
    </x:xf>
    <x:xf numFmtId="0" fontId="16" fillId="8" borderId="0" xfId="0" applyNumberFormat="1" applyFont="1" applyFill="1" applyBorder="1" applyAlignment="1">
      <x:alignment horizontal="left" vertical="top" wrapText="1"/>
    </x:xf>
    <x:xf numFmtId="0" fontId="16" fillId="8" borderId="39" xfId="0" applyNumberFormat="1" applyFont="1" applyFill="1" applyBorder="1" applyAlignment="1">
      <x:alignment horizontal="left" vertical="top" wrapText="1"/>
    </x:xf>
    <x:xf numFmtId="0" fontId="16" fillId="8" borderId="40" xfId="0" applyNumberFormat="1" applyFont="1" applyFill="1" applyBorder="1" applyAlignment="1">
      <x:alignment horizontal="left" vertical="top" wrapText="1"/>
    </x:xf>
    <x:xf numFmtId="0" fontId="16" fillId="8" borderId="29" xfId="0" applyNumberFormat="1" applyFont="1" applyFill="1" applyBorder="1" applyAlignment="1">
      <x:alignment horizontal="left" vertical="top" wrapText="1"/>
    </x:xf>
    <x:xf numFmtId="0" fontId="16" fillId="8" borderId="41" xfId="0" applyNumberFormat="1" applyFont="1" applyFill="1" applyBorder="1" applyAlignment="1">
      <x:alignment horizontal="left" vertical="top" wrapText="1"/>
    </x:xf>
    <x:xf numFmtId="0" fontId="16" fillId="2" borderId="0" xfId="0" applyNumberFormat="1" applyFont="1" applyFill="1" applyBorder="1" applyAlignment="1">
      <x:alignment vertical="center"/>
    </x:xf>
    <x:xf numFmtId="0" fontId="16" fillId="2" borderId="35" xfId="0" applyNumberFormat="1" applyFont="1" applyFill="1" applyBorder="1" applyAlignment="1">
      <x:alignment vertical="center"/>
    </x:xf>
    <x:xf numFmtId="0" fontId="16" fillId="2" borderId="36" xfId="0" applyNumberFormat="1" applyFont="1" applyFill="1" applyBorder="1" applyAlignment="1">
      <x:alignment vertical="center"/>
    </x:xf>
    <x:xf numFmtId="0" fontId="16" fillId="2" borderId="37" xfId="0" applyNumberFormat="1" applyFont="1" applyFill="1" applyBorder="1" applyAlignment="1">
      <x:alignment vertical="center"/>
    </x:xf>
    <x:xf numFmtId="0" fontId="16" fillId="2" borderId="38" xfId="0" applyNumberFormat="1" applyFont="1" applyFill="1" applyBorder="1" applyAlignment="1">
      <x:alignment vertical="center"/>
    </x:xf>
    <x:xf numFmtId="0" fontId="16" fillId="2" borderId="39" xfId="0" applyNumberFormat="1" applyFont="1" applyFill="1" applyBorder="1" applyAlignment="1">
      <x:alignment vertical="center"/>
    </x:xf>
    <x:xf numFmtId="0" fontId="16" fillId="2" borderId="40" xfId="0" applyNumberFormat="1" applyFont="1" applyFill="1" applyBorder="1" applyAlignment="1">
      <x:alignment vertical="center"/>
    </x:xf>
    <x:xf numFmtId="0" fontId="16" fillId="2" borderId="29" xfId="0" applyNumberFormat="1" applyFont="1" applyFill="1" applyBorder="1" applyAlignment="1">
      <x:alignment vertical="center"/>
    </x:xf>
    <x:xf numFmtId="0" fontId="16" fillId="2" borderId="41" xfId="0" applyNumberFormat="1" applyFont="1" applyFill="1" applyBorder="1" applyAlignment="1">
      <x:alignment vertical="center"/>
    </x:xf>
    <x:xf numFmtId="0" fontId="16" fillId="2" borderId="35" xfId="0" applyNumberFormat="1" applyFont="1" applyFill="1" applyBorder="1" applyAlignment="1">
      <x:alignment vertical="center" wrapText="1"/>
    </x:xf>
    <x:xf numFmtId="0" fontId="16" fillId="2" borderId="36" xfId="0" applyNumberFormat="1" applyFont="1" applyFill="1" applyBorder="1" applyAlignment="1">
      <x:alignment vertical="center" wrapText="1"/>
    </x:xf>
    <x:xf numFmtId="0" fontId="16" fillId="2" borderId="37" xfId="0" applyNumberFormat="1" applyFont="1" applyFill="1" applyBorder="1" applyAlignment="1">
      <x:alignment vertical="center" wrapText="1"/>
    </x:xf>
    <x:xf numFmtId="0" fontId="16" fillId="2" borderId="38" xfId="0" applyNumberFormat="1" applyFont="1" applyFill="1" applyBorder="1" applyAlignment="1">
      <x:alignment vertical="center" wrapText="1"/>
    </x:xf>
    <x:xf numFmtId="0" fontId="16" fillId="2" borderId="0" xfId="0" applyNumberFormat="1" applyFont="1" applyFill="1" applyBorder="1" applyAlignment="1">
      <x:alignment vertical="center" wrapText="1"/>
    </x:xf>
    <x:xf numFmtId="0" fontId="16" fillId="2" borderId="39" xfId="0" applyNumberFormat="1" applyFont="1" applyFill="1" applyBorder="1" applyAlignment="1">
      <x:alignment vertical="center" wrapText="1"/>
    </x:xf>
    <x:xf numFmtId="0" fontId="16" fillId="2" borderId="40" xfId="0" applyNumberFormat="1" applyFont="1" applyFill="1" applyBorder="1" applyAlignment="1">
      <x:alignment vertical="center" wrapText="1"/>
    </x:xf>
    <x:xf numFmtId="0" fontId="16" fillId="2" borderId="29" xfId="0" applyNumberFormat="1" applyFont="1" applyFill="1" applyBorder="1" applyAlignment="1">
      <x:alignment vertical="center" wrapText="1"/>
    </x:xf>
    <x:xf numFmtId="0" fontId="16" fillId="2" borderId="41" xfId="0" applyNumberFormat="1" applyFont="1" applyFill="1" applyBorder="1" applyAlignment="1">
      <x:alignment vertical="center" wrapText="1"/>
    </x:xf>
    <x:xf numFmtId="0" fontId="16" fillId="2" borderId="35" xfId="0" applyNumberFormat="1" applyFont="1" applyFill="1" applyBorder="1" applyAlignment="1">
      <x:alignment horizontal="left" vertical="center" wrapText="1"/>
    </x:xf>
    <x:xf numFmtId="0" fontId="16" fillId="2" borderId="36" xfId="0" applyNumberFormat="1" applyFont="1" applyFill="1" applyBorder="1" applyAlignment="1">
      <x:alignment horizontal="left" vertical="center" wrapText="1"/>
    </x:xf>
    <x:xf numFmtId="0" fontId="16" fillId="2" borderId="37" xfId="0" applyNumberFormat="1" applyFont="1" applyFill="1" applyBorder="1" applyAlignment="1">
      <x:alignment horizontal="left" vertical="center" wrapText="1"/>
    </x:xf>
    <x:xf numFmtId="0" fontId="16" fillId="2" borderId="38"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center" wrapText="1"/>
    </x:xf>
    <x:xf numFmtId="0" fontId="16" fillId="2" borderId="39" xfId="0" applyNumberFormat="1" applyFont="1" applyFill="1" applyBorder="1" applyAlignment="1">
      <x:alignment horizontal="left" vertical="center" wrapText="1"/>
    </x:xf>
    <x:xf numFmtId="0" fontId="16" fillId="2" borderId="40" xfId="0" applyNumberFormat="1" applyFont="1" applyFill="1" applyBorder="1" applyAlignment="1">
      <x:alignment horizontal="left" vertical="center" wrapText="1"/>
    </x:xf>
    <x:xf numFmtId="0" fontId="16" fillId="2" borderId="29" xfId="0" applyNumberFormat="1" applyFont="1" applyFill="1" applyBorder="1" applyAlignment="1">
      <x:alignment horizontal="left" vertical="center" wrapText="1"/>
    </x:xf>
    <x:xf numFmtId="0" fontId="16" fillId="2" borderId="41" xfId="0" applyNumberFormat="1" applyFont="1" applyFill="1" applyBorder="1" applyAlignment="1">
      <x:alignment horizontal="left" vertical="center" wrapText="1"/>
    </x:xf>
    <x:xf numFmtId="0" fontId="16" fillId="2" borderId="35" xfId="0" applyNumberFormat="1" applyFont="1" applyFill="1" applyBorder="1" applyAlignment="1">
      <x:alignment horizontal="left" vertical="top" wrapText="1"/>
    </x:xf>
    <x:xf numFmtId="0" fontId="16" fillId="2" borderId="36" xfId="0" applyNumberFormat="1" applyFont="1" applyFill="1" applyBorder="1" applyAlignment="1">
      <x:alignment horizontal="left" vertical="top" wrapText="1"/>
    </x:xf>
    <x:xf numFmtId="0" fontId="16" fillId="2" borderId="37" xfId="0" applyNumberFormat="1" applyFont="1" applyFill="1" applyBorder="1" applyAlignment="1">
      <x:alignment horizontal="left" vertical="top" wrapText="1"/>
    </x:xf>
    <x:xf numFmtId="0" fontId="16" fillId="2" borderId="38" xfId="0" applyNumberFormat="1" applyFont="1" applyFill="1" applyBorder="1" applyAlignment="1">
      <x:alignment horizontal="left" vertical="top" wrapText="1"/>
    </x:xf>
    <x:xf numFmtId="0" fontId="16" fillId="2" borderId="0" xfId="0" applyNumberFormat="1" applyFont="1" applyFill="1" applyBorder="1" applyAlignment="1">
      <x:alignment horizontal="left" vertical="top" wrapText="1"/>
    </x:xf>
    <x:xf numFmtId="0" fontId="16" fillId="2" borderId="39" xfId="0" applyNumberFormat="1" applyFont="1" applyFill="1" applyBorder="1" applyAlignment="1">
      <x:alignment horizontal="left" vertical="top" wrapText="1"/>
    </x:xf>
    <x:xf numFmtId="0" fontId="16" fillId="2" borderId="40" xfId="0" applyNumberFormat="1" applyFont="1" applyFill="1" applyBorder="1" applyAlignment="1">
      <x:alignment horizontal="left" vertical="top" wrapText="1"/>
    </x:xf>
    <x:xf numFmtId="0" fontId="16" fillId="2" borderId="29" xfId="0" applyNumberFormat="1" applyFont="1" applyFill="1" applyBorder="1" applyAlignment="1">
      <x:alignment horizontal="left" vertical="top" wrapText="1"/>
    </x:xf>
    <x:xf numFmtId="0" fontId="16" fillId="2" borderId="41" xfId="0" applyNumberFormat="1" applyFont="1" applyFill="1" applyBorder="1" applyAlignment="1">
      <x:alignment horizontal="left" vertical="top" wrapText="1"/>
    </x:xf>
    <x:xf numFmtId="0" fontId="3" fillId="10" borderId="0" xfId="0" applyNumberFormat="1" applyFont="1" applyFill="1" applyBorder="1" applyAlignment="1">
      <x:alignment vertical="center"/>
    </x:xf>
    <x:xf numFmtId="0" fontId="17" fillId="10" borderId="0" xfId="0" applyNumberFormat="1" applyFont="1" applyFill="1" applyBorder="1" applyAlignment="1">
      <x:alignment vertical="center"/>
    </x:xf>
    <x:xf numFmtId="0" fontId="17" fillId="10" borderId="35" xfId="0" applyNumberFormat="1" applyFont="1" applyFill="1" applyBorder="1" applyAlignment="1">
      <x:alignment vertical="center"/>
    </x:xf>
    <x:xf numFmtId="0" fontId="17" fillId="10" borderId="36" xfId="0" applyNumberFormat="1" applyFont="1" applyFill="1" applyBorder="1" applyAlignment="1">
      <x:alignment vertical="center"/>
    </x:xf>
    <x:xf numFmtId="0" fontId="17" fillId="10" borderId="37" xfId="0" applyNumberFormat="1" applyFont="1" applyFill="1" applyBorder="1" applyAlignment="1">
      <x:alignment vertical="center"/>
    </x:xf>
    <x:xf numFmtId="0" fontId="17" fillId="10" borderId="38" xfId="0" applyNumberFormat="1" applyFont="1" applyFill="1" applyBorder="1" applyAlignment="1">
      <x:alignment vertical="center"/>
    </x:xf>
    <x:xf numFmtId="0" fontId="17" fillId="10" borderId="39" xfId="0" applyNumberFormat="1" applyFont="1" applyFill="1" applyBorder="1" applyAlignment="1">
      <x:alignment vertical="center"/>
    </x:xf>
    <x:xf numFmtId="0" fontId="17" fillId="10" borderId="40" xfId="0" applyNumberFormat="1" applyFont="1" applyFill="1" applyBorder="1" applyAlignment="1">
      <x:alignment vertical="center"/>
    </x:xf>
    <x:xf numFmtId="0" fontId="17" fillId="10" borderId="29" xfId="0" applyNumberFormat="1" applyFont="1" applyFill="1" applyBorder="1" applyAlignment="1">
      <x:alignment vertical="center"/>
    </x:xf>
    <x:xf numFmtId="0" fontId="17" fillId="10" borderId="41" xfId="0" applyNumberFormat="1" applyFont="1" applyFill="1" applyBorder="1" applyAlignment="1">
      <x:alignment vertical="center"/>
    </x:xf>
    <x:xf numFmtId="0" fontId="17" fillId="10" borderId="35" xfId="0" applyNumberFormat="1" applyFont="1" applyFill="1" applyBorder="1" applyAlignment="1">
      <x:alignment vertical="center" wrapText="1"/>
    </x:xf>
    <x:xf numFmtId="0" fontId="17" fillId="10" borderId="36" xfId="0" applyNumberFormat="1" applyFont="1" applyFill="1" applyBorder="1" applyAlignment="1">
      <x:alignment vertical="center" wrapText="1"/>
    </x:xf>
    <x:xf numFmtId="0" fontId="17" fillId="10" borderId="37" xfId="0" applyNumberFormat="1" applyFont="1" applyFill="1" applyBorder="1" applyAlignment="1">
      <x:alignment vertical="center" wrapText="1"/>
    </x:xf>
    <x:xf numFmtId="0" fontId="17" fillId="10" borderId="38" xfId="0" applyNumberFormat="1" applyFont="1" applyFill="1" applyBorder="1" applyAlignment="1">
      <x:alignment vertical="center" wrapText="1"/>
    </x:xf>
    <x:xf numFmtId="0" fontId="17" fillId="10" borderId="0" xfId="0" applyNumberFormat="1" applyFont="1" applyFill="1" applyBorder="1" applyAlignment="1">
      <x:alignment vertical="center" wrapText="1"/>
    </x:xf>
    <x:xf numFmtId="0" fontId="17" fillId="10" borderId="39" xfId="0" applyNumberFormat="1" applyFont="1" applyFill="1" applyBorder="1" applyAlignment="1">
      <x:alignment vertical="center" wrapText="1"/>
    </x:xf>
    <x:xf numFmtId="0" fontId="17" fillId="10" borderId="40" xfId="0" applyNumberFormat="1" applyFont="1" applyFill="1" applyBorder="1" applyAlignment="1">
      <x:alignment vertical="center" wrapText="1"/>
    </x:xf>
    <x:xf numFmtId="0" fontId="17" fillId="10" borderId="29" xfId="0" applyNumberFormat="1" applyFont="1" applyFill="1" applyBorder="1" applyAlignment="1">
      <x:alignment vertical="center" wrapText="1"/>
    </x:xf>
    <x:xf numFmtId="0" fontId="17" fillId="10" borderId="41" xfId="0" applyNumberFormat="1" applyFont="1" applyFill="1" applyBorder="1" applyAlignment="1">
      <x:alignment vertical="center" wrapText="1"/>
    </x:xf>
    <x:xf numFmtId="0" fontId="17" fillId="10" borderId="35" xfId="0" applyNumberFormat="1" applyFont="1" applyFill="1" applyBorder="1" applyAlignment="1">
      <x:alignment horizontal="center" vertical="center" wrapText="1"/>
    </x:xf>
    <x:xf numFmtId="0" fontId="17" fillId="10" borderId="36" xfId="0" applyNumberFormat="1" applyFont="1" applyFill="1" applyBorder="1" applyAlignment="1">
      <x:alignment horizontal="center" vertical="center" wrapText="1"/>
    </x:xf>
    <x:xf numFmtId="0" fontId="17" fillId="10" borderId="37" xfId="0" applyNumberFormat="1" applyFont="1" applyFill="1" applyBorder="1" applyAlignment="1">
      <x:alignment horizontal="center" vertical="center" wrapText="1"/>
    </x:xf>
    <x:xf numFmtId="0" fontId="17" fillId="10" borderId="38" xfId="0" applyNumberFormat="1" applyFont="1" applyFill="1" applyBorder="1" applyAlignment="1">
      <x:alignment horizontal="center" vertical="center" wrapText="1"/>
    </x:xf>
    <x:xf numFmtId="0" fontId="17" fillId="10" borderId="0" xfId="0" applyNumberFormat="1" applyFont="1" applyFill="1" applyBorder="1" applyAlignment="1">
      <x:alignment horizontal="center" vertical="center" wrapText="1"/>
    </x:xf>
    <x:xf numFmtId="0" fontId="17" fillId="10" borderId="39" xfId="0" applyNumberFormat="1" applyFont="1" applyFill="1" applyBorder="1" applyAlignment="1">
      <x:alignment horizontal="center" vertical="center" wrapText="1"/>
    </x:xf>
    <x:xf numFmtId="0" fontId="17" fillId="10" borderId="40" xfId="0" applyNumberFormat="1" applyFont="1" applyFill="1" applyBorder="1" applyAlignment="1">
      <x:alignment horizontal="center" vertical="center" wrapText="1"/>
    </x:xf>
    <x:xf numFmtId="0" fontId="17" fillId="10" borderId="29" xfId="0" applyNumberFormat="1" applyFont="1" applyFill="1" applyBorder="1" applyAlignment="1">
      <x:alignment horizontal="center" vertical="center" wrapText="1"/>
    </x:xf>
    <x:xf numFmtId="0" fontId="17" fillId="10" borderId="41" xfId="0" applyNumberFormat="1" applyFont="1" applyFill="1" applyBorder="1" applyAlignment="1">
      <x:alignment horizontal="center" vertical="center" wrapText="1"/>
    </x:xf>
    <x:xf numFmtId="0" fontId="17" fillId="10" borderId="35" xfId="0" applyNumberFormat="1" applyFont="1" applyFill="1" applyBorder="1" applyAlignment="1">
      <x:alignment horizontal="center" vertical="top" wrapText="1"/>
    </x:xf>
    <x:xf numFmtId="0" fontId="17" fillId="10" borderId="36" xfId="0" applyNumberFormat="1" applyFont="1" applyFill="1" applyBorder="1" applyAlignment="1">
      <x:alignment horizontal="center" vertical="top" wrapText="1"/>
    </x:xf>
    <x:xf numFmtId="0" fontId="17" fillId="10" borderId="37" xfId="0" applyNumberFormat="1" applyFont="1" applyFill="1" applyBorder="1" applyAlignment="1">
      <x:alignment horizontal="center" vertical="top" wrapText="1"/>
    </x:xf>
    <x:xf numFmtId="0" fontId="17" fillId="10" borderId="38" xfId="0" applyNumberFormat="1" applyFont="1" applyFill="1" applyBorder="1" applyAlignment="1">
      <x:alignment horizontal="center" vertical="top" wrapText="1"/>
    </x:xf>
    <x:xf numFmtId="0" fontId="17" fillId="10" borderId="0" xfId="0" applyNumberFormat="1" applyFont="1" applyFill="1" applyBorder="1" applyAlignment="1">
      <x:alignment horizontal="center" vertical="top" wrapText="1"/>
    </x:xf>
    <x:xf numFmtId="0" fontId="17" fillId="10" borderId="39" xfId="0" applyNumberFormat="1" applyFont="1" applyFill="1" applyBorder="1" applyAlignment="1">
      <x:alignment horizontal="center" vertical="top" wrapText="1"/>
    </x:xf>
    <x:xf numFmtId="0" fontId="17" fillId="10" borderId="40" xfId="0" applyNumberFormat="1" applyFont="1" applyFill="1" applyBorder="1" applyAlignment="1">
      <x:alignment horizontal="center" vertical="top" wrapText="1"/>
    </x:xf>
    <x:xf numFmtId="0" fontId="17" fillId="10" borderId="29" xfId="0" applyNumberFormat="1" applyFont="1" applyFill="1" applyBorder="1" applyAlignment="1">
      <x:alignment horizontal="center" vertical="top" wrapText="1"/>
    </x:xf>
    <x:xf numFmtId="0" fontId="17" fillId="10" borderId="41"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x:xf>
    <x:xf numFmtId="0" fontId="15" fillId="2" borderId="0" xfId="0" applyNumberFormat="1" applyFont="1" applyFill="1" applyBorder="1" applyAlignment="1">
      <x:alignment vertical="center"/>
    </x:xf>
    <x:xf numFmtId="0" fontId="15" fillId="2" borderId="35" xfId="0" applyNumberFormat="1" applyFont="1" applyFill="1" applyBorder="1" applyAlignment="1">
      <x:alignment vertical="center"/>
    </x:xf>
    <x:xf numFmtId="0" fontId="15" fillId="2" borderId="36" xfId="0" applyNumberFormat="1" applyFont="1" applyFill="1" applyBorder="1" applyAlignment="1">
      <x:alignment vertical="center"/>
    </x:xf>
    <x:xf numFmtId="0" fontId="15" fillId="2" borderId="37" xfId="0" applyNumberFormat="1" applyFont="1" applyFill="1" applyBorder="1" applyAlignment="1">
      <x:alignment vertical="center"/>
    </x:xf>
    <x:xf numFmtId="0" fontId="15" fillId="2" borderId="38" xfId="0" applyNumberFormat="1" applyFont="1" applyFill="1" applyBorder="1" applyAlignment="1">
      <x:alignment vertical="center"/>
    </x:xf>
    <x:xf numFmtId="0" fontId="15" fillId="2" borderId="39" xfId="0" applyNumberFormat="1" applyFont="1" applyFill="1" applyBorder="1" applyAlignment="1">
      <x:alignment vertical="center"/>
    </x:xf>
    <x:xf numFmtId="0" fontId="15" fillId="2" borderId="40" xfId="0" applyNumberFormat="1" applyFont="1" applyFill="1" applyBorder="1" applyAlignment="1">
      <x:alignment vertical="center"/>
    </x:xf>
    <x:xf numFmtId="0" fontId="15" fillId="2" borderId="29" xfId="0" applyNumberFormat="1" applyFont="1" applyFill="1" applyBorder="1" applyAlignment="1">
      <x:alignment vertical="center"/>
    </x:xf>
    <x:xf numFmtId="0" fontId="15" fillId="2" borderId="41" xfId="0" applyNumberFormat="1" applyFont="1" applyFill="1" applyBorder="1" applyAlignment="1">
      <x:alignment vertical="center"/>
    </x:xf>
    <x:xf numFmtId="200" fontId="15" fillId="2" borderId="35" xfId="0" applyNumberFormat="1" applyFont="1" applyFill="1" applyBorder="1" applyAlignment="1">
      <x:alignment vertical="center"/>
    </x:xf>
    <x:xf numFmtId="200" fontId="15" fillId="2" borderId="36" xfId="0" applyNumberFormat="1" applyFont="1" applyFill="1" applyBorder="1" applyAlignment="1">
      <x:alignment vertical="center"/>
    </x:xf>
    <x:xf numFmtId="200" fontId="15" fillId="2" borderId="37" xfId="0" applyNumberFormat="1" applyFont="1" applyFill="1" applyBorder="1" applyAlignment="1">
      <x:alignment vertical="center"/>
    </x:xf>
    <x:xf numFmtId="200" fontId="15" fillId="2" borderId="38" xfId="0" applyNumberFormat="1" applyFont="1" applyFill="1" applyBorder="1" applyAlignment="1">
      <x:alignment vertical="center"/>
    </x:xf>
    <x:xf numFmtId="200" fontId="15" fillId="2" borderId="0" xfId="0" applyNumberFormat="1" applyFont="1" applyFill="1" applyBorder="1" applyAlignment="1">
      <x:alignment vertical="center"/>
    </x:xf>
    <x:xf numFmtId="200" fontId="15" fillId="2" borderId="39" xfId="0" applyNumberFormat="1" applyFont="1" applyFill="1" applyBorder="1" applyAlignment="1">
      <x:alignment vertical="center"/>
    </x:xf>
    <x:xf numFmtId="200" fontId="15" fillId="2" borderId="40" xfId="0" applyNumberFormat="1" applyFont="1" applyFill="1" applyBorder="1" applyAlignment="1">
      <x:alignment vertical="center"/>
    </x:xf>
    <x:xf numFmtId="200" fontId="15" fillId="2" borderId="29" xfId="0" applyNumberFormat="1" applyFont="1" applyFill="1" applyBorder="1" applyAlignment="1">
      <x:alignment vertical="center"/>
    </x:xf>
    <x:xf numFmtId="200" fontId="15" fillId="2" borderId="41" xfId="0" applyNumberFormat="1" applyFont="1" applyFill="1" applyBorder="1" applyAlignment="1">
      <x:alignment vertical="center"/>
    </x:xf>
    <x:xf numFmtId="200" fontId="15" fillId="2" borderId="35" xfId="0" applyNumberFormat="1" applyFont="1" applyFill="1" applyBorder="1" applyAlignment="1">
      <x:alignment horizontal="center" vertical="center"/>
    </x:xf>
    <x:xf numFmtId="200" fontId="15" fillId="2" borderId="36" xfId="0" applyNumberFormat="1" applyFont="1" applyFill="1" applyBorder="1" applyAlignment="1">
      <x:alignment horizontal="center" vertical="center"/>
    </x:xf>
    <x:xf numFmtId="200" fontId="15" fillId="2" borderId="37" xfId="0" applyNumberFormat="1" applyFont="1" applyFill="1" applyBorder="1" applyAlignment="1">
      <x:alignment horizontal="center" vertical="center"/>
    </x:xf>
    <x:xf numFmtId="200" fontId="15" fillId="2" borderId="38" xfId="0" applyNumberFormat="1" applyFont="1" applyFill="1" applyBorder="1" applyAlignment="1">
      <x:alignment horizontal="center" vertical="center"/>
    </x:xf>
    <x:xf numFmtId="200" fontId="15" fillId="2" borderId="0" xfId="0" applyNumberFormat="1" applyFont="1" applyFill="1" applyBorder="1" applyAlignment="1">
      <x:alignment horizontal="center" vertical="center"/>
    </x:xf>
    <x:xf numFmtId="200" fontId="15" fillId="2" borderId="39" xfId="0" applyNumberFormat="1" applyFont="1" applyFill="1" applyBorder="1" applyAlignment="1">
      <x:alignment horizontal="center" vertical="center"/>
    </x:xf>
    <x:xf numFmtId="200" fontId="15" fillId="2" borderId="40" xfId="0" applyNumberFormat="1" applyFont="1" applyFill="1" applyBorder="1" applyAlignment="1">
      <x:alignment horizontal="center" vertical="center"/>
    </x:xf>
    <x:xf numFmtId="200" fontId="15" fillId="2" borderId="29" xfId="0" applyNumberFormat="1" applyFont="1" applyFill="1" applyBorder="1" applyAlignment="1">
      <x:alignment horizontal="center" vertical="center"/>
    </x:xf>
    <x:xf numFmtId="200" fontId="15" fillId="2" borderId="41" xfId="0" applyNumberFormat="1" applyFont="1" applyFill="1" applyBorder="1" applyAlignment="1">
      <x:alignment horizontal="center" vertical="center"/>
    </x:xf>
    <x:xf numFmtId="0" fontId="18" fillId="10" borderId="0" xfId="0" applyNumberFormat="1" applyFont="1" applyFill="1" applyBorder="1" applyAlignment="1">
      <x:alignment vertical="center"/>
    </x:xf>
    <x:xf numFmtId="0" fontId="18" fillId="10" borderId="31" xfId="0" applyNumberFormat="1" applyFont="1" applyFill="1" applyBorder="1" applyAlignment="1">
      <x:alignment vertical="center"/>
    </x:xf>
    <x:xf numFmtId="0" fontId="18" fillId="10" borderId="30" xfId="0" applyNumberFormat="1" applyFont="1" applyFill="1" applyBorder="1" applyAlignment="1">
      <x:alignment vertical="center"/>
    </x:xf>
    <x:xf numFmtId="0" fontId="18" fillId="10" borderId="32" xfId="0" applyNumberFormat="1" applyFont="1" applyFill="1" applyBorder="1" applyAlignment="1">
      <x:alignment vertical="center"/>
    </x:xf>
    <x:xf numFmtId="0" fontId="18" fillId="10" borderId="31" xfId="0" applyNumberFormat="1" applyFont="1" applyFill="1" applyBorder="1" applyAlignment="1">
      <x:alignment vertical="center" wrapText="1"/>
    </x:xf>
    <x:xf numFmtId="0" fontId="18" fillId="10" borderId="30" xfId="0" applyNumberFormat="1" applyFont="1" applyFill="1" applyBorder="1" applyAlignment="1">
      <x:alignment vertical="center" wrapText="1"/>
    </x:xf>
    <x:xf numFmtId="0" fontId="18" fillId="10" borderId="32" xfId="0" applyNumberFormat="1" applyFont="1" applyFill="1" applyBorder="1" applyAlignment="1">
      <x:alignment vertical="center" wrapText="1"/>
    </x:xf>
    <x:xf numFmtId="0" fontId="18" fillId="10" borderId="31" xfId="0" applyNumberFormat="1" applyFont="1" applyFill="1" applyBorder="1" applyAlignment="1">
      <x:alignment horizontal="center" vertical="center" wrapText="1"/>
    </x:xf>
    <x:xf numFmtId="0" fontId="18" fillId="10" borderId="30" xfId="0" applyNumberFormat="1" applyFont="1" applyFill="1" applyBorder="1" applyAlignment="1">
      <x:alignment horizontal="center" vertical="center" wrapText="1"/>
    </x:xf>
    <x:xf numFmtId="0" fontId="18" fillId="10" borderId="32" xfId="0" applyNumberFormat="1" applyFont="1" applyFill="1" applyBorder="1" applyAlignment="1">
      <x:alignment horizontal="center" vertical="center" wrapText="1"/>
    </x:xf>
    <x:xf numFmtId="0" fontId="3" fillId="11" borderId="0" xfId="0" applyNumberFormat="1" applyFont="1" applyFill="1" applyBorder="1" applyAlignment="1">
      <x:alignment vertical="center"/>
    </x:xf>
    <x:xf numFmtId="0" fontId="2" fillId="11" borderId="0" xfId="0" applyNumberFormat="1" applyFont="1" applyFill="1" applyBorder="1" applyAlignment="1">
      <x:alignment vertical="center"/>
    </x:xf>
    <x:xf numFmtId="0" fontId="2" fillId="11" borderId="0" xfId="0" applyNumberFormat="1" applyFont="1" applyFill="1" applyBorder="1" applyAlignment="1">
      <x:alignment horizontal="center" vertical="center"/>
    </x:xf>
    <x:xf numFmtId="207" fontId="15" fillId="2" borderId="35" xfId="0" applyNumberFormat="1" applyFont="1" applyFill="1" applyBorder="1" applyAlignment="1">
      <x:alignment vertical="center"/>
    </x:xf>
    <x:xf numFmtId="207" fontId="15" fillId="2" borderId="36" xfId="0" applyNumberFormat="1" applyFont="1" applyFill="1" applyBorder="1" applyAlignment="1">
      <x:alignment vertical="center"/>
    </x:xf>
    <x:xf numFmtId="207" fontId="15" fillId="2" borderId="37" xfId="0" applyNumberFormat="1" applyFont="1" applyFill="1" applyBorder="1" applyAlignment="1">
      <x:alignment vertical="center"/>
    </x:xf>
    <x:xf numFmtId="207" fontId="15" fillId="2" borderId="38" xfId="0" applyNumberFormat="1" applyFont="1" applyFill="1" applyBorder="1" applyAlignment="1">
      <x:alignment vertical="center"/>
    </x:xf>
    <x:xf numFmtId="207" fontId="15" fillId="2" borderId="0" xfId="0" applyNumberFormat="1" applyFont="1" applyFill="1" applyBorder="1" applyAlignment="1">
      <x:alignment vertical="center"/>
    </x:xf>
    <x:xf numFmtId="207" fontId="15" fillId="2" borderId="39" xfId="0" applyNumberFormat="1" applyFont="1" applyFill="1" applyBorder="1" applyAlignment="1">
      <x:alignment vertical="center"/>
    </x:xf>
    <x:xf numFmtId="207" fontId="15" fillId="2" borderId="40" xfId="0" applyNumberFormat="1" applyFont="1" applyFill="1" applyBorder="1" applyAlignment="1">
      <x:alignment vertical="center"/>
    </x:xf>
    <x:xf numFmtId="207" fontId="15" fillId="2" borderId="29" xfId="0" applyNumberFormat="1" applyFont="1" applyFill="1" applyBorder="1" applyAlignment="1">
      <x:alignment vertical="center"/>
    </x:xf>
    <x:xf numFmtId="207" fontId="15" fillId="2" borderId="41" xfId="0" applyNumberFormat="1" applyFont="1" applyFill="1" applyBorder="1" applyAlignment="1">
      <x:alignment vertical="center"/>
    </x:xf>
    <x:xf numFmtId="207" fontId="15" fillId="2" borderId="35" xfId="0" applyNumberFormat="1" applyFont="1" applyFill="1" applyBorder="1" applyAlignment="1">
      <x:alignment horizontal="center" vertical="center"/>
    </x:xf>
    <x:xf numFmtId="207" fontId="15" fillId="2" borderId="36" xfId="0" applyNumberFormat="1" applyFont="1" applyFill="1" applyBorder="1" applyAlignment="1">
      <x:alignment horizontal="center" vertical="center"/>
    </x:xf>
    <x:xf numFmtId="207" fontId="15" fillId="2" borderId="37" xfId="0" applyNumberFormat="1" applyFont="1" applyFill="1" applyBorder="1" applyAlignment="1">
      <x:alignment horizontal="center" vertical="center"/>
    </x:xf>
    <x:xf numFmtId="207" fontId="15" fillId="2" borderId="38" xfId="0" applyNumberFormat="1" applyFont="1" applyFill="1" applyBorder="1" applyAlignment="1">
      <x:alignment horizontal="center" vertical="center"/>
    </x:xf>
    <x:xf numFmtId="207" fontId="15" fillId="2" borderId="0" xfId="0" applyNumberFormat="1" applyFont="1" applyFill="1" applyBorder="1" applyAlignment="1">
      <x:alignment horizontal="center" vertical="center"/>
    </x:xf>
    <x:xf numFmtId="207" fontId="15" fillId="2" borderId="39" xfId="0" applyNumberFormat="1" applyFont="1" applyFill="1" applyBorder="1" applyAlignment="1">
      <x:alignment horizontal="center" vertical="center"/>
    </x:xf>
    <x:xf numFmtId="207" fontId="15" fillId="2" borderId="40" xfId="0" applyNumberFormat="1" applyFont="1" applyFill="1" applyBorder="1" applyAlignment="1">
      <x:alignment horizontal="center" vertical="center"/>
    </x:xf>
    <x:xf numFmtId="207" fontId="15" fillId="2" borderId="29" xfId="0" applyNumberFormat="1" applyFont="1" applyFill="1" applyBorder="1" applyAlignment="1">
      <x:alignment horizontal="center" vertical="center"/>
    </x:xf>
    <x:xf numFmtId="207" fontId="15" fillId="2" borderId="41" xfId="0" applyNumberFormat="1" applyFont="1" applyFill="1" applyBorder="1" applyAlignment="1">
      <x:alignment horizontal="center" vertical="center"/>
    </x:xf>
    <x:xf numFmtId="0" fontId="3" fillId="12" borderId="0" xfId="0" applyNumberFormat="1" applyFont="1" applyFill="1" applyBorder="1" applyAlignment="1">
      <x:alignment vertical="center"/>
    </x:xf>
    <x:xf numFmtId="0" fontId="2" fillId="12" borderId="0" xfId="0" applyNumberFormat="1" applyFont="1" applyFill="1" applyBorder="1" applyAlignment="1">
      <x:alignment vertical="center"/>
    </x:xf>
    <x:xf numFmtId="0" fontId="2" fillId="12" borderId="0" xfId="0" applyNumberFormat="1" applyFont="1" applyFill="1" applyBorder="1" applyAlignment="1">
      <x:alignment horizontal="center" vertical="center"/>
    </x:xf>
    <x:xf numFmtId="0" fontId="2" fillId="4" borderId="0" xfId="0" applyNumberFormat="1" applyFont="1" applyFill="1" applyBorder="1" applyAlignment="1">
      <x:alignment horizontal="center" vertical="center"/>
    </x:xf>
    <x:xf numFmtId="0" fontId="3" fillId="13" borderId="0" xfId="0" applyNumberFormat="1" applyFont="1" applyFill="1" applyBorder="1" applyAlignment="1">
      <x:alignment vertical="center"/>
    </x:xf>
    <x:xf numFmtId="0" fontId="2" fillId="13" borderId="0" xfId="0" applyNumberFormat="1" applyFont="1" applyFill="1" applyBorder="1" applyAlignment="1">
      <x:alignment vertical="center"/>
    </x:xf>
    <x:xf numFmtId="0" fontId="2" fillId="13" borderId="0" xfId="0" applyNumberFormat="1" applyFont="1" applyFill="1" applyBorder="1" applyAlignment="1">
      <x:alignment horizontal="center" vertical="center"/>
    </x:xf>
    <x:xf numFmtId="0" fontId="11" fillId="2" borderId="29" xfId="0" applyNumberFormat="1" applyFont="1" applyFill="1" applyBorder="1" applyAlignment="1">
      <x:alignment vertical="center" wrapText="1"/>
    </x:xf>
    <x:xf numFmtId="0" fontId="11" fillId="2" borderId="30" xfId="0" applyNumberFormat="1" applyFont="1" applyFill="1" applyBorder="1" applyAlignment="1">
      <x:alignment vertical="center" wrapText="1"/>
    </x:xf>
    <x:xf numFmtId="0" fontId="11" fillId="9" borderId="29" xfId="0" applyNumberFormat="1" applyFont="1" applyFill="1" applyBorder="1" applyAlignment="1">
      <x:alignment vertical="center" wrapText="1"/>
    </x:xf>
    <x:xf numFmtId="0" fontId="2" fillId="9" borderId="29" xfId="0" applyNumberFormat="1" applyFont="1" applyFill="1" applyBorder="1" applyAlignment="1">
      <x:alignment vertical="center" wrapText="1"/>
    </x:xf>
    <x:xf numFmtId="0" fontId="2" fillId="9" borderId="42" xfId="0" applyNumberFormat="1" applyFont="1" applyFill="1" applyBorder="1" applyAlignment="1">
      <x:alignment vertical="center" wrapText="1"/>
    </x:xf>
    <x:xf numFmtId="0" fontId="2" fillId="9" borderId="43" xfId="0" applyNumberFormat="1" applyFont="1" applyFill="1" applyBorder="1" applyAlignment="1">
      <x:alignment vertical="center" wrapText="1"/>
    </x:xf>
    <x:xf numFmtId="0" fontId="2" fillId="9" borderId="44" xfId="0" applyNumberFormat="1" applyFont="1" applyFill="1" applyBorder="1" applyAlignment="1">
      <x:alignment vertical="center" wrapText="1"/>
    </x:xf>
    <x:xf numFmtId="0" fontId="2" fillId="9" borderId="42" xfId="0" applyNumberFormat="1" applyFont="1" applyFill="1" applyBorder="1" applyAlignment="1">
      <x:alignment horizontal="center" vertical="center" wrapText="1"/>
    </x:xf>
    <x:xf numFmtId="0" fontId="2" fillId="9" borderId="43" xfId="0" applyNumberFormat="1" applyFont="1" applyFill="1" applyBorder="1" applyAlignment="1">
      <x:alignment horizontal="center" vertical="center" wrapText="1"/>
    </x:xf>
    <x:xf numFmtId="0" fontId="2" fillId="9" borderId="44" xfId="0" applyNumberFormat="1" applyFont="1" applyFill="1" applyBorder="1" applyAlignment="1">
      <x:alignment horizontal="center" vertical="center" wrapText="1"/>
    </x:xf>
    <x:xf numFmtId="200" fontId="11" fillId="2" borderId="30" xfId="0" applyNumberFormat="1" applyFont="1" applyFill="1" applyBorder="1" applyAlignment="1">
      <x:alignment vertical="center" wrapText="1"/>
    </x:xf>
    <x:xf numFmtId="207" fontId="11" fillId="2" borderId="30" xfId="0" applyNumberFormat="1" applyFont="1" applyFill="1" applyBorder="1" applyAlignment="1">
      <x:alignment vertical="center" wrapText="1"/>
    </x:xf>
    <x:xf numFmtId="205" fontId="11" fillId="2" borderId="30" xfId="0" applyNumberFormat="1" applyFont="1" applyFill="1" applyBorder="1" applyAlignment="1">
      <x:alignment vertical="center" wrapText="1"/>
    </x:xf>
    <x:xf numFmtId="0" fontId="19" fillId="2" borderId="0" xfId="0" applyNumberFormat="1" applyFont="1" applyFill="1" applyBorder="1" applyAlignment="1">
      <x:alignment vertical="center"/>
    </x:xf>
    <x:xf numFmtId="0" fontId="19" fillId="2" borderId="21" xfId="0" applyNumberFormat="1" applyFont="1" applyFill="1" applyBorder="1" applyAlignment="1">
      <x:alignment vertical="center"/>
    </x:xf>
    <x:xf numFmtId="0" fontId="19" fillId="2" borderId="22" xfId="0" applyNumberFormat="1" applyFont="1" applyFill="1" applyBorder="1" applyAlignment="1">
      <x:alignment vertical="center"/>
    </x:xf>
    <x:xf numFmtId="0" fontId="19" fillId="2" borderId="23" xfId="0" applyNumberFormat="1" applyFont="1" applyFill="1" applyBorder="1" applyAlignment="1">
      <x:alignment vertical="center"/>
    </x:xf>
    <x:xf numFmtId="0" fontId="19" fillId="2" borderId="26" xfId="0" applyNumberFormat="1" applyFont="1" applyFill="1" applyBorder="1" applyAlignment="1">
      <x:alignment vertical="center"/>
    </x:xf>
    <x:xf numFmtId="0" fontId="19" fillId="2" borderId="27" xfId="0" applyNumberFormat="1" applyFont="1" applyFill="1" applyBorder="1" applyAlignment="1">
      <x:alignment vertical="center"/>
    </x:xf>
    <x:xf numFmtId="0" fontId="19" fillId="2" borderId="28" xfId="0" applyNumberFormat="1" applyFont="1" applyFill="1" applyBorder="1" applyAlignment="1">
      <x:alignment vertical="center"/>
    </x:xf>
    <x:xf numFmtId="0" fontId="19" fillId="2" borderId="21" xfId="0" applyNumberFormat="1" applyFont="1" applyFill="1" applyBorder="1" applyAlignment="1">
      <x:alignment vertical="center" wrapText="1"/>
    </x:xf>
    <x:xf numFmtId="0" fontId="19" fillId="2" borderId="22" xfId="0" applyNumberFormat="1" applyFont="1" applyFill="1" applyBorder="1" applyAlignment="1">
      <x:alignment vertical="center" wrapText="1"/>
    </x:xf>
    <x:xf numFmtId="0" fontId="19" fillId="2" borderId="23" xfId="0" applyNumberFormat="1" applyFont="1" applyFill="1" applyBorder="1" applyAlignment="1">
      <x:alignment vertical="center" wrapText="1"/>
    </x:xf>
    <x:xf numFmtId="0" fontId="19" fillId="2" borderId="26" xfId="0" applyNumberFormat="1" applyFont="1" applyFill="1" applyBorder="1" applyAlignment="1">
      <x:alignment vertical="center" wrapText="1"/>
    </x:xf>
    <x:xf numFmtId="0" fontId="19" fillId="2" borderId="27" xfId="0" applyNumberFormat="1" applyFont="1" applyFill="1" applyBorder="1" applyAlignment="1">
      <x:alignment vertical="center" wrapText="1"/>
    </x:xf>
    <x:xf numFmtId="0" fontId="19" fillId="2" borderId="28" xfId="0" applyNumberFormat="1" applyFont="1" applyFill="1" applyBorder="1" applyAlignment="1">
      <x:alignment vertical="center" wrapText="1"/>
    </x:xf>
    <x:xf numFmtId="0" fontId="19" fillId="2" borderId="21" xfId="0" applyNumberFormat="1" applyFont="1" applyFill="1" applyBorder="1" applyAlignment="1">
      <x:alignment horizontal="left" vertical="center" wrapText="1"/>
    </x:xf>
    <x:xf numFmtId="0" fontId="19" fillId="2" borderId="22" xfId="0" applyNumberFormat="1" applyFont="1" applyFill="1" applyBorder="1" applyAlignment="1">
      <x:alignment horizontal="left" vertical="center" wrapText="1"/>
    </x:xf>
    <x:xf numFmtId="0" fontId="19" fillId="2" borderId="23" xfId="0" applyNumberFormat="1" applyFont="1" applyFill="1" applyBorder="1" applyAlignment="1">
      <x:alignment horizontal="left" vertical="center" wrapText="1"/>
    </x:xf>
    <x:xf numFmtId="0" fontId="19" fillId="2" borderId="26" xfId="0" applyNumberFormat="1" applyFont="1" applyFill="1" applyBorder="1" applyAlignment="1">
      <x:alignment horizontal="left" vertical="center" wrapText="1"/>
    </x:xf>
    <x:xf numFmtId="0" fontId="19" fillId="2" borderId="27" xfId="0" applyNumberFormat="1" applyFont="1" applyFill="1" applyBorder="1" applyAlignment="1">
      <x:alignment horizontal="left" vertical="center" wrapText="1"/>
    </x:xf>
    <x:xf numFmtId="0" fontId="19" fillId="2" borderId="28" xfId="0" applyNumberFormat="1" applyFont="1" applyFill="1" applyBorder="1" applyAlignment="1">
      <x:alignment horizontal="left" vertical="center" wrapText="1"/>
    </x:xf>
    <x:xf numFmtId="0" fontId="19" fillId="2" borderId="21" xfId="0" applyNumberFormat="1" applyFont="1" applyFill="1" applyBorder="1" applyAlignment="1">
      <x:alignment horizontal="left" vertical="top" wrapText="1"/>
    </x:xf>
    <x:xf numFmtId="0" fontId="19" fillId="2" borderId="22" xfId="0" applyNumberFormat="1" applyFont="1" applyFill="1" applyBorder="1" applyAlignment="1">
      <x:alignment horizontal="left" vertical="top" wrapText="1"/>
    </x:xf>
    <x:xf numFmtId="0" fontId="19" fillId="2" borderId="23" xfId="0" applyNumberFormat="1" applyFont="1" applyFill="1" applyBorder="1" applyAlignment="1">
      <x:alignment horizontal="left" vertical="top" wrapText="1"/>
    </x:xf>
    <x:xf numFmtId="0" fontId="19" fillId="2" borderId="26" xfId="0" applyNumberFormat="1" applyFont="1" applyFill="1" applyBorder="1" applyAlignment="1">
      <x:alignment horizontal="left" vertical="top" wrapText="1"/>
    </x:xf>
    <x:xf numFmtId="0" fontId="19" fillId="2" borderId="27" xfId="0" applyNumberFormat="1" applyFont="1" applyFill="1" applyBorder="1" applyAlignment="1">
      <x:alignment horizontal="left" vertical="top" wrapText="1"/>
    </x:xf>
    <x:xf numFmtId="0" fontId="19" fillId="2" borderId="28" xfId="0" applyNumberFormat="1" applyFont="1" applyFill="1" applyBorder="1" applyAlignment="1">
      <x:alignment horizontal="left" vertical="top" wrapText="1"/>
    </x:xf>
    <x:xf numFmtId="0" fontId="2" fillId="9" borderId="0" xfId="0" applyNumberFormat="1" applyFont="1" applyFill="1" applyBorder="1" applyAlignment="1">
      <x:alignment vertical="center"/>
    </x:xf>
    <x:xf numFmtId="0" fontId="2" fillId="9" borderId="42" xfId="0" applyNumberFormat="1" applyFont="1" applyFill="1" applyBorder="1" applyAlignment="1">
      <x:alignment vertical="center"/>
    </x:xf>
    <x:xf numFmtId="0" fontId="2" fillId="9" borderId="43" xfId="0" applyNumberFormat="1" applyFont="1" applyFill="1" applyBorder="1" applyAlignment="1">
      <x:alignment vertical="center"/>
    </x:xf>
    <x:xf numFmtId="0" fontId="2" fillId="9" borderId="44" xfId="0" applyNumberFormat="1" applyFont="1" applyFill="1" applyBorder="1" applyAlignment="1">
      <x:alignment vertical="center"/>
    </x:xf>
    <x:xf numFmtId="0" fontId="20" fillId="6" borderId="0" xfId="0" applyNumberFormat="1" applyFont="1" applyFill="1" applyBorder="1" applyAlignment="1">
      <x:alignment vertical="center"/>
    </x:xf>
    <x:xf numFmtId="0" fontId="20" fillId="6" borderId="45" xfId="0" applyNumberFormat="1" applyFont="1" applyFill="1" applyBorder="1" applyAlignment="1">
      <x:alignment vertical="center"/>
    </x:xf>
    <x:xf numFmtId="0" fontId="20" fillId="6" borderId="46" xfId="0" applyNumberFormat="1" applyFont="1" applyFill="1" applyBorder="1" applyAlignment="1">
      <x:alignment vertical="center"/>
    </x:xf>
    <x:xf numFmtId="0" fontId="20" fillId="6" borderId="47" xfId="0" applyNumberFormat="1" applyFont="1" applyFill="1" applyBorder="1" applyAlignment="1">
      <x:alignment vertical="center"/>
    </x:xf>
    <x:xf numFmtId="0" fontId="20" fillId="6" borderId="45" xfId="0" applyNumberFormat="1" applyFont="1" applyFill="1" applyBorder="1" applyAlignment="1">
      <x:alignment horizontal="center" vertical="center"/>
    </x:xf>
    <x:xf numFmtId="0" fontId="20" fillId="6" borderId="46" xfId="0" applyNumberFormat="1" applyFont="1" applyFill="1" applyBorder="1" applyAlignment="1">
      <x:alignment horizontal="center" vertical="center"/>
    </x:xf>
    <x:xf numFmtId="0" fontId="20" fillId="6" borderId="47" xfId="0" applyNumberFormat="1" applyFont="1" applyFill="1" applyBorder="1" applyAlignment="1">
      <x:alignment horizontal="center" vertical="center"/>
    </x:xf>
    <x:xf numFmtId="0" fontId="1" fillId="2" borderId="29" xfId="0" applyNumberFormat="1" applyFont="1" applyFill="1" applyBorder="1" applyAlignment="1">
      <x:alignment vertical="center"/>
    </x:xf>
    <x:xf numFmtId="0" fontId="1" fillId="2" borderId="30" xfId="0" applyNumberFormat="1" applyFont="1" applyFill="1" applyBorder="1" applyAlignment="1">
      <x:alignment vertical="center"/>
    </x:xf>
    <x:xf numFmtId="0" fontId="1" fillId="2" borderId="29" xfId="0" applyNumberFormat="1" applyFont="1" applyFill="1" applyBorder="1" applyAlignment="1">
      <x:alignment vertical="center" wrapText="0"/>
    </x:xf>
    <x:xf numFmtId="0" fontId="1" fillId="2" borderId="30" xfId="0" applyNumberFormat="1" applyFont="1" applyFill="1" applyBorder="1" applyAlignment="1">
      <x:alignment vertical="center" wrapText="0"/>
    </x:xf>
    <x:xf numFmtId="0" fontId="1" fillId="2" borderId="29" xfId="0" applyNumberFormat="1" applyFont="1" applyFill="1" applyBorder="1" applyAlignment="1">
      <x:alignment horizontal="center" vertical="center" wrapText="0"/>
    </x:xf>
    <x:xf numFmtId="0" fontId="1" fillId="2" borderId="30" xfId="0" applyNumberFormat="1" applyFont="1" applyFill="1" applyBorder="1" applyAlignment="1">
      <x:alignment horizontal="center" vertical="center" wrapText="0"/>
    </x:xf>
    <x:xf numFmtId="0" fontId="21" fillId="2" borderId="0" xfId="0" applyNumberFormat="1" applyFont="1" applyFill="1" applyBorder="1" applyAlignment="1">
      <x:alignment vertical="center"/>
    </x:xf>
    <x:xf numFmtId="0" fontId="21" fillId="2" borderId="48" xfId="0" applyNumberFormat="1" applyFont="1" applyFill="1" applyBorder="1" applyAlignment="1">
      <x:alignment vertical="center"/>
    </x:xf>
    <x:xf numFmtId="0" fontId="21" fillId="2" borderId="48" xfId="0" applyNumberFormat="1" applyFont="1" applyFill="1" applyBorder="1" applyAlignment="1">
      <x:alignment horizontal="center" vertical="center"/>
    </x:xf>
    <x:xf numFmtId="200" fontId="1" fillId="2" borderId="29" xfId="0" applyNumberFormat="1" applyFont="1" applyFill="1" applyBorder="1" applyAlignment="1">
      <x:alignment vertical="center" wrapText="0"/>
    </x:xf>
    <x:xf numFmtId="200" fontId="1" fillId="2" borderId="30" xfId="0" applyNumberFormat="1" applyFont="1" applyFill="1" applyBorder="1" applyAlignment="1">
      <x:alignment vertical="center" wrapText="0"/>
    </x:xf>
    <x:xf numFmtId="205" fontId="15" fillId="2" borderId="35" xfId="0" applyNumberFormat="1" applyFont="1" applyFill="1" applyBorder="1" applyAlignment="1">
      <x:alignment vertical="center"/>
    </x:xf>
    <x:xf numFmtId="205" fontId="15" fillId="2" borderId="36" xfId="0" applyNumberFormat="1" applyFont="1" applyFill="1" applyBorder="1" applyAlignment="1">
      <x:alignment vertical="center"/>
    </x:xf>
    <x:xf numFmtId="205" fontId="15" fillId="2" borderId="37" xfId="0" applyNumberFormat="1" applyFont="1" applyFill="1" applyBorder="1" applyAlignment="1">
      <x:alignment vertical="center"/>
    </x:xf>
    <x:xf numFmtId="205" fontId="15" fillId="2" borderId="38" xfId="0" applyNumberFormat="1" applyFont="1" applyFill="1" applyBorder="1" applyAlignment="1">
      <x:alignment vertical="center"/>
    </x:xf>
    <x:xf numFmtId="205" fontId="15" fillId="2" borderId="0" xfId="0" applyNumberFormat="1" applyFont="1" applyFill="1" applyBorder="1" applyAlignment="1">
      <x:alignment vertical="center"/>
    </x:xf>
    <x:xf numFmtId="205" fontId="15" fillId="2" borderId="39" xfId="0" applyNumberFormat="1" applyFont="1" applyFill="1" applyBorder="1" applyAlignment="1">
      <x:alignment vertical="center"/>
    </x:xf>
    <x:xf numFmtId="205" fontId="15" fillId="2" borderId="40" xfId="0" applyNumberFormat="1" applyFont="1" applyFill="1" applyBorder="1" applyAlignment="1">
      <x:alignment vertical="center"/>
    </x:xf>
    <x:xf numFmtId="205" fontId="15" fillId="2" borderId="29" xfId="0" applyNumberFormat="1" applyFont="1" applyFill="1" applyBorder="1" applyAlignment="1">
      <x:alignment vertical="center"/>
    </x:xf>
    <x:xf numFmtId="205" fontId="15" fillId="2" borderId="41" xfId="0" applyNumberFormat="1" applyFont="1" applyFill="1" applyBorder="1" applyAlignment="1">
      <x:alignment vertical="center"/>
    </x:xf>
    <x:xf numFmtId="205" fontId="15" fillId="2" borderId="35" xfId="0" applyNumberFormat="1" applyFont="1" applyFill="1" applyBorder="1" applyAlignment="1">
      <x:alignment horizontal="center" vertical="center"/>
    </x:xf>
    <x:xf numFmtId="205" fontId="15" fillId="2" borderId="36" xfId="0" applyNumberFormat="1" applyFont="1" applyFill="1" applyBorder="1" applyAlignment="1">
      <x:alignment horizontal="center" vertical="center"/>
    </x:xf>
    <x:xf numFmtId="205" fontId="15" fillId="2" borderId="37" xfId="0" applyNumberFormat="1" applyFont="1" applyFill="1" applyBorder="1" applyAlignment="1">
      <x:alignment horizontal="center" vertical="center"/>
    </x:xf>
    <x:xf numFmtId="205" fontId="15" fillId="2" borderId="38" xfId="0" applyNumberFormat="1" applyFont="1" applyFill="1" applyBorder="1" applyAlignment="1">
      <x:alignment horizontal="center" vertical="center"/>
    </x:xf>
    <x:xf numFmtId="205" fontId="15" fillId="2" borderId="0" xfId="0" applyNumberFormat="1" applyFont="1" applyFill="1" applyBorder="1" applyAlignment="1">
      <x:alignment horizontal="center" vertical="center"/>
    </x:xf>
    <x:xf numFmtId="205" fontId="15" fillId="2" borderId="39" xfId="0" applyNumberFormat="1" applyFont="1" applyFill="1" applyBorder="1" applyAlignment="1">
      <x:alignment horizontal="center" vertical="center"/>
    </x:xf>
    <x:xf numFmtId="205" fontId="15" fillId="2" borderId="40" xfId="0" applyNumberFormat="1" applyFont="1" applyFill="1" applyBorder="1" applyAlignment="1">
      <x:alignment horizontal="center" vertical="center"/>
    </x:xf>
    <x:xf numFmtId="205" fontId="15" fillId="2" borderId="29" xfId="0" applyNumberFormat="1" applyFont="1" applyFill="1" applyBorder="1" applyAlignment="1">
      <x:alignment horizontal="center" vertical="center"/>
    </x:xf>
    <x:xf numFmtId="205" fontId="15" fillId="2" borderId="41" xfId="0" applyNumberFormat="1" applyFont="1" applyFill="1" applyBorder="1" applyAlignment="1">
      <x:alignment horizontal="center" vertical="center"/>
    </x:xf>
    <x:xf numFmtId="0" fontId="3" fillId="14" borderId="0" xfId="0" applyNumberFormat="1" applyFont="1" applyFill="1" applyBorder="1" applyAlignment="1">
      <x:alignment vertical="center"/>
    </x:xf>
    <x:xf numFmtId="0" fontId="2" fillId="14" borderId="0" xfId="0" applyNumberFormat="1" applyFont="1" applyFill="1" applyBorder="1" applyAlignment="1">
      <x:alignment vertical="center"/>
    </x:xf>
    <x:xf numFmtId="0" fontId="2" fillId="14" borderId="0" xfId="0" applyNumberFormat="1" applyFont="1" applyFill="1" applyBorder="1" applyAlignment="1">
      <x:alignment horizontal="center" vertical="center"/>
    </x:xf>
    <x:xf numFmtId="204" fontId="15" fillId="2" borderId="35" xfId="0" applyNumberFormat="1" applyFont="1" applyFill="1" applyBorder="1" applyAlignment="1">
      <x:alignment vertical="center"/>
    </x:xf>
    <x:xf numFmtId="204" fontId="15" fillId="2" borderId="36" xfId="0" applyNumberFormat="1" applyFont="1" applyFill="1" applyBorder="1" applyAlignment="1">
      <x:alignment vertical="center"/>
    </x:xf>
    <x:xf numFmtId="204" fontId="15" fillId="2" borderId="37" xfId="0" applyNumberFormat="1" applyFont="1" applyFill="1" applyBorder="1" applyAlignment="1">
      <x:alignment vertical="center"/>
    </x:xf>
    <x:xf numFmtId="204" fontId="15" fillId="2" borderId="38" xfId="0" applyNumberFormat="1" applyFont="1" applyFill="1" applyBorder="1" applyAlignment="1">
      <x:alignment vertical="center"/>
    </x:xf>
    <x:xf numFmtId="204" fontId="15" fillId="2" borderId="0" xfId="0" applyNumberFormat="1" applyFont="1" applyFill="1" applyBorder="1" applyAlignment="1">
      <x:alignment vertical="center"/>
    </x:xf>
    <x:xf numFmtId="204" fontId="15" fillId="2" borderId="39" xfId="0" applyNumberFormat="1" applyFont="1" applyFill="1" applyBorder="1" applyAlignment="1">
      <x:alignment vertical="center"/>
    </x:xf>
    <x:xf numFmtId="204" fontId="15" fillId="2" borderId="40" xfId="0" applyNumberFormat="1" applyFont="1" applyFill="1" applyBorder="1" applyAlignment="1">
      <x:alignment vertical="center"/>
    </x:xf>
    <x:xf numFmtId="204" fontId="15" fillId="2" borderId="29" xfId="0" applyNumberFormat="1" applyFont="1" applyFill="1" applyBorder="1" applyAlignment="1">
      <x:alignment vertical="center"/>
    </x:xf>
    <x:xf numFmtId="204" fontId="15" fillId="2" borderId="41" xfId="0" applyNumberFormat="1" applyFont="1" applyFill="1" applyBorder="1" applyAlignment="1">
      <x:alignment vertical="center"/>
    </x:xf>
    <x:xf numFmtId="204" fontId="15" fillId="2" borderId="35" xfId="0" applyNumberFormat="1" applyFont="1" applyFill="1" applyBorder="1" applyAlignment="1">
      <x:alignment horizontal="center" vertical="center"/>
    </x:xf>
    <x:xf numFmtId="204" fontId="15" fillId="2" borderId="36" xfId="0" applyNumberFormat="1" applyFont="1" applyFill="1" applyBorder="1" applyAlignment="1">
      <x:alignment horizontal="center" vertical="center"/>
    </x:xf>
    <x:xf numFmtId="204" fontId="15" fillId="2" borderId="37" xfId="0" applyNumberFormat="1" applyFont="1" applyFill="1" applyBorder="1" applyAlignment="1">
      <x:alignment horizontal="center" vertical="center"/>
    </x:xf>
    <x:xf numFmtId="204" fontId="15" fillId="2" borderId="38" xfId="0" applyNumberFormat="1" applyFont="1" applyFill="1" applyBorder="1" applyAlignment="1">
      <x:alignment horizontal="center" vertical="center"/>
    </x:xf>
    <x:xf numFmtId="204" fontId="15" fillId="2" borderId="0" xfId="0" applyNumberFormat="1" applyFont="1" applyFill="1" applyBorder="1" applyAlignment="1">
      <x:alignment horizontal="center" vertical="center"/>
    </x:xf>
    <x:xf numFmtId="204" fontId="15" fillId="2" borderId="39" xfId="0" applyNumberFormat="1" applyFont="1" applyFill="1" applyBorder="1" applyAlignment="1">
      <x:alignment horizontal="center" vertical="center"/>
    </x:xf>
    <x:xf numFmtId="204" fontId="15" fillId="2" borderId="40" xfId="0" applyNumberFormat="1" applyFont="1" applyFill="1" applyBorder="1" applyAlignment="1">
      <x:alignment horizontal="center" vertical="center"/>
    </x:xf>
    <x:xf numFmtId="204" fontId="15" fillId="2" borderId="29" xfId="0" applyNumberFormat="1" applyFont="1" applyFill="1" applyBorder="1" applyAlignment="1">
      <x:alignment horizontal="center" vertical="center"/>
    </x:xf>
    <x:xf numFmtId="204" fontId="15" fillId="2" borderId="41" xfId="0" applyNumberFormat="1" applyFont="1" applyFill="1" applyBorder="1" applyAlignment="1">
      <x:alignment horizontal="center" vertical="center"/>
    </x:xf>
    <x:xf numFmtId="0" fontId="1" fillId="2" borderId="30" xfId="0" applyNumberFormat="1" applyFont="1" applyFill="1" applyBorder="1"/>
    <x:xf numFmtId="0" fontId="1" fillId="2" borderId="30" xfId="0" applyNumberFormat="1" applyFont="1" applyFill="1" applyBorder="1" applyAlignment="1">
      <x:alignment wrapText="0"/>
    </x:xf>
    <x:xf numFmtId="207" fontId="1" fillId="2" borderId="29" xfId="0" applyNumberFormat="1" applyFont="1" applyFill="1" applyBorder="1" applyAlignment="1">
      <x:alignment vertical="center" wrapText="0"/>
    </x:xf>
    <x:xf numFmtId="207" fontId="1" fillId="2" borderId="30" xfId="0" applyNumberFormat="1" applyFont="1" applyFill="1" applyBorder="1" applyAlignment="1">
      <x:alignment vertical="center" wrapText="0"/>
    </x:xf>
    <x:xf numFmtId="202" fontId="1" fillId="2" borderId="29" xfId="0" applyNumberFormat="1" applyFont="1" applyFill="1" applyBorder="1" applyAlignment="1">
      <x:alignment vertical="center" wrapText="0"/>
    </x:xf>
    <x:xf numFmtId="202" fontId="1" fillId="2" borderId="30" xfId="0" applyNumberFormat="1" applyFont="1" applyFill="1" applyBorder="1" applyAlignment="1">
      <x:alignment vertical="center" wrapText="0"/>
    </x:xf>
    <x:xf numFmtId="0" fontId="19" fillId="2" borderId="35" xfId="0" applyNumberFormat="1" applyFont="1" applyFill="1" applyBorder="1" applyAlignment="1">
      <x:alignment vertical="center"/>
    </x:xf>
    <x:xf numFmtId="0" fontId="19" fillId="2" borderId="36" xfId="0" applyNumberFormat="1" applyFont="1" applyFill="1" applyBorder="1" applyAlignment="1">
      <x:alignment vertical="center"/>
    </x:xf>
    <x:xf numFmtId="0" fontId="19" fillId="2" borderId="37" xfId="0" applyNumberFormat="1" applyFont="1" applyFill="1" applyBorder="1" applyAlignment="1">
      <x:alignment vertical="center"/>
    </x:xf>
    <x:xf numFmtId="0" fontId="19" fillId="2" borderId="38" xfId="0" applyNumberFormat="1" applyFont="1" applyFill="1" applyBorder="1" applyAlignment="1">
      <x:alignment vertical="center"/>
    </x:xf>
    <x:xf numFmtId="0" fontId="19" fillId="2" borderId="39" xfId="0" applyNumberFormat="1" applyFont="1" applyFill="1" applyBorder="1" applyAlignment="1">
      <x:alignment vertical="center"/>
    </x:xf>
    <x:xf numFmtId="0" fontId="19" fillId="2" borderId="40" xfId="0" applyNumberFormat="1" applyFont="1" applyFill="1" applyBorder="1" applyAlignment="1">
      <x:alignment vertical="center"/>
    </x:xf>
    <x:xf numFmtId="0" fontId="19" fillId="2" borderId="29" xfId="0" applyNumberFormat="1" applyFont="1" applyFill="1" applyBorder="1" applyAlignment="1">
      <x:alignment vertical="center"/>
    </x:xf>
    <x:xf numFmtId="0" fontId="19" fillId="2" borderId="41" xfId="0" applyNumberFormat="1" applyFont="1" applyFill="1" applyBorder="1" applyAlignment="1">
      <x:alignment vertical="center"/>
    </x:xf>
    <x:xf numFmtId="0" fontId="19" fillId="2" borderId="35" xfId="0" applyNumberFormat="1" applyFont="1" applyFill="1" applyBorder="1" applyAlignment="1">
      <x:alignment vertical="center" wrapText="1"/>
    </x:xf>
    <x:xf numFmtId="0" fontId="19" fillId="2" borderId="36" xfId="0" applyNumberFormat="1" applyFont="1" applyFill="1" applyBorder="1" applyAlignment="1">
      <x:alignment vertical="center" wrapText="1"/>
    </x:xf>
    <x:xf numFmtId="0" fontId="19" fillId="2" borderId="37" xfId="0" applyNumberFormat="1" applyFont="1" applyFill="1" applyBorder="1" applyAlignment="1">
      <x:alignment vertical="center" wrapText="1"/>
    </x:xf>
    <x:xf numFmtId="0" fontId="19" fillId="2" borderId="38" xfId="0" applyNumberFormat="1" applyFont="1" applyFill="1" applyBorder="1" applyAlignment="1">
      <x:alignment vertical="center" wrapText="1"/>
    </x:xf>
    <x:xf numFmtId="0" fontId="19" fillId="2" borderId="0" xfId="0" applyNumberFormat="1" applyFont="1" applyFill="1" applyBorder="1" applyAlignment="1">
      <x:alignment vertical="center" wrapText="1"/>
    </x:xf>
    <x:xf numFmtId="0" fontId="19" fillId="2" borderId="39" xfId="0" applyNumberFormat="1" applyFont="1" applyFill="1" applyBorder="1" applyAlignment="1">
      <x:alignment vertical="center" wrapText="1"/>
    </x:xf>
    <x:xf numFmtId="0" fontId="19" fillId="2" borderId="40" xfId="0" applyNumberFormat="1" applyFont="1" applyFill="1" applyBorder="1" applyAlignment="1">
      <x:alignment vertical="center" wrapText="1"/>
    </x:xf>
    <x:xf numFmtId="0" fontId="19" fillId="2" borderId="29" xfId="0" applyNumberFormat="1" applyFont="1" applyFill="1" applyBorder="1" applyAlignment="1">
      <x:alignment vertical="center" wrapText="1"/>
    </x:xf>
    <x:xf numFmtId="0" fontId="19" fillId="2" borderId="41" xfId="0" applyNumberFormat="1" applyFont="1" applyFill="1" applyBorder="1" applyAlignment="1">
      <x:alignment vertical="center" wrapText="1"/>
    </x:xf>
    <x:xf numFmtId="0" fontId="19" fillId="2" borderId="35" xfId="0" applyNumberFormat="1" applyFont="1" applyFill="1" applyBorder="1" applyAlignment="1">
      <x:alignment horizontal="left" vertical="center" wrapText="1"/>
    </x:xf>
    <x:xf numFmtId="0" fontId="19" fillId="2" borderId="36" xfId="0" applyNumberFormat="1" applyFont="1" applyFill="1" applyBorder="1" applyAlignment="1">
      <x:alignment horizontal="left" vertical="center" wrapText="1"/>
    </x:xf>
    <x:xf numFmtId="0" fontId="19" fillId="2" borderId="37" xfId="0" applyNumberFormat="1" applyFont="1" applyFill="1" applyBorder="1" applyAlignment="1">
      <x:alignment horizontal="left" vertical="center" wrapText="1"/>
    </x:xf>
    <x:xf numFmtId="0" fontId="19" fillId="2" borderId="38" xfId="0" applyNumberFormat="1" applyFont="1" applyFill="1" applyBorder="1" applyAlignment="1">
      <x:alignment horizontal="left" vertical="center" wrapText="1"/>
    </x:xf>
    <x:xf numFmtId="0" fontId="19" fillId="2" borderId="0" xfId="0" applyNumberFormat="1" applyFont="1" applyFill="1" applyBorder="1" applyAlignment="1">
      <x:alignment horizontal="left" vertical="center" wrapText="1"/>
    </x:xf>
    <x:xf numFmtId="0" fontId="19" fillId="2" borderId="39" xfId="0" applyNumberFormat="1" applyFont="1" applyFill="1" applyBorder="1" applyAlignment="1">
      <x:alignment horizontal="left" vertical="center" wrapText="1"/>
    </x:xf>
    <x:xf numFmtId="0" fontId="19" fillId="2" borderId="40" xfId="0" applyNumberFormat="1" applyFont="1" applyFill="1" applyBorder="1" applyAlignment="1">
      <x:alignment horizontal="left" vertical="center" wrapText="1"/>
    </x:xf>
    <x:xf numFmtId="0" fontId="19" fillId="2" borderId="29" xfId="0" applyNumberFormat="1" applyFont="1" applyFill="1" applyBorder="1" applyAlignment="1">
      <x:alignment horizontal="left" vertical="center" wrapText="1"/>
    </x:xf>
    <x:xf numFmtId="0" fontId="19" fillId="2" borderId="41" xfId="0" applyNumberFormat="1" applyFont="1" applyFill="1" applyBorder="1" applyAlignment="1">
      <x:alignment horizontal="left" vertical="center" wrapText="1"/>
    </x:xf>
    <x:xf numFmtId="0" fontId="19" fillId="2" borderId="35" xfId="0" applyNumberFormat="1" applyFont="1" applyFill="1" applyBorder="1" applyAlignment="1">
      <x:alignment horizontal="left" vertical="top" wrapText="1"/>
    </x:xf>
    <x:xf numFmtId="0" fontId="19" fillId="2" borderId="36" xfId="0" applyNumberFormat="1" applyFont="1" applyFill="1" applyBorder="1" applyAlignment="1">
      <x:alignment horizontal="left" vertical="top" wrapText="1"/>
    </x:xf>
    <x:xf numFmtId="0" fontId="19" fillId="2" borderId="37" xfId="0" applyNumberFormat="1" applyFont="1" applyFill="1" applyBorder="1" applyAlignment="1">
      <x:alignment horizontal="left" vertical="top" wrapText="1"/>
    </x:xf>
    <x:xf numFmtId="0" fontId="19" fillId="2" borderId="38" xfId="0" applyNumberFormat="1" applyFont="1" applyFill="1" applyBorder="1" applyAlignment="1">
      <x:alignment horizontal="left" vertical="top" wrapText="1"/>
    </x:xf>
    <x:xf numFmtId="0" fontId="19" fillId="2" borderId="0" xfId="0" applyNumberFormat="1" applyFont="1" applyFill="1" applyBorder="1" applyAlignment="1">
      <x:alignment horizontal="left" vertical="top" wrapText="1"/>
    </x:xf>
    <x:xf numFmtId="0" fontId="19" fillId="2" borderId="39" xfId="0" applyNumberFormat="1" applyFont="1" applyFill="1" applyBorder="1" applyAlignment="1">
      <x:alignment horizontal="left" vertical="top" wrapText="1"/>
    </x:xf>
    <x:xf numFmtId="0" fontId="19" fillId="2" borderId="40" xfId="0" applyNumberFormat="1" applyFont="1" applyFill="1" applyBorder="1" applyAlignment="1">
      <x:alignment horizontal="left" vertical="top" wrapText="1"/>
    </x:xf>
    <x:xf numFmtId="0" fontId="19" fillId="2" borderId="29" xfId="0" applyNumberFormat="1" applyFont="1" applyFill="1" applyBorder="1" applyAlignment="1">
      <x:alignment horizontal="left" vertical="top" wrapText="1"/>
    </x:xf>
    <x:xf numFmtId="0" fontId="19" fillId="2" borderId="41" xfId="0" applyNumberFormat="1" applyFont="1" applyFill="1" applyBorder="1" applyAlignment="1">
      <x:alignment horizontal="left" vertical="top" wrapText="1"/>
    </x:xf>
    <x:xf numFmtId="0" fontId="1" fillId="10" borderId="30" xfId="0" applyNumberFormat="1" applyFont="1" applyFill="1" applyBorder="1" applyAlignment="1">
      <x:alignment vertical="center" wrapText="0"/>
    </x:xf>
    <x:xf numFmtId="200" fontId="1" fillId="10" borderId="30" xfId="0" applyNumberFormat="1" applyFont="1" applyFill="1" applyBorder="1" applyAlignment="1">
      <x:alignment vertical="center" wrapText="0"/>
    </x:xf>
    <x:xf numFmtId="207" fontId="1" fillId="10" borderId="30" xfId="0" applyNumberFormat="1" applyFont="1" applyFill="1" applyBorder="1" applyAlignment="1">
      <x:alignment vertical="center" wrapText="0"/>
    </x:xf>
    <x:xf numFmtId="202" fontId="1" fillId="10" borderId="30" xfId="0" applyNumberFormat="1" applyFont="1" applyFill="1" applyBorder="1" applyAlignment="1">
      <x:alignment vertical="center" wrapText="0"/>
    </x:xf>
    <x:xf numFmtId="0" fontId="17" fillId="10" borderId="30" xfId="0" applyNumberFormat="1" applyFont="1" applyFill="1" applyBorder="1" applyAlignment="1">
      <x:alignment vertical="center" wrapText="0"/>
    </x:xf>
    <x:xf numFmtId="200" fontId="17" fillId="10" borderId="30" xfId="0" applyNumberFormat="1" applyFont="1" applyFill="1" applyBorder="1" applyAlignment="1">
      <x:alignment vertical="center" wrapText="0"/>
    </x:xf>
    <x:xf numFmtId="207" fontId="17" fillId="10" borderId="30" xfId="0" applyNumberFormat="1" applyFont="1" applyFill="1" applyBorder="1" applyAlignment="1">
      <x:alignment vertical="center" wrapText="0"/>
    </x:xf>
    <x:xf numFmtId="202" fontId="17" fillId="10" borderId="30" xfId="0" applyNumberFormat="1" applyFont="1" applyFill="1" applyBorder="1" applyAlignment="1">
      <x:alignment vertical="center" wrapText="0"/>
    </x:xf>
    <x:xf numFmtId="0" fontId="17" fillId="10" borderId="31" xfId="0" applyNumberFormat="1" applyFont="1" applyFill="1" applyBorder="1" applyAlignment="1">
      <x:alignment vertical="center" wrapText="0"/>
    </x:xf>
    <x:xf numFmtId="0" fontId="17" fillId="10" borderId="31" xfId="0" applyNumberFormat="1" applyFont="1" applyFill="1" applyBorder="1" applyAlignment="1">
      <x:alignment vertical="center" wrapText="1"/>
    </x:xf>
    <x:xf numFmtId="0" fontId="17" fillId="10" borderId="30" xfId="0" applyNumberFormat="1" applyFont="1" applyFill="1" applyBorder="1" applyAlignment="1">
      <x:alignment vertical="center" wrapText="1"/>
    </x:xf>
    <x:xf numFmtId="200" fontId="17" fillId="10" borderId="30" xfId="0" applyNumberFormat="1" applyFont="1" applyFill="1" applyBorder="1" applyAlignment="1">
      <x:alignment vertical="center" wrapText="1"/>
    </x:xf>
    <x:xf numFmtId="207" fontId="17" fillId="10" borderId="30" xfId="0" applyNumberFormat="1" applyFont="1" applyFill="1" applyBorder="1" applyAlignment="1">
      <x:alignment vertical="center" wrapText="1"/>
    </x:xf>
    <x:xf numFmtId="202" fontId="17" fillId="10" borderId="30" xfId="0" applyNumberFormat="1" applyFont="1" applyFill="1" applyBorder="1" applyAlignment="1">
      <x:alignment vertical="center" wrapText="1"/>
    </x:xf>
    <x:xf numFmtId="0" fontId="17" fillId="10" borderId="31" xfId="0" applyNumberFormat="1" applyFont="1" applyFill="1" applyBorder="1" applyAlignment="1">
      <x:alignment horizontal="center" vertical="center" wrapText="1"/>
    </x:xf>
    <x:xf numFmtId="0" fontId="17" fillId="10" borderId="30" xfId="0" applyNumberFormat="1" applyFont="1" applyFill="1" applyBorder="1" applyAlignment="1">
      <x:alignment horizontal="center" vertical="center" wrapText="1"/>
    </x:xf>
    <x:xf numFmtId="200" fontId="17" fillId="10" borderId="30" xfId="0" applyNumberFormat="1" applyFont="1" applyFill="1" applyBorder="1" applyAlignment="1">
      <x:alignment horizontal="center" vertical="center" wrapText="1"/>
    </x:xf>
    <x:xf numFmtId="207" fontId="17" fillId="10" borderId="30" xfId="0" applyNumberFormat="1" applyFont="1" applyFill="1" applyBorder="1" applyAlignment="1">
      <x:alignment horizontal="center" vertical="center" wrapText="1"/>
    </x:xf>
    <x:xf numFmtId="202" fontId="17" fillId="10" borderId="30" xfId="0" applyNumberFormat="1" applyFont="1" applyFill="1" applyBorder="1" applyAlignment="1">
      <x:alignment horizontal="center" vertical="center" wrapText="1"/>
    </x:xf>
    <x:xf numFmtId="0" fontId="17" fillId="10" borderId="31" xfId="0" applyNumberFormat="1" applyFont="1" applyFill="1" applyBorder="1" applyAlignment="1">
      <x:alignment horizontal="center" vertical="top" wrapText="1"/>
    </x:xf>
    <x:xf numFmtId="0" fontId="17" fillId="10" borderId="30" xfId="0" applyNumberFormat="1" applyFont="1" applyFill="1" applyBorder="1" applyAlignment="1">
      <x:alignment horizontal="center" vertical="top" wrapText="1"/>
    </x:xf>
    <x:xf numFmtId="200" fontId="17" fillId="10" borderId="30" xfId="0" applyNumberFormat="1" applyFont="1" applyFill="1" applyBorder="1" applyAlignment="1">
      <x:alignment horizontal="center" vertical="top" wrapText="1"/>
    </x:xf>
    <x:xf numFmtId="207" fontId="17" fillId="10" borderId="30" xfId="0" applyNumberFormat="1" applyFont="1" applyFill="1" applyBorder="1" applyAlignment="1">
      <x:alignment horizontal="center" vertical="top" wrapText="1"/>
    </x:xf>
    <x:xf numFmtId="202" fontId="17" fillId="10" borderId="30" xfId="0" applyNumberFormat="1" applyFont="1" applyFill="1" applyBorder="1" applyAlignment="1">
      <x:alignment horizontal="center" vertical="top" wrapText="1"/>
    </x:xf>
    <x:xf numFmtId="0" fontId="1" fillId="12" borderId="29" xfId="0" applyNumberFormat="1" applyFont="1" applyFill="1" applyBorder="1" applyAlignment="1">
      <x:alignment vertical="center" wrapText="0"/>
    </x:xf>
    <x:xf numFmtId="0" fontId="2" fillId="12" borderId="29" xfId="0" applyNumberFormat="1" applyFont="1" applyFill="1" applyBorder="1" applyAlignment="1">
      <x:alignment vertical="center" wrapText="0"/>
    </x:xf>
    <x:xf numFmtId="0" fontId="2" fillId="12" borderId="49" xfId="0" applyNumberFormat="1" applyFont="1" applyFill="1" applyBorder="1" applyAlignment="1">
      <x:alignment vertical="center" wrapText="0"/>
    </x:xf>
    <x:xf numFmtId="0" fontId="2" fillId="12" borderId="50" xfId="0" applyNumberFormat="1" applyFont="1" applyFill="1" applyBorder="1" applyAlignment="1">
      <x:alignment vertical="center" wrapText="0"/>
    </x:xf>
    <x:xf numFmtId="0" fontId="2" fillId="12" borderId="51" xfId="0" applyNumberFormat="1" applyFont="1" applyFill="1" applyBorder="1" applyAlignment="1">
      <x:alignment vertical="center" wrapText="0"/>
    </x:xf>
    <x:xf numFmtId="0" fontId="2" fillId="12" borderId="49" xfId="0" applyNumberFormat="1" applyFont="1" applyFill="1" applyBorder="1" applyAlignment="1">
      <x:alignment vertical="center" wrapText="1"/>
    </x:xf>
    <x:xf numFmtId="0" fontId="2" fillId="12" borderId="50" xfId="0" applyNumberFormat="1" applyFont="1" applyFill="1" applyBorder="1" applyAlignment="1">
      <x:alignment vertical="center" wrapText="1"/>
    </x:xf>
    <x:xf numFmtId="0" fontId="2" fillId="12" borderId="51" xfId="0" applyNumberFormat="1" applyFont="1" applyFill="1" applyBorder="1" applyAlignment="1">
      <x:alignment vertical="center" wrapText="1"/>
    </x:xf>
    <x:xf numFmtId="0" fontId="2" fillId="12" borderId="49" xfId="0" applyNumberFormat="1" applyFont="1" applyFill="1" applyBorder="1" applyAlignment="1">
      <x:alignment horizontal="center" vertical="center" wrapText="1"/>
    </x:xf>
    <x:xf numFmtId="0" fontId="2" fillId="12" borderId="50" xfId="0" applyNumberFormat="1" applyFont="1" applyFill="1" applyBorder="1" applyAlignment="1">
      <x:alignment horizontal="center" vertical="center" wrapText="1"/>
    </x:xf>
    <x:xf numFmtId="0" fontId="2" fillId="12" borderId="51" xfId="0" applyNumberFormat="1" applyFont="1" applyFill="1" applyBorder="1" applyAlignment="1">
      <x:alignment horizontal="center" vertical="center" wrapText="1"/>
    </x:xf>
    <x:xf numFmtId="0" fontId="2" fillId="15" borderId="49" xfId="0" applyNumberFormat="1" applyFont="1" applyFill="1" applyBorder="1" applyAlignment="1">
      <x:alignment horizontal="center" vertical="center" wrapText="1"/>
    </x:xf>
    <x:xf numFmtId="0" fontId="1" fillId="15" borderId="30" xfId="0" applyNumberFormat="1" applyFont="1" applyFill="1" applyBorder="1" applyAlignment="1">
      <x:alignment vertical="center" wrapText="0"/>
    </x:xf>
    <x:xf numFmtId="0" fontId="22" fillId="15" borderId="49" xfId="0" applyNumberFormat="1" applyFont="1" applyFill="1" applyBorder="1" applyAlignment="1">
      <x:alignment horizontal="center" vertical="center" wrapText="1"/>
    </x:xf>
    <x:xf numFmtId="0" fontId="22" fillId="15" borderId="30" xfId="0" applyNumberFormat="1" applyFont="1" applyFill="1" applyBorder="1" applyAlignment="1">
      <x:alignment vertical="center" wrapText="0"/>
    </x:xf>
    <x:xf numFmtId="0" fontId="22" fillId="15" borderId="30" xfId="0" applyNumberFormat="1" applyFont="1" applyFill="1" applyBorder="1" applyAlignment="1">
      <x:alignment horizontal="center" vertical="center" wrapText="0"/>
    </x:xf>
    <x:xf numFmtId="0" fontId="1" fillId="4" borderId="29" xfId="0" applyNumberFormat="1" applyFont="1" applyFill="1" applyBorder="1" applyAlignment="1">
      <x:alignment vertical="center" wrapText="0"/>
    </x:xf>
    <x:xf numFmtId="0" fontId="2" fillId="4" borderId="29" xfId="0" applyNumberFormat="1" applyFont="1" applyFill="1" applyBorder="1" applyAlignment="1">
      <x:alignment vertical="center" wrapText="0"/>
    </x:xf>
    <x:xf numFmtId="0" fontId="2" fillId="4" borderId="4" xfId="0" applyNumberFormat="1" applyFont="1" applyFill="1" applyBorder="1" applyAlignment="1">
      <x:alignment vertical="center" wrapText="0"/>
    </x:xf>
    <x:xf numFmtId="0" fontId="2" fillId="4" borderId="5" xfId="0" applyNumberFormat="1" applyFont="1" applyFill="1" applyBorder="1" applyAlignment="1">
      <x:alignment vertical="center" wrapText="0"/>
    </x:xf>
    <x:xf numFmtId="0" fontId="2" fillId="4" borderId="6" xfId="0" applyNumberFormat="1" applyFont="1" applyFill="1" applyBorder="1" applyAlignment="1">
      <x:alignment vertical="center" wrapText="0"/>
    </x:xf>
    <x:xf numFmtId="0" fontId="2" fillId="7" borderId="4" xfId="0" applyNumberFormat="1" applyFont="1" applyFill="1" applyBorder="1" applyAlignment="1">
      <x:alignment horizontal="center" vertical="center" wrapText="1"/>
    </x:xf>
    <x:xf numFmtId="0" fontId="1" fillId="7" borderId="30" xfId="0" applyNumberFormat="1" applyFont="1" applyFill="1" applyBorder="1" applyAlignment="1">
      <x:alignment vertical="center" wrapText="0"/>
    </x:xf>
    <x:xf numFmtId="0" fontId="22" fillId="7" borderId="4" xfId="0" applyNumberFormat="1" applyFont="1" applyFill="1" applyBorder="1" applyAlignment="1">
      <x:alignment horizontal="center" vertical="center" wrapText="1"/>
    </x:xf>
    <x:xf numFmtId="0" fontId="22" fillId="7" borderId="30" xfId="0" applyNumberFormat="1" applyFont="1" applyFill="1" applyBorder="1" applyAlignment="1">
      <x:alignment vertical="center" wrapText="0"/>
    </x:xf>
    <x:xf numFmtId="0" fontId="22" fillId="7" borderId="30" xfId="0" applyNumberFormat="1" applyFont="1" applyFill="1" applyBorder="1" applyAlignment="1">
      <x:alignment horizontal="center" vertical="center" wrapText="0"/>
    </x:xf>
    <x:xf numFmtId="0" fontId="19" fillId="7" borderId="0" xfId="0" applyNumberFormat="1" applyFont="1" applyFill="1" applyBorder="1" applyAlignment="1">
      <x:alignment vertical="center"/>
    </x:xf>
    <x:xf numFmtId="0" fontId="19" fillId="7" borderId="35" xfId="0" applyNumberFormat="1" applyFont="1" applyFill="1" applyBorder="1" applyAlignment="1">
      <x:alignment vertical="center"/>
    </x:xf>
    <x:xf numFmtId="0" fontId="19" fillId="7" borderId="36" xfId="0" applyNumberFormat="1" applyFont="1" applyFill="1" applyBorder="1" applyAlignment="1">
      <x:alignment vertical="center"/>
    </x:xf>
    <x:xf numFmtId="0" fontId="19" fillId="7" borderId="37" xfId="0" applyNumberFormat="1" applyFont="1" applyFill="1" applyBorder="1" applyAlignment="1">
      <x:alignment vertical="center"/>
    </x:xf>
    <x:xf numFmtId="0" fontId="19" fillId="7" borderId="38" xfId="0" applyNumberFormat="1" applyFont="1" applyFill="1" applyBorder="1" applyAlignment="1">
      <x:alignment vertical="center"/>
    </x:xf>
    <x:xf numFmtId="0" fontId="19" fillId="7" borderId="39" xfId="0" applyNumberFormat="1" applyFont="1" applyFill="1" applyBorder="1" applyAlignment="1">
      <x:alignment vertical="center"/>
    </x:xf>
    <x:xf numFmtId="0" fontId="19" fillId="7" borderId="40" xfId="0" applyNumberFormat="1" applyFont="1" applyFill="1" applyBorder="1" applyAlignment="1">
      <x:alignment vertical="center"/>
    </x:xf>
    <x:xf numFmtId="0" fontId="19" fillId="7" borderId="29" xfId="0" applyNumberFormat="1" applyFont="1" applyFill="1" applyBorder="1" applyAlignment="1">
      <x:alignment vertical="center"/>
    </x:xf>
    <x:xf numFmtId="0" fontId="19" fillId="7" borderId="41" xfId="0" applyNumberFormat="1" applyFont="1" applyFill="1" applyBorder="1" applyAlignment="1">
      <x:alignment vertical="center"/>
    </x:xf>
    <x:xf numFmtId="0" fontId="19" fillId="7" borderId="35" xfId="0" applyNumberFormat="1" applyFont="1" applyFill="1" applyBorder="1" applyAlignment="1">
      <x:alignment vertical="center" wrapText="1"/>
    </x:xf>
    <x:xf numFmtId="0" fontId="19" fillId="7" borderId="36" xfId="0" applyNumberFormat="1" applyFont="1" applyFill="1" applyBorder="1" applyAlignment="1">
      <x:alignment vertical="center" wrapText="1"/>
    </x:xf>
    <x:xf numFmtId="0" fontId="19" fillId="7" borderId="37" xfId="0" applyNumberFormat="1" applyFont="1" applyFill="1" applyBorder="1" applyAlignment="1">
      <x:alignment vertical="center" wrapText="1"/>
    </x:xf>
    <x:xf numFmtId="0" fontId="19" fillId="7" borderId="38" xfId="0" applyNumberFormat="1" applyFont="1" applyFill="1" applyBorder="1" applyAlignment="1">
      <x:alignment vertical="center" wrapText="1"/>
    </x:xf>
    <x:xf numFmtId="0" fontId="19" fillId="7" borderId="0" xfId="0" applyNumberFormat="1" applyFont="1" applyFill="1" applyBorder="1" applyAlignment="1">
      <x:alignment vertical="center" wrapText="1"/>
    </x:xf>
    <x:xf numFmtId="0" fontId="19" fillId="7" borderId="39" xfId="0" applyNumberFormat="1" applyFont="1" applyFill="1" applyBorder="1" applyAlignment="1">
      <x:alignment vertical="center" wrapText="1"/>
    </x:xf>
    <x:xf numFmtId="0" fontId="19" fillId="7" borderId="40" xfId="0" applyNumberFormat="1" applyFont="1" applyFill="1" applyBorder="1" applyAlignment="1">
      <x:alignment vertical="center" wrapText="1"/>
    </x:xf>
    <x:xf numFmtId="0" fontId="19" fillId="7" borderId="29" xfId="0" applyNumberFormat="1" applyFont="1" applyFill="1" applyBorder="1" applyAlignment="1">
      <x:alignment vertical="center" wrapText="1"/>
    </x:xf>
    <x:xf numFmtId="0" fontId="19" fillId="7" borderId="41" xfId="0" applyNumberFormat="1" applyFont="1" applyFill="1" applyBorder="1" applyAlignment="1">
      <x:alignment vertical="center" wrapText="1"/>
    </x:xf>
    <x:xf numFmtId="0" fontId="19" fillId="7" borderId="35" xfId="0" applyNumberFormat="1" applyFont="1" applyFill="1" applyBorder="1" applyAlignment="1">
      <x:alignment horizontal="left" vertical="center" wrapText="1"/>
    </x:xf>
    <x:xf numFmtId="0" fontId="19" fillId="7" borderId="36" xfId="0" applyNumberFormat="1" applyFont="1" applyFill="1" applyBorder="1" applyAlignment="1">
      <x:alignment horizontal="left" vertical="center" wrapText="1"/>
    </x:xf>
    <x:xf numFmtId="0" fontId="19" fillId="7" borderId="37" xfId="0" applyNumberFormat="1" applyFont="1" applyFill="1" applyBorder="1" applyAlignment="1">
      <x:alignment horizontal="left" vertical="center" wrapText="1"/>
    </x:xf>
    <x:xf numFmtId="0" fontId="19" fillId="7" borderId="38" xfId="0" applyNumberFormat="1" applyFont="1" applyFill="1" applyBorder="1" applyAlignment="1">
      <x:alignment horizontal="left" vertical="center" wrapText="1"/>
    </x:xf>
    <x:xf numFmtId="0" fontId="19" fillId="7" borderId="0" xfId="0" applyNumberFormat="1" applyFont="1" applyFill="1" applyBorder="1" applyAlignment="1">
      <x:alignment horizontal="left" vertical="center" wrapText="1"/>
    </x:xf>
    <x:xf numFmtId="0" fontId="19" fillId="7" borderId="39" xfId="0" applyNumberFormat="1" applyFont="1" applyFill="1" applyBorder="1" applyAlignment="1">
      <x:alignment horizontal="left" vertical="center" wrapText="1"/>
    </x:xf>
    <x:xf numFmtId="0" fontId="19" fillId="7" borderId="40" xfId="0" applyNumberFormat="1" applyFont="1" applyFill="1" applyBorder="1" applyAlignment="1">
      <x:alignment horizontal="left" vertical="center" wrapText="1"/>
    </x:xf>
    <x:xf numFmtId="0" fontId="19" fillId="7" borderId="29" xfId="0" applyNumberFormat="1" applyFont="1" applyFill="1" applyBorder="1" applyAlignment="1">
      <x:alignment horizontal="left" vertical="center" wrapText="1"/>
    </x:xf>
    <x:xf numFmtId="0" fontId="19" fillId="7" borderId="41" xfId="0" applyNumberFormat="1" applyFont="1" applyFill="1" applyBorder="1" applyAlignment="1">
      <x:alignment horizontal="left" vertical="center" wrapText="1"/>
    </x:xf>
    <x:xf numFmtId="0" fontId="19" fillId="7" borderId="35" xfId="0" applyNumberFormat="1" applyFont="1" applyFill="1" applyBorder="1" applyAlignment="1">
      <x:alignment horizontal="left" vertical="top" wrapText="1"/>
    </x:xf>
    <x:xf numFmtId="0" fontId="19" fillId="7" borderId="36" xfId="0" applyNumberFormat="1" applyFont="1" applyFill="1" applyBorder="1" applyAlignment="1">
      <x:alignment horizontal="left" vertical="top" wrapText="1"/>
    </x:xf>
    <x:xf numFmtId="0" fontId="19" fillId="7" borderId="37" xfId="0" applyNumberFormat="1" applyFont="1" applyFill="1" applyBorder="1" applyAlignment="1">
      <x:alignment horizontal="left" vertical="top" wrapText="1"/>
    </x:xf>
    <x:xf numFmtId="0" fontId="19" fillId="7" borderId="38" xfId="0" applyNumberFormat="1" applyFont="1" applyFill="1" applyBorder="1" applyAlignment="1">
      <x:alignment horizontal="left" vertical="top" wrapText="1"/>
    </x:xf>
    <x:xf numFmtId="0" fontId="19" fillId="7" borderId="0" xfId="0" applyNumberFormat="1" applyFont="1" applyFill="1" applyBorder="1" applyAlignment="1">
      <x:alignment horizontal="left" vertical="top" wrapText="1"/>
    </x:xf>
    <x:xf numFmtId="0" fontId="19" fillId="7" borderId="39" xfId="0" applyNumberFormat="1" applyFont="1" applyFill="1" applyBorder="1" applyAlignment="1">
      <x:alignment horizontal="left" vertical="top" wrapText="1"/>
    </x:xf>
    <x:xf numFmtId="0" fontId="19" fillId="7" borderId="40" xfId="0" applyNumberFormat="1" applyFont="1" applyFill="1" applyBorder="1" applyAlignment="1">
      <x:alignment horizontal="left" vertical="top" wrapText="1"/>
    </x:xf>
    <x:xf numFmtId="0" fontId="19" fillId="7" borderId="29" xfId="0" applyNumberFormat="1" applyFont="1" applyFill="1" applyBorder="1" applyAlignment="1">
      <x:alignment horizontal="left" vertical="top" wrapText="1"/>
    </x:xf>
    <x:xf numFmtId="0" fontId="19" fillId="7" borderId="41" xfId="0" applyNumberFormat="1" applyFont="1" applyFill="1" applyBorder="1" applyAlignment="1">
      <x:alignment horizontal="left" vertical="top" wrapText="1"/>
    </x:xf>
    <x:xf numFmtId="0" fontId="14" fillId="2" borderId="21" xfId="0" applyNumberFormat="1" applyFont="1" applyFill="1" applyBorder="1" applyAlignment="1">
      <x:alignment vertical="center"/>
    </x:xf>
    <x:xf numFmtId="0" fontId="14" fillId="2" borderId="22" xfId="0" applyNumberFormat="1" applyFont="1" applyFill="1" applyBorder="1" applyAlignment="1">
      <x:alignment vertical="center"/>
    </x:xf>
    <x:xf numFmtId="0" fontId="14" fillId="2" borderId="23" xfId="0" applyNumberFormat="1" applyFont="1" applyFill="1" applyBorder="1" applyAlignment="1">
      <x:alignment vertical="center"/>
    </x:xf>
    <x:xf numFmtId="0" fontId="14" fillId="2" borderId="24" xfId="0" applyNumberFormat="1" applyFont="1" applyFill="1" applyBorder="1" applyAlignment="1">
      <x:alignment vertical="center"/>
    </x:xf>
    <x:xf numFmtId="0" fontId="14" fillId="2" borderId="25" xfId="0" applyNumberFormat="1" applyFont="1" applyFill="1" applyBorder="1" applyAlignment="1">
      <x:alignment vertical="center"/>
    </x:xf>
    <x:xf numFmtId="0" fontId="14" fillId="2" borderId="26" xfId="0" applyNumberFormat="1" applyFont="1" applyFill="1" applyBorder="1" applyAlignment="1">
      <x:alignment vertical="center"/>
    </x:xf>
    <x:xf numFmtId="0" fontId="14" fillId="2" borderId="27" xfId="0" applyNumberFormat="1" applyFont="1" applyFill="1" applyBorder="1" applyAlignment="1">
      <x:alignment vertical="center"/>
    </x:xf>
    <x:xf numFmtId="0" fontId="14" fillId="2" borderId="28" xfId="0" applyNumberFormat="1" applyFont="1" applyFill="1" applyBorder="1" applyAlignment="1">
      <x:alignment vertical="center"/>
    </x:xf>
    <x:xf numFmtId="0" fontId="14" fillId="2" borderId="21" xfId="0" applyNumberFormat="1" applyFont="1" applyFill="1" applyBorder="1" applyAlignment="1">
      <x:alignment vertical="center" wrapText="1"/>
    </x:xf>
    <x:xf numFmtId="0" fontId="14" fillId="2" borderId="22" xfId="0" applyNumberFormat="1" applyFont="1" applyFill="1" applyBorder="1" applyAlignment="1">
      <x:alignment vertical="center" wrapText="1"/>
    </x:xf>
    <x:xf numFmtId="0" fontId="14" fillId="2" borderId="23" xfId="0" applyNumberFormat="1" applyFont="1" applyFill="1" applyBorder="1" applyAlignment="1">
      <x:alignment vertical="center" wrapText="1"/>
    </x:xf>
    <x:xf numFmtId="0" fontId="14" fillId="2" borderId="24" xfId="0" applyNumberFormat="1" applyFont="1" applyFill="1" applyBorder="1" applyAlignment="1">
      <x:alignment vertical="center" wrapText="1"/>
    </x:xf>
    <x:xf numFmtId="0" fontId="14" fillId="2" borderId="25" xfId="0" applyNumberFormat="1" applyFont="1" applyFill="1" applyBorder="1" applyAlignment="1">
      <x:alignment vertical="center" wrapText="1"/>
    </x:xf>
    <x:xf numFmtId="0" fontId="14" fillId="2" borderId="26" xfId="0" applyNumberFormat="1" applyFont="1" applyFill="1" applyBorder="1" applyAlignment="1">
      <x:alignment vertical="center" wrapText="1"/>
    </x:xf>
    <x:xf numFmtId="0" fontId="14" fillId="2" borderId="27" xfId="0" applyNumberFormat="1" applyFont="1" applyFill="1" applyBorder="1" applyAlignment="1">
      <x:alignment vertical="center" wrapText="1"/>
    </x:xf>
    <x:xf numFmtId="0" fontId="14" fillId="2" borderId="28" xfId="0" applyNumberFormat="1" applyFont="1" applyFill="1" applyBorder="1" applyAlignment="1">
      <x:alignment vertical="center" wrapText="1"/>
    </x:xf>
    <x:xf numFmtId="0" fontId="14" fillId="2" borderId="21" xfId="0" applyNumberFormat="1" applyFont="1" applyFill="1" applyBorder="1" applyAlignment="1">
      <x:alignment horizontal="left" vertical="center" wrapText="1"/>
    </x:xf>
    <x:xf numFmtId="0" fontId="14" fillId="2" borderId="22" xfId="0" applyNumberFormat="1" applyFont="1" applyFill="1" applyBorder="1" applyAlignment="1">
      <x:alignment horizontal="left" vertical="center" wrapText="1"/>
    </x:xf>
    <x:xf numFmtId="0" fontId="14" fillId="2" borderId="23" xfId="0" applyNumberFormat="1" applyFont="1" applyFill="1" applyBorder="1" applyAlignment="1">
      <x:alignment horizontal="left" vertical="center" wrapText="1"/>
    </x:xf>
    <x:xf numFmtId="0" fontId="14" fillId="2" borderId="24" xfId="0" applyNumberFormat="1" applyFont="1" applyFill="1" applyBorder="1" applyAlignment="1">
      <x:alignment horizontal="left" vertical="center" wrapText="1"/>
    </x:xf>
    <x:xf numFmtId="0" fontId="14" fillId="2" borderId="25" xfId="0" applyNumberFormat="1" applyFont="1" applyFill="1" applyBorder="1" applyAlignment="1">
      <x:alignment horizontal="left" vertical="center" wrapText="1"/>
    </x:xf>
    <x:xf numFmtId="0" fontId="14" fillId="2" borderId="26" xfId="0" applyNumberFormat="1" applyFont="1" applyFill="1" applyBorder="1" applyAlignment="1">
      <x:alignment horizontal="left" vertical="center" wrapText="1"/>
    </x:xf>
    <x:xf numFmtId="0" fontId="14" fillId="2" borderId="27" xfId="0" applyNumberFormat="1" applyFont="1" applyFill="1" applyBorder="1" applyAlignment="1">
      <x:alignment horizontal="left" vertical="center" wrapText="1"/>
    </x:xf>
    <x:xf numFmtId="0" fontId="14" fillId="2" borderId="28" xfId="0" applyNumberFormat="1" applyFont="1" applyFill="1" applyBorder="1" applyAlignment="1">
      <x:alignment horizontal="left" vertical="center" wrapText="1"/>
    </x:xf>
    <x:xf numFmtId="0" fontId="14" fillId="2" borderId="21" xfId="0" applyNumberFormat="1" applyFont="1" applyFill="1" applyBorder="1" applyAlignment="1">
      <x:alignment horizontal="left" vertical="top" wrapText="1"/>
    </x:xf>
    <x:xf numFmtId="0" fontId="14" fillId="2" borderId="22" xfId="0" applyNumberFormat="1" applyFont="1" applyFill="1" applyBorder="1" applyAlignment="1">
      <x:alignment horizontal="left" vertical="top" wrapText="1"/>
    </x:xf>
    <x:xf numFmtId="0" fontId="14" fillId="2" borderId="23" xfId="0" applyNumberFormat="1" applyFont="1" applyFill="1" applyBorder="1" applyAlignment="1">
      <x:alignment horizontal="left" vertical="top" wrapText="1"/>
    </x:xf>
    <x:xf numFmtId="0" fontId="14" fillId="2" borderId="24" xfId="0" applyNumberFormat="1" applyFont="1" applyFill="1" applyBorder="1" applyAlignment="1">
      <x:alignment horizontal="left" vertical="top" wrapText="1"/>
    </x:xf>
    <x:xf numFmtId="0" fontId="14" fillId="2" borderId="25" xfId="0" applyNumberFormat="1" applyFont="1" applyFill="1" applyBorder="1" applyAlignment="1">
      <x:alignment horizontal="left" vertical="top" wrapText="1"/>
    </x:xf>
    <x:xf numFmtId="0" fontId="14" fillId="2" borderId="26" xfId="0" applyNumberFormat="1" applyFont="1" applyFill="1" applyBorder="1" applyAlignment="1">
      <x:alignment horizontal="left" vertical="top" wrapText="1"/>
    </x:xf>
    <x:xf numFmtId="0" fontId="14" fillId="2" borderId="27" xfId="0" applyNumberFormat="1" applyFont="1" applyFill="1" applyBorder="1" applyAlignment="1">
      <x:alignment horizontal="left" vertical="top" wrapText="1"/>
    </x:xf>
    <x:xf numFmtId="0" fontId="14" fillId="2" borderId="28" xfId="0" applyNumberFormat="1" applyFont="1" applyFill="1" applyBorder="1" applyAlignment="1">
      <x:alignment horizontal="left" vertical="top" wrapText="1"/>
    </x:xf>
    <x:xf numFmtId="0" fontId="11" fillId="8" borderId="30" xfId="0" applyNumberFormat="1" applyFont="1" applyFill="1" applyBorder="1" applyAlignment="1">
      <x:alignment vertical="center" wrapText="1"/>
    </x:xf>
    <x:xf numFmtId="0" fontId="13" fillId="8" borderId="30" xfId="0" applyNumberFormat="1" applyFont="1" applyFill="1" applyBorder="1" applyAlignment="1">
      <x:alignment vertical="center" wrapText="1"/>
    </x:xf>
    <x:xf numFmtId="0" fontId="13" fillId="8" borderId="30" xfId="0" applyNumberFormat="1" applyFont="1" applyFill="1" applyBorder="1" applyAlignment="1">
      <x:alignment horizontal="center" vertical="center" wrapText="1"/>
    </x:xf>
    <x:xf numFmtId="0" fontId="23" fillId="7" borderId="0" xfId="0" applyNumberFormat="1" applyFont="1" applyFill="1" applyBorder="1" applyAlignment="1">
      <x:alignment vertical="center"/>
    </x:xf>
    <x:xf numFmtId="0" fontId="23" fillId="7" borderId="35" xfId="0" applyNumberFormat="1" applyFont="1" applyFill="1" applyBorder="1" applyAlignment="1">
      <x:alignment vertical="center"/>
    </x:xf>
    <x:xf numFmtId="0" fontId="23" fillId="7" borderId="36" xfId="0" applyNumberFormat="1" applyFont="1" applyFill="1" applyBorder="1" applyAlignment="1">
      <x:alignment vertical="center"/>
    </x:xf>
    <x:xf numFmtId="0" fontId="23" fillId="7" borderId="37" xfId="0" applyNumberFormat="1" applyFont="1" applyFill="1" applyBorder="1" applyAlignment="1">
      <x:alignment vertical="center"/>
    </x:xf>
    <x:xf numFmtId="0" fontId="23" fillId="7" borderId="38" xfId="0" applyNumberFormat="1" applyFont="1" applyFill="1" applyBorder="1" applyAlignment="1">
      <x:alignment vertical="center"/>
    </x:xf>
    <x:xf numFmtId="0" fontId="23" fillId="7" borderId="39" xfId="0" applyNumberFormat="1" applyFont="1" applyFill="1" applyBorder="1" applyAlignment="1">
      <x:alignment vertical="center"/>
    </x:xf>
    <x:xf numFmtId="0" fontId="23" fillId="7" borderId="40" xfId="0" applyNumberFormat="1" applyFont="1" applyFill="1" applyBorder="1" applyAlignment="1">
      <x:alignment vertical="center"/>
    </x:xf>
    <x:xf numFmtId="0" fontId="23" fillId="7" borderId="29" xfId="0" applyNumberFormat="1" applyFont="1" applyFill="1" applyBorder="1" applyAlignment="1">
      <x:alignment vertical="center"/>
    </x:xf>
    <x:xf numFmtId="0" fontId="23" fillId="7" borderId="41" xfId="0" applyNumberFormat="1" applyFont="1" applyFill="1" applyBorder="1" applyAlignment="1">
      <x:alignment vertical="center"/>
    </x:xf>
    <x:xf numFmtId="0" fontId="23" fillId="7" borderId="35" xfId="0" applyNumberFormat="1" applyFont="1" applyFill="1" applyBorder="1" applyAlignment="1">
      <x:alignment vertical="center" wrapText="1"/>
    </x:xf>
    <x:xf numFmtId="0" fontId="23" fillId="7" borderId="36" xfId="0" applyNumberFormat="1" applyFont="1" applyFill="1" applyBorder="1" applyAlignment="1">
      <x:alignment vertical="center" wrapText="1"/>
    </x:xf>
    <x:xf numFmtId="0" fontId="23" fillId="7" borderId="37" xfId="0" applyNumberFormat="1" applyFont="1" applyFill="1" applyBorder="1" applyAlignment="1">
      <x:alignment vertical="center" wrapText="1"/>
    </x:xf>
    <x:xf numFmtId="0" fontId="23" fillId="7" borderId="38" xfId="0" applyNumberFormat="1" applyFont="1" applyFill="1" applyBorder="1" applyAlignment="1">
      <x:alignment vertical="center" wrapText="1"/>
    </x:xf>
    <x:xf numFmtId="0" fontId="23" fillId="7" borderId="0" xfId="0" applyNumberFormat="1" applyFont="1" applyFill="1" applyBorder="1" applyAlignment="1">
      <x:alignment vertical="center" wrapText="1"/>
    </x:xf>
    <x:xf numFmtId="0" fontId="23" fillId="7" borderId="39" xfId="0" applyNumberFormat="1" applyFont="1" applyFill="1" applyBorder="1" applyAlignment="1">
      <x:alignment vertical="center" wrapText="1"/>
    </x:xf>
    <x:xf numFmtId="0" fontId="23" fillId="7" borderId="40" xfId="0" applyNumberFormat="1" applyFont="1" applyFill="1" applyBorder="1" applyAlignment="1">
      <x:alignment vertical="center" wrapText="1"/>
    </x:xf>
    <x:xf numFmtId="0" fontId="23" fillId="7" borderId="29" xfId="0" applyNumberFormat="1" applyFont="1" applyFill="1" applyBorder="1" applyAlignment="1">
      <x:alignment vertical="center" wrapText="1"/>
    </x:xf>
    <x:xf numFmtId="0" fontId="23" fillId="7" borderId="41" xfId="0" applyNumberFormat="1" applyFont="1" applyFill="1" applyBorder="1" applyAlignment="1">
      <x:alignment vertical="center" wrapText="1"/>
    </x:xf>
    <x:xf numFmtId="0" fontId="23" fillId="7" borderId="35" xfId="0" applyNumberFormat="1" applyFont="1" applyFill="1" applyBorder="1" applyAlignment="1">
      <x:alignment horizontal="center" vertical="center" wrapText="1"/>
    </x:xf>
    <x:xf numFmtId="0" fontId="23" fillId="7" borderId="36" xfId="0" applyNumberFormat="1" applyFont="1" applyFill="1" applyBorder="1" applyAlignment="1">
      <x:alignment horizontal="center" vertical="center" wrapText="1"/>
    </x:xf>
    <x:xf numFmtId="0" fontId="23" fillId="7" borderId="37" xfId="0" applyNumberFormat="1" applyFont="1" applyFill="1" applyBorder="1" applyAlignment="1">
      <x:alignment horizontal="center" vertical="center" wrapText="1"/>
    </x:xf>
    <x:xf numFmtId="0" fontId="23" fillId="7" borderId="38" xfId="0" applyNumberFormat="1" applyFont="1" applyFill="1" applyBorder="1" applyAlignment="1">
      <x:alignment horizontal="center" vertical="center" wrapText="1"/>
    </x:xf>
    <x:xf numFmtId="0" fontId="23" fillId="7" borderId="0" xfId="0" applyNumberFormat="1" applyFont="1" applyFill="1" applyBorder="1" applyAlignment="1">
      <x:alignment horizontal="center" vertical="center" wrapText="1"/>
    </x:xf>
    <x:xf numFmtId="0" fontId="23" fillId="7" borderId="39" xfId="0" applyNumberFormat="1" applyFont="1" applyFill="1" applyBorder="1" applyAlignment="1">
      <x:alignment horizontal="center" vertical="center" wrapText="1"/>
    </x:xf>
    <x:xf numFmtId="0" fontId="23" fillId="7" borderId="40" xfId="0" applyNumberFormat="1" applyFont="1" applyFill="1" applyBorder="1" applyAlignment="1">
      <x:alignment horizontal="center" vertical="center" wrapText="1"/>
    </x:xf>
    <x:xf numFmtId="0" fontId="23" fillId="7" borderId="29" xfId="0" applyNumberFormat="1" applyFont="1" applyFill="1" applyBorder="1" applyAlignment="1">
      <x:alignment horizontal="center" vertical="center" wrapText="1"/>
    </x:xf>
    <x:xf numFmtId="0" fontId="23" fillId="7" borderId="41" xfId="0" applyNumberFormat="1" applyFont="1" applyFill="1" applyBorder="1" applyAlignment="1">
      <x:alignment horizontal="center" vertical="center" wrapText="1"/>
    </x:xf>
    <x:xf numFmtId="0" fontId="24" fillId="6" borderId="0" xfId="0" applyNumberFormat="1" applyFont="1" applyFill="1" applyBorder="1" applyAlignment="1">
      <x:alignment vertical="center"/>
    </x:xf>
    <x:xf numFmtId="0" fontId="24" fillId="6" borderId="15" xfId="0" applyNumberFormat="1" applyFont="1" applyFill="1" applyBorder="1" applyAlignment="1">
      <x:alignment vertical="center"/>
    </x:xf>
    <x:xf numFmtId="0" fontId="24" fillId="6" borderId="16" xfId="0" applyNumberFormat="1" applyFont="1" applyFill="1" applyBorder="1" applyAlignment="1">
      <x:alignment vertical="center"/>
    </x:xf>
    <x:xf numFmtId="0" fontId="24" fillId="6" borderId="17" xfId="0" applyNumberFormat="1" applyFont="1" applyFill="1" applyBorder="1" applyAlignment="1">
      <x:alignment vertical="center"/>
    </x:xf>
    <x:xf numFmtId="0" fontId="24" fillId="6" borderId="33" xfId="0" applyNumberFormat="1" applyFont="1" applyFill="1" applyBorder="1" applyAlignment="1">
      <x:alignment vertical="center"/>
    </x:xf>
    <x:xf numFmtId="0" fontId="24" fillId="6" borderId="34" xfId="0" applyNumberFormat="1" applyFont="1" applyFill="1" applyBorder="1" applyAlignment="1">
      <x:alignment vertical="center"/>
    </x:xf>
    <x:xf numFmtId="0" fontId="24" fillId="6" borderId="18" xfId="0" applyNumberFormat="1" applyFont="1" applyFill="1" applyBorder="1" applyAlignment="1">
      <x:alignment vertical="center"/>
    </x:xf>
    <x:xf numFmtId="0" fontId="24" fillId="6" borderId="19" xfId="0" applyNumberFormat="1" applyFont="1" applyFill="1" applyBorder="1" applyAlignment="1">
      <x:alignment vertical="center"/>
    </x:xf>
    <x:xf numFmtId="0" fontId="24" fillId="6" borderId="20" xfId="0" applyNumberFormat="1" applyFont="1" applyFill="1" applyBorder="1" applyAlignment="1">
      <x:alignment vertical="center"/>
    </x:xf>
    <x:xf numFmtId="0" fontId="24" fillId="6" borderId="15" xfId="0" applyNumberFormat="1" applyFont="1" applyFill="1" applyBorder="1" applyAlignment="1">
      <x:alignment vertical="center" wrapText="1"/>
    </x:xf>
    <x:xf numFmtId="0" fontId="24" fillId="6" borderId="16" xfId="0" applyNumberFormat="1" applyFont="1" applyFill="1" applyBorder="1" applyAlignment="1">
      <x:alignment vertical="center" wrapText="1"/>
    </x:xf>
    <x:xf numFmtId="0" fontId="24" fillId="6" borderId="17" xfId="0" applyNumberFormat="1" applyFont="1" applyFill="1" applyBorder="1" applyAlignment="1">
      <x:alignment vertical="center" wrapText="1"/>
    </x:xf>
    <x:xf numFmtId="0" fontId="24" fillId="6" borderId="33" xfId="0" applyNumberFormat="1" applyFont="1" applyFill="1" applyBorder="1" applyAlignment="1">
      <x:alignment vertical="center" wrapText="1"/>
    </x:xf>
    <x:xf numFmtId="0" fontId="24" fillId="6" borderId="0" xfId="0" applyNumberFormat="1" applyFont="1" applyFill="1" applyBorder="1" applyAlignment="1">
      <x:alignment vertical="center" wrapText="1"/>
    </x:xf>
    <x:xf numFmtId="0" fontId="24" fillId="6" borderId="34" xfId="0" applyNumberFormat="1" applyFont="1" applyFill="1" applyBorder="1" applyAlignment="1">
      <x:alignment vertical="center" wrapText="1"/>
    </x:xf>
    <x:xf numFmtId="0" fontId="24" fillId="6" borderId="18" xfId="0" applyNumberFormat="1" applyFont="1" applyFill="1" applyBorder="1" applyAlignment="1">
      <x:alignment vertical="center" wrapText="1"/>
    </x:xf>
    <x:xf numFmtId="0" fontId="24" fillId="6" borderId="19" xfId="0" applyNumberFormat="1" applyFont="1" applyFill="1" applyBorder="1" applyAlignment="1">
      <x:alignment vertical="center" wrapText="1"/>
    </x:xf>
    <x:xf numFmtId="0" fontId="24" fillId="6" borderId="20" xfId="0" applyNumberFormat="1" applyFont="1" applyFill="1" applyBorder="1" applyAlignment="1">
      <x:alignment vertical="center" wrapText="1"/>
    </x:xf>
    <x:xf numFmtId="0" fontId="24" fillId="6" borderId="15" xfId="0" applyNumberFormat="1" applyFont="1" applyFill="1" applyBorder="1" applyAlignment="1">
      <x:alignment horizontal="left" vertical="center" wrapText="1"/>
    </x:xf>
    <x:xf numFmtId="0" fontId="24" fillId="6" borderId="16" xfId="0" applyNumberFormat="1" applyFont="1" applyFill="1" applyBorder="1" applyAlignment="1">
      <x:alignment horizontal="left" vertical="center" wrapText="1"/>
    </x:xf>
    <x:xf numFmtId="0" fontId="24" fillId="6" borderId="17" xfId="0" applyNumberFormat="1" applyFont="1" applyFill="1" applyBorder="1" applyAlignment="1">
      <x:alignment horizontal="left" vertical="center" wrapText="1"/>
    </x:xf>
    <x:xf numFmtId="0" fontId="24" fillId="6" borderId="33" xfId="0" applyNumberFormat="1" applyFont="1" applyFill="1" applyBorder="1" applyAlignment="1">
      <x:alignment horizontal="left" vertical="center" wrapText="1"/>
    </x:xf>
    <x:xf numFmtId="0" fontId="24" fillId="6" borderId="0" xfId="0" applyNumberFormat="1" applyFont="1" applyFill="1" applyBorder="1" applyAlignment="1">
      <x:alignment horizontal="left" vertical="center" wrapText="1"/>
    </x:xf>
    <x:xf numFmtId="0" fontId="24" fillId="6" borderId="34" xfId="0" applyNumberFormat="1" applyFont="1" applyFill="1" applyBorder="1" applyAlignment="1">
      <x:alignment horizontal="left" vertical="center" wrapText="1"/>
    </x:xf>
    <x:xf numFmtId="0" fontId="24" fillId="6" borderId="18" xfId="0" applyNumberFormat="1" applyFont="1" applyFill="1" applyBorder="1" applyAlignment="1">
      <x:alignment horizontal="left" vertical="center" wrapText="1"/>
    </x:xf>
    <x:xf numFmtId="0" fontId="24" fillId="6" borderId="19" xfId="0" applyNumberFormat="1" applyFont="1" applyFill="1" applyBorder="1" applyAlignment="1">
      <x:alignment horizontal="left" vertical="center" wrapText="1"/>
    </x:xf>
    <x:xf numFmtId="0" fontId="24" fillId="6" borderId="20" xfId="0" applyNumberFormat="1" applyFont="1" applyFill="1" applyBorder="1" applyAlignment="1">
      <x:alignment horizontal="left" vertical="center" wrapText="1"/>
    </x:xf>
    <x:xf numFmtId="0" fontId="24" fillId="6" borderId="15" xfId="0" applyNumberFormat="1" applyFont="1" applyFill="1" applyBorder="1" applyAlignment="1">
      <x:alignment horizontal="left" vertical="top" wrapText="1"/>
    </x:xf>
    <x:xf numFmtId="0" fontId="24" fillId="6" borderId="16" xfId="0" applyNumberFormat="1" applyFont="1" applyFill="1" applyBorder="1" applyAlignment="1">
      <x:alignment horizontal="left" vertical="top" wrapText="1"/>
    </x:xf>
    <x:xf numFmtId="0" fontId="24" fillId="6" borderId="17" xfId="0" applyNumberFormat="1" applyFont="1" applyFill="1" applyBorder="1" applyAlignment="1">
      <x:alignment horizontal="left" vertical="top" wrapText="1"/>
    </x:xf>
    <x:xf numFmtId="0" fontId="24" fillId="6" borderId="33" xfId="0" applyNumberFormat="1" applyFont="1" applyFill="1" applyBorder="1" applyAlignment="1">
      <x:alignment horizontal="left" vertical="top" wrapText="1"/>
    </x:xf>
    <x:xf numFmtId="0" fontId="24" fillId="6" borderId="0" xfId="0" applyNumberFormat="1" applyFont="1" applyFill="1" applyBorder="1" applyAlignment="1">
      <x:alignment horizontal="left" vertical="top" wrapText="1"/>
    </x:xf>
    <x:xf numFmtId="0" fontId="24" fillId="6" borderId="34" xfId="0" applyNumberFormat="1" applyFont="1" applyFill="1" applyBorder="1" applyAlignment="1">
      <x:alignment horizontal="left" vertical="top" wrapText="1"/>
    </x:xf>
    <x:xf numFmtId="0" fontId="24" fillId="6" borderId="18" xfId="0" applyNumberFormat="1" applyFont="1" applyFill="1" applyBorder="1" applyAlignment="1">
      <x:alignment horizontal="left" vertical="top" wrapText="1"/>
    </x:xf>
    <x:xf numFmtId="0" fontId="24" fillId="6" borderId="19" xfId="0" applyNumberFormat="1" applyFont="1" applyFill="1" applyBorder="1" applyAlignment="1">
      <x:alignment horizontal="left" vertical="top" wrapText="1"/>
    </x:xf>
    <x:xf numFmtId="0" fontId="24" fillId="6" borderId="20" xfId="0" applyNumberFormat="1" applyFont="1" applyFill="1" applyBorder="1" applyAlignment="1">
      <x:alignment horizontal="left" vertical="top" wrapText="1"/>
    </x:xf>
    <x:xf numFmtId="0" fontId="7" fillId="8" borderId="0" xfId="0" applyNumberFormat="1" applyFont="1" applyFill="1" applyBorder="1" applyAlignment="1">
      <x:alignment vertical="center"/>
    </x:xf>
    <x:xf numFmtId="0" fontId="7" fillId="8" borderId="35" xfId="0" applyNumberFormat="1" applyFont="1" applyFill="1" applyBorder="1" applyAlignment="1">
      <x:alignment vertical="center"/>
    </x:xf>
    <x:xf numFmtId="0" fontId="7" fillId="8" borderId="36" xfId="0" applyNumberFormat="1" applyFont="1" applyFill="1" applyBorder="1" applyAlignment="1">
      <x:alignment vertical="center"/>
    </x:xf>
    <x:xf numFmtId="0" fontId="7" fillId="8" borderId="37" xfId="0" applyNumberFormat="1" applyFont="1" applyFill="1" applyBorder="1" applyAlignment="1">
      <x:alignment vertical="center"/>
    </x:xf>
    <x:xf numFmtId="0" fontId="7" fillId="8" borderId="38" xfId="0" applyNumberFormat="1" applyFont="1" applyFill="1" applyBorder="1" applyAlignment="1">
      <x:alignment vertical="center"/>
    </x:xf>
    <x:xf numFmtId="0" fontId="7" fillId="8" borderId="39" xfId="0" applyNumberFormat="1" applyFont="1" applyFill="1" applyBorder="1" applyAlignment="1">
      <x:alignment vertical="center"/>
    </x:xf>
    <x:xf numFmtId="0" fontId="7" fillId="8" borderId="40" xfId="0" applyNumberFormat="1" applyFont="1" applyFill="1" applyBorder="1" applyAlignment="1">
      <x:alignment vertical="center"/>
    </x:xf>
    <x:xf numFmtId="0" fontId="7" fillId="8" borderId="29" xfId="0" applyNumberFormat="1" applyFont="1" applyFill="1" applyBorder="1" applyAlignment="1">
      <x:alignment vertical="center"/>
    </x:xf>
    <x:xf numFmtId="0" fontId="7" fillId="8" borderId="41" xfId="0" applyNumberFormat="1" applyFont="1" applyFill="1" applyBorder="1" applyAlignment="1">
      <x:alignment vertical="center"/>
    </x:xf>
    <x:xf numFmtId="0" fontId="7" fillId="8" borderId="35" xfId="0" applyNumberFormat="1" applyFont="1" applyFill="1" applyBorder="1" applyAlignment="1">
      <x:alignment vertical="center" wrapText="1"/>
    </x:xf>
    <x:xf numFmtId="0" fontId="7" fillId="8" borderId="36" xfId="0" applyNumberFormat="1" applyFont="1" applyFill="1" applyBorder="1" applyAlignment="1">
      <x:alignment vertical="center" wrapText="1"/>
    </x:xf>
    <x:xf numFmtId="0" fontId="7" fillId="8" borderId="37" xfId="0" applyNumberFormat="1" applyFont="1" applyFill="1" applyBorder="1" applyAlignment="1">
      <x:alignment vertical="center" wrapText="1"/>
    </x:xf>
    <x:xf numFmtId="0" fontId="7" fillId="8" borderId="38" xfId="0" applyNumberFormat="1" applyFont="1" applyFill="1" applyBorder="1" applyAlignment="1">
      <x:alignment vertical="center" wrapText="1"/>
    </x:xf>
    <x:xf numFmtId="0" fontId="7" fillId="8" borderId="0" xfId="0" applyNumberFormat="1" applyFont="1" applyFill="1" applyBorder="1" applyAlignment="1">
      <x:alignment vertical="center" wrapText="1"/>
    </x:xf>
    <x:xf numFmtId="0" fontId="7" fillId="8" borderId="39" xfId="0" applyNumberFormat="1" applyFont="1" applyFill="1" applyBorder="1" applyAlignment="1">
      <x:alignment vertical="center" wrapText="1"/>
    </x:xf>
    <x:xf numFmtId="0" fontId="7" fillId="8" borderId="40" xfId="0" applyNumberFormat="1" applyFont="1" applyFill="1" applyBorder="1" applyAlignment="1">
      <x:alignment vertical="center" wrapText="1"/>
    </x:xf>
    <x:xf numFmtId="0" fontId="7" fillId="8" borderId="29" xfId="0" applyNumberFormat="1" applyFont="1" applyFill="1" applyBorder="1" applyAlignment="1">
      <x:alignment vertical="center" wrapText="1"/>
    </x:xf>
    <x:xf numFmtId="0" fontId="7" fillId="8" borderId="41" xfId="0" applyNumberFormat="1" applyFont="1" applyFill="1" applyBorder="1" applyAlignment="1">
      <x:alignment vertical="center" wrapText="1"/>
    </x:xf>
    <x:xf numFmtId="0" fontId="7" fillId="8" borderId="35" xfId="0" applyNumberFormat="1" applyFont="1" applyFill="1" applyBorder="1" applyAlignment="1">
      <x:alignment horizontal="center" vertical="center" wrapText="1"/>
    </x:xf>
    <x:xf numFmtId="0" fontId="7" fillId="8" borderId="36" xfId="0" applyNumberFormat="1" applyFont="1" applyFill="1" applyBorder="1" applyAlignment="1">
      <x:alignment horizontal="center" vertical="center" wrapText="1"/>
    </x:xf>
    <x:xf numFmtId="0" fontId="7" fillId="8" borderId="37" xfId="0" applyNumberFormat="1" applyFont="1" applyFill="1" applyBorder="1" applyAlignment="1">
      <x:alignment horizontal="center" vertical="center" wrapText="1"/>
    </x:xf>
    <x:xf numFmtId="0" fontId="7" fillId="8" borderId="38" xfId="0" applyNumberFormat="1" applyFont="1" applyFill="1" applyBorder="1" applyAlignment="1">
      <x:alignment horizontal="center" vertical="center" wrapText="1"/>
    </x:xf>
    <x:xf numFmtId="0" fontId="7" fillId="8" borderId="0" xfId="0" applyNumberFormat="1" applyFont="1" applyFill="1" applyBorder="1" applyAlignment="1">
      <x:alignment horizontal="center" vertical="center" wrapText="1"/>
    </x:xf>
    <x:xf numFmtId="0" fontId="7" fillId="8" borderId="39" xfId="0" applyNumberFormat="1" applyFont="1" applyFill="1" applyBorder="1" applyAlignment="1">
      <x:alignment horizontal="center" vertical="center" wrapText="1"/>
    </x:xf>
    <x:xf numFmtId="0" fontId="7" fillId="8" borderId="40" xfId="0" applyNumberFormat="1" applyFont="1" applyFill="1" applyBorder="1" applyAlignment="1">
      <x:alignment horizontal="center" vertical="center" wrapText="1"/>
    </x:xf>
    <x:xf numFmtId="0" fontId="7" fillId="8" borderId="29" xfId="0" applyNumberFormat="1" applyFont="1" applyFill="1" applyBorder="1" applyAlignment="1">
      <x:alignment horizontal="center" vertical="center" wrapText="1"/>
    </x:xf>
    <x:xf numFmtId="0" fontId="7" fillId="8" borderId="41" xfId="0" applyNumberFormat="1" applyFont="1" applyFill="1" applyBorder="1" applyAlignment="1">
      <x:alignment horizontal="center" vertical="center" wrapText="1"/>
    </x:xf>
    <x:xf numFmtId="0" fontId="25" fillId="2" borderId="0" xfId="0" applyNumberFormat="1" applyFont="1" applyFill="1" applyBorder="1" applyAlignment="1">
      <x:alignment vertical="center"/>
    </x:xf>
    <x:xf numFmtId="0" fontId="25" fillId="2" borderId="35" xfId="0" applyNumberFormat="1" applyFont="1" applyFill="1" applyBorder="1" applyAlignment="1">
      <x:alignment vertical="center"/>
    </x:xf>
    <x:xf numFmtId="0" fontId="25" fillId="2" borderId="37" xfId="0" applyNumberFormat="1" applyFont="1" applyFill="1" applyBorder="1" applyAlignment="1">
      <x:alignment vertical="center"/>
    </x:xf>
    <x:xf numFmtId="0" fontId="25" fillId="2" borderId="38" xfId="0" applyNumberFormat="1" applyFont="1" applyFill="1" applyBorder="1" applyAlignment="1">
      <x:alignment vertical="center"/>
    </x:xf>
    <x:xf numFmtId="0" fontId="25" fillId="2" borderId="39" xfId="0" applyNumberFormat="1" applyFont="1" applyFill="1" applyBorder="1" applyAlignment="1">
      <x:alignment vertical="center"/>
    </x:xf>
    <x:xf numFmtId="0" fontId="25" fillId="2" borderId="40" xfId="0" applyNumberFormat="1" applyFont="1" applyFill="1" applyBorder="1" applyAlignment="1">
      <x:alignment vertical="center"/>
    </x:xf>
    <x:xf numFmtId="0" fontId="25" fillId="2" borderId="41" xfId="0" applyNumberFormat="1" applyFont="1" applyFill="1" applyBorder="1" applyAlignment="1">
      <x:alignment vertical="center"/>
    </x:xf>
    <x:xf numFmtId="0" fontId="25" fillId="2" borderId="35" xfId="0" applyNumberFormat="1" applyFont="1" applyFill="1" applyBorder="1" applyAlignment="1">
      <x:alignment vertical="center" wrapText="1"/>
    </x:xf>
    <x:xf numFmtId="0" fontId="25" fillId="2" borderId="37" xfId="0" applyNumberFormat="1" applyFont="1" applyFill="1" applyBorder="1" applyAlignment="1">
      <x:alignment vertical="center" wrapText="1"/>
    </x:xf>
    <x:xf numFmtId="0" fontId="25" fillId="2" borderId="38" xfId="0" applyNumberFormat="1" applyFont="1" applyFill="1" applyBorder="1" applyAlignment="1">
      <x:alignment vertical="center" wrapText="1"/>
    </x:xf>
    <x:xf numFmtId="0" fontId="25" fillId="2" borderId="39" xfId="0" applyNumberFormat="1" applyFont="1" applyFill="1" applyBorder="1" applyAlignment="1">
      <x:alignment vertical="center" wrapText="1"/>
    </x:xf>
    <x:xf numFmtId="0" fontId="25" fillId="2" borderId="40" xfId="0" applyNumberFormat="1" applyFont="1" applyFill="1" applyBorder="1" applyAlignment="1">
      <x:alignment vertical="center" wrapText="1"/>
    </x:xf>
    <x:xf numFmtId="0" fontId="25" fillId="2" borderId="41" xfId="0" applyNumberFormat="1" applyFont="1" applyFill="1" applyBorder="1" applyAlignment="1">
      <x:alignment vertical="center" wrapText="1"/>
    </x:xf>
    <x:xf numFmtId="0" fontId="25" fillId="2" borderId="35" xfId="0" applyNumberFormat="1" applyFont="1" applyFill="1" applyBorder="1" applyAlignment="1">
      <x:alignment horizontal="center" vertical="center" wrapText="1"/>
    </x:xf>
    <x:xf numFmtId="0" fontId="25" fillId="2" borderId="37" xfId="0" applyNumberFormat="1" applyFont="1" applyFill="1" applyBorder="1" applyAlignment="1">
      <x:alignment horizontal="center" vertical="center" wrapText="1"/>
    </x:xf>
    <x:xf numFmtId="0" fontId="25" fillId="2" borderId="38" xfId="0" applyNumberFormat="1" applyFont="1" applyFill="1" applyBorder="1" applyAlignment="1">
      <x:alignment horizontal="center" vertical="center" wrapText="1"/>
    </x:xf>
    <x:xf numFmtId="0" fontId="25" fillId="2" borderId="39" xfId="0" applyNumberFormat="1" applyFont="1" applyFill="1" applyBorder="1" applyAlignment="1">
      <x:alignment horizontal="center" vertical="center" wrapText="1"/>
    </x:xf>
    <x:xf numFmtId="0" fontId="25" fillId="2" borderId="40" xfId="0" applyNumberFormat="1" applyFont="1" applyFill="1" applyBorder="1" applyAlignment="1">
      <x:alignment horizontal="center" vertical="center" wrapText="1"/>
    </x:xf>
    <x:xf numFmtId="0" fontId="25" fillId="2" borderId="41" xfId="0" applyNumberFormat="1" applyFont="1" applyFill="1" applyBorder="1" applyAlignment="1">
      <x:alignment horizontal="center" vertical="center" wrapText="1"/>
    </x:xf>
    <x:xf numFmtId="0" fontId="26" fillId="2" borderId="0" xfId="0" applyNumberFormat="1" applyFont="1" applyFill="1" applyBorder="1" applyAlignment="1">
      <x:alignment vertical="center"/>
    </x:xf>
    <x:xf numFmtId="0" fontId="26" fillId="2" borderId="29" xfId="0" applyNumberFormat="1" applyFont="1" applyFill="1" applyBorder="1" applyAlignment="1">
      <x:alignment vertical="center"/>
    </x:xf>
    <x:xf numFmtId="0" fontId="26" fillId="2" borderId="30" xfId="0" applyNumberFormat="1" applyFont="1" applyFill="1" applyBorder="1" applyAlignment="1">
      <x:alignment vertical="center"/>
    </x:xf>
    <x:xf numFmtId="0" fontId="26" fillId="2" borderId="29" xfId="0" applyNumberFormat="1" applyFont="1" applyFill="1" applyBorder="1" applyAlignment="1">
      <x:alignment vertical="center" wrapText="1"/>
    </x:xf>
    <x:xf numFmtId="0" fontId="26" fillId="2" borderId="30" xfId="0" applyNumberFormat="1" applyFont="1" applyFill="1" applyBorder="1" applyAlignment="1">
      <x:alignment vertical="center" wrapText="1"/>
    </x:xf>
    <x:xf numFmtId="0" fontId="26" fillId="9" borderId="29" xfId="0" applyNumberFormat="1" applyFont="1" applyFill="1" applyBorder="1" applyAlignment="1">
      <x:alignment vertical="center" wrapText="1"/>
    </x:xf>
    <x:xf numFmtId="204" fontId="11" fillId="2" borderId="30" xfId="0" applyNumberFormat="1" applyFont="1" applyFill="1" applyBorder="1" applyAlignment="1">
      <x:alignment vertical="center" wrapText="1"/>
    </x:xf>
    <x:xf numFmtId="0" fontId="27" fillId="6" borderId="0" xfId="0" applyNumberFormat="1" applyFont="1" applyFill="1" applyBorder="1" applyAlignment="1">
      <x:alignment vertical="center"/>
    </x:xf>
    <x:xf numFmtId="0" fontId="27" fillId="6" borderId="15" xfId="0" applyNumberFormat="1" applyFont="1" applyFill="1" applyBorder="1" applyAlignment="1">
      <x:alignment vertical="center"/>
    </x:xf>
    <x:xf numFmtId="0" fontId="27" fillId="6" borderId="16" xfId="0" applyNumberFormat="1" applyFont="1" applyFill="1" applyBorder="1" applyAlignment="1">
      <x:alignment vertical="center"/>
    </x:xf>
    <x:xf numFmtId="0" fontId="27" fillId="6" borderId="17" xfId="0" applyNumberFormat="1" applyFont="1" applyFill="1" applyBorder="1" applyAlignment="1">
      <x:alignment vertical="center"/>
    </x:xf>
    <x:xf numFmtId="0" fontId="27" fillId="6" borderId="33" xfId="0" applyNumberFormat="1" applyFont="1" applyFill="1" applyBorder="1" applyAlignment="1">
      <x:alignment vertical="center"/>
    </x:xf>
    <x:xf numFmtId="0" fontId="27" fillId="6" borderId="34" xfId="0" applyNumberFormat="1" applyFont="1" applyFill="1" applyBorder="1" applyAlignment="1">
      <x:alignment vertical="center"/>
    </x:xf>
    <x:xf numFmtId="0" fontId="27" fillId="6" borderId="18" xfId="0" applyNumberFormat="1" applyFont="1" applyFill="1" applyBorder="1" applyAlignment="1">
      <x:alignment vertical="center"/>
    </x:xf>
    <x:xf numFmtId="0" fontId="27" fillId="6" borderId="19" xfId="0" applyNumberFormat="1" applyFont="1" applyFill="1" applyBorder="1" applyAlignment="1">
      <x:alignment vertical="center"/>
    </x:xf>
    <x:xf numFmtId="0" fontId="27" fillId="6" borderId="20" xfId="0" applyNumberFormat="1" applyFont="1" applyFill="1" applyBorder="1" applyAlignment="1">
      <x:alignment vertical="center"/>
    </x:xf>
    <x:xf numFmtId="0" fontId="27" fillId="6" borderId="15" xfId="0" applyNumberFormat="1" applyFont="1" applyFill="1" applyBorder="1" applyAlignment="1">
      <x:alignment vertical="center" wrapText="1"/>
    </x:xf>
    <x:xf numFmtId="0" fontId="27" fillId="6" borderId="16" xfId="0" applyNumberFormat="1" applyFont="1" applyFill="1" applyBorder="1" applyAlignment="1">
      <x:alignment vertical="center" wrapText="1"/>
    </x:xf>
    <x:xf numFmtId="0" fontId="27" fillId="6" borderId="17" xfId="0" applyNumberFormat="1" applyFont="1" applyFill="1" applyBorder="1" applyAlignment="1">
      <x:alignment vertical="center" wrapText="1"/>
    </x:xf>
    <x:xf numFmtId="0" fontId="27" fillId="6" borderId="33" xfId="0" applyNumberFormat="1" applyFont="1" applyFill="1" applyBorder="1" applyAlignment="1">
      <x:alignment vertical="center" wrapText="1"/>
    </x:xf>
    <x:xf numFmtId="0" fontId="27" fillId="6" borderId="0" xfId="0" applyNumberFormat="1" applyFont="1" applyFill="1" applyBorder="1" applyAlignment="1">
      <x:alignment vertical="center" wrapText="1"/>
    </x:xf>
    <x:xf numFmtId="0" fontId="27" fillId="6" borderId="34" xfId="0" applyNumberFormat="1" applyFont="1" applyFill="1" applyBorder="1" applyAlignment="1">
      <x:alignment vertical="center" wrapText="1"/>
    </x:xf>
    <x:xf numFmtId="0" fontId="27" fillId="6" borderId="18" xfId="0" applyNumberFormat="1" applyFont="1" applyFill="1" applyBorder="1" applyAlignment="1">
      <x:alignment vertical="center" wrapText="1"/>
    </x:xf>
    <x:xf numFmtId="0" fontId="27" fillId="6" borderId="19" xfId="0" applyNumberFormat="1" applyFont="1" applyFill="1" applyBorder="1" applyAlignment="1">
      <x:alignment vertical="center" wrapText="1"/>
    </x:xf>
    <x:xf numFmtId="0" fontId="27" fillId="6" borderId="20" xfId="0" applyNumberFormat="1" applyFont="1" applyFill="1" applyBorder="1" applyAlignment="1">
      <x:alignment vertical="center" wrapText="1"/>
    </x:xf>
    <x:xf numFmtId="0" fontId="27" fillId="6" borderId="15" xfId="0" applyNumberFormat="1" applyFont="1" applyFill="1" applyBorder="1" applyAlignment="1">
      <x:alignment horizontal="center" vertical="center" wrapText="1"/>
    </x:xf>
    <x:xf numFmtId="0" fontId="27" fillId="6" borderId="16" xfId="0" applyNumberFormat="1" applyFont="1" applyFill="1" applyBorder="1" applyAlignment="1">
      <x:alignment horizontal="center" vertical="center" wrapText="1"/>
    </x:xf>
    <x:xf numFmtId="0" fontId="27" fillId="6" borderId="17" xfId="0" applyNumberFormat="1" applyFont="1" applyFill="1" applyBorder="1" applyAlignment="1">
      <x:alignment horizontal="center" vertical="center" wrapText="1"/>
    </x:xf>
    <x:xf numFmtId="0" fontId="27" fillId="6" borderId="33" xfId="0" applyNumberFormat="1" applyFont="1" applyFill="1" applyBorder="1" applyAlignment="1">
      <x:alignment horizontal="center" vertical="center" wrapText="1"/>
    </x:xf>
    <x:xf numFmtId="0" fontId="27" fillId="6" borderId="0" xfId="0" applyNumberFormat="1" applyFont="1" applyFill="1" applyBorder="1" applyAlignment="1">
      <x:alignment horizontal="center" vertical="center" wrapText="1"/>
    </x:xf>
    <x:xf numFmtId="0" fontId="27" fillId="6" borderId="34" xfId="0" applyNumberFormat="1" applyFont="1" applyFill="1" applyBorder="1" applyAlignment="1">
      <x:alignment horizontal="center" vertical="center" wrapText="1"/>
    </x:xf>
    <x:xf numFmtId="0" fontId="27" fillId="6" borderId="18" xfId="0" applyNumberFormat="1" applyFont="1" applyFill="1" applyBorder="1" applyAlignment="1">
      <x:alignment horizontal="center" vertical="center" wrapText="1"/>
    </x:xf>
    <x:xf numFmtId="0" fontId="27" fillId="6" borderId="19" xfId="0" applyNumberFormat="1" applyFont="1" applyFill="1" applyBorder="1" applyAlignment="1">
      <x:alignment horizontal="center" vertical="center" wrapText="1"/>
    </x:xf>
    <x:xf numFmtId="0" fontId="27" fillId="6" borderId="20"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cellXfs>
  <x:cellStyles count="1">
    <x:cellStyle name="Normal" xfId="0"/>
  </x:cellStyles>
  <x:dxfs count="20">
    <x:dxf>
      <x:font>
        <x:b/>
        <x:color rgb="FF2F8A63"/>
      </x:font>
      <x:fill>
        <x:patternFill patternType="solid">
          <x:bgColor rgb="FFDDEBE4"/>
        </x:patternFill>
      </x:fill>
    </x:dxf>
    <x:dxf>
      <x:font>
        <x:b/>
        <x:color rgb="FFC6534B"/>
      </x:font>
      <x:fill>
        <x:patternFill patternType="solid">
          <x:bgColor rgb="FFF3DEDA"/>
        </x:patternFill>
      </x:fill>
    </x:dxf>
    <x:dxf>
      <x:font>
        <x:color rgb="FFA8ADB2"/>
      </x:font>
      <x:fill>
        <x:patternFill patternType="solid">
          <x:bgColor rgb="FFA8ADB2"/>
        </x:patternFill>
      </x:fill>
    </x:dxf>
    <x:dxf>
      <x:font>
        <x:color rgb="FF2F8A63"/>
      </x:font>
      <x:fill>
        <x:patternFill patternType="solid">
          <x:bgColor rgb="FF2F8A63"/>
        </x:patternFill>
      </x:fill>
    </x:dxf>
    <x:dxf>
      <x:font>
        <x:color rgb="FF467AA0"/>
      </x:font>
      <x:fill>
        <x:patternFill patternType="solid">
          <x:bgColor rgb="FF467AA0"/>
        </x:patternFill>
      </x:fill>
    </x:dxf>
    <x:dxf>
      <x:font>
        <x:color rgb="FFD99A2B"/>
      </x:font>
      <x:fill>
        <x:patternFill patternType="solid">
          <x:bgColor rgb="FFD99A2B"/>
        </x:patternFill>
      </x:fill>
    </x:dxf>
    <x:dxf>
      <x:font>
        <x:color rgb="FF7A628E"/>
      </x:font>
      <x:fill>
        <x:patternFill patternType="solid">
          <x:bgColor rgb="FF7A628E"/>
        </x:patternFill>
      </x:fill>
    </x:dxf>
    <x:dxf>
      <x:font>
        <x:color rgb="FFC6534B"/>
      </x:font>
      <x:fill>
        <x:patternFill patternType="solid">
          <x:bgColor rgb="FFC6534B"/>
        </x:patternFill>
      </x:fill>
    </x:dxf>
    <x:dxf>
      <x:font>
        <x:color rgb="FF0C7C82"/>
      </x:font>
      <x:fill>
        <x:patternFill patternType="solid">
          <x:bgColor rgb="FF0C7C82"/>
        </x:patternFill>
      </x:fill>
    </x:dxf>
    <x:dxf>
      <x:font>
        <x:color rgb="FF9A7148"/>
      </x:font>
      <x:fill>
        <x:patternFill patternType="solid">
          <x:bgColor rgb="FF9A7148"/>
        </x:patternFill>
      </x:fill>
    </x:dxf>
    <x:dxf>
      <x:font>
        <x:color rgb="FF506A7A"/>
      </x:font>
      <x:fill>
        <x:patternFill patternType="solid">
          <x:bgColor rgb="FF506A7A"/>
        </x:patternFill>
      </x:fill>
    </x:dxf>
    <x:dxf>
      <x:font>
        <x:color rgb="FF8A8F4E"/>
      </x:font>
      <x:fill>
        <x:patternFill patternType="solid">
          <x:bgColor rgb="FF8A8F4E"/>
        </x:patternFill>
      </x:fill>
    </x:dxf>
    <x:dxf>
      <x:font>
        <x:color rgb="FFA05E78"/>
      </x:font>
      <x:fill>
        <x:patternFill patternType="solid">
          <x:bgColor rgb="FFA05E78"/>
        </x:patternFill>
      </x:fill>
    </x:dxf>
    <x:dxf>
      <x:font>
        <x:color rgb="FF356F91"/>
      </x:font>
      <x:fill>
        <x:patternFill patternType="solid">
          <x:bgColor rgb="FF356F91"/>
        </x:patternFill>
      </x:fill>
    </x:dxf>
    <x:dxf>
      <x:font>
        <x:b/>
        <x:color rgb="FF2F8A63"/>
      </x:font>
      <x:fill>
        <x:patternFill patternType="solid">
          <x:bgColor rgb="FFDDEBE4"/>
        </x:patternFill>
      </x:fill>
    </x:dxf>
    <x:dxf>
      <x:font>
        <x:b/>
        <x:color rgb="FF2F8A63"/>
      </x:font>
      <x:fill>
        <x:patternFill patternType="solid">
          <x:bgColor rgb="FFDDEBE4"/>
        </x:patternFill>
      </x:fill>
    </x:dxf>
    <x:dxf>
      <x:font>
        <x:b/>
        <x:color rgb="FF2F8A63"/>
      </x:font>
      <x:fill>
        <x:patternFill patternType="solid">
          <x:bgColor rgb="FFDDEBE4"/>
        </x:patternFill>
      </x:fill>
    </x:dxf>
    <x:dxf>
      <x:font>
        <x:b/>
        <x:color rgb="FFC6534B"/>
      </x:font>
      <x:fill>
        <x:patternFill patternType="solid">
          <x:bgColor rgb="FFF3DEDA"/>
        </x:patternFill>
      </x:fill>
    </x:dxf>
    <x:dxf>
      <x:font>
        <x:b/>
        <x:color rgb="FF2F8A63"/>
      </x:font>
      <x:fill>
        <x:patternFill patternType="solid">
          <x:bgColor rgb="FFDDEBE4"/>
        </x:patternFill>
      </x:fill>
    </x:dxf>
    <x:dxf>
      <x:font>
        <x:b/>
        <x:color rgb="FFC6534B"/>
      </x:font>
      <x:fill>
        <x:patternFill patternType="solid">
          <x:bgColor rgb="FFF3DE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293c1c20b744772" /><Relationship Type="http://schemas.openxmlformats.org/officeDocument/2006/relationships/theme" Target="/xl/theme/theme1.xml" Id="Rd7dcbb8928ca4f7c" /><Relationship Type="http://schemas.microsoft.com/office/2022/11/relationships/FeaturePropertyBag" Target="/xl/featurePropertyBag/featurePropertyBag.xml" Id="R7eb71805e54a4d43" /><Relationship Type="http://schemas.openxmlformats.org/officeDocument/2006/relationships/sharedStrings" Target="/xl/sharedStrings.xml" Id="R90f9f66ac1824c19" /><Relationship Type="http://schemas.openxmlformats.org/officeDocument/2006/relationships/worksheet" Target="/xl/worksheets/sheet1.xml" Id="R211a7ac4ac974153" /><Relationship Type="http://schemas.openxmlformats.org/officeDocument/2006/relationships/worksheet" Target="/xl/worksheets/sheet2.xml" Id="R7f95533ecb5248a0" /><Relationship Type="http://schemas.openxmlformats.org/officeDocument/2006/relationships/worksheet" Target="/xl/worksheets/sheet3.xml" Id="R011a76fbb44649a0" /><Relationship Type="http://schemas.openxmlformats.org/officeDocument/2006/relationships/worksheet" Target="/xl/worksheets/sheet4.xml" Id="R6ec3b1b2d75e49f9" /><Relationship Type="http://schemas.openxmlformats.org/officeDocument/2006/relationships/worksheet" Target="/xl/worksheets/sheet5.xml" Id="Rfe54af0633784f3f" /><Relationship Type="http://schemas.openxmlformats.org/officeDocument/2006/relationships/worksheet" Target="/xl/worksheets/sheet6.xml" Id="R25182fd9e1ab4fda" /><Relationship Type="http://schemas.openxmlformats.org/officeDocument/2006/relationships/worksheet" Target="/xl/worksheets/sheet7.xml" Id="R0e67e593e0bc4006" /><Relationship Type="http://schemas.openxmlformats.org/officeDocument/2006/relationships/worksheet" Target="/xl/worksheets/sheet8.xml" Id="R2bc59911b51241fc" /><Relationship Type="http://schemas.openxmlformats.org/officeDocument/2006/relationships/worksheet" Target="/xl/worksheets/sheet9.xml" Id="R21a48c8a33214614" /><Relationship Type="http://schemas.openxmlformats.org/officeDocument/2006/relationships/worksheet" Target="/xl/worksheets/sheet10.xml" Id="R7bf19790d6ed4840" /><Relationship Type="http://schemas.openxmlformats.org/officeDocument/2006/relationships/worksheet" Target="/xl/worksheets/sheet11.xml" Id="R55295223da294890" /><Relationship Type="http://schemas.openxmlformats.org/officeDocument/2006/relationships/worksheet" Target="/xl/worksheets/sheet12.xml" Id="R48a0c4c54a8a4996" /><Relationship Type="http://schemas.openxmlformats.org/officeDocument/2006/relationships/worksheet" Target="/xl/worksheets/sheet13.xml" Id="R847e6ff91bf54659" /><Relationship Type="http://schemas.openxmlformats.org/officeDocument/2006/relationships/worksheet" Target="/xl/worksheets/sheet14.xml" Id="R864b519538484c80" /><Relationship Type="http://schemas.openxmlformats.org/officeDocument/2006/relationships/worksheet" Target="/xl/worksheets/sheet15.xml" Id="R3d809218d3d74b11" /><Relationship Type="http://schemas.openxmlformats.org/officeDocument/2006/relationships/worksheet" Target="/xl/worksheets/sheet16.xml" Id="R3d2783be1cab4c0a" /><Relationship Type="http://schemas.openxmlformats.org/officeDocument/2006/relationships/worksheet" Target="/xl/worksheets/sheet17.xml" Id="Raa2b448367684028" /><Relationship Type="http://schemas.openxmlformats.org/officeDocument/2006/relationships/worksheet" Target="/xl/worksheets/sheet18.xml" Id="Rf0430194828d4937" /><Relationship Type="http://schemas.openxmlformats.org/officeDocument/2006/relationships/worksheet" Target="/xl/worksheets/sheet19.xml" Id="Rcfb14ef91f1f45fd" /></Relationships>
</file>

<file path=xl/drawings/_rels/drawing1.xml.rels>&#65279;<?xml version="1.0" encoding="utf-8"?><Relationships xmlns="http://schemas.openxmlformats.org/package/2006/relationships"><Relationship Type="http://schemas.openxmlformats.org/officeDocument/2006/relationships/chart" Target="/xl/drawings/charts/chart1.xml" Id="R41eaea0debee48f3" /><Relationship Type="http://schemas.openxmlformats.org/officeDocument/2006/relationships/chart" Target="/xl/drawings/charts/chart2.xml" Id="R62374c1a982648bc" /></Relationships>
</file>

<file path=xl/drawings/_rels/drawing2.xml.rels>&#65279;<?xml version="1.0" encoding="utf-8"?><Relationships xmlns="http://schemas.openxmlformats.org/package/2006/relationships"><Relationship Type="http://schemas.openxmlformats.org/officeDocument/2006/relationships/chart" Target="/xl/drawings/charts/chart3.xml" Id="R3d642f4ab8be40dc" /><Relationship Type="http://schemas.openxmlformats.org/officeDocument/2006/relationships/chart" Target="/xl/drawings/charts/chart4.xml" Id="R7d379baead59468a" /></Relationships>
</file>

<file path=xl/drawings/_rels/drawing3.xml.rels>&#65279;<?xml version="1.0" encoding="utf-8"?><Relationships xmlns="http://schemas.openxmlformats.org/package/2006/relationships"><Relationship Type="http://schemas.openxmlformats.org/officeDocument/2006/relationships/chart" Target="/xl/drawings/charts/chart5.xml" Id="R19370f0e4d664647" /><Relationship Type="http://schemas.openxmlformats.org/officeDocument/2006/relationships/chart" Target="/xl/drawings/charts/chart6.xml" Id="R936488150cfa463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Best objective across equal-budget runs</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Best observed</c:v>
          </c:tx>
          <c:spPr>
            <a:solidFill xmlns:a="http://schemas.openxmlformats.org/drawingml/2006/main">
              <a:srgbClr val="0C7C82"/>
            </a:solidFill>
          </c:spPr>
          <c:marker>
            <c:symbol val="none"/>
          </c:marker>
          <c:cat>
            <c:strRef>
              <c:f>'_CHECKPOINTS'!$A$2:$A$42</c:f>
              <c:strCache>
                <c:ptCount val="0"/>
              </c:strCache>
            </c:strRef>
          </c:cat>
          <c:val>
            <c:numRef>
              <c:f>'_CHECKPOINTS'!$B$2:$B$42</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Cost contribution by component</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Cost</c:v>
          </c:tx>
          <c:cat>
            <c:strRef>
              <c:f>'_CHARTS'!$D$2:$D$5</c:f>
              <c:strCache>
                <c:ptCount val="0"/>
              </c:strCache>
            </c:strRef>
          </c:cat>
          <c:val>
            <c:numRef>
              <c:f>'_CHARTS'!$E$2:$E$5</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Objective by seed vs historical reference</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objective</c:v>
          </c:tx>
          <c:spPr>
            <a:solidFill xmlns:a="http://schemas.openxmlformats.org/drawingml/2006/main">
              <a:srgbClr val="0C7C82"/>
            </a:solidFill>
          </c:spPr>
          <c:cat>
            <c:strRef>
              <c:f>'_RUNS'!$B$2:$B$101</c:f>
              <c:strCache>
                <c:ptCount val="0"/>
              </c:strCache>
            </c:strRef>
          </c:cat>
          <c:val>
            <c:numRef>
              <c:f>'_RUNS'!$C$2:$C$101</c:f>
              <c:numCache>
                <c:formatCode>#,##0</c:formatCode>
                <c:ptCount val="0"/>
              </c:numCache>
            </c:numRef>
          </c:val>
        </c:ser>
        <c:ser>
          <c:idx val="1"/>
          <c:order val="1"/>
          <c:tx>
            <c:v>historical reference</c:v>
          </c:tx>
          <c:spPr>
            <a:solidFill xmlns:a="http://schemas.openxmlformats.org/drawingml/2006/main">
              <a:srgbClr val="D99A2B"/>
            </a:solidFill>
          </c:spPr>
          <c:cat>
            <c:strRef>
              <c:f>'_RUNS'!$B$2:$B$101</c:f>
              <c:strCache>
                <c:ptCount val="0"/>
              </c:strCache>
            </c:strRef>
          </c:cat>
          <c:val>
            <c:numRef>
              <c:f>'_CHARTS'!$I$2:$I$101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Best, median and worst objective by iteration</a:t>
            </a:r>
          </a:p>
        </c:rich>
      </c:tx>
      <c:txPr>
        <a:bodyPr xmlns:a="http://schemas.openxmlformats.org/drawingml/2006/main" anchorCtr="1"/>
        <a:lstStyle xmlns:a="http://schemas.openxmlformats.org/drawingml/2006/main"/>
        <a:p xmlns:a="http://schemas.openxmlformats.org/drawingml/2006/main">
          <a:pPr>
            <a:defRPr sz="900"/>
          </a:pPr>
        </a:p>
      </c:txPr>
    </c:title>
    <c:plotArea>
      <c:lineChart>
        <c:grouping val="standard"/>
        <c:ser>
          <c:idx val="0"/>
          <c:order val="0"/>
          <c:tx>
            <c:v>best</c:v>
          </c:tx>
          <c:spPr>
            <a:solidFill xmlns:a="http://schemas.openxmlformats.org/drawingml/2006/main">
              <a:srgbClr val="0C7C82"/>
            </a:solidFill>
          </c:spPr>
          <c:marker>
            <c:symbol val="none"/>
          </c:marker>
          <c:cat>
            <c:strRef>
              <c:f>'_CHECKPOINTS'!$A$2:$A$42</c:f>
              <c:strCache>
                <c:ptCount val="0"/>
              </c:strCache>
            </c:strRef>
          </c:cat>
          <c:val>
            <c:numRef>
              <c:f>'_CHECKPOINTS'!$B$2:$B$42</c:f>
              <c:numCache>
                <c:formatCode>#,##0</c:formatCode>
                <c:ptCount val="0"/>
              </c:numCache>
            </c:numRef>
          </c:val>
        </c:ser>
        <c:ser>
          <c:idx val="1"/>
          <c:order val="1"/>
          <c:tx>
            <c:v>median</c:v>
          </c:tx>
          <c:spPr>
            <a:solidFill xmlns:a="http://schemas.openxmlformats.org/drawingml/2006/main">
              <a:srgbClr val="D99A2B"/>
            </a:solidFill>
          </c:spPr>
          <c:marker>
            <c:symbol val="none"/>
          </c:marker>
          <c:cat>
            <c:strRef>
              <c:f>'_CHECKPOINTS'!$A$2:$A$42</c:f>
              <c:strCache>
                <c:ptCount val="0"/>
              </c:strCache>
            </c:strRef>
          </c:cat>
          <c:val>
            <c:numRef>
              <c:f>'_CHECKPOINTS'!$D$2:$D$42</c:f>
              <c:numCache>
                <c:formatCode>#,##0</c:formatCode>
                <c:ptCount val="0"/>
              </c:numCache>
            </c:numRef>
          </c:val>
        </c:ser>
        <c:ser>
          <c:idx val="2"/>
          <c:order val="2"/>
          <c:tx>
            <c:v>worst</c:v>
          </c:tx>
          <c:spPr>
            <a:solidFill xmlns:a="http://schemas.openxmlformats.org/drawingml/2006/main">
              <a:srgbClr val="2F8A63"/>
            </a:solidFill>
          </c:spPr>
          <c:marker>
            <c:symbol val="none"/>
          </c:marker>
          <c:cat>
            <c:strRef>
              <c:f>'_CHECKPOINTS'!$A$2:$A$42</c:f>
              <c:strCache>
                <c:ptCount val="0"/>
              </c:strCache>
            </c:strRef>
          </c:cat>
          <c:val>
            <c:numRef>
              <c:f>'_CHECKPOINTS'!$G$2:$G$42</c:f>
              <c:numCache>
                <c:formatCode>#,##0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Processing workload by family</a:t>
            </a:r>
          </a:p>
        </c:rich>
      </c:tx>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processing time</c:v>
          </c:tx>
          <c:spPr>
            <a:solidFill xmlns:a="http://schemas.openxmlformats.org/drawingml/2006/main">
              <a:srgbClr val="0C7C82"/>
            </a:solidFill>
          </c:spPr>
          <c:cat>
            <c:strRef>
              <c:f>'_CHARTS'!$AE$2:$AE$12</c:f>
              <c:strCache>
                <c:ptCount val="0"/>
              </c:strCache>
            </c:strRef>
          </c:cat>
          <c:val>
            <c:numRef>
              <c:f>'_CHARTS'!$AF$2:$AF$12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Due-date profile by job ID</a:t>
            </a:r>
          </a:p>
        </c:rich>
      </c:tx>
      <c:txPr>
        <a:bodyPr xmlns:a="http://schemas.openxmlformats.org/drawingml/2006/main" anchorCtr="1"/>
        <a:lstStyle xmlns:a="http://schemas.openxmlformats.org/drawingml/2006/main"/>
        <a:p xmlns:a="http://schemas.openxmlformats.org/drawingml/2006/main">
          <a:pPr>
            <a:defRPr sz="900"/>
          </a:pPr>
        </a:p>
      </c:txPr>
    </c:title>
    <c:plotArea>
      <c:scatterChart>
        <c:scatterStyle val="marker"/>
        <c:ser>
          <c:idx val="0"/>
          <c:order val="0"/>
          <c:tx>
            <c:v>jobs</c:v>
          </c:tx>
          <c:spPr>
            <a:solidFill xmlns:a="http://schemas.openxmlformats.org/drawingml/2006/main">
              <a:srgbClr val="0C7C82"/>
            </a:solidFill>
          </c:spPr>
          <c:xVal>
            <c:numLit>
              <c:formatCode>General</c:formatCode>
              <c:ptCount val="0"/>
            </c:numLit>
          </c:xVal>
          <c:yVal>
            <c:numRef>
              <c:f>'_INSTANCE'!$F$2:$F$601</c:f>
              <c:numCache>
                <c:formatCode>#,##0</c:formatCode>
                <c:ptCount val="0"/>
              </c:numCache>
            </c:numRef>
          </c:yVal>
        </c:ser>
        <c:axId val="48650112"/>
        <c:axId val="48672768"/>
      </c:scatterChart>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xPr>
          <a:bodyPr xmlns:a="http://schemas.openxmlformats.org/drawingml/2006/main" anchorCtr="1"/>
          <a:lstStyle xmlns:a="http://schemas.openxmlformats.org/drawingml/2006/main"/>
          <a:p xmlns:a="http://schemas.openxmlformats.org/drawingml/2006/main">
            <a:pPr>
              <a:defRPr sz="600"/>
            </a:pPr>
          </a:p>
        </c:txPr>
        <c:crossAx val="48650112"/>
      </c:valAx>
      <c:valAx>
        <c:axId val="48650112"/>
        <c:scaling>
          <c:orientation val="minMax"/>
        </c:scaling>
        <c:delete val="0"/>
        <c:axPos val="b"/>
        <c:majorGridlines>
          <c:spPr>
            <a:ln xmlns:a="http://schemas.openxmlformats.org/drawingml/2006/main" w="9525">
              <a:solidFill>
                <a:srgbClr val="CCCCCC"/>
              </a:solidFill>
              <a:prstDash val="dash"/>
            </a:ln>
          </c:spPr>
        </c:majorGridlines>
        <c:numFmt formatCode="#,##0"/>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11</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eaea0debee48f3"/>
        </a:graphicData>
      </a:graphic>
    </xdr:graphicFrame>
    <xdr:clientData/>
  </xdr:twoCellAnchor>
  <xdr:twoCellAnchor>
    <xdr:from>
      <xdr:col>9</xdr:col>
      <xdr:colOff>0</xdr:colOff>
      <xdr:row>11</xdr:row>
      <xdr:rowOff>0</xdr:rowOff>
    </xdr:from>
    <xdr:to>
      <xdr:col>17</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2374c1a982648b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11</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d642f4ab8be40dc"/>
        </a:graphicData>
      </a:graphic>
    </xdr:graphicFrame>
    <xdr:clientData/>
  </xdr:twoCellAnchor>
  <xdr:twoCellAnchor>
    <xdr:from>
      <xdr:col>9</xdr:col>
      <xdr:colOff>0</xdr:colOff>
      <xdr:row>11</xdr:row>
      <xdr:rowOff>0</xdr:rowOff>
    </xdr:from>
    <xdr:to>
      <xdr:col>17</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d379baead59468a"/>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11</xdr:row>
      <xdr:rowOff>0</xdr:rowOff>
    </xdr:from>
    <xdr:to>
      <xdr:col>8</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9370f0e4d664647"/>
        </a:graphicData>
      </a:graphic>
    </xdr:graphicFrame>
    <xdr:clientData/>
  </xdr:twoCellAnchor>
  <xdr:twoCellAnchor>
    <xdr:from>
      <xdr:col>9</xdr:col>
      <xdr:colOff>0</xdr:colOff>
      <xdr:row>11</xdr:row>
      <xdr:rowOff>0</xdr:rowOff>
    </xdr:from>
    <xdr:to>
      <xdr:col>17</xdr:col>
      <xdr:colOff>0</xdr:colOff>
      <xdr:row>29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6488150cfa463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nfigTable" displayName="ConfigTable" ref="A1:B30" headerRowCount="1" totalsRowCount="0" totalsRowShown="0">
  <x:tableColumns count="2">
    <x:tableColumn id="1" name="key"/>
    <x:tableColumn id="2" name="value"/>
  </x:tableColumns>
  <x:tableStyleInfo name="TableStyleMedium2" showFirstColumn="0" showLastColumn="0" showRowStripes="1" showColumnStripes="0"/>
</x:table>
</file>

<file path=xl/tables/table2.xml><?xml version="1.0" encoding="utf-8"?>
<x:table xmlns:x="http://schemas.openxmlformats.org/spreadsheetml/2006/main" id="2" name="RunsTable" displayName="RunsTable" ref="A1:M11" headerRowCount="1" totalsRowCount="0" totalsRowShown="0">
  <x:tableColumns count="13">
    <x:tableColumn id="1" name="run"/>
    <x:tableColumn id="2" name="seed"/>
    <x:tableColumn id="3" name="best_cost"/>
    <x:tableColumn id="4" name="gap_percent"/>
    <x:tableColumn id="5" name="iterations"/>
    <x:tableColumn id="6" name="evaluations"/>
    <x:tableColumn id="7" name="runtime_ms"/>
    <x:tableColumn id="8" name="evaluations_per_second"/>
    <x:tableColumn id="9" name="scheduled_jobs"/>
    <x:tableColumn id="10" name="rejected_jobs"/>
    <x:tableColumn id="11" name="is_best"/>
    <x:tableColumn id="12" name="budget_match"/>
    <x:tableColumn id="13" name="seed_duplicate_count"/>
  </x:tableColumns>
  <x:tableStyleInfo name="TableStyleMedium2" showFirstColumn="0" showLastColumn="0" showRowStripes="1" showColumnStripes="0"/>
</x:table>
</file>

<file path=xl/tables/table3.xml><?xml version="1.0" encoding="utf-8"?>
<x:table xmlns:x="http://schemas.openxmlformats.org/spreadsheetml/2006/main" id="3" name="CheckpointsTable" displayName="CheckpointsTable" ref="A1:J42" headerRowCount="1" totalsRowCount="0" totalsRowShown="0">
  <x:tableColumns count="10">
    <x:tableColumn id="1" name="iteration"/>
    <x:tableColumn id="2" name="best"/>
    <x:tableColumn id="3" name="q1"/>
    <x:tableColumn id="4" name="median"/>
    <x:tableColumn id="5" name="mean"/>
    <x:tableColumn id="6" name="q3"/>
    <x:tableColumn id="7" name="worst"/>
    <x:tableColumn id="8" name="mean_evaluations"/>
    <x:tableColumn id="9" name="samples"/>
    <x:tableColumn id="10" name="monotone"/>
  </x:tableColumns>
  <x:tableStyleInfo name="TableStyleMedium2" showFirstColumn="0" showLastColumn="0" showRowStripes="1" showColumnStripes="0"/>
</x:table>
</file>

<file path=xl/tables/table4.xml><?xml version="1.0" encoding="utf-8"?>
<x:table xmlns:x="http://schemas.openxmlformats.org/spreadsheetml/2006/main" id="4" name="ScheduleDataTable" displayName="ScheduleDataTable" ref="A1:T76" headerRowCount="1" totalsRowCount="0" totalsRowShown="0">
  <x:tableColumns count="20">
    <x:tableColumn id="1" name="position"/>
    <x:tableColumn id="2" name="status"/>
    <x:tableColumn id="3" name="job_id"/>
    <x:tableColumn id="4" name="family"/>
    <x:tableColumn id="5" name="release"/>
    <x:tableColumn id="6" name="due"/>
    <x:tableColumn id="7" name="hard_deadline"/>
    <x:tableColumn id="8" name="setup_start"/>
    <x:tableColumn id="9" name="setup_time"/>
    <x:tableColumn id="10" name="process_start"/>
    <x:tableColumn id="11" name="processing_time"/>
    <x:tableColumn id="12" name="finish"/>
    <x:tableColumn id="13" name="late"/>
    <x:tableColumn id="14" name="setup_cost"/>
    <x:tableColumn id="15" name="execution_cost"/>
    <x:tableColumn id="16" name="tardiness_cost"/>
    <x:tableColumn id="17" name="rejection_cost"/>
    <x:tableColumn id="18" name="total_contribution"/>
    <x:tableColumn id="19" name="feasible"/>
    <x:tableColumn id="20" name="job_duplicate_count"/>
  </x:tableColumns>
  <x:tableStyleInfo name="TableStyleMedium2" showFirstColumn="0" showLastColumn="0" showRowStripes="1" showColumnStripes="0"/>
</x:table>
</file>

<file path=xl/tables/table5.xml><?xml version="1.0" encoding="utf-8"?>
<x:table xmlns:x="http://schemas.openxmlformats.org/spreadsheetml/2006/main" id="5" name="InstanceDataTable" displayName="InstanceDataTable" ref="A1:J76" headerRowCount="1" totalsRowCount="0" totalsRowShown="0">
  <x:tableColumns count="10">
    <x:tableColumn id="1" name="internal_id"/>
    <x:tableColumn id="2" name="job_id"/>
    <x:tableColumn id="3" name="family"/>
    <x:tableColumn id="4" name="processing_time"/>
    <x:tableColumn id="5" name="release"/>
    <x:tableColumn id="6" name="due"/>
    <x:tableColumn id="7" name="hard_deadline"/>
    <x:tableColumn id="8" name="tardiness_weight"/>
    <x:tableColumn id="9" name="execution_cost"/>
    <x:tableColumn id="10" name="rejection_cost"/>
  </x:tableColumns>
  <x:tableStyleInfo name="TableStyleMedium2" showFirstColumn="0" showLastColumn="0" showRowStripes="1" showColumnStripes="0"/>
</x:table>
</file>

<file path=xl/tables/table6.xml><?xml version="1.0" encoding="utf-8"?>
<x:table xmlns:x="http://schemas.openxmlformats.org/spreadsheetml/2006/main" id="6" name="SetupTimesTable" displayName="SetupTimesTable" ref="A1:E5" headerRowCount="1" totalsRowCount="0" totalsRowShown="0">
  <x:tableColumns count="5">
    <x:tableColumn id="1" name="from_to_time"/>
    <x:tableColumn id="2" name="0"/>
    <x:tableColumn id="3" name="1"/>
    <x:tableColumn id="4" name="2"/>
    <x:tableColumn id="5" name="3"/>
  </x:tableColumns>
  <x:tableStyleInfo name="TableStyleMedium2" showFirstColumn="0" showLastColumn="0" showRowStripes="1" showColumnStripes="0"/>
</x:table>
</file>

<file path=xl/tables/table7.xml><?xml version="1.0" encoding="utf-8"?>
<x:table xmlns:x="http://schemas.openxmlformats.org/spreadsheetml/2006/main" id="7" name="SetupCostsTable" displayName="SetupCostsTable" ref="G1:K5" headerRowCount="1" totalsRowCount="0" totalsRowShown="0">
  <x:tableColumns count="5">
    <x:tableColumn id="1" name="from_to_cost"/>
    <x:tableColumn id="2" name="0"/>
    <x:tableColumn id="3" name="1"/>
    <x:tableColumn id="4" name="2"/>
    <x:tableColumn id="5" name="3"/>
  </x:tableColumns>
  <x:tableStyleInfo name="TableStyleMedium9" showFirstColumn="0" showLastColumn="0" showRowStripes="1" showColumnStripes="0"/>
</x:table>
</file>

<file path=xl/tables/table8.xml><?xml version="1.0" encoding="utf-8"?>
<x:table xmlns:x="http://schemas.openxmlformats.org/spreadsheetml/2006/main" id="8" name="CatalogTable" displayName="CatalogTable" ref="A1:H48" headerRowCount="1" totalsRowCount="0" totalsRowShown="0">
  <x:tableColumns count="8">
    <x:tableColumn id="1" name="instance"/>
    <x:tableColumn id="2" name="problem_family"/>
    <x:tableColumn id="3" name="jobs"/>
    <x:tableColumn id="4" name="reference_cost"/>
    <x:tableColumn id="5" name="baseline_gap_percent"/>
    <x:tableColumn id="6" name="reference_status"/>
    <x:tableColumn id="7" name="size_band"/>
    <x:tableColumn id="8" name="source_path"/>
  </x:tableColumns>
  <x:tableStyleInfo name="TableStyleMedium2" showFirstColumn="0" showLastColumn="0" showRowStripes="1" showColumnStripes="0"/>
</x:table>
</file>

<file path=xl/theme/theme1.xml><?xml version="1.0" encoding="utf-8"?>
<a:theme xmlns:a="http://schemas.openxmlformats.org/drawingml/2006/main" name="IG Scheduling">
  <a:themeElements>
    <a:clrScheme name="IG Scheduling">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IG Scheduling">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aec84b7d4174151" /></Relationships>
</file>

<file path=xl/worksheets/_rels/sheet4.xml.rels>&#65279;<?xml version="1.0" encoding="utf-8"?><Relationships xmlns="http://schemas.openxmlformats.org/package/2006/relationships"><Relationship Type="http://schemas.openxmlformats.org/officeDocument/2006/relationships/drawing" Target="/xl/drawings/drawing2.xml" Id="Rdf5379b3aad544a8" /></Relationships>
</file>

<file path=xl/worksheets/_rels/sheet5.xml.rels>&#65279;<?xml version="1.0" encoding="utf-8"?><Relationships xmlns="http://schemas.openxmlformats.org/package/2006/relationships"><Relationship Type="http://schemas.openxmlformats.org/officeDocument/2006/relationships/drawing" Target="/xl/drawings/drawing3.xml" Id="Rcfa6fe17a53942e5" /></Relationships>
</file>

<file path=xl/worksheets/_rels/sheet8.xml.rels>&#65279;<?xml version="1.0" encoding="utf-8"?><Relationships xmlns="http://schemas.openxmlformats.org/package/2006/relationships"><Relationship Type="http://schemas.openxmlformats.org/officeDocument/2006/relationships/table" Target="/xl/tables/table1.xml" Id="R5a0dbd837940461b" /></Relationships>
</file>

<file path=xl/worksheets/_rels/sheet9.xml.rels>&#65279;<?xml version="1.0" encoding="utf-8"?><Relationships xmlns="http://schemas.openxmlformats.org/package/2006/relationships"><Relationship Type="http://schemas.openxmlformats.org/officeDocument/2006/relationships/table" Target="/xl/tables/table2.xml" Id="Raf6e15c8589d4d3f" /></Relationships>
</file>

<file path=xl/worksheets/_rels/sheet10.xml.rels>&#65279;<?xml version="1.0" encoding="utf-8"?><Relationships xmlns="http://schemas.openxmlformats.org/package/2006/relationships"><Relationship Type="http://schemas.openxmlformats.org/officeDocument/2006/relationships/table" Target="/xl/tables/table3.xml" Id="R21a8740c684245ee" /></Relationships>
</file>

<file path=xl/worksheets/_rels/sheet11.xml.rels>&#65279;<?xml version="1.0" encoding="utf-8"?><Relationships xmlns="http://schemas.openxmlformats.org/package/2006/relationships"><Relationship Type="http://schemas.openxmlformats.org/officeDocument/2006/relationships/table" Target="/xl/tables/table4.xml" Id="Rc8a14bb283f64dc2" /></Relationships>
</file>

<file path=xl/worksheets/_rels/sheet12.xml.rels>&#65279;<?xml version="1.0" encoding="utf-8"?><Relationships xmlns="http://schemas.openxmlformats.org/package/2006/relationships"><Relationship Type="http://schemas.openxmlformats.org/officeDocument/2006/relationships/table" Target="/xl/tables/table5.xml" Id="Rd6bced6387b74a59" /></Relationships>
</file>

<file path=xl/worksheets/_rels/sheet13.xml.rels>&#65279;<?xml version="1.0" encoding="utf-8"?><Relationships xmlns="http://schemas.openxmlformats.org/package/2006/relationships"><Relationship Type="http://schemas.openxmlformats.org/officeDocument/2006/relationships/table" Target="/xl/tables/table6.xml" Id="Rdd6119051edb4e08" /><Relationship Type="http://schemas.openxmlformats.org/officeDocument/2006/relationships/table" Target="/xl/tables/table7.xml" Id="Racac82971ce7460c" /></Relationships>
</file>

<file path=xl/worksheets/_rels/sheet14.xml.rels>&#65279;<?xml version="1.0" encoding="utf-8"?><Relationships xmlns="http://schemas.openxmlformats.org/package/2006/relationships"><Relationship Type="http://schemas.openxmlformats.org/officeDocument/2006/relationships/table" Target="/xl/tables/table8.xml" Id="R96a001ae49b24141" /></Relationships>
</file>

<file path=xl/worksheets/sheet1.xml><?xml version="1.0" encoding="utf-8"?>
<x:worksheet xmlns:x="http://schemas.openxmlformats.org/spreadsheetml/2006/main">
  <x:sheetViews>
    <x:sheetView showGridLines="0" workbookViewId="0"/>
  </x:sheetViews>
  <x:sheetFormatPr defaultRowHeight="15"/>
  <x:cols>
    <x:col min="1" max="1" width="4.670000076293945" hidden="0" customWidth="1"/>
    <x:col min="2" max="2" width="7.110000133514404" hidden="0" customWidth="1"/>
    <x:col min="3" max="3" width="7.110000133514404" hidden="0" customWidth="1"/>
    <x:col min="4" max="4" width="7.110000133514404" hidden="0" customWidth="1"/>
    <x:col min="5" max="5" width="7.110000133514404" hidden="0" customWidth="1"/>
    <x:col min="6" max="6" width="7.110000133514404" hidden="0" customWidth="1"/>
    <x:col min="7" max="7" width="2.6700000762939453" hidden="0" customWidth="1"/>
    <x:col min="8" max="8" width="7.559999942779541" hidden="0" customWidth="1"/>
    <x:col min="9" max="9" width="7.559999942779541" hidden="0" customWidth="1"/>
    <x:col min="10" max="10" width="7.559999942779541" hidden="0" customWidth="1"/>
    <x:col min="11" max="11" width="7.559999942779541" hidden="0" customWidth="1"/>
    <x:col min="12" max="12" width="7.559999942779541" hidden="0" customWidth="1"/>
    <x:col min="13" max="13" width="7.559999942779541" hidden="0" customWidth="1"/>
    <x:col min="14" max="14" width="7.559999942779541" hidden="0" customWidth="1"/>
    <x:col min="15" max="15" width="7.559999942779541" hidden="0" customWidth="1"/>
    <x:col min="16" max="16" width="7.559999942779541" hidden="0" customWidth="1"/>
  </x:cols>
  <x:sheetData>
    <x:row r="1" ht="24" customHeight="1">
      <x:c r="A1" s="42" t="str">
        <x:f>IF('_CONFIG'!$B$2="pt-BR","IG LAB
PESQUISA OPERACIONAL × BI","IG LAB
OPERATIONS RESEARCH × BI")</x:f>
        <x:v>IG LAB
OPERATIONS RESEARCH × BI</x:v>
      </x:c>
      <x:c r="B1" s="42"/>
      <x:c r="C1" s="42"/>
      <x:c r="D1" s="44" t="str">
        <x:f>IF('_CONFIG'!$B$2="pt-BR","Uma máquina. Milhares de escolhas. Uma decisão explicável.","One machine. Thousands of choices. One explainable decision.")</x:f>
        <x:v>One machine. Thousands of choices. One explainable decision.</x:v>
      </x:c>
      <x:c r="E1" s="44"/>
      <x:c r="F1" s="44"/>
      <x:c r="G1" s="44"/>
      <x:c r="H1" s="44"/>
      <x:c r="I1" s="44"/>
      <x:c r="J1" s="44"/>
      <x:c r="K1" s="44"/>
      <x:c r="L1" s="44"/>
      <x:c r="M1" s="44"/>
      <x:c r="N1" s="44"/>
      <x:c r="O1" s="44"/>
      <x:c r="P1" s="44"/>
      <x:c r="Q1" s="875"/>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IF('_CONFIG'!$B$2="pt-BR","Master somente leitura · Para executar: /copy → Verificar engine incorporado (autorizar uma vez) → Abrir painel","View-only master · To run: /copy → Verify embedded engine (authorize once) → Open control panel")</x:f>
        <x:v>View-only master · To run: /copy → Verify embedded engine (authorize once) → Open control panel</x:v>
      </x:c>
      <x:c r="E2" s="45"/>
      <x:c r="F2" s="45"/>
      <x:c r="G2" s="45"/>
      <x:c r="H2" s="45"/>
      <x:c r="I2" s="45"/>
      <x:c r="J2" s="45"/>
      <x:c r="K2" s="45"/>
      <x:c r="L2" s="45"/>
      <x:c r="M2" s="45"/>
      <x:c r="N2" s="45"/>
      <x:c r="O2" s="45"/>
      <x:c r="P2" s="45"/>
      <x:c r="Q2" s="87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875"/>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ht="18.75" customHeight="1">
      <x:c r="A4" s="65" t="str">
        <x:f>IF('_CONFIG'!$B$2="pt-BR","COMECE AQUI · COPIE ANTES DE EXECUTAR
O master público é somente leitura para preservar o exemplo verificado. Use o link /copy da versão nativa no Planilhas Google, distribuído com o projeto, para criar uma cópia privada. Autorize uma vez em IG Scheduler → Verificar engine incorporado; depois escolha Abrir painel de controle.
Importou o .xlsx? Ele é o snapshot analítico para download: fórmulas, tabelas e gráficos. A importação do Excel não leva o Apps Script vinculado, portanto esse arquivo não executa o solver.","START HERE · COPY BEFORE RUNNING
The public master is view-only so the verified example cannot be overwritten. Use the native Google Sheets /copy link distributed with the project to create a private copy. Authorize once with IG Scheduler → Verify embedded engine; then choose Open control panel.
Imported .xlsx? It is the downloadable analytics snapshot: formulas, tables and charts only. Excel imports do not carry the bound Apps Script, so that file cannot execute the solver.")</x:f>
        <x:v>START HERE · COPY BEFORE RUNNING
The public master is view-only so the verified example cannot be overwritten. Use the native Google Sheets /copy link distributed with the project to create a private copy. Authorize once with IG Scheduler → Verify embedded engine; then choose Open control panel.
Imported .xlsx? It is the downloadable analytics snapshot: formulas, tables and charts only. Excel imports do not carry the bound Apps Script, so that file cannot execute the solver.</x:v>
      </x:c>
      <x:c r="B4" s="66"/>
      <x:c r="C4" s="66"/>
      <x:c r="D4" s="66"/>
      <x:c r="E4" s="66"/>
      <x:c r="F4" s="66"/>
      <x:c r="G4" s="66"/>
      <x:c r="H4" s="66"/>
      <x:c r="I4" s="66"/>
      <x:c r="J4" s="67"/>
      <x:c r="K4" s="96" t="str">
        <x:f>IF('_CONFIG'!$B$2="pt-BR","A EXECUÇÃO EXIGE UMA CÓPIA PRIVADA","RUNNING REQUIRES A PRIVATE COPY")</x:f>
        <x:v>RUNNING REQUIRES A PRIVATE COPY</x:v>
      </x:c>
      <x:c r="L4" s="97"/>
      <x:c r="M4" s="97"/>
      <x:c r="N4" s="97"/>
      <x:c r="O4" s="97"/>
      <x:c r="P4" s="98"/>
      <x:c r="Q4" s="875"/>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ht="18.75" customHeight="1">
      <x:c r="A5" s="68"/>
      <x:c r="B5" s="69"/>
      <x:c r="C5" s="69"/>
      <x:c r="D5" s="69"/>
      <x:c r="E5" s="69"/>
      <x:c r="F5" s="69"/>
      <x:c r="G5" s="69"/>
      <x:c r="H5" s="69"/>
      <x:c r="I5" s="69"/>
      <x:c r="J5" s="70"/>
      <x:c r="K5" s="99"/>
      <x:c r="L5" s="100"/>
      <x:c r="M5" s="100"/>
      <x:c r="N5" s="100"/>
      <x:c r="O5" s="100"/>
      <x:c r="P5" s="101"/>
      <x:c r="Q5" s="875"/>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ht="18.75" customHeight="1">
      <x:c r="A6" s="68"/>
      <x:c r="B6" s="69"/>
      <x:c r="C6" s="69"/>
      <x:c r="D6" s="69"/>
      <x:c r="E6" s="69"/>
      <x:c r="F6" s="69"/>
      <x:c r="G6" s="69"/>
      <x:c r="H6" s="69"/>
      <x:c r="I6" s="69"/>
      <x:c r="J6" s="70"/>
      <x:c r="K6" s="38"/>
      <x:c r="L6" s="38"/>
      <x:c r="M6" s="38"/>
      <x:c r="N6" s="38"/>
      <x:c r="O6" s="38"/>
      <x:c r="P6" s="38"/>
      <x:c r="Q6" s="875"/>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ht="18.75" customHeight="1">
      <x:c r="A7" s="68"/>
      <x:c r="B7" s="69"/>
      <x:c r="C7" s="69"/>
      <x:c r="D7" s="69"/>
      <x:c r="E7" s="69"/>
      <x:c r="F7" s="69"/>
      <x:c r="G7" s="69"/>
      <x:c r="H7" s="69"/>
      <x:c r="I7" s="69"/>
      <x:c r="J7" s="70"/>
      <x:c r="K7" s="120" t="str">
        <x:f>IF('_CONFIG'!$B$2="pt-BR","COPIE → VERIFIQUE
ABRA O PAINEL","COPY → VERIFY
OPEN CONTROL PANEL")</x:f>
        <x:v>COPY → VERIFY
OPEN CONTROL PANEL</x:v>
      </x:c>
      <x:c r="L7" s="121"/>
      <x:c r="M7" s="121"/>
      <x:c r="N7" s="121"/>
      <x:c r="O7" s="122"/>
      <x:c r="P7" s="38"/>
      <x:c r="Q7" s="875"/>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ht="18.75" customHeight="1">
      <x:c r="A8" s="68"/>
      <x:c r="B8" s="69"/>
      <x:c r="C8" s="69"/>
      <x:c r="D8" s="69"/>
      <x:c r="E8" s="69"/>
      <x:c r="F8" s="69"/>
      <x:c r="G8" s="69"/>
      <x:c r="H8" s="69"/>
      <x:c r="I8" s="69"/>
      <x:c r="J8" s="70"/>
      <x:c r="K8" s="123"/>
      <x:c r="L8" s="124"/>
      <x:c r="M8" s="124"/>
      <x:c r="N8" s="124"/>
      <x:c r="O8" s="125"/>
      <x:c r="P8" s="38"/>
      <x:c r="Q8" s="875"/>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ht="18.75" customHeight="1">
      <x:c r="A9" s="71"/>
      <x:c r="B9" s="72"/>
      <x:c r="C9" s="72"/>
      <x:c r="D9" s="72"/>
      <x:c r="E9" s="72"/>
      <x:c r="F9" s="72"/>
      <x:c r="G9" s="72"/>
      <x:c r="H9" s="72"/>
      <x:c r="I9" s="72"/>
      <x:c r="J9" s="73"/>
      <x:c r="K9" s="126"/>
      <x:c r="L9" s="127"/>
      <x:c r="M9" s="127"/>
      <x:c r="N9" s="127"/>
      <x:c r="O9" s="128"/>
      <x:c r="P9" s="38"/>
      <x:c r="Q9" s="875"/>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38"/>
      <x:c r="B10" s="38"/>
      <x:c r="C10" s="38"/>
      <x:c r="D10" s="38"/>
      <x:c r="E10" s="38"/>
      <x:c r="F10" s="38"/>
      <x:c r="G10" s="38"/>
      <x:c r="H10" s="38"/>
      <x:c r="I10" s="38"/>
      <x:c r="J10" s="38"/>
      <x:c r="K10" s="38"/>
      <x:c r="L10" s="38"/>
      <x:c r="M10" s="38"/>
      <x:c r="N10" s="38"/>
      <x:c r="O10" s="38"/>
      <x:c r="P10" s="38"/>
      <x:c r="Q10" s="875"/>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129" t="str">
        <x:f>IF('_CONFIG'!$B$2="pt-BR","SALA DE CONTROLE","CONTROL ROOM")</x:f>
        <x:v>CONTROL ROOM</x:v>
      </x:c>
      <x:c r="B11" s="129"/>
      <x:c r="C11" s="129"/>
      <x:c r="D11" s="129"/>
      <x:c r="E11" s="129"/>
      <x:c r="F11" s="129"/>
      <x:c r="G11" s="38"/>
      <x:c r="H11" s="184" t="str">
        <x:f>IF('_CONFIG'!$B$2="pt-BR","A DECISÃO","THE DECISION")</x:f>
        <x:v>THE DECISION</x:v>
      </x:c>
      <x:c r="I11" s="184"/>
      <x:c r="J11" s="184"/>
      <x:c r="K11" s="184"/>
      <x:c r="L11" s="184"/>
      <x:c r="M11" s="184"/>
      <x:c r="N11" s="184"/>
      <x:c r="O11" s="184"/>
      <x:c r="P11" s="184"/>
      <x:c r="Q11" s="875"/>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129"/>
      <x:c r="B12" s="129"/>
      <x:c r="C12" s="129"/>
      <x:c r="D12" s="129"/>
      <x:c r="E12" s="129"/>
      <x:c r="F12" s="129"/>
      <x:c r="G12" s="38"/>
      <x:c r="H12" s="184"/>
      <x:c r="I12" s="184"/>
      <x:c r="J12" s="184"/>
      <x:c r="K12" s="184"/>
      <x:c r="L12" s="184"/>
      <x:c r="M12" s="184"/>
      <x:c r="N12" s="184"/>
      <x:c r="O12" s="184"/>
      <x:c r="P12" s="184"/>
      <x:c r="Q12" s="875"/>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ht="17.25" customHeight="1">
      <x:c r="A13" s="136" t="str">
        <x:f>IF('_CONFIG'!$B$2="pt-BR","Instância ativa","Active instance")</x:f>
        <x:v>Active instance</x:v>
      </x:c>
      <x:c r="B13" s="136"/>
      <x:c r="C13" s="136"/>
      <x:c r="D13" s="136"/>
      <x:c r="E13" s="146" t="str">
        <x:f>'_CONFIG'!$B$5</x:f>
        <x:v>STC_NCOS_32</x:v>
      </x:c>
      <x:c r="F13" s="147"/>
      <x:c r="G13" s="38"/>
      <x:c r="H13" s="203" t="str">
        <x:f>IF('_CONFIG'!$B$2="pt-BR","Uma programação candidata precisa equilibrar quatro componentes reais de custo:
PREPARAÇÃO — mudar o estado ou a família da máquina
EXECUÇÃO — processar os jobs selecionados
ATRASO — terminar depois do prazo
REJEIÇÃO — deixar um job fora da programação
Vence o menor total viável. Um job pode ser rejeitado quando forçá-lo na sequência custaria mais.","A candidate schedule must balance four real cost components:
SETUP — changing the machine state or family
EXECUTION — processing the selected jobs
TARDINESS — finishing after a due date
REJECTION — leaving a job outside the schedule
The lowest feasible total wins. A job may be rejected when forcing it into the sequence would cost more.")</x:f>
        <x:v>A candidate schedule must balance four real cost components:
SETUP — changing the machine state or family
EXECUTION — processing the selected jobs
TARDINESS — finishing after a due date
REJECTION — leaving a job outside the schedule
The lowest feasible total wins. A job may be rejected when forcing it into the sequence would cost more.</x:v>
      </x:c>
      <x:c r="I13" s="204"/>
      <x:c r="J13" s="204"/>
      <x:c r="K13" s="204"/>
      <x:c r="L13" s="204"/>
      <x:c r="M13" s="204"/>
      <x:c r="N13" s="204"/>
      <x:c r="O13" s="204"/>
      <x:c r="P13" s="205"/>
      <x:c r="Q13" s="875"/>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ht="17.25" customHeight="1">
      <x:c r="A14" s="137" t="str">
        <x:f>IF('_CONFIG'!$B$2="pt-BR","Jobs","Jobs")</x:f>
        <x:v>Jobs</x:v>
      </x:c>
      <x:c r="B14" s="137"/>
      <x:c r="C14" s="137"/>
      <x:c r="D14" s="137"/>
      <x:c r="E14" s="148" t="n">
        <x:f>'_STATE'!$B$2</x:f>
        <x:v>75</x:v>
      </x:c>
      <x:c r="F14" s="149"/>
      <x:c r="G14" s="38"/>
      <x:c r="H14" s="206"/>
      <x:c r="I14" s="207"/>
      <x:c r="J14" s="207"/>
      <x:c r="K14" s="207"/>
      <x:c r="L14" s="207"/>
      <x:c r="M14" s="207"/>
      <x:c r="N14" s="207"/>
      <x:c r="O14" s="207"/>
      <x:c r="P14" s="208"/>
      <x:c r="Q14" s="875"/>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ht="17.25" customHeight="1">
      <x:c r="A15" s="137" t="str">
        <x:f>IF('_CONFIG'!$B$2="pt-BR","Famílias","Families")</x:f>
        <x:v>Families</x:v>
      </x:c>
      <x:c r="B15" s="137"/>
      <x:c r="C15" s="137"/>
      <x:c r="D15" s="137"/>
      <x:c r="E15" s="148" t="n">
        <x:f>'_STATE'!$B$3</x:f>
        <x:v>4</x:v>
      </x:c>
      <x:c r="F15" s="149"/>
      <x:c r="G15" s="38"/>
      <x:c r="H15" s="206"/>
      <x:c r="I15" s="207"/>
      <x:c r="J15" s="207"/>
      <x:c r="K15" s="207"/>
      <x:c r="L15" s="207"/>
      <x:c r="M15" s="207"/>
      <x:c r="N15" s="207"/>
      <x:c r="O15" s="207"/>
      <x:c r="P15" s="208"/>
      <x:c r="Q15" s="875"/>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ht="17.25" customHeight="1">
      <x:c r="A16" s="137" t="str">
        <x:f>IF('_CONFIG'!$B$2="pt-BR","Orçamento de iterações","Iteration budget")</x:f>
        <x:v>Iteration budget</x:v>
      </x:c>
      <x:c r="B16" s="137"/>
      <x:c r="C16" s="137"/>
      <x:c r="D16" s="137"/>
      <x:c r="E16" s="148" t="n">
        <x:f>'_CONFIG'!$B$7</x:f>
        <x:v>2500</x:v>
      </x:c>
      <x:c r="F16" s="149"/>
      <x:c r="G16" s="38"/>
      <x:c r="H16" s="206"/>
      <x:c r="I16" s="207"/>
      <x:c r="J16" s="207"/>
      <x:c r="K16" s="207"/>
      <x:c r="L16" s="207"/>
      <x:c r="M16" s="207"/>
      <x:c r="N16" s="207"/>
      <x:c r="O16" s="207"/>
      <x:c r="P16" s="208"/>
      <x:c r="Q16" s="875"/>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ht="17.25" customHeight="1">
      <x:c r="A17" s="137" t="str">
        <x:f>IF('_CONFIG'!$B$2="pt-BR","Tamanho de destruição d","Destroy size d")</x:f>
        <x:v>Destroy size d</x:v>
      </x:c>
      <x:c r="B17" s="137"/>
      <x:c r="C17" s="137"/>
      <x:c r="D17" s="137"/>
      <x:c r="E17" s="148" t="n">
        <x:f>'_CONFIG'!$B$8</x:f>
        <x:v>2</x:v>
      </x:c>
      <x:c r="F17" s="149"/>
      <x:c r="G17" s="38"/>
      <x:c r="H17" s="206"/>
      <x:c r="I17" s="207"/>
      <x:c r="J17" s="207"/>
      <x:c r="K17" s="207"/>
      <x:c r="L17" s="207"/>
      <x:c r="M17" s="207"/>
      <x:c r="N17" s="207"/>
      <x:c r="O17" s="207"/>
      <x:c r="P17" s="208"/>
      <x:c r="Q17" s="875"/>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ht="17.25" customHeight="1">
      <x:c r="A18" s="137" t="str">
        <x:f>IF('_CONFIG'!$B$2="pt-BR","Repetições","Replications")</x:f>
        <x:v>Replications</x:v>
      </x:c>
      <x:c r="B18" s="137"/>
      <x:c r="C18" s="137"/>
      <x:c r="D18" s="137"/>
      <x:c r="E18" s="148" t="n">
        <x:f>'_CONFIG'!$B$24</x:f>
        <x:v>10</x:v>
      </x:c>
      <x:c r="F18" s="149"/>
      <x:c r="G18" s="38"/>
      <x:c r="H18" s="209"/>
      <x:c r="I18" s="210"/>
      <x:c r="J18" s="210"/>
      <x:c r="K18" s="210"/>
      <x:c r="L18" s="210"/>
      <x:c r="M18" s="210"/>
      <x:c r="N18" s="210"/>
      <x:c r="O18" s="210"/>
      <x:c r="P18" s="211"/>
      <x:c r="Q18" s="875"/>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38"/>
      <x:c r="B19" s="38"/>
      <x:c r="C19" s="38"/>
      <x:c r="D19" s="38"/>
      <x:c r="E19" s="38"/>
      <x:c r="F19" s="38"/>
      <x:c r="G19" s="38"/>
      <x:c r="H19" s="38"/>
      <x:c r="I19" s="38"/>
      <x:c r="J19" s="38"/>
      <x:c r="K19" s="38"/>
      <x:c r="L19" s="38"/>
      <x:c r="M19" s="38"/>
      <x:c r="N19" s="38"/>
      <x:c r="O19" s="38"/>
      <x:c r="P19" s="38"/>
      <x:c r="Q19" s="875"/>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ht="21.75" customHeight="1">
      <x:c r="A20" s="155" t="str">
        <x:f>IF('_CONFIG'!$B$2="pt-BR","EXECUTE EM 4 PASSOS
1  Abra o link /copy do projeto no Planilhas Google.
2  Crie sua cópia privada.
3  IG Scheduler → Verificar engine incorporado (autorização única).
4  IG Scheduler → Abrir painel de controle.
Não envie o .xlsx quando o objetivo for executar.","RUN IN 4 STEPS
1  Open the project’s native /copy link.
2  Create your private Google Sheet.
3  IG Scheduler → Verify embedded engine (one-time authorization).
4  IG Scheduler → Open control panel.
Do not upload the .xlsx when the goal is to run.")</x:f>
        <x:v>RUN IN 4 STEPS
1  Open the project’s native /copy link.
2  Create your private Google Sheet.
3  IG Scheduler → Verify embedded engine (one-time authorization).
4  IG Scheduler → Open control panel.
Do not upload the .xlsx when the goal is to run.</x:v>
      </x:c>
      <x:c r="B20" s="156"/>
      <x:c r="C20" s="156"/>
      <x:c r="D20" s="156"/>
      <x:c r="E20" s="156"/>
      <x:c r="F20" s="157"/>
      <x:c r="G20" s="38"/>
      <x:c r="H20" s="248" t="n">
        <x:f>'_CONFIG'!$B$17+'_CONFIG'!$B$18+'_CONFIG'!$B$19+'_CONFIG'!$B$20</x:f>
        <x:v>24048</x:v>
      </x:c>
      <x:c r="I20" s="249"/>
      <x:c r="J20" s="249"/>
      <x:c r="K20" s="249"/>
      <x:c r="L20" s="249"/>
      <x:c r="M20" s="249"/>
      <x:c r="N20" s="249"/>
      <x:c r="O20" s="249"/>
      <x:c r="P20" s="250"/>
      <x:c r="Q20" s="875"/>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ht="21.75" customHeight="1">
      <x:c r="A21" s="158"/>
      <x:c r="B21" s="159"/>
      <x:c r="C21" s="159"/>
      <x:c r="D21" s="159"/>
      <x:c r="E21" s="159"/>
      <x:c r="F21" s="160"/>
      <x:c r="G21" s="38"/>
      <x:c r="H21" s="251"/>
      <x:c r="I21" s="252"/>
      <x:c r="J21" s="252"/>
      <x:c r="K21" s="252"/>
      <x:c r="L21" s="252"/>
      <x:c r="M21" s="252"/>
      <x:c r="N21" s="252"/>
      <x:c r="O21" s="252"/>
      <x:c r="P21" s="253"/>
      <x:c r="Q21" s="875"/>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ht="21.75" customHeight="1">
      <x:c r="A22" s="158"/>
      <x:c r="B22" s="159"/>
      <x:c r="C22" s="159"/>
      <x:c r="D22" s="159"/>
      <x:c r="E22" s="159"/>
      <x:c r="F22" s="160"/>
      <x:c r="G22" s="38"/>
      <x:c r="H22" s="254"/>
      <x:c r="I22" s="255"/>
      <x:c r="J22" s="255"/>
      <x:c r="K22" s="255"/>
      <x:c r="L22" s="255"/>
      <x:c r="M22" s="255"/>
      <x:c r="N22" s="255"/>
      <x:c r="O22" s="255"/>
      <x:c r="P22" s="256"/>
      <x:c r="Q22" s="875"/>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ht="21.75" customHeight="1">
      <x:c r="A23" s="158"/>
      <x:c r="B23" s="159"/>
      <x:c r="C23" s="159"/>
      <x:c r="D23" s="159"/>
      <x:c r="E23" s="159"/>
      <x:c r="F23" s="160"/>
      <x:c r="G23" s="38"/>
      <x:c r="H23" s="275" t="str">
        <x:f>IF('_CONFIG'!$B$2="pt-BR","OBJETIVO = PREPARAÇÃO + EXECUÇÃO + ATRASO + REJEIÇÃO","OBJECTIVE = SETUP + EXECUTION + TARDINESS + REJECTION")</x:f>
        <x:v>OBJECTIVE = SETUP + EXECUTION + TARDINESS + REJECTION</x:v>
      </x:c>
      <x:c r="I23" s="276"/>
      <x:c r="J23" s="276"/>
      <x:c r="K23" s="276"/>
      <x:c r="L23" s="276"/>
      <x:c r="M23" s="276"/>
      <x:c r="N23" s="276"/>
      <x:c r="O23" s="276"/>
      <x:c r="P23" s="277"/>
      <x:c r="Q23" s="875"/>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ht="21.75" customHeight="1">
      <x:c r="A24" s="158"/>
      <x:c r="B24" s="159"/>
      <x:c r="C24" s="159"/>
      <x:c r="D24" s="159"/>
      <x:c r="E24" s="159"/>
      <x:c r="F24" s="160"/>
      <x:c r="G24" s="38"/>
      <x:c r="H24" s="278"/>
      <x:c r="I24" s="279"/>
      <x:c r="J24" s="279"/>
      <x:c r="K24" s="279"/>
      <x:c r="L24" s="279"/>
      <x:c r="M24" s="279"/>
      <x:c r="N24" s="279"/>
      <x:c r="O24" s="279"/>
      <x:c r="P24" s="280"/>
      <x:c r="Q24" s="875"/>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ht="21.75" customHeight="1">
      <x:c r="A25" s="161"/>
      <x:c r="B25" s="162"/>
      <x:c r="C25" s="162"/>
      <x:c r="D25" s="162"/>
      <x:c r="E25" s="162"/>
      <x:c r="F25" s="163"/>
      <x:c r="G25" s="38"/>
      <x:c r="H25" s="281"/>
      <x:c r="I25" s="282"/>
      <x:c r="J25" s="282"/>
      <x:c r="K25" s="282"/>
      <x:c r="L25" s="282"/>
      <x:c r="M25" s="282"/>
      <x:c r="N25" s="282"/>
      <x:c r="O25" s="282"/>
      <x:c r="P25" s="283"/>
      <x:c r="Q25" s="875"/>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ht="21" customHeight="1">
      <x:c r="A26" s="180" t="e">
        <x:f>HYPERLINK("https://docs.google.com/spreadsheets/d/18i8zJqT0W6P8xcN1sn6NW0KjdEFYrAJm9zcVqb8fOXg/copy",IF('_CONFIG'!$B$2="pt-BR","CRIAR CÓPIA EXECUTÁVEL ↗  /copy OU ARQUIVO → FAZER UMA CÓPIA","CREATE RUNNABLE COPY ↗  /copy OR FILE → MAKE A COPY"))</x:f>
        <x:v>HYPERLINK is not implemented. linkLocation=https://docs.google.com/spreadsheets/d/18i8zJqT0W6P8xcN1sn6NW0KjdEFYrAJm9zcVqb8fOXg/copy, friendlyName=CREATE RUNNABLE COPY ↗  /copy OR FILE → MAKE A COPY</x:v>
      </x:c>
      <x:c r="B26" s="181"/>
      <x:c r="C26" s="181"/>
      <x:c r="D26" s="181"/>
      <x:c r="E26" s="181"/>
      <x:c r="F26" s="182"/>
      <x:c r="G26" s="38"/>
      <x:c r="H26" s="38"/>
      <x:c r="I26" s="38"/>
      <x:c r="J26" s="38"/>
      <x:c r="K26" s="38"/>
      <x:c r="L26" s="38"/>
      <x:c r="M26" s="38"/>
      <x:c r="N26" s="38"/>
      <x:c r="O26" s="38"/>
      <x:c r="P26" s="38"/>
      <x:c r="Q26" s="875"/>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x:c r="A27" s="294" t="str">
        <x:f>IF('_CONFIG'!$B$2="pt-BR","COMO LER A PLANILHA","READ THE WORKBOOK")</x:f>
        <x:v>READ THE WORKBOOK</x:v>
      </x:c>
      <x:c r="B27" s="294"/>
      <x:c r="C27" s="294"/>
      <x:c r="D27" s="294"/>
      <x:c r="E27" s="294"/>
      <x:c r="F27" s="294"/>
      <x:c r="G27" s="294"/>
      <x:c r="H27" s="294"/>
      <x:c r="I27" s="294"/>
      <x:c r="J27" s="294"/>
      <x:c r="K27" s="294"/>
      <x:c r="L27" s="294"/>
      <x:c r="M27" s="294"/>
      <x:c r="N27" s="294"/>
      <x:c r="O27" s="294"/>
      <x:c r="P27" s="294"/>
      <x:c r="Q27" s="875"/>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x:c r="A28" s="294"/>
      <x:c r="B28" s="294"/>
      <x:c r="C28" s="294"/>
      <x:c r="D28" s="294"/>
      <x:c r="E28" s="294"/>
      <x:c r="F28" s="294"/>
      <x:c r="G28" s="294"/>
      <x:c r="H28" s="294"/>
      <x:c r="I28" s="294"/>
      <x:c r="J28" s="294"/>
      <x:c r="K28" s="294"/>
      <x:c r="L28" s="294"/>
      <x:c r="M28" s="294"/>
      <x:c r="N28" s="294"/>
      <x:c r="O28" s="294"/>
      <x:c r="P28" s="294"/>
      <x:c r="Q28" s="875"/>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x:c r="A29" s="38"/>
      <x:c r="B29" s="38"/>
      <x:c r="C29" s="38"/>
      <x:c r="D29" s="38"/>
      <x:c r="E29" s="38"/>
      <x:c r="F29" s="38"/>
      <x:c r="G29" s="38"/>
      <x:c r="H29" s="38"/>
      <x:c r="I29" s="38"/>
      <x:c r="J29" s="38"/>
      <x:c r="K29" s="38"/>
      <x:c r="L29" s="38"/>
      <x:c r="M29" s="38"/>
      <x:c r="N29" s="38"/>
      <x:c r="O29" s="38"/>
      <x:c r="P29" s="38"/>
      <x:c r="Q29" s="875"/>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ht="18" customHeight="1">
      <x:c r="A30" s="314" t="str">
        <x:f>IF('_CONFIG'!$B$2="pt-BR","01  RESULTADO
Comece pela decisão e por seu custo.","01  RESULT
Start with the decision and its cost.")</x:f>
        <x:v>01  RESULT
Start with the decision and its cost.</x:v>
      </x:c>
      <x:c r="B30" s="315"/>
      <x:c r="C30" s="315"/>
      <x:c r="D30" s="316"/>
      <x:c r="E30" s="350" t="str">
        <x:f>IF('_CONFIG'!$B$2="pt-BR","02  PROGRAMAÇÃO
Examine a sequência e os tempos.","02  SCHEDULE
Inspect the sequence and timing.")</x:f>
        <x:v>02  SCHEDULE
Inspect the sequence and timing.</x:v>
      </x:c>
      <x:c r="F30" s="351"/>
      <x:c r="G30" s="351"/>
      <x:c r="H30" s="352"/>
      <x:c r="I30" s="350" t="str">
        <x:f>IF('_CONFIG'!$B$2="pt-BR","03  EXPERIMENTO
Meça a robustez entre sementes.","03  EXPERIMENT
Measure robustness across seeds.")</x:f>
        <x:v>03  EXPERIMENT
Measure robustness across seeds.</x:v>
      </x:c>
      <x:c r="J30" s="351"/>
      <x:c r="K30" s="351"/>
      <x:c r="L30" s="352"/>
      <x:c r="M30" s="350" t="str">
        <x:f>IF('_CONFIG'!$B$2="pt-BR","04  EVIDÊNCIAS
Rastreie a instância, o método e os controles.","04  EVIDENCE
Trace instance, method and controls.")</x:f>
        <x:v>04  EVIDENCE
Trace instance, method and controls.</x:v>
      </x:c>
      <x:c r="N30" s="351"/>
      <x:c r="O30" s="351"/>
      <x:c r="P30" s="352"/>
      <x:c r="Q30" s="875"/>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ht="18" customHeight="1">
      <x:c r="A31" s="317"/>
      <x:c r="B31" s="318"/>
      <x:c r="C31" s="318"/>
      <x:c r="D31" s="319"/>
      <x:c r="E31" s="353"/>
      <x:c r="F31" s="354"/>
      <x:c r="G31" s="354"/>
      <x:c r="H31" s="355"/>
      <x:c r="I31" s="353"/>
      <x:c r="J31" s="354"/>
      <x:c r="K31" s="354"/>
      <x:c r="L31" s="355"/>
      <x:c r="M31" s="353"/>
      <x:c r="N31" s="354"/>
      <x:c r="O31" s="354"/>
      <x:c r="P31" s="355"/>
      <x:c r="Q31" s="875"/>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ht="18" customHeight="1">
      <x:c r="A32" s="317"/>
      <x:c r="B32" s="318"/>
      <x:c r="C32" s="318"/>
      <x:c r="D32" s="319"/>
      <x:c r="E32" s="353"/>
      <x:c r="F32" s="354"/>
      <x:c r="G32" s="354"/>
      <x:c r="H32" s="355"/>
      <x:c r="I32" s="353"/>
      <x:c r="J32" s="354"/>
      <x:c r="K32" s="354"/>
      <x:c r="L32" s="355"/>
      <x:c r="M32" s="353"/>
      <x:c r="N32" s="354"/>
      <x:c r="O32" s="354"/>
      <x:c r="P32" s="355"/>
      <x:c r="Q32" s="875"/>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ht="18" customHeight="1">
      <x:c r="A33" s="317"/>
      <x:c r="B33" s="318"/>
      <x:c r="C33" s="318"/>
      <x:c r="D33" s="319"/>
      <x:c r="E33" s="353"/>
      <x:c r="F33" s="354"/>
      <x:c r="G33" s="354"/>
      <x:c r="H33" s="355"/>
      <x:c r="I33" s="353"/>
      <x:c r="J33" s="354"/>
      <x:c r="K33" s="354"/>
      <x:c r="L33" s="355"/>
      <x:c r="M33" s="353"/>
      <x:c r="N33" s="354"/>
      <x:c r="O33" s="354"/>
      <x:c r="P33" s="355"/>
      <x:c r="Q33" s="875"/>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ht="18" customHeight="1">
      <x:c r="A34" s="317"/>
      <x:c r="B34" s="318"/>
      <x:c r="C34" s="318"/>
      <x:c r="D34" s="319"/>
      <x:c r="E34" s="353"/>
      <x:c r="F34" s="354"/>
      <x:c r="G34" s="354"/>
      <x:c r="H34" s="355"/>
      <x:c r="I34" s="353"/>
      <x:c r="J34" s="354"/>
      <x:c r="K34" s="354"/>
      <x:c r="L34" s="355"/>
      <x:c r="M34" s="353"/>
      <x:c r="N34" s="354"/>
      <x:c r="O34" s="354"/>
      <x:c r="P34" s="355"/>
      <x:c r="Q34" s="875"/>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ht="18" customHeight="1">
      <x:c r="A35" s="320"/>
      <x:c r="B35" s="321"/>
      <x:c r="C35" s="321"/>
      <x:c r="D35" s="322"/>
      <x:c r="E35" s="356"/>
      <x:c r="F35" s="357"/>
      <x:c r="G35" s="357"/>
      <x:c r="H35" s="358"/>
      <x:c r="I35" s="356"/>
      <x:c r="J35" s="357"/>
      <x:c r="K35" s="357"/>
      <x:c r="L35" s="358"/>
      <x:c r="M35" s="356"/>
      <x:c r="N35" s="357"/>
      <x:c r="O35" s="357"/>
      <x:c r="P35" s="358"/>
      <x:c r="Q35" s="875"/>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x:c r="A36" s="38"/>
      <x:c r="B36" s="38"/>
      <x:c r="C36" s="38"/>
      <x:c r="D36" s="38"/>
      <x:c r="E36" s="38"/>
      <x:c r="F36" s="38"/>
      <x:c r="G36" s="38"/>
      <x:c r="H36" s="38"/>
      <x:c r="I36" s="38"/>
      <x:c r="J36" s="38"/>
      <x:c r="K36" s="38"/>
      <x:c r="L36" s="38"/>
      <x:c r="M36" s="38"/>
      <x:c r="N36" s="38"/>
      <x:c r="O36" s="38"/>
      <x:c r="P36" s="38"/>
      <x:c r="Q36" s="875"/>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ht="18" customHeight="1">
      <x:c r="A37" s="387" t="str">
        <x:f>IF('_CONFIG'!$B$2="pt-BR","Projeto de portfólio: solver canônico em Rust WebAssembly · orquestração em Apps Script V8 · verificação independente do objetivo · escritas em lote protegidas · interface de BI com troca de idioma.","Portfolio build: canonical Rust WebAssembly solver · Apps Script V8 orchestration · independent objective verification · protected batch writes · language-switching BI interface.")</x:f>
        <x:v>Portfolio build: canonical Rust WebAssembly solver · Apps Script V8 orchestration · independent objective verification · protected batch writes · language-switching BI interface.</x:v>
      </x:c>
      <x:c r="B37" s="388"/>
      <x:c r="C37" s="388"/>
      <x:c r="D37" s="388"/>
      <x:c r="E37" s="388"/>
      <x:c r="F37" s="388"/>
      <x:c r="G37" s="388"/>
      <x:c r="H37" s="388"/>
      <x:c r="I37" s="388"/>
      <x:c r="J37" s="388"/>
      <x:c r="K37" s="388"/>
      <x:c r="L37" s="388"/>
      <x:c r="M37" s="388"/>
      <x:c r="N37" s="388"/>
      <x:c r="O37" s="388"/>
      <x:c r="P37" s="389"/>
      <x:c r="Q37" s="875"/>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ht="18" customHeight="1">
      <x:c r="A38" s="390"/>
      <x:c r="B38" s="391"/>
      <x:c r="C38" s="391"/>
      <x:c r="D38" s="391"/>
      <x:c r="E38" s="391"/>
      <x:c r="F38" s="391"/>
      <x:c r="G38" s="391"/>
      <x:c r="H38" s="391"/>
      <x:c r="I38" s="391"/>
      <x:c r="J38" s="391"/>
      <x:c r="K38" s="391"/>
      <x:c r="L38" s="391"/>
      <x:c r="M38" s="391"/>
      <x:c r="N38" s="391"/>
      <x:c r="O38" s="391"/>
      <x:c r="P38" s="392"/>
      <x:c r="Q38" s="875"/>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ht="18" customHeight="1">
      <x:c r="A39" s="393"/>
      <x:c r="B39" s="394"/>
      <x:c r="C39" s="394"/>
      <x:c r="D39" s="394"/>
      <x:c r="E39" s="394"/>
      <x:c r="F39" s="394"/>
      <x:c r="G39" s="394"/>
      <x:c r="H39" s="394"/>
      <x:c r="I39" s="394"/>
      <x:c r="J39" s="394"/>
      <x:c r="K39" s="394"/>
      <x:c r="L39" s="394"/>
      <x:c r="M39" s="394"/>
      <x:c r="N39" s="394"/>
      <x:c r="O39" s="394"/>
      <x:c r="P39" s="395"/>
      <x:c r="Q39" s="875"/>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38"/>
      <x:c r="B40" s="38"/>
      <x:c r="C40" s="38"/>
      <x:c r="D40" s="38"/>
      <x:c r="E40" s="38"/>
      <x:c r="F40" s="38"/>
      <x:c r="G40" s="38"/>
      <x:c r="H40" s="38"/>
      <x:c r="I40" s="38"/>
      <x:c r="J40" s="38"/>
      <x:c r="K40" s="38"/>
      <x:c r="L40" s="38"/>
      <x:c r="M40" s="38"/>
      <x:c r="N40" s="38"/>
      <x:c r="O40" s="38"/>
      <x:c r="P40" s="38"/>
      <x:c r="Q40" s="875"/>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38"/>
      <x:c r="B41" s="38"/>
      <x:c r="C41" s="38"/>
      <x:c r="D41" s="38"/>
      <x:c r="E41" s="38"/>
      <x:c r="F41" s="38"/>
      <x:c r="G41" s="38"/>
      <x:c r="H41" s="38"/>
      <x:c r="I41" s="38"/>
      <x:c r="J41" s="38"/>
      <x:c r="K41" s="38"/>
      <x:c r="L41" s="38"/>
      <x:c r="M41" s="38"/>
      <x:c r="N41" s="38"/>
      <x:c r="O41" s="38"/>
      <x:c r="P41" s="38"/>
      <x:c r="Q41" s="875"/>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x:c r="A42" s="38"/>
      <x:c r="B42" s="38"/>
      <x:c r="C42" s="38"/>
      <x:c r="D42" s="38"/>
      <x:c r="E42" s="38"/>
      <x:c r="F42" s="38"/>
      <x:c r="G42" s="38"/>
      <x:c r="H42" s="38"/>
      <x:c r="I42" s="38"/>
      <x:c r="J42" s="38"/>
      <x:c r="K42" s="38"/>
      <x:c r="L42" s="38"/>
      <x:c r="M42" s="38"/>
      <x:c r="N42" s="38"/>
      <x:c r="O42" s="38"/>
      <x:c r="P42" s="38"/>
      <x:c r="Q42" s="875"/>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x:c r="A43" s="875"/>
      <x:c r="B43" s="875"/>
      <x:c r="C43" s="875"/>
      <x:c r="D43" s="875"/>
      <x:c r="E43" s="875"/>
      <x:c r="F43" s="875"/>
      <x:c r="G43" s="875"/>
      <x:c r="H43" s="875"/>
      <x:c r="I43" s="875"/>
      <x:c r="J43" s="875"/>
      <x:c r="K43" s="875"/>
      <x:c r="L43" s="875"/>
      <x:c r="M43" s="875"/>
      <x:c r="N43" s="875"/>
      <x:c r="O43" s="875"/>
      <x:c r="P43" s="875"/>
      <x:c r="Q43" s="875"/>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x:c r="A44" s="875"/>
      <x:c r="B44" s="875"/>
      <x:c r="C44" s="875"/>
      <x:c r="D44" s="875"/>
      <x:c r="E44" s="875"/>
      <x:c r="F44" s="875"/>
      <x:c r="G44" s="875"/>
      <x:c r="H44" s="875"/>
      <x:c r="I44" s="875"/>
      <x:c r="J44" s="875"/>
      <x:c r="K44" s="875"/>
      <x:c r="L44" s="875"/>
      <x:c r="M44" s="875"/>
      <x:c r="N44" s="875"/>
      <x:c r="O44" s="875"/>
      <x:c r="P44" s="875"/>
      <x:c r="Q44" s="875"/>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875"/>
      <x:c r="B45" s="875"/>
      <x:c r="C45" s="875"/>
      <x:c r="D45" s="875"/>
      <x:c r="E45" s="875"/>
      <x:c r="F45" s="875"/>
      <x:c r="G45" s="875"/>
      <x:c r="H45" s="875"/>
      <x:c r="I45" s="875"/>
      <x:c r="J45" s="875"/>
      <x:c r="K45" s="875"/>
      <x:c r="L45" s="875"/>
      <x:c r="M45" s="875"/>
      <x:c r="N45" s="875"/>
      <x:c r="O45" s="875"/>
      <x:c r="P45" s="875"/>
      <x:c r="Q45" s="875"/>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875"/>
      <x:c r="B46" s="875"/>
      <x:c r="C46" s="875"/>
      <x:c r="D46" s="875"/>
      <x:c r="E46" s="875"/>
      <x:c r="F46" s="875"/>
      <x:c r="G46" s="875"/>
      <x:c r="H46" s="875"/>
      <x:c r="I46" s="875"/>
      <x:c r="J46" s="875"/>
      <x:c r="K46" s="875"/>
      <x:c r="L46" s="875"/>
      <x:c r="M46" s="875"/>
      <x:c r="N46" s="875"/>
      <x:c r="O46" s="875"/>
      <x:c r="P46" s="875"/>
      <x:c r="Q46" s="875"/>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875"/>
      <x:c r="B47" s="875"/>
      <x:c r="C47" s="875"/>
      <x:c r="D47" s="875"/>
      <x:c r="E47" s="875"/>
      <x:c r="F47" s="875"/>
      <x:c r="G47" s="875"/>
      <x:c r="H47" s="875"/>
      <x:c r="I47" s="875"/>
      <x:c r="J47" s="875"/>
      <x:c r="K47" s="875"/>
      <x:c r="L47" s="875"/>
      <x:c r="M47" s="875"/>
      <x:c r="N47" s="875"/>
      <x:c r="O47" s="875"/>
      <x:c r="P47" s="875"/>
      <x:c r="Q47" s="875"/>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875"/>
      <x:c r="B48" s="875"/>
      <x:c r="C48" s="875"/>
      <x:c r="D48" s="875"/>
      <x:c r="E48" s="875"/>
      <x:c r="F48" s="875"/>
      <x:c r="G48" s="875"/>
      <x:c r="H48" s="875"/>
      <x:c r="I48" s="875"/>
      <x:c r="J48" s="875"/>
      <x:c r="K48" s="875"/>
      <x:c r="L48" s="875"/>
      <x:c r="M48" s="875"/>
      <x:c r="N48" s="875"/>
      <x:c r="O48" s="875"/>
      <x:c r="P48" s="875"/>
      <x:c r="Q48" s="875"/>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x:c r="A49" s="875"/>
      <x:c r="B49" s="875"/>
      <x:c r="C49" s="875"/>
      <x:c r="D49" s="875"/>
      <x:c r="E49" s="875"/>
      <x:c r="F49" s="875"/>
      <x:c r="G49" s="875"/>
      <x:c r="H49" s="875"/>
      <x:c r="I49" s="875"/>
      <x:c r="J49" s="875"/>
      <x:c r="K49" s="875"/>
      <x:c r="L49" s="875"/>
      <x:c r="M49" s="875"/>
      <x:c r="N49" s="875"/>
      <x:c r="O49" s="875"/>
      <x:c r="P49" s="875"/>
      <x:c r="Q49" s="875"/>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x:c r="A50" s="875"/>
      <x:c r="B50" s="875"/>
      <x:c r="C50" s="875"/>
      <x:c r="D50" s="875"/>
      <x:c r="E50" s="875"/>
      <x:c r="F50" s="875"/>
      <x:c r="G50" s="875"/>
      <x:c r="H50" s="875"/>
      <x:c r="I50" s="875"/>
      <x:c r="J50" s="875"/>
      <x:c r="K50" s="875"/>
      <x:c r="L50" s="875"/>
      <x:c r="M50" s="875"/>
      <x:c r="N50" s="875"/>
      <x:c r="O50" s="875"/>
      <x:c r="P50" s="875"/>
      <x:c r="Q50" s="875"/>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x:c r="A51" s="875"/>
      <x:c r="B51" s="875"/>
      <x:c r="C51" s="875"/>
      <x:c r="D51" s="875"/>
      <x:c r="E51" s="875"/>
      <x:c r="F51" s="875"/>
      <x:c r="G51" s="875"/>
      <x:c r="H51" s="875"/>
      <x:c r="I51" s="875"/>
      <x:c r="J51" s="875"/>
      <x:c r="K51" s="875"/>
      <x:c r="L51" s="875"/>
      <x:c r="M51" s="875"/>
      <x:c r="N51" s="875"/>
      <x:c r="O51" s="875"/>
      <x:c r="P51" s="875"/>
      <x:c r="Q51" s="875"/>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x:c r="A52" s="875"/>
      <x:c r="B52" s="875"/>
      <x:c r="C52" s="875"/>
      <x:c r="D52" s="875"/>
      <x:c r="E52" s="875"/>
      <x:c r="F52" s="875"/>
      <x:c r="G52" s="875"/>
      <x:c r="H52" s="875"/>
      <x:c r="I52" s="875"/>
      <x:c r="J52" s="875"/>
      <x:c r="K52" s="875"/>
      <x:c r="L52" s="875"/>
      <x:c r="M52" s="875"/>
      <x:c r="N52" s="875"/>
      <x:c r="O52" s="875"/>
      <x:c r="P52" s="875"/>
      <x:c r="Q52" s="875"/>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x:c r="A53" s="875"/>
      <x:c r="B53" s="875"/>
      <x:c r="C53" s="875"/>
      <x:c r="D53" s="875"/>
      <x:c r="E53" s="875"/>
      <x:c r="F53" s="875"/>
      <x:c r="G53" s="875"/>
      <x:c r="H53" s="875"/>
      <x:c r="I53" s="875"/>
      <x:c r="J53" s="875"/>
      <x:c r="K53" s="875"/>
      <x:c r="L53" s="875"/>
      <x:c r="M53" s="875"/>
      <x:c r="N53" s="875"/>
      <x:c r="O53" s="875"/>
      <x:c r="P53" s="875"/>
      <x:c r="Q53" s="875"/>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x:c r="A54" s="875"/>
      <x:c r="B54" s="875"/>
      <x:c r="C54" s="875"/>
      <x:c r="D54" s="875"/>
      <x:c r="E54" s="875"/>
      <x:c r="F54" s="875"/>
      <x:c r="G54" s="875"/>
      <x:c r="H54" s="875"/>
      <x:c r="I54" s="875"/>
      <x:c r="J54" s="875"/>
      <x:c r="K54" s="875"/>
      <x:c r="L54" s="875"/>
      <x:c r="M54" s="875"/>
      <x:c r="N54" s="875"/>
      <x:c r="O54" s="875"/>
      <x:c r="P54" s="875"/>
      <x:c r="Q54" s="875"/>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x:c r="A55" s="875"/>
      <x:c r="B55" s="875"/>
      <x:c r="C55" s="875"/>
      <x:c r="D55" s="875"/>
      <x:c r="E55" s="875"/>
      <x:c r="F55" s="875"/>
      <x:c r="G55" s="875"/>
      <x:c r="H55" s="875"/>
      <x:c r="I55" s="875"/>
      <x:c r="J55" s="875"/>
      <x:c r="K55" s="875"/>
      <x:c r="L55" s="875"/>
      <x:c r="M55" s="875"/>
      <x:c r="N55" s="875"/>
      <x:c r="O55" s="875"/>
      <x:c r="P55" s="875"/>
      <x:c r="Q55" s="875"/>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875"/>
      <x:c r="B56" s="875"/>
      <x:c r="C56" s="875"/>
      <x:c r="D56" s="875"/>
      <x:c r="E56" s="875"/>
      <x:c r="F56" s="875"/>
      <x:c r="G56" s="875"/>
      <x:c r="H56" s="875"/>
      <x:c r="I56" s="875"/>
      <x:c r="J56" s="875"/>
      <x:c r="K56" s="875"/>
      <x:c r="L56" s="875"/>
      <x:c r="M56" s="875"/>
      <x:c r="N56" s="875"/>
      <x:c r="O56" s="875"/>
      <x:c r="P56" s="875"/>
      <x:c r="Q56" s="875"/>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875"/>
      <x:c r="B57" s="875"/>
      <x:c r="C57" s="875"/>
      <x:c r="D57" s="875"/>
      <x:c r="E57" s="875"/>
      <x:c r="F57" s="875"/>
      <x:c r="G57" s="875"/>
      <x:c r="H57" s="875"/>
      <x:c r="I57" s="875"/>
      <x:c r="J57" s="875"/>
      <x:c r="K57" s="875"/>
      <x:c r="L57" s="875"/>
      <x:c r="M57" s="875"/>
      <x:c r="N57" s="875"/>
      <x:c r="O57" s="875"/>
      <x:c r="P57" s="875"/>
      <x:c r="Q57" s="875"/>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875"/>
      <x:c r="B58" s="875"/>
      <x:c r="C58" s="875"/>
      <x:c r="D58" s="875"/>
      <x:c r="E58" s="875"/>
      <x:c r="F58" s="875"/>
      <x:c r="G58" s="875"/>
      <x:c r="H58" s="875"/>
      <x:c r="I58" s="875"/>
      <x:c r="J58" s="875"/>
      <x:c r="K58" s="875"/>
      <x:c r="L58" s="875"/>
      <x:c r="M58" s="875"/>
      <x:c r="N58" s="875"/>
      <x:c r="O58" s="875"/>
      <x:c r="P58" s="875"/>
      <x:c r="Q58" s="875"/>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875"/>
      <x:c r="B59" s="875"/>
      <x:c r="C59" s="875"/>
      <x:c r="D59" s="875"/>
      <x:c r="E59" s="875"/>
      <x:c r="F59" s="875"/>
      <x:c r="G59" s="875"/>
      <x:c r="H59" s="875"/>
      <x:c r="I59" s="875"/>
      <x:c r="J59" s="875"/>
      <x:c r="K59" s="875"/>
      <x:c r="L59" s="875"/>
      <x:c r="M59" s="875"/>
      <x:c r="N59" s="875"/>
      <x:c r="O59" s="875"/>
      <x:c r="P59" s="875"/>
      <x:c r="Q59" s="875"/>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875"/>
      <x:c r="B60" s="875"/>
      <x:c r="C60" s="875"/>
      <x:c r="D60" s="875"/>
      <x:c r="E60" s="875"/>
      <x:c r="F60" s="875"/>
      <x:c r="G60" s="875"/>
      <x:c r="H60" s="875"/>
      <x:c r="I60" s="875"/>
      <x:c r="J60" s="875"/>
      <x:c r="K60" s="875"/>
      <x:c r="L60" s="875"/>
      <x:c r="M60" s="875"/>
      <x:c r="N60" s="875"/>
      <x:c r="O60" s="875"/>
      <x:c r="P60" s="875"/>
      <x:c r="Q60" s="875"/>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875"/>
      <x:c r="B61" s="875"/>
      <x:c r="C61" s="875"/>
      <x:c r="D61" s="875"/>
      <x:c r="E61" s="875"/>
      <x:c r="F61" s="875"/>
      <x:c r="G61" s="875"/>
      <x:c r="H61" s="875"/>
      <x:c r="I61" s="875"/>
      <x:c r="J61" s="875"/>
      <x:c r="K61" s="875"/>
      <x:c r="L61" s="875"/>
      <x:c r="M61" s="875"/>
      <x:c r="N61" s="875"/>
      <x:c r="O61" s="875"/>
      <x:c r="P61" s="875"/>
      <x:c r="Q61" s="875"/>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875"/>
      <x:c r="B62" s="875"/>
      <x:c r="C62" s="875"/>
      <x:c r="D62" s="875"/>
      <x:c r="E62" s="875"/>
      <x:c r="F62" s="875"/>
      <x:c r="G62" s="875"/>
      <x:c r="H62" s="875"/>
      <x:c r="I62" s="875"/>
      <x:c r="J62" s="875"/>
      <x:c r="K62" s="875"/>
      <x:c r="L62" s="875"/>
      <x:c r="M62" s="875"/>
      <x:c r="N62" s="875"/>
      <x:c r="O62" s="875"/>
      <x:c r="P62" s="875"/>
      <x:c r="Q62" s="875"/>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875"/>
      <x:c r="B63" s="875"/>
      <x:c r="C63" s="875"/>
      <x:c r="D63" s="875"/>
      <x:c r="E63" s="875"/>
      <x:c r="F63" s="875"/>
      <x:c r="G63" s="875"/>
      <x:c r="H63" s="875"/>
      <x:c r="I63" s="875"/>
      <x:c r="J63" s="875"/>
      <x:c r="K63" s="875"/>
      <x:c r="L63" s="875"/>
      <x:c r="M63" s="875"/>
      <x:c r="N63" s="875"/>
      <x:c r="O63" s="875"/>
      <x:c r="P63" s="875"/>
      <x:c r="Q63" s="875"/>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875"/>
      <x:c r="B64" s="875"/>
      <x:c r="C64" s="875"/>
      <x:c r="D64" s="875"/>
      <x:c r="E64" s="875"/>
      <x:c r="F64" s="875"/>
      <x:c r="G64" s="875"/>
      <x:c r="H64" s="875"/>
      <x:c r="I64" s="875"/>
      <x:c r="J64" s="875"/>
      <x:c r="K64" s="875"/>
      <x:c r="L64" s="875"/>
      <x:c r="M64" s="875"/>
      <x:c r="N64" s="875"/>
      <x:c r="O64" s="875"/>
      <x:c r="P64" s="875"/>
      <x:c r="Q64" s="875"/>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875"/>
      <x:c r="B65" s="875"/>
      <x:c r="C65" s="875"/>
      <x:c r="D65" s="875"/>
      <x:c r="E65" s="875"/>
      <x:c r="F65" s="875"/>
      <x:c r="G65" s="875"/>
      <x:c r="H65" s="875"/>
      <x:c r="I65" s="875"/>
      <x:c r="J65" s="875"/>
      <x:c r="K65" s="875"/>
      <x:c r="L65" s="875"/>
      <x:c r="M65" s="875"/>
      <x:c r="N65" s="875"/>
      <x:c r="O65" s="875"/>
      <x:c r="P65" s="875"/>
      <x:c r="Q65" s="875"/>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875"/>
      <x:c r="B66" s="875"/>
      <x:c r="C66" s="875"/>
      <x:c r="D66" s="875"/>
      <x:c r="E66" s="875"/>
      <x:c r="F66" s="875"/>
      <x:c r="G66" s="875"/>
      <x:c r="H66" s="875"/>
      <x:c r="I66" s="875"/>
      <x:c r="J66" s="875"/>
      <x:c r="K66" s="875"/>
      <x:c r="L66" s="875"/>
      <x:c r="M66" s="875"/>
      <x:c r="N66" s="875"/>
      <x:c r="O66" s="875"/>
      <x:c r="P66" s="875"/>
      <x:c r="Q66" s="875"/>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875"/>
      <x:c r="B67" s="875"/>
      <x:c r="C67" s="875"/>
      <x:c r="D67" s="875"/>
      <x:c r="E67" s="875"/>
      <x:c r="F67" s="875"/>
      <x:c r="G67" s="875"/>
      <x:c r="H67" s="875"/>
      <x:c r="I67" s="875"/>
      <x:c r="J67" s="875"/>
      <x:c r="K67" s="875"/>
      <x:c r="L67" s="875"/>
      <x:c r="M67" s="875"/>
      <x:c r="N67" s="875"/>
      <x:c r="O67" s="875"/>
      <x:c r="P67" s="875"/>
      <x:c r="Q67" s="875"/>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875"/>
      <x:c r="B68" s="875"/>
      <x:c r="C68" s="875"/>
      <x:c r="D68" s="875"/>
      <x:c r="E68" s="875"/>
      <x:c r="F68" s="875"/>
      <x:c r="G68" s="875"/>
      <x:c r="H68" s="875"/>
      <x:c r="I68" s="875"/>
      <x:c r="J68" s="875"/>
      <x:c r="K68" s="875"/>
      <x:c r="L68" s="875"/>
      <x:c r="M68" s="875"/>
      <x:c r="N68" s="875"/>
      <x:c r="O68" s="875"/>
      <x:c r="P68" s="875"/>
      <x:c r="Q68" s="875"/>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875"/>
      <x:c r="B69" s="875"/>
      <x:c r="C69" s="875"/>
      <x:c r="D69" s="875"/>
      <x:c r="E69" s="875"/>
      <x:c r="F69" s="875"/>
      <x:c r="G69" s="875"/>
      <x:c r="H69" s="875"/>
      <x:c r="I69" s="875"/>
      <x:c r="J69" s="875"/>
      <x:c r="K69" s="875"/>
      <x:c r="L69" s="875"/>
      <x:c r="M69" s="875"/>
      <x:c r="N69" s="875"/>
      <x:c r="O69" s="875"/>
      <x:c r="P69" s="875"/>
      <x:c r="Q69" s="875"/>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875"/>
      <x:c r="B70" s="875"/>
      <x:c r="C70" s="875"/>
      <x:c r="D70" s="875"/>
      <x:c r="E70" s="875"/>
      <x:c r="F70" s="875"/>
      <x:c r="G70" s="875"/>
      <x:c r="H70" s="875"/>
      <x:c r="I70" s="875"/>
      <x:c r="J70" s="875"/>
      <x:c r="K70" s="875"/>
      <x:c r="L70" s="875"/>
      <x:c r="M70" s="875"/>
      <x:c r="N70" s="875"/>
      <x:c r="O70" s="875"/>
      <x:c r="P70" s="875"/>
      <x:c r="Q70" s="875"/>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875"/>
      <x:c r="B71" s="875"/>
      <x:c r="C71" s="875"/>
      <x:c r="D71" s="875"/>
      <x:c r="E71" s="875"/>
      <x:c r="F71" s="875"/>
      <x:c r="G71" s="875"/>
      <x:c r="H71" s="875"/>
      <x:c r="I71" s="875"/>
      <x:c r="J71" s="875"/>
      <x:c r="K71" s="875"/>
      <x:c r="L71" s="875"/>
      <x:c r="M71" s="875"/>
      <x:c r="N71" s="875"/>
      <x:c r="O71" s="875"/>
      <x:c r="P71" s="875"/>
      <x:c r="Q71" s="875"/>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875"/>
      <x:c r="B72" s="875"/>
      <x:c r="C72" s="875"/>
      <x:c r="D72" s="875"/>
      <x:c r="E72" s="875"/>
      <x:c r="F72" s="875"/>
      <x:c r="G72" s="875"/>
      <x:c r="H72" s="875"/>
      <x:c r="I72" s="875"/>
      <x:c r="J72" s="875"/>
      <x:c r="K72" s="875"/>
      <x:c r="L72" s="875"/>
      <x:c r="M72" s="875"/>
      <x:c r="N72" s="875"/>
      <x:c r="O72" s="875"/>
      <x:c r="P72" s="875"/>
      <x:c r="Q72" s="875"/>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875"/>
      <x:c r="B73" s="875"/>
      <x:c r="C73" s="875"/>
      <x:c r="D73" s="875"/>
      <x:c r="E73" s="875"/>
      <x:c r="F73" s="875"/>
      <x:c r="G73" s="875"/>
      <x:c r="H73" s="875"/>
      <x:c r="I73" s="875"/>
      <x:c r="J73" s="875"/>
      <x:c r="K73" s="875"/>
      <x:c r="L73" s="875"/>
      <x:c r="M73" s="875"/>
      <x:c r="N73" s="875"/>
      <x:c r="O73" s="875"/>
      <x:c r="P73" s="875"/>
      <x:c r="Q73" s="875"/>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875"/>
      <x:c r="B74" s="875"/>
      <x:c r="C74" s="875"/>
      <x:c r="D74" s="875"/>
      <x:c r="E74" s="875"/>
      <x:c r="F74" s="875"/>
      <x:c r="G74" s="875"/>
      <x:c r="H74" s="875"/>
      <x:c r="I74" s="875"/>
      <x:c r="J74" s="875"/>
      <x:c r="K74" s="875"/>
      <x:c r="L74" s="875"/>
      <x:c r="M74" s="875"/>
      <x:c r="N74" s="875"/>
      <x:c r="O74" s="875"/>
      <x:c r="P74" s="875"/>
      <x:c r="Q74" s="875"/>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875"/>
      <x:c r="B75" s="875"/>
      <x:c r="C75" s="875"/>
      <x:c r="D75" s="875"/>
      <x:c r="E75" s="875"/>
      <x:c r="F75" s="875"/>
      <x:c r="G75" s="875"/>
      <x:c r="H75" s="875"/>
      <x:c r="I75" s="875"/>
      <x:c r="J75" s="875"/>
      <x:c r="K75" s="875"/>
      <x:c r="L75" s="875"/>
      <x:c r="M75" s="875"/>
      <x:c r="N75" s="875"/>
      <x:c r="O75" s="875"/>
      <x:c r="P75" s="875"/>
      <x:c r="Q75" s="875"/>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875"/>
      <x:c r="B76" s="875"/>
      <x:c r="C76" s="875"/>
      <x:c r="D76" s="875"/>
      <x:c r="E76" s="875"/>
      <x:c r="F76" s="875"/>
      <x:c r="G76" s="875"/>
      <x:c r="H76" s="875"/>
      <x:c r="I76" s="875"/>
      <x:c r="J76" s="875"/>
      <x:c r="K76" s="875"/>
      <x:c r="L76" s="875"/>
      <x:c r="M76" s="875"/>
      <x:c r="N76" s="875"/>
      <x:c r="O76" s="875"/>
      <x:c r="P76" s="875"/>
      <x:c r="Q76" s="875"/>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875"/>
      <x:c r="B77" s="875"/>
      <x:c r="C77" s="875"/>
      <x:c r="D77" s="875"/>
      <x:c r="E77" s="875"/>
      <x:c r="F77" s="875"/>
      <x:c r="G77" s="875"/>
      <x:c r="H77" s="875"/>
      <x:c r="I77" s="875"/>
      <x:c r="J77" s="875"/>
      <x:c r="K77" s="875"/>
      <x:c r="L77" s="875"/>
      <x:c r="M77" s="875"/>
      <x:c r="N77" s="875"/>
      <x:c r="O77" s="875"/>
      <x:c r="P77" s="875"/>
      <x:c r="Q77" s="875"/>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875"/>
      <x:c r="B78" s="875"/>
      <x:c r="C78" s="875"/>
      <x:c r="D78" s="875"/>
      <x:c r="E78" s="875"/>
      <x:c r="F78" s="875"/>
      <x:c r="G78" s="875"/>
      <x:c r="H78" s="875"/>
      <x:c r="I78" s="875"/>
      <x:c r="J78" s="875"/>
      <x:c r="K78" s="875"/>
      <x:c r="L78" s="875"/>
      <x:c r="M78" s="875"/>
      <x:c r="N78" s="875"/>
      <x:c r="O78" s="875"/>
      <x:c r="P78" s="875"/>
      <x:c r="Q78" s="875"/>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875"/>
      <x:c r="B79" s="875"/>
      <x:c r="C79" s="875"/>
      <x:c r="D79" s="875"/>
      <x:c r="E79" s="875"/>
      <x:c r="F79" s="875"/>
      <x:c r="G79" s="875"/>
      <x:c r="H79" s="875"/>
      <x:c r="I79" s="875"/>
      <x:c r="J79" s="875"/>
      <x:c r="K79" s="875"/>
      <x:c r="L79" s="875"/>
      <x:c r="M79" s="875"/>
      <x:c r="N79" s="875"/>
      <x:c r="O79" s="875"/>
      <x:c r="P79" s="875"/>
      <x:c r="Q79" s="875"/>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875"/>
      <x:c r="B80" s="875"/>
      <x:c r="C80" s="875"/>
      <x:c r="D80" s="875"/>
      <x:c r="E80" s="875"/>
      <x:c r="F80" s="875"/>
      <x:c r="G80" s="875"/>
      <x:c r="H80" s="875"/>
      <x:c r="I80" s="875"/>
      <x:c r="J80" s="875"/>
      <x:c r="K80" s="875"/>
      <x:c r="L80" s="875"/>
      <x:c r="M80" s="875"/>
      <x:c r="N80" s="875"/>
      <x:c r="O80" s="875"/>
      <x:c r="P80" s="875"/>
      <x:c r="Q80" s="875"/>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875"/>
      <x:c r="B81" s="875"/>
      <x:c r="C81" s="875"/>
      <x:c r="D81" s="875"/>
      <x:c r="E81" s="875"/>
      <x:c r="F81" s="875"/>
      <x:c r="G81" s="875"/>
      <x:c r="H81" s="875"/>
      <x:c r="I81" s="875"/>
      <x:c r="J81" s="875"/>
      <x:c r="K81" s="875"/>
      <x:c r="L81" s="875"/>
      <x:c r="M81" s="875"/>
      <x:c r="N81" s="875"/>
      <x:c r="O81" s="875"/>
      <x:c r="P81" s="875"/>
      <x:c r="Q81" s="875"/>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875"/>
      <x:c r="B82" s="875"/>
      <x:c r="C82" s="875"/>
      <x:c r="D82" s="875"/>
      <x:c r="E82" s="875"/>
      <x:c r="F82" s="875"/>
      <x:c r="G82" s="875"/>
      <x:c r="H82" s="875"/>
      <x:c r="I82" s="875"/>
      <x:c r="J82" s="875"/>
      <x:c r="K82" s="875"/>
      <x:c r="L82" s="875"/>
      <x:c r="M82" s="875"/>
      <x:c r="N82" s="875"/>
      <x:c r="O82" s="875"/>
      <x:c r="P82" s="875"/>
      <x:c r="Q82" s="875"/>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875"/>
      <x:c r="B83" s="875"/>
      <x:c r="C83" s="875"/>
      <x:c r="D83" s="875"/>
      <x:c r="E83" s="875"/>
      <x:c r="F83" s="875"/>
      <x:c r="G83" s="875"/>
      <x:c r="H83" s="875"/>
      <x:c r="I83" s="875"/>
      <x:c r="J83" s="875"/>
      <x:c r="K83" s="875"/>
      <x:c r="L83" s="875"/>
      <x:c r="M83" s="875"/>
      <x:c r="N83" s="875"/>
      <x:c r="O83" s="875"/>
      <x:c r="P83" s="875"/>
      <x:c r="Q83" s="875"/>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875"/>
      <x:c r="B84" s="875"/>
      <x:c r="C84" s="875"/>
      <x:c r="D84" s="875"/>
      <x:c r="E84" s="875"/>
      <x:c r="F84" s="875"/>
      <x:c r="G84" s="875"/>
      <x:c r="H84" s="875"/>
      <x:c r="I84" s="875"/>
      <x:c r="J84" s="875"/>
      <x:c r="K84" s="875"/>
      <x:c r="L84" s="875"/>
      <x:c r="M84" s="875"/>
      <x:c r="N84" s="875"/>
      <x:c r="O84" s="875"/>
      <x:c r="P84" s="875"/>
      <x:c r="Q84" s="875"/>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875"/>
      <x:c r="B85" s="875"/>
      <x:c r="C85" s="875"/>
      <x:c r="D85" s="875"/>
      <x:c r="E85" s="875"/>
      <x:c r="F85" s="875"/>
      <x:c r="G85" s="875"/>
      <x:c r="H85" s="875"/>
      <x:c r="I85" s="875"/>
      <x:c r="J85" s="875"/>
      <x:c r="K85" s="875"/>
      <x:c r="L85" s="875"/>
      <x:c r="M85" s="875"/>
      <x:c r="N85" s="875"/>
      <x:c r="O85" s="875"/>
      <x:c r="P85" s="875"/>
      <x:c r="Q85" s="875"/>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875"/>
      <x:c r="B86" s="875"/>
      <x:c r="C86" s="875"/>
      <x:c r="D86" s="875"/>
      <x:c r="E86" s="875"/>
      <x:c r="F86" s="875"/>
      <x:c r="G86" s="875"/>
      <x:c r="H86" s="875"/>
      <x:c r="I86" s="875"/>
      <x:c r="J86" s="875"/>
      <x:c r="K86" s="875"/>
      <x:c r="L86" s="875"/>
      <x:c r="M86" s="875"/>
      <x:c r="N86" s="875"/>
      <x:c r="O86" s="875"/>
      <x:c r="P86" s="875"/>
      <x:c r="Q86" s="875"/>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875"/>
      <x:c r="B87" s="875"/>
      <x:c r="C87" s="875"/>
      <x:c r="D87" s="875"/>
      <x:c r="E87" s="875"/>
      <x:c r="F87" s="875"/>
      <x:c r="G87" s="875"/>
      <x:c r="H87" s="875"/>
      <x:c r="I87" s="875"/>
      <x:c r="J87" s="875"/>
      <x:c r="K87" s="875"/>
      <x:c r="L87" s="875"/>
      <x:c r="M87" s="875"/>
      <x:c r="N87" s="875"/>
      <x:c r="O87" s="875"/>
      <x:c r="P87" s="875"/>
      <x:c r="Q87" s="875"/>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875"/>
      <x:c r="B88" s="875"/>
      <x:c r="C88" s="875"/>
      <x:c r="D88" s="875"/>
      <x:c r="E88" s="875"/>
      <x:c r="F88" s="875"/>
      <x:c r="G88" s="875"/>
      <x:c r="H88" s="875"/>
      <x:c r="I88" s="875"/>
      <x:c r="J88" s="875"/>
      <x:c r="K88" s="875"/>
      <x:c r="L88" s="875"/>
      <x:c r="M88" s="875"/>
      <x:c r="N88" s="875"/>
      <x:c r="O88" s="875"/>
      <x:c r="P88" s="875"/>
      <x:c r="Q88" s="875"/>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875"/>
      <x:c r="B89" s="875"/>
      <x:c r="C89" s="875"/>
      <x:c r="D89" s="875"/>
      <x:c r="E89" s="875"/>
      <x:c r="F89" s="875"/>
      <x:c r="G89" s="875"/>
      <x:c r="H89" s="875"/>
      <x:c r="I89" s="875"/>
      <x:c r="J89" s="875"/>
      <x:c r="K89" s="875"/>
      <x:c r="L89" s="875"/>
      <x:c r="M89" s="875"/>
      <x:c r="N89" s="875"/>
      <x:c r="O89" s="875"/>
      <x:c r="P89" s="875"/>
      <x:c r="Q89" s="875"/>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875"/>
      <x:c r="B90" s="875"/>
      <x:c r="C90" s="875"/>
      <x:c r="D90" s="875"/>
      <x:c r="E90" s="875"/>
      <x:c r="F90" s="875"/>
      <x:c r="G90" s="875"/>
      <x:c r="H90" s="875"/>
      <x:c r="I90" s="875"/>
      <x:c r="J90" s="875"/>
      <x:c r="K90" s="875"/>
      <x:c r="L90" s="875"/>
      <x:c r="M90" s="875"/>
      <x:c r="N90" s="875"/>
      <x:c r="O90" s="875"/>
      <x:c r="P90" s="875"/>
      <x:c r="Q90" s="875"/>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875"/>
      <x:c r="B91" s="875"/>
      <x:c r="C91" s="875"/>
      <x:c r="D91" s="875"/>
      <x:c r="E91" s="875"/>
      <x:c r="F91" s="875"/>
      <x:c r="G91" s="875"/>
      <x:c r="H91" s="875"/>
      <x:c r="I91" s="875"/>
      <x:c r="J91" s="875"/>
      <x:c r="K91" s="875"/>
      <x:c r="L91" s="875"/>
      <x:c r="M91" s="875"/>
      <x:c r="N91" s="875"/>
      <x:c r="O91" s="875"/>
      <x:c r="P91" s="875"/>
      <x:c r="Q91" s="875"/>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875"/>
      <x:c r="B92" s="875"/>
      <x:c r="C92" s="875"/>
      <x:c r="D92" s="875"/>
      <x:c r="E92" s="875"/>
      <x:c r="F92" s="875"/>
      <x:c r="G92" s="875"/>
      <x:c r="H92" s="875"/>
      <x:c r="I92" s="875"/>
      <x:c r="J92" s="875"/>
      <x:c r="K92" s="875"/>
      <x:c r="L92" s="875"/>
      <x:c r="M92" s="875"/>
      <x:c r="N92" s="875"/>
      <x:c r="O92" s="875"/>
      <x:c r="P92" s="875"/>
      <x:c r="Q92" s="875"/>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875"/>
      <x:c r="B93" s="875"/>
      <x:c r="C93" s="875"/>
      <x:c r="D93" s="875"/>
      <x:c r="E93" s="875"/>
      <x:c r="F93" s="875"/>
      <x:c r="G93" s="875"/>
      <x:c r="H93" s="875"/>
      <x:c r="I93" s="875"/>
      <x:c r="J93" s="875"/>
      <x:c r="K93" s="875"/>
      <x:c r="L93" s="875"/>
      <x:c r="M93" s="875"/>
      <x:c r="N93" s="875"/>
      <x:c r="O93" s="875"/>
      <x:c r="P93" s="875"/>
      <x:c r="Q93" s="875"/>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875"/>
      <x:c r="B94" s="875"/>
      <x:c r="C94" s="875"/>
      <x:c r="D94" s="875"/>
      <x:c r="E94" s="875"/>
      <x:c r="F94" s="875"/>
      <x:c r="G94" s="875"/>
      <x:c r="H94" s="875"/>
      <x:c r="I94" s="875"/>
      <x:c r="J94" s="875"/>
      <x:c r="K94" s="875"/>
      <x:c r="L94" s="875"/>
      <x:c r="M94" s="875"/>
      <x:c r="N94" s="875"/>
      <x:c r="O94" s="875"/>
      <x:c r="P94" s="875"/>
      <x:c r="Q94" s="875"/>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875"/>
      <x:c r="B95" s="875"/>
      <x:c r="C95" s="875"/>
      <x:c r="D95" s="875"/>
      <x:c r="E95" s="875"/>
      <x:c r="F95" s="875"/>
      <x:c r="G95" s="875"/>
      <x:c r="H95" s="875"/>
      <x:c r="I95" s="875"/>
      <x:c r="J95" s="875"/>
      <x:c r="K95" s="875"/>
      <x:c r="L95" s="875"/>
      <x:c r="M95" s="875"/>
      <x:c r="N95" s="875"/>
      <x:c r="O95" s="875"/>
      <x:c r="P95" s="875"/>
      <x:c r="Q95" s="875"/>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875"/>
      <x:c r="B96" s="875"/>
      <x:c r="C96" s="875"/>
      <x:c r="D96" s="875"/>
      <x:c r="E96" s="875"/>
      <x:c r="F96" s="875"/>
      <x:c r="G96" s="875"/>
      <x:c r="H96" s="875"/>
      <x:c r="I96" s="875"/>
      <x:c r="J96" s="875"/>
      <x:c r="K96" s="875"/>
      <x:c r="L96" s="875"/>
      <x:c r="M96" s="875"/>
      <x:c r="N96" s="875"/>
      <x:c r="O96" s="875"/>
      <x:c r="P96" s="875"/>
      <x:c r="Q96" s="875"/>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875"/>
      <x:c r="B97" s="875"/>
      <x:c r="C97" s="875"/>
      <x:c r="D97" s="875"/>
      <x:c r="E97" s="875"/>
      <x:c r="F97" s="875"/>
      <x:c r="G97" s="875"/>
      <x:c r="H97" s="875"/>
      <x:c r="I97" s="875"/>
      <x:c r="J97" s="875"/>
      <x:c r="K97" s="875"/>
      <x:c r="L97" s="875"/>
      <x:c r="M97" s="875"/>
      <x:c r="N97" s="875"/>
      <x:c r="O97" s="875"/>
      <x:c r="P97" s="875"/>
      <x:c r="Q97" s="875"/>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875"/>
      <x:c r="B98" s="875"/>
      <x:c r="C98" s="875"/>
      <x:c r="D98" s="875"/>
      <x:c r="E98" s="875"/>
      <x:c r="F98" s="875"/>
      <x:c r="G98" s="875"/>
      <x:c r="H98" s="875"/>
      <x:c r="I98" s="875"/>
      <x:c r="J98" s="875"/>
      <x:c r="K98" s="875"/>
      <x:c r="L98" s="875"/>
      <x:c r="M98" s="875"/>
      <x:c r="N98" s="875"/>
      <x:c r="O98" s="875"/>
      <x:c r="P98" s="875"/>
      <x:c r="Q98" s="875"/>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875"/>
      <x:c r="B99" s="875"/>
      <x:c r="C99" s="875"/>
      <x:c r="D99" s="875"/>
      <x:c r="E99" s="875"/>
      <x:c r="F99" s="875"/>
      <x:c r="G99" s="875"/>
      <x:c r="H99" s="875"/>
      <x:c r="I99" s="875"/>
      <x:c r="J99" s="875"/>
      <x:c r="K99" s="875"/>
      <x:c r="L99" s="875"/>
      <x:c r="M99" s="875"/>
      <x:c r="N99" s="875"/>
      <x:c r="O99" s="875"/>
      <x:c r="P99" s="875"/>
      <x:c r="Q99" s="875"/>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875"/>
      <x:c r="B100" s="875"/>
      <x:c r="C100" s="875"/>
      <x:c r="D100" s="875"/>
      <x:c r="E100" s="875"/>
      <x:c r="F100" s="875"/>
      <x:c r="G100" s="875"/>
      <x:c r="H100" s="875"/>
      <x:c r="I100" s="875"/>
      <x:c r="J100" s="875"/>
      <x:c r="K100" s="875"/>
      <x:c r="L100" s="875"/>
      <x:c r="M100" s="875"/>
      <x:c r="N100" s="875"/>
      <x:c r="O100" s="875"/>
      <x:c r="P100" s="875"/>
      <x:c r="Q100" s="875"/>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875"/>
      <x:c r="B101" s="875"/>
      <x:c r="C101" s="875"/>
      <x:c r="D101" s="875"/>
      <x:c r="E101" s="875"/>
      <x:c r="F101" s="875"/>
      <x:c r="G101" s="875"/>
      <x:c r="H101" s="875"/>
      <x:c r="I101" s="875"/>
      <x:c r="J101" s="875"/>
      <x:c r="K101" s="875"/>
      <x:c r="L101" s="875"/>
      <x:c r="M101" s="875"/>
      <x:c r="N101" s="875"/>
      <x:c r="O101" s="875"/>
      <x:c r="P101" s="875"/>
      <x:c r="Q101" s="875"/>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875"/>
      <x:c r="B102" s="875"/>
      <x:c r="C102" s="875"/>
      <x:c r="D102" s="875"/>
      <x:c r="E102" s="875"/>
      <x:c r="F102" s="875"/>
      <x:c r="G102" s="875"/>
      <x:c r="H102" s="875"/>
      <x:c r="I102" s="875"/>
      <x:c r="J102" s="875"/>
      <x:c r="K102" s="875"/>
      <x:c r="L102" s="875"/>
      <x:c r="M102" s="875"/>
      <x:c r="N102" s="875"/>
      <x:c r="O102" s="875"/>
      <x:c r="P102" s="875"/>
      <x:c r="Q102" s="875"/>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875"/>
      <x:c r="B103" s="875"/>
      <x:c r="C103" s="875"/>
      <x:c r="D103" s="875"/>
      <x:c r="E103" s="875"/>
      <x:c r="F103" s="875"/>
      <x:c r="G103" s="875"/>
      <x:c r="H103" s="875"/>
      <x:c r="I103" s="875"/>
      <x:c r="J103" s="875"/>
      <x:c r="K103" s="875"/>
      <x:c r="L103" s="875"/>
      <x:c r="M103" s="875"/>
      <x:c r="N103" s="875"/>
      <x:c r="O103" s="875"/>
      <x:c r="P103" s="875"/>
      <x:c r="Q103" s="875"/>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875"/>
      <x:c r="B104" s="875"/>
      <x:c r="C104" s="875"/>
      <x:c r="D104" s="875"/>
      <x:c r="E104" s="875"/>
      <x:c r="F104" s="875"/>
      <x:c r="G104" s="875"/>
      <x:c r="H104" s="875"/>
      <x:c r="I104" s="875"/>
      <x:c r="J104" s="875"/>
      <x:c r="K104" s="875"/>
      <x:c r="L104" s="875"/>
      <x:c r="M104" s="875"/>
      <x:c r="N104" s="875"/>
      <x:c r="O104" s="875"/>
      <x:c r="P104" s="875"/>
      <x:c r="Q104" s="875"/>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875"/>
      <x:c r="B105" s="875"/>
      <x:c r="C105" s="875"/>
      <x:c r="D105" s="875"/>
      <x:c r="E105" s="875"/>
      <x:c r="F105" s="875"/>
      <x:c r="G105" s="875"/>
      <x:c r="H105" s="875"/>
      <x:c r="I105" s="875"/>
      <x:c r="J105" s="875"/>
      <x:c r="K105" s="875"/>
      <x:c r="L105" s="875"/>
      <x:c r="M105" s="875"/>
      <x:c r="N105" s="875"/>
      <x:c r="O105" s="875"/>
      <x:c r="P105" s="875"/>
      <x:c r="Q105" s="875"/>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875"/>
      <x:c r="B106" s="875"/>
      <x:c r="C106" s="875"/>
      <x:c r="D106" s="875"/>
      <x:c r="E106" s="875"/>
      <x:c r="F106" s="875"/>
      <x:c r="G106" s="875"/>
      <x:c r="H106" s="875"/>
      <x:c r="I106" s="875"/>
      <x:c r="J106" s="875"/>
      <x:c r="K106" s="875"/>
      <x:c r="L106" s="875"/>
      <x:c r="M106" s="875"/>
      <x:c r="N106" s="875"/>
      <x:c r="O106" s="875"/>
      <x:c r="P106" s="875"/>
      <x:c r="Q106" s="875"/>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875"/>
      <x:c r="B107" s="875"/>
      <x:c r="C107" s="875"/>
      <x:c r="D107" s="875"/>
      <x:c r="E107" s="875"/>
      <x:c r="F107" s="875"/>
      <x:c r="G107" s="875"/>
      <x:c r="H107" s="875"/>
      <x:c r="I107" s="875"/>
      <x:c r="J107" s="875"/>
      <x:c r="K107" s="875"/>
      <x:c r="L107" s="875"/>
      <x:c r="M107" s="875"/>
      <x:c r="N107" s="875"/>
      <x:c r="O107" s="875"/>
      <x:c r="P107" s="875"/>
      <x:c r="Q107" s="875"/>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875"/>
      <x:c r="B108" s="875"/>
      <x:c r="C108" s="875"/>
      <x:c r="D108" s="875"/>
      <x:c r="E108" s="875"/>
      <x:c r="F108" s="875"/>
      <x:c r="G108" s="875"/>
      <x:c r="H108" s="875"/>
      <x:c r="I108" s="875"/>
      <x:c r="J108" s="875"/>
      <x:c r="K108" s="875"/>
      <x:c r="L108" s="875"/>
      <x:c r="M108" s="875"/>
      <x:c r="N108" s="875"/>
      <x:c r="O108" s="875"/>
      <x:c r="P108" s="875"/>
      <x:c r="Q108" s="875"/>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875"/>
      <x:c r="B109" s="875"/>
      <x:c r="C109" s="875"/>
      <x:c r="D109" s="875"/>
      <x:c r="E109" s="875"/>
      <x:c r="F109" s="875"/>
      <x:c r="G109" s="875"/>
      <x:c r="H109" s="875"/>
      <x:c r="I109" s="875"/>
      <x:c r="J109" s="875"/>
      <x:c r="K109" s="875"/>
      <x:c r="L109" s="875"/>
      <x:c r="M109" s="875"/>
      <x:c r="N109" s="875"/>
      <x:c r="O109" s="875"/>
      <x:c r="P109" s="875"/>
      <x:c r="Q109" s="875"/>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875"/>
      <x:c r="B110" s="875"/>
      <x:c r="C110" s="875"/>
      <x:c r="D110" s="875"/>
      <x:c r="E110" s="875"/>
      <x:c r="F110" s="875"/>
      <x:c r="G110" s="875"/>
      <x:c r="H110" s="875"/>
      <x:c r="I110" s="875"/>
      <x:c r="J110" s="875"/>
      <x:c r="K110" s="875"/>
      <x:c r="L110" s="875"/>
      <x:c r="M110" s="875"/>
      <x:c r="N110" s="875"/>
      <x:c r="O110" s="875"/>
      <x:c r="P110" s="875"/>
      <x:c r="Q110" s="875"/>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875"/>
      <x:c r="B111" s="875"/>
      <x:c r="C111" s="875"/>
      <x:c r="D111" s="875"/>
      <x:c r="E111" s="875"/>
      <x:c r="F111" s="875"/>
      <x:c r="G111" s="875"/>
      <x:c r="H111" s="875"/>
      <x:c r="I111" s="875"/>
      <x:c r="J111" s="875"/>
      <x:c r="K111" s="875"/>
      <x:c r="L111" s="875"/>
      <x:c r="M111" s="875"/>
      <x:c r="N111" s="875"/>
      <x:c r="O111" s="875"/>
      <x:c r="P111" s="875"/>
      <x:c r="Q111" s="875"/>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875"/>
      <x:c r="B112" s="875"/>
      <x:c r="C112" s="875"/>
      <x:c r="D112" s="875"/>
      <x:c r="E112" s="875"/>
      <x:c r="F112" s="875"/>
      <x:c r="G112" s="875"/>
      <x:c r="H112" s="875"/>
      <x:c r="I112" s="875"/>
      <x:c r="J112" s="875"/>
      <x:c r="K112" s="875"/>
      <x:c r="L112" s="875"/>
      <x:c r="M112" s="875"/>
      <x:c r="N112" s="875"/>
      <x:c r="O112" s="875"/>
      <x:c r="P112" s="875"/>
      <x:c r="Q112" s="875"/>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875"/>
      <x:c r="B113" s="875"/>
      <x:c r="C113" s="875"/>
      <x:c r="D113" s="875"/>
      <x:c r="E113" s="875"/>
      <x:c r="F113" s="875"/>
      <x:c r="G113" s="875"/>
      <x:c r="H113" s="875"/>
      <x:c r="I113" s="875"/>
      <x:c r="J113" s="875"/>
      <x:c r="K113" s="875"/>
      <x:c r="L113" s="875"/>
      <x:c r="M113" s="875"/>
      <x:c r="N113" s="875"/>
      <x:c r="O113" s="875"/>
      <x:c r="P113" s="875"/>
      <x:c r="Q113" s="875"/>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875"/>
      <x:c r="B114" s="875"/>
      <x:c r="C114" s="875"/>
      <x:c r="D114" s="875"/>
      <x:c r="E114" s="875"/>
      <x:c r="F114" s="875"/>
      <x:c r="G114" s="875"/>
      <x:c r="H114" s="875"/>
      <x:c r="I114" s="875"/>
      <x:c r="J114" s="875"/>
      <x:c r="K114" s="875"/>
      <x:c r="L114" s="875"/>
      <x:c r="M114" s="875"/>
      <x:c r="N114" s="875"/>
      <x:c r="O114" s="875"/>
      <x:c r="P114" s="875"/>
      <x:c r="Q114" s="875"/>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875"/>
      <x:c r="B115" s="875"/>
      <x:c r="C115" s="875"/>
      <x:c r="D115" s="875"/>
      <x:c r="E115" s="875"/>
      <x:c r="F115" s="875"/>
      <x:c r="G115" s="875"/>
      <x:c r="H115" s="875"/>
      <x:c r="I115" s="875"/>
      <x:c r="J115" s="875"/>
      <x:c r="K115" s="875"/>
      <x:c r="L115" s="875"/>
      <x:c r="M115" s="875"/>
      <x:c r="N115" s="875"/>
      <x:c r="O115" s="875"/>
      <x:c r="P115" s="875"/>
      <x:c r="Q115" s="875"/>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875"/>
      <x:c r="B116" s="875"/>
      <x:c r="C116" s="875"/>
      <x:c r="D116" s="875"/>
      <x:c r="E116" s="875"/>
      <x:c r="F116" s="875"/>
      <x:c r="G116" s="875"/>
      <x:c r="H116" s="875"/>
      <x:c r="I116" s="875"/>
      <x:c r="J116" s="875"/>
      <x:c r="K116" s="875"/>
      <x:c r="L116" s="875"/>
      <x:c r="M116" s="875"/>
      <x:c r="N116" s="875"/>
      <x:c r="O116" s="875"/>
      <x:c r="P116" s="875"/>
      <x:c r="Q116" s="875"/>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875"/>
      <x:c r="B117" s="875"/>
      <x:c r="C117" s="875"/>
      <x:c r="D117" s="875"/>
      <x:c r="E117" s="875"/>
      <x:c r="F117" s="875"/>
      <x:c r="G117" s="875"/>
      <x:c r="H117" s="875"/>
      <x:c r="I117" s="875"/>
      <x:c r="J117" s="875"/>
      <x:c r="K117" s="875"/>
      <x:c r="L117" s="875"/>
      <x:c r="M117" s="875"/>
      <x:c r="N117" s="875"/>
      <x:c r="O117" s="875"/>
      <x:c r="P117" s="875"/>
      <x:c r="Q117" s="875"/>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875"/>
      <x:c r="B118" s="875"/>
      <x:c r="C118" s="875"/>
      <x:c r="D118" s="875"/>
      <x:c r="E118" s="875"/>
      <x:c r="F118" s="875"/>
      <x:c r="G118" s="875"/>
      <x:c r="H118" s="875"/>
      <x:c r="I118" s="875"/>
      <x:c r="J118" s="875"/>
      <x:c r="K118" s="875"/>
      <x:c r="L118" s="875"/>
      <x:c r="M118" s="875"/>
      <x:c r="N118" s="875"/>
      <x:c r="O118" s="875"/>
      <x:c r="P118" s="875"/>
      <x:c r="Q118" s="875"/>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875"/>
      <x:c r="B119" s="875"/>
      <x:c r="C119" s="875"/>
      <x:c r="D119" s="875"/>
      <x:c r="E119" s="875"/>
      <x:c r="F119" s="875"/>
      <x:c r="G119" s="875"/>
      <x:c r="H119" s="875"/>
      <x:c r="I119" s="875"/>
      <x:c r="J119" s="875"/>
      <x:c r="K119" s="875"/>
      <x:c r="L119" s="875"/>
      <x:c r="M119" s="875"/>
      <x:c r="N119" s="875"/>
      <x:c r="O119" s="875"/>
      <x:c r="P119" s="875"/>
      <x:c r="Q119" s="875"/>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875"/>
      <x:c r="B120" s="875"/>
      <x:c r="C120" s="875"/>
      <x:c r="D120" s="875"/>
      <x:c r="E120" s="875"/>
      <x:c r="F120" s="875"/>
      <x:c r="G120" s="875"/>
      <x:c r="H120" s="875"/>
      <x:c r="I120" s="875"/>
      <x:c r="J120" s="875"/>
      <x:c r="K120" s="875"/>
      <x:c r="L120" s="875"/>
      <x:c r="M120" s="875"/>
      <x:c r="N120" s="875"/>
      <x:c r="O120" s="875"/>
      <x:c r="P120" s="875"/>
      <x:c r="Q120" s="875"/>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875"/>
      <x:c r="B121" s="875"/>
      <x:c r="C121" s="875"/>
      <x:c r="D121" s="875"/>
      <x:c r="E121" s="875"/>
      <x:c r="F121" s="875"/>
      <x:c r="G121" s="875"/>
      <x:c r="H121" s="875"/>
      <x:c r="I121" s="875"/>
      <x:c r="J121" s="875"/>
      <x:c r="K121" s="875"/>
      <x:c r="L121" s="875"/>
      <x:c r="M121" s="875"/>
      <x:c r="N121" s="875"/>
      <x:c r="O121" s="875"/>
      <x:c r="P121" s="875"/>
      <x:c r="Q121" s="875"/>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875"/>
      <x:c r="B122" s="875"/>
      <x:c r="C122" s="875"/>
      <x:c r="D122" s="875"/>
      <x:c r="E122" s="875"/>
      <x:c r="F122" s="875"/>
      <x:c r="G122" s="875"/>
      <x:c r="H122" s="875"/>
      <x:c r="I122" s="875"/>
      <x:c r="J122" s="875"/>
      <x:c r="K122" s="875"/>
      <x:c r="L122" s="875"/>
      <x:c r="M122" s="875"/>
      <x:c r="N122" s="875"/>
      <x:c r="O122" s="875"/>
      <x:c r="P122" s="875"/>
      <x:c r="Q122" s="875"/>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875"/>
      <x:c r="B123" s="875"/>
      <x:c r="C123" s="875"/>
      <x:c r="D123" s="875"/>
      <x:c r="E123" s="875"/>
      <x:c r="F123" s="875"/>
      <x:c r="G123" s="875"/>
      <x:c r="H123" s="875"/>
      <x:c r="I123" s="875"/>
      <x:c r="J123" s="875"/>
      <x:c r="K123" s="875"/>
      <x:c r="L123" s="875"/>
      <x:c r="M123" s="875"/>
      <x:c r="N123" s="875"/>
      <x:c r="O123" s="875"/>
      <x:c r="P123" s="875"/>
      <x:c r="Q123" s="875"/>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875"/>
      <x:c r="B124" s="875"/>
      <x:c r="C124" s="875"/>
      <x:c r="D124" s="875"/>
      <x:c r="E124" s="875"/>
      <x:c r="F124" s="875"/>
      <x:c r="G124" s="875"/>
      <x:c r="H124" s="875"/>
      <x:c r="I124" s="875"/>
      <x:c r="J124" s="875"/>
      <x:c r="K124" s="875"/>
      <x:c r="L124" s="875"/>
      <x:c r="M124" s="875"/>
      <x:c r="N124" s="875"/>
      <x:c r="O124" s="875"/>
      <x:c r="P124" s="875"/>
      <x:c r="Q124" s="875"/>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875"/>
      <x:c r="B125" s="875"/>
      <x:c r="C125" s="875"/>
      <x:c r="D125" s="875"/>
      <x:c r="E125" s="875"/>
      <x:c r="F125" s="875"/>
      <x:c r="G125" s="875"/>
      <x:c r="H125" s="875"/>
      <x:c r="I125" s="875"/>
      <x:c r="J125" s="875"/>
      <x:c r="K125" s="875"/>
      <x:c r="L125" s="875"/>
      <x:c r="M125" s="875"/>
      <x:c r="N125" s="875"/>
      <x:c r="O125" s="875"/>
      <x:c r="P125" s="875"/>
      <x:c r="Q125" s="875"/>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875"/>
      <x:c r="B126" s="875"/>
      <x:c r="C126" s="875"/>
      <x:c r="D126" s="875"/>
      <x:c r="E126" s="875"/>
      <x:c r="F126" s="875"/>
      <x:c r="G126" s="875"/>
      <x:c r="H126" s="875"/>
      <x:c r="I126" s="875"/>
      <x:c r="J126" s="875"/>
      <x:c r="K126" s="875"/>
      <x:c r="L126" s="875"/>
      <x:c r="M126" s="875"/>
      <x:c r="N126" s="875"/>
      <x:c r="O126" s="875"/>
      <x:c r="P126" s="875"/>
      <x:c r="Q126" s="875"/>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875"/>
      <x:c r="B127" s="875"/>
      <x:c r="C127" s="875"/>
      <x:c r="D127" s="875"/>
      <x:c r="E127" s="875"/>
      <x:c r="F127" s="875"/>
      <x:c r="G127" s="875"/>
      <x:c r="H127" s="875"/>
      <x:c r="I127" s="875"/>
      <x:c r="J127" s="875"/>
      <x:c r="K127" s="875"/>
      <x:c r="L127" s="875"/>
      <x:c r="M127" s="875"/>
      <x:c r="N127" s="875"/>
      <x:c r="O127" s="875"/>
      <x:c r="P127" s="875"/>
      <x:c r="Q127" s="875"/>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875"/>
      <x:c r="B128" s="875"/>
      <x:c r="C128" s="875"/>
      <x:c r="D128" s="875"/>
      <x:c r="E128" s="875"/>
      <x:c r="F128" s="875"/>
      <x:c r="G128" s="875"/>
      <x:c r="H128" s="875"/>
      <x:c r="I128" s="875"/>
      <x:c r="J128" s="875"/>
      <x:c r="K128" s="875"/>
      <x:c r="L128" s="875"/>
      <x:c r="M128" s="875"/>
      <x:c r="N128" s="875"/>
      <x:c r="O128" s="875"/>
      <x:c r="P128" s="875"/>
      <x:c r="Q128" s="875"/>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875"/>
      <x:c r="B129" s="875"/>
      <x:c r="C129" s="875"/>
      <x:c r="D129" s="875"/>
      <x:c r="E129" s="875"/>
      <x:c r="F129" s="875"/>
      <x:c r="G129" s="875"/>
      <x:c r="H129" s="875"/>
      <x:c r="I129" s="875"/>
      <x:c r="J129" s="875"/>
      <x:c r="K129" s="875"/>
      <x:c r="L129" s="875"/>
      <x:c r="M129" s="875"/>
      <x:c r="N129" s="875"/>
      <x:c r="O129" s="875"/>
      <x:c r="P129" s="875"/>
      <x:c r="Q129" s="875"/>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875"/>
      <x:c r="B130" s="875"/>
      <x:c r="C130" s="875"/>
      <x:c r="D130" s="875"/>
      <x:c r="E130" s="875"/>
      <x:c r="F130" s="875"/>
      <x:c r="G130" s="875"/>
      <x:c r="H130" s="875"/>
      <x:c r="I130" s="875"/>
      <x:c r="J130" s="875"/>
      <x:c r="K130" s="875"/>
      <x:c r="L130" s="875"/>
      <x:c r="M130" s="875"/>
      <x:c r="N130" s="875"/>
      <x:c r="O130" s="875"/>
      <x:c r="P130" s="875"/>
      <x:c r="Q130" s="875"/>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875"/>
      <x:c r="B131" s="875"/>
      <x:c r="C131" s="875"/>
      <x:c r="D131" s="875"/>
      <x:c r="E131" s="875"/>
      <x:c r="F131" s="875"/>
      <x:c r="G131" s="875"/>
      <x:c r="H131" s="875"/>
      <x:c r="I131" s="875"/>
      <x:c r="J131" s="875"/>
      <x:c r="K131" s="875"/>
      <x:c r="L131" s="875"/>
      <x:c r="M131" s="875"/>
      <x:c r="N131" s="875"/>
      <x:c r="O131" s="875"/>
      <x:c r="P131" s="875"/>
      <x:c r="Q131" s="875"/>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875"/>
      <x:c r="B132" s="875"/>
      <x:c r="C132" s="875"/>
      <x:c r="D132" s="875"/>
      <x:c r="E132" s="875"/>
      <x:c r="F132" s="875"/>
      <x:c r="G132" s="875"/>
      <x:c r="H132" s="875"/>
      <x:c r="I132" s="875"/>
      <x:c r="J132" s="875"/>
      <x:c r="K132" s="875"/>
      <x:c r="L132" s="875"/>
      <x:c r="M132" s="875"/>
      <x:c r="N132" s="875"/>
      <x:c r="O132" s="875"/>
      <x:c r="P132" s="875"/>
      <x:c r="Q132" s="875"/>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875"/>
      <x:c r="B133" s="875"/>
      <x:c r="C133" s="875"/>
      <x:c r="D133" s="875"/>
      <x:c r="E133" s="875"/>
      <x:c r="F133" s="875"/>
      <x:c r="G133" s="875"/>
      <x:c r="H133" s="875"/>
      <x:c r="I133" s="875"/>
      <x:c r="J133" s="875"/>
      <x:c r="K133" s="875"/>
      <x:c r="L133" s="875"/>
      <x:c r="M133" s="875"/>
      <x:c r="N133" s="875"/>
      <x:c r="O133" s="875"/>
      <x:c r="P133" s="875"/>
      <x:c r="Q133" s="875"/>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875"/>
      <x:c r="B134" s="875"/>
      <x:c r="C134" s="875"/>
      <x:c r="D134" s="875"/>
      <x:c r="E134" s="875"/>
      <x:c r="F134" s="875"/>
      <x:c r="G134" s="875"/>
      <x:c r="H134" s="875"/>
      <x:c r="I134" s="875"/>
      <x:c r="J134" s="875"/>
      <x:c r="K134" s="875"/>
      <x:c r="L134" s="875"/>
      <x:c r="M134" s="875"/>
      <x:c r="N134" s="875"/>
      <x:c r="O134" s="875"/>
      <x:c r="P134" s="875"/>
      <x:c r="Q134" s="875"/>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875"/>
      <x:c r="B135" s="875"/>
      <x:c r="C135" s="875"/>
      <x:c r="D135" s="875"/>
      <x:c r="E135" s="875"/>
      <x:c r="F135" s="875"/>
      <x:c r="G135" s="875"/>
      <x:c r="H135" s="875"/>
      <x:c r="I135" s="875"/>
      <x:c r="J135" s="875"/>
      <x:c r="K135" s="875"/>
      <x:c r="L135" s="875"/>
      <x:c r="M135" s="875"/>
      <x:c r="N135" s="875"/>
      <x:c r="O135" s="875"/>
      <x:c r="P135" s="875"/>
      <x:c r="Q135" s="875"/>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875"/>
      <x:c r="B136" s="875"/>
      <x:c r="C136" s="875"/>
      <x:c r="D136" s="875"/>
      <x:c r="E136" s="875"/>
      <x:c r="F136" s="875"/>
      <x:c r="G136" s="875"/>
      <x:c r="H136" s="875"/>
      <x:c r="I136" s="875"/>
      <x:c r="J136" s="875"/>
      <x:c r="K136" s="875"/>
      <x:c r="L136" s="875"/>
      <x:c r="M136" s="875"/>
      <x:c r="N136" s="875"/>
      <x:c r="O136" s="875"/>
      <x:c r="P136" s="875"/>
      <x:c r="Q136" s="875"/>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875"/>
      <x:c r="B137" s="875"/>
      <x:c r="C137" s="875"/>
      <x:c r="D137" s="875"/>
      <x:c r="E137" s="875"/>
      <x:c r="F137" s="875"/>
      <x:c r="G137" s="875"/>
      <x:c r="H137" s="875"/>
      <x:c r="I137" s="875"/>
      <x:c r="J137" s="875"/>
      <x:c r="K137" s="875"/>
      <x:c r="L137" s="875"/>
      <x:c r="M137" s="875"/>
      <x:c r="N137" s="875"/>
      <x:c r="O137" s="875"/>
      <x:c r="P137" s="875"/>
      <x:c r="Q137" s="875"/>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875"/>
      <x:c r="B138" s="875"/>
      <x:c r="C138" s="875"/>
      <x:c r="D138" s="875"/>
      <x:c r="E138" s="875"/>
      <x:c r="F138" s="875"/>
      <x:c r="G138" s="875"/>
      <x:c r="H138" s="875"/>
      <x:c r="I138" s="875"/>
      <x:c r="J138" s="875"/>
      <x:c r="K138" s="875"/>
      <x:c r="L138" s="875"/>
      <x:c r="M138" s="875"/>
      <x:c r="N138" s="875"/>
      <x:c r="O138" s="875"/>
      <x:c r="P138" s="875"/>
      <x:c r="Q138" s="875"/>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875"/>
      <x:c r="B139" s="875"/>
      <x:c r="C139" s="875"/>
      <x:c r="D139" s="875"/>
      <x:c r="E139" s="875"/>
      <x:c r="F139" s="875"/>
      <x:c r="G139" s="875"/>
      <x:c r="H139" s="875"/>
      <x:c r="I139" s="875"/>
      <x:c r="J139" s="875"/>
      <x:c r="K139" s="875"/>
      <x:c r="L139" s="875"/>
      <x:c r="M139" s="875"/>
      <x:c r="N139" s="875"/>
      <x:c r="O139" s="875"/>
      <x:c r="P139" s="875"/>
      <x:c r="Q139" s="875"/>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875"/>
      <x:c r="B140" s="875"/>
      <x:c r="C140" s="875"/>
      <x:c r="D140" s="875"/>
      <x:c r="E140" s="875"/>
      <x:c r="F140" s="875"/>
      <x:c r="G140" s="875"/>
      <x:c r="H140" s="875"/>
      <x:c r="I140" s="875"/>
      <x:c r="J140" s="875"/>
      <x:c r="K140" s="875"/>
      <x:c r="L140" s="875"/>
      <x:c r="M140" s="875"/>
      <x:c r="N140" s="875"/>
      <x:c r="O140" s="875"/>
      <x:c r="P140" s="875"/>
      <x:c r="Q140" s="875"/>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875"/>
      <x:c r="B141" s="875"/>
      <x:c r="C141" s="875"/>
      <x:c r="D141" s="875"/>
      <x:c r="E141" s="875"/>
      <x:c r="F141" s="875"/>
      <x:c r="G141" s="875"/>
      <x:c r="H141" s="875"/>
      <x:c r="I141" s="875"/>
      <x:c r="J141" s="875"/>
      <x:c r="K141" s="875"/>
      <x:c r="L141" s="875"/>
      <x:c r="M141" s="875"/>
      <x:c r="N141" s="875"/>
      <x:c r="O141" s="875"/>
      <x:c r="P141" s="875"/>
      <x:c r="Q141" s="875"/>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875"/>
      <x:c r="B142" s="875"/>
      <x:c r="C142" s="875"/>
      <x:c r="D142" s="875"/>
      <x:c r="E142" s="875"/>
      <x:c r="F142" s="875"/>
      <x:c r="G142" s="875"/>
      <x:c r="H142" s="875"/>
      <x:c r="I142" s="875"/>
      <x:c r="J142" s="875"/>
      <x:c r="K142" s="875"/>
      <x:c r="L142" s="875"/>
      <x:c r="M142" s="875"/>
      <x:c r="N142" s="875"/>
      <x:c r="O142" s="875"/>
      <x:c r="P142" s="875"/>
      <x:c r="Q142" s="875"/>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875"/>
      <x:c r="B143" s="875"/>
      <x:c r="C143" s="875"/>
      <x:c r="D143" s="875"/>
      <x:c r="E143" s="875"/>
      <x:c r="F143" s="875"/>
      <x:c r="G143" s="875"/>
      <x:c r="H143" s="875"/>
      <x:c r="I143" s="875"/>
      <x:c r="J143" s="875"/>
      <x:c r="K143" s="875"/>
      <x:c r="L143" s="875"/>
      <x:c r="M143" s="875"/>
      <x:c r="N143" s="875"/>
      <x:c r="O143" s="875"/>
      <x:c r="P143" s="875"/>
      <x:c r="Q143" s="875"/>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875"/>
      <x:c r="B144" s="875"/>
      <x:c r="C144" s="875"/>
      <x:c r="D144" s="875"/>
      <x:c r="E144" s="875"/>
      <x:c r="F144" s="875"/>
      <x:c r="G144" s="875"/>
      <x:c r="H144" s="875"/>
      <x:c r="I144" s="875"/>
      <x:c r="J144" s="875"/>
      <x:c r="K144" s="875"/>
      <x:c r="L144" s="875"/>
      <x:c r="M144" s="875"/>
      <x:c r="N144" s="875"/>
      <x:c r="O144" s="875"/>
      <x:c r="P144" s="875"/>
      <x:c r="Q144" s="875"/>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875"/>
      <x:c r="B145" s="875"/>
      <x:c r="C145" s="875"/>
      <x:c r="D145" s="875"/>
      <x:c r="E145" s="875"/>
      <x:c r="F145" s="875"/>
      <x:c r="G145" s="875"/>
      <x:c r="H145" s="875"/>
      <x:c r="I145" s="875"/>
      <x:c r="J145" s="875"/>
      <x:c r="K145" s="875"/>
      <x:c r="L145" s="875"/>
      <x:c r="M145" s="875"/>
      <x:c r="N145" s="875"/>
      <x:c r="O145" s="875"/>
      <x:c r="P145" s="875"/>
      <x:c r="Q145" s="875"/>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875"/>
      <x:c r="B146" s="875"/>
      <x:c r="C146" s="875"/>
      <x:c r="D146" s="875"/>
      <x:c r="E146" s="875"/>
      <x:c r="F146" s="875"/>
      <x:c r="G146" s="875"/>
      <x:c r="H146" s="875"/>
      <x:c r="I146" s="875"/>
      <x:c r="J146" s="875"/>
      <x:c r="K146" s="875"/>
      <x:c r="L146" s="875"/>
      <x:c r="M146" s="875"/>
      <x:c r="N146" s="875"/>
      <x:c r="O146" s="875"/>
      <x:c r="P146" s="875"/>
      <x:c r="Q146" s="875"/>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875"/>
      <x:c r="B147" s="875"/>
      <x:c r="C147" s="875"/>
      <x:c r="D147" s="875"/>
      <x:c r="E147" s="875"/>
      <x:c r="F147" s="875"/>
      <x:c r="G147" s="875"/>
      <x:c r="H147" s="875"/>
      <x:c r="I147" s="875"/>
      <x:c r="J147" s="875"/>
      <x:c r="K147" s="875"/>
      <x:c r="L147" s="875"/>
      <x:c r="M147" s="875"/>
      <x:c r="N147" s="875"/>
      <x:c r="O147" s="875"/>
      <x:c r="P147" s="875"/>
      <x:c r="Q147" s="875"/>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875"/>
      <x:c r="B148" s="875"/>
      <x:c r="C148" s="875"/>
      <x:c r="D148" s="875"/>
      <x:c r="E148" s="875"/>
      <x:c r="F148" s="875"/>
      <x:c r="G148" s="875"/>
      <x:c r="H148" s="875"/>
      <x:c r="I148" s="875"/>
      <x:c r="J148" s="875"/>
      <x:c r="K148" s="875"/>
      <x:c r="L148" s="875"/>
      <x:c r="M148" s="875"/>
      <x:c r="N148" s="875"/>
      <x:c r="O148" s="875"/>
      <x:c r="P148" s="875"/>
      <x:c r="Q148" s="875"/>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875"/>
      <x:c r="B149" s="875"/>
      <x:c r="C149" s="875"/>
      <x:c r="D149" s="875"/>
      <x:c r="E149" s="875"/>
      <x:c r="F149" s="875"/>
      <x:c r="G149" s="875"/>
      <x:c r="H149" s="875"/>
      <x:c r="I149" s="875"/>
      <x:c r="J149" s="875"/>
      <x:c r="K149" s="875"/>
      <x:c r="L149" s="875"/>
      <x:c r="M149" s="875"/>
      <x:c r="N149" s="875"/>
      <x:c r="O149" s="875"/>
      <x:c r="P149" s="875"/>
      <x:c r="Q149" s="875"/>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875"/>
      <x:c r="B150" s="875"/>
      <x:c r="C150" s="875"/>
      <x:c r="D150" s="875"/>
      <x:c r="E150" s="875"/>
      <x:c r="F150" s="875"/>
      <x:c r="G150" s="875"/>
      <x:c r="H150" s="875"/>
      <x:c r="I150" s="875"/>
      <x:c r="J150" s="875"/>
      <x:c r="K150" s="875"/>
      <x:c r="L150" s="875"/>
      <x:c r="M150" s="875"/>
      <x:c r="N150" s="875"/>
      <x:c r="O150" s="875"/>
      <x:c r="P150" s="875"/>
      <x:c r="Q150" s="875"/>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875"/>
      <x:c r="B151" s="875"/>
      <x:c r="C151" s="875"/>
      <x:c r="D151" s="875"/>
      <x:c r="E151" s="875"/>
      <x:c r="F151" s="875"/>
      <x:c r="G151" s="875"/>
      <x:c r="H151" s="875"/>
      <x:c r="I151" s="875"/>
      <x:c r="J151" s="875"/>
      <x:c r="K151" s="875"/>
      <x:c r="L151" s="875"/>
      <x:c r="M151" s="875"/>
      <x:c r="N151" s="875"/>
      <x:c r="O151" s="875"/>
      <x:c r="P151" s="875"/>
      <x:c r="Q151" s="875"/>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875"/>
      <x:c r="B152" s="875"/>
      <x:c r="C152" s="875"/>
      <x:c r="D152" s="875"/>
      <x:c r="E152" s="875"/>
      <x:c r="F152" s="875"/>
      <x:c r="G152" s="875"/>
      <x:c r="H152" s="875"/>
      <x:c r="I152" s="875"/>
      <x:c r="J152" s="875"/>
      <x:c r="K152" s="875"/>
      <x:c r="L152" s="875"/>
      <x:c r="M152" s="875"/>
      <x:c r="N152" s="875"/>
      <x:c r="O152" s="875"/>
      <x:c r="P152" s="875"/>
      <x:c r="Q152" s="875"/>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875"/>
      <x:c r="B153" s="875"/>
      <x:c r="C153" s="875"/>
      <x:c r="D153" s="875"/>
      <x:c r="E153" s="875"/>
      <x:c r="F153" s="875"/>
      <x:c r="G153" s="875"/>
      <x:c r="H153" s="875"/>
      <x:c r="I153" s="875"/>
      <x:c r="J153" s="875"/>
      <x:c r="K153" s="875"/>
      <x:c r="L153" s="875"/>
      <x:c r="M153" s="875"/>
      <x:c r="N153" s="875"/>
      <x:c r="O153" s="875"/>
      <x:c r="P153" s="875"/>
      <x:c r="Q153" s="875"/>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875"/>
      <x:c r="B154" s="875"/>
      <x:c r="C154" s="875"/>
      <x:c r="D154" s="875"/>
      <x:c r="E154" s="875"/>
      <x:c r="F154" s="875"/>
      <x:c r="G154" s="875"/>
      <x:c r="H154" s="875"/>
      <x:c r="I154" s="875"/>
      <x:c r="J154" s="875"/>
      <x:c r="K154" s="875"/>
      <x:c r="L154" s="875"/>
      <x:c r="M154" s="875"/>
      <x:c r="N154" s="875"/>
      <x:c r="O154" s="875"/>
      <x:c r="P154" s="875"/>
      <x:c r="Q154" s="875"/>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875"/>
      <x:c r="B155" s="875"/>
      <x:c r="C155" s="875"/>
      <x:c r="D155" s="875"/>
      <x:c r="E155" s="875"/>
      <x:c r="F155" s="875"/>
      <x:c r="G155" s="875"/>
      <x:c r="H155" s="875"/>
      <x:c r="I155" s="875"/>
      <x:c r="J155" s="875"/>
      <x:c r="K155" s="875"/>
      <x:c r="L155" s="875"/>
      <x:c r="M155" s="875"/>
      <x:c r="N155" s="875"/>
      <x:c r="O155" s="875"/>
      <x:c r="P155" s="875"/>
      <x:c r="Q155" s="875"/>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875"/>
      <x:c r="B156" s="875"/>
      <x:c r="C156" s="875"/>
      <x:c r="D156" s="875"/>
      <x:c r="E156" s="875"/>
      <x:c r="F156" s="875"/>
      <x:c r="G156" s="875"/>
      <x:c r="H156" s="875"/>
      <x:c r="I156" s="875"/>
      <x:c r="J156" s="875"/>
      <x:c r="K156" s="875"/>
      <x:c r="L156" s="875"/>
      <x:c r="M156" s="875"/>
      <x:c r="N156" s="875"/>
      <x:c r="O156" s="875"/>
      <x:c r="P156" s="875"/>
      <x:c r="Q156" s="875"/>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875"/>
      <x:c r="B157" s="875"/>
      <x:c r="C157" s="875"/>
      <x:c r="D157" s="875"/>
      <x:c r="E157" s="875"/>
      <x:c r="F157" s="875"/>
      <x:c r="G157" s="875"/>
      <x:c r="H157" s="875"/>
      <x:c r="I157" s="875"/>
      <x:c r="J157" s="875"/>
      <x:c r="K157" s="875"/>
      <x:c r="L157" s="875"/>
      <x:c r="M157" s="875"/>
      <x:c r="N157" s="875"/>
      <x:c r="O157" s="875"/>
      <x:c r="P157" s="875"/>
      <x:c r="Q157" s="875"/>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875"/>
      <x:c r="B158" s="875"/>
      <x:c r="C158" s="875"/>
      <x:c r="D158" s="875"/>
      <x:c r="E158" s="875"/>
      <x:c r="F158" s="875"/>
      <x:c r="G158" s="875"/>
      <x:c r="H158" s="875"/>
      <x:c r="I158" s="875"/>
      <x:c r="J158" s="875"/>
      <x:c r="K158" s="875"/>
      <x:c r="L158" s="875"/>
      <x:c r="M158" s="875"/>
      <x:c r="N158" s="875"/>
      <x:c r="O158" s="875"/>
      <x:c r="P158" s="875"/>
      <x:c r="Q158" s="875"/>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875"/>
      <x:c r="B159" s="875"/>
      <x:c r="C159" s="875"/>
      <x:c r="D159" s="875"/>
      <x:c r="E159" s="875"/>
      <x:c r="F159" s="875"/>
      <x:c r="G159" s="875"/>
      <x:c r="H159" s="875"/>
      <x:c r="I159" s="875"/>
      <x:c r="J159" s="875"/>
      <x:c r="K159" s="875"/>
      <x:c r="L159" s="875"/>
      <x:c r="M159" s="875"/>
      <x:c r="N159" s="875"/>
      <x:c r="O159" s="875"/>
      <x:c r="P159" s="875"/>
      <x:c r="Q159" s="875"/>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875"/>
      <x:c r="B160" s="875"/>
      <x:c r="C160" s="875"/>
      <x:c r="D160" s="875"/>
      <x:c r="E160" s="875"/>
      <x:c r="F160" s="875"/>
      <x:c r="G160" s="875"/>
      <x:c r="H160" s="875"/>
      <x:c r="I160" s="875"/>
      <x:c r="J160" s="875"/>
      <x:c r="K160" s="875"/>
      <x:c r="L160" s="875"/>
      <x:c r="M160" s="875"/>
      <x:c r="N160" s="875"/>
      <x:c r="O160" s="875"/>
      <x:c r="P160" s="875"/>
      <x:c r="Q160" s="875"/>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sheetData>
  <x:mergeCells>
    <x:mergeCell ref="A1:C2"/>
    <x:mergeCell ref="D1:P1"/>
    <x:mergeCell ref="D2:P2"/>
    <x:mergeCell ref="A4:J9"/>
    <x:mergeCell ref="K4:P5"/>
    <x:mergeCell ref="K7:O9"/>
    <x:mergeCell ref="A11:F12"/>
    <x:mergeCell ref="A20:F25"/>
    <x:mergeCell ref="A26:F26"/>
    <x:mergeCell ref="H11:P12"/>
    <x:mergeCell ref="H13:P18"/>
    <x:mergeCell ref="H20:P22"/>
    <x:mergeCell ref="H23:P25"/>
    <x:mergeCell ref="A27:P28"/>
    <x:mergeCell ref="A30:D35"/>
    <x:mergeCell ref="E30:H35"/>
    <x:mergeCell ref="I30:L35"/>
    <x:mergeCell ref="M30:P35"/>
    <x:mergeCell ref="A37:P3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110000610351562" hidden="0" customWidth="1"/>
    <x:col min="2" max="2" width="10" hidden="0" customWidth="1"/>
    <x:col min="3" max="3" width="23.889999389648438" hidden="0" customWidth="1"/>
    <x:col min="4" max="4" width="8.890000343322754"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s>
  <x:sheetData>
    <x:row r="1" ht="24" customHeight="1">
      <x:c r="A1" s="42" t="str">
        <x:f>IF('_CONFIG'!$B$2="pt-BR","RESULTADO","RESULT")</x:f>
        <x:v>RESULT</x:v>
      </x:c>
      <x:c r="B1" s="42"/>
      <x:c r="C1" s="42"/>
      <x:c r="D1" s="44" t="str">
        <x:f>IF('_CONFIG'!$B$2="pt-BR","O resultado, seu contexto histórico e o motivo.","The result, its historical context, and why.")</x:f>
        <x:v>The result, its historical context, and why.</x:v>
      </x:c>
      <x:c r="E1" s="44"/>
      <x:c r="F1" s="44"/>
      <x:c r="G1" s="44"/>
      <x:c r="H1" s="44"/>
      <x:c r="I1" s="44"/>
      <x:c r="J1" s="44"/>
      <x:c r="K1" s="44"/>
      <x:c r="L1" s="44"/>
      <x:c r="M1" s="44"/>
      <x:c r="N1" s="44"/>
      <x:c r="O1" s="44"/>
      <x:c r="P1" s="44"/>
      <x:c r="Q1" s="44"/>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IF('_CONFIG'!$B$2="pt-BR","KPIs de decisão, composição do objetivo e convergência","Decision KPIs, objective anatomy, and convergence")</x:f>
        <x:v>Decision KPIs, objective anatomy, and convergence</x:v>
      </x:c>
      <x:c r="E2" s="45"/>
      <x:c r="F2" s="45"/>
      <x:c r="G2" s="45"/>
      <x:c r="H2" s="45"/>
      <x:c r="I2" s="45"/>
      <x:c r="J2" s="45"/>
      <x:c r="K2" s="45"/>
      <x:c r="L2" s="45"/>
      <x:c r="M2" s="45"/>
      <x:c r="N2" s="45"/>
      <x:c r="O2" s="45"/>
      <x:c r="P2" s="45"/>
      <x:c r="Q2" s="4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38"/>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x:c r="A4" s="405" t="str">
        <x:f>IF('_CONFIG'!$B$2="pt-BR","MELHOR","BEST")</x:f>
        <x:v>BEST</x:v>
      </x:c>
      <x:c r="B4" s="405"/>
      <x:c r="C4" s="405"/>
      <x:c r="D4" s="445" t="str">
        <x:f>IF('_CONFIG'!$B$2="pt-BR","Δ HISTÓRICO","Δ HISTORICAL")</x:f>
        <x:v>Δ HISTORICAL</x:v>
      </x:c>
      <x:c r="E4" s="445"/>
      <x:c r="F4" s="445"/>
      <x:c r="G4" s="445"/>
      <x:c r="H4" s="466" t="str">
        <x:f>IF('_CONFIG'!$B$2="pt-BR","MEDIANA","MEDIAN")</x:f>
        <x:v>MEDIAN</x:v>
      </x:c>
      <x:c r="I4" s="466"/>
      <x:c r="J4" s="466"/>
      <x:c r="K4" s="466"/>
      <x:c r="L4" s="467" t="str">
        <x:f>IF('_CONFIG'!$B$2="pt-BR","PROGRAMADOS","SCHEDULED")</x:f>
        <x:v>SCHEDULED</x:v>
      </x:c>
      <x:c r="M4" s="467"/>
      <x:c r="N4" s="467"/>
      <x:c r="O4" s="470" t="str">
        <x:f>IF('_CONFIG'!$B$2="pt-BR","REJEITADOS","REJECTED")</x:f>
        <x:v>REJECTED</x:v>
      </x:c>
      <x:c r="P4" s="470"/>
      <x:c r="Q4" s="470"/>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x:c r="A5" s="424" t="n">
        <x:f>'_CONFIG'!$B$11</x:f>
        <x:v>24048</x:v>
      </x:c>
      <x:c r="B5" s="425"/>
      <x:c r="C5" s="426"/>
      <x:c r="D5" s="455" t="n">
        <x:f>IF('_CONFIG'!$B$13="","",'_CONFIG'!$B$13/100)</x:f>
        <x:v>-0.0008309788931361143</x:v>
      </x:c>
      <x:c r="E5" s="456"/>
      <x:c r="F5" s="456"/>
      <x:c r="G5" s="457"/>
      <x:c r="H5" s="424" t="n">
        <x:f>'_CONFIG'!$B$25</x:f>
        <x:v>24051</x:v>
      </x:c>
      <x:c r="I5" s="425"/>
      <x:c r="J5" s="425"/>
      <x:c r="K5" s="426"/>
      <x:c r="L5" s="424" t="n">
        <x:f>'_CONFIG'!$B$14</x:f>
        <x:v>67</x:v>
      </x:c>
      <x:c r="M5" s="425"/>
      <x:c r="N5" s="426"/>
      <x:c r="O5" s="424" t="n">
        <x:f>'_CONFIG'!$B$15</x:f>
        <x:v>8</x:v>
      </x:c>
      <x:c r="P5" s="425"/>
      <x:c r="Q5" s="426"/>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x:c r="A6" s="427"/>
      <x:c r="B6" s="428"/>
      <x:c r="C6" s="429"/>
      <x:c r="D6" s="458"/>
      <x:c r="E6" s="459"/>
      <x:c r="F6" s="459"/>
      <x:c r="G6" s="460"/>
      <x:c r="H6" s="427"/>
      <x:c r="I6" s="428"/>
      <x:c r="J6" s="428"/>
      <x:c r="K6" s="429"/>
      <x:c r="L6" s="427"/>
      <x:c r="M6" s="428"/>
      <x:c r="N6" s="429"/>
      <x:c r="O6" s="427"/>
      <x:c r="P6" s="428"/>
      <x:c r="Q6" s="429"/>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x:c r="A7" s="430"/>
      <x:c r="B7" s="431"/>
      <x:c r="C7" s="432"/>
      <x:c r="D7" s="461"/>
      <x:c r="E7" s="462"/>
      <x:c r="F7" s="462"/>
      <x:c r="G7" s="463"/>
      <x:c r="H7" s="430"/>
      <x:c r="I7" s="431"/>
      <x:c r="J7" s="431"/>
      <x:c r="K7" s="432"/>
      <x:c r="L7" s="430"/>
      <x:c r="M7" s="431"/>
      <x:c r="N7" s="432"/>
      <x:c r="O7" s="430"/>
      <x:c r="P7" s="431"/>
      <x:c r="Q7" s="432"/>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x:c r="A8" s="440" t="str">
        <x:f>IF('_CONFIG'!$B$2="pt-BR","objetivo verificado","verified objective")</x:f>
        <x:v>verified objective</x:v>
      </x:c>
      <x:c r="B8" s="441"/>
      <x:c r="C8" s="442"/>
      <x:c r="D8" s="440" t="str">
        <x:f>IF('_CONFIG'!$B$2="pt-BR","negativo é melhor","negative is better")</x:f>
        <x:v>negative is better</x:v>
      </x:c>
      <x:c r="E8" s="441"/>
      <x:c r="F8" s="441"/>
      <x:c r="G8" s="442"/>
      <x:c r="H8" s="440" t="str">
        <x:f>IF('_CONFIG'!$B$2="pt-BR","entre orçamentos iguais","across equal budgets")</x:f>
        <x:v>across equal budgets</x:v>
      </x:c>
      <x:c r="I8" s="441"/>
      <x:c r="J8" s="441"/>
      <x:c r="K8" s="442"/>
      <x:c r="L8" s="440" t="str">
        <x:f>IF('_CONFIG'!$B$2="pt-BR","jobs mantidos na sequência","jobs kept in sequence")</x:f>
        <x:v>jobs kept in sequence</x:v>
      </x:c>
      <x:c r="M8" s="441"/>
      <x:c r="N8" s="442"/>
      <x:c r="O8" s="440" t="str">
        <x:f>IF('_CONFIG'!$B$2="pt-BR","jobs deixados de fora","jobs left outside")</x:f>
        <x:v>jobs left outside</x:v>
      </x:c>
      <x:c r="P8" s="441"/>
      <x:c r="Q8" s="442"/>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x:c r="A9" s="38"/>
      <x:c r="B9" s="38"/>
      <x:c r="C9" s="38"/>
      <x:c r="D9" s="38"/>
      <x:c r="E9" s="38"/>
      <x:c r="F9" s="38"/>
      <x:c r="G9" s="38"/>
      <x:c r="H9" s="38"/>
      <x:c r="I9" s="38"/>
      <x:c r="J9" s="38"/>
      <x:c r="K9" s="38"/>
      <x:c r="L9" s="38"/>
      <x:c r="M9" s="38"/>
      <x:c r="N9" s="38"/>
      <x:c r="O9" s="38"/>
      <x:c r="P9" s="38"/>
      <x:c r="Q9" s="38"/>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294" t="str">
        <x:f>IF('_CONFIG'!$B$2="pt-BR","CONVERGÊNCIA DO MELHOR ATÉ AGORA","BEST-SO-FAR CONVERGENCE")</x:f>
        <x:v>BEST-SO-FAR CONVERGENCE</x:v>
      </x:c>
      <x:c r="B10" s="294"/>
      <x:c r="C10" s="294"/>
      <x:c r="D10" s="294"/>
      <x:c r="E10" s="294"/>
      <x:c r="F10" s="294"/>
      <x:c r="G10" s="294"/>
      <x:c r="H10" s="294"/>
      <x:c r="I10" s="38"/>
      <x:c r="J10" s="294" t="str">
        <x:f>IF('_CONFIG'!$B$2="pt-BR","COMPOSIÇÃO DO OBJETIVO","OBJECTIVE ANATOMY")</x:f>
        <x:v>OBJECTIVE ANATOMY</x:v>
      </x:c>
      <x:c r="K10" s="294"/>
      <x:c r="L10" s="294"/>
      <x:c r="M10" s="294"/>
      <x:c r="N10" s="294"/>
      <x:c r="O10" s="294"/>
      <x:c r="P10" s="294"/>
      <x:c r="Q10" s="294"/>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294"/>
      <x:c r="B11" s="294"/>
      <x:c r="C11" s="294"/>
      <x:c r="D11" s="294"/>
      <x:c r="E11" s="294"/>
      <x:c r="F11" s="294"/>
      <x:c r="G11" s="294"/>
      <x:c r="H11" s="294"/>
      <x:c r="I11" s="38"/>
      <x:c r="J11" s="294"/>
      <x:c r="K11" s="294"/>
      <x:c r="L11" s="294"/>
      <x:c r="M11" s="294"/>
      <x:c r="N11" s="294"/>
      <x:c r="O11" s="294"/>
      <x:c r="P11" s="294"/>
      <x:c r="Q11" s="294"/>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38"/>
      <x:c r="B12" s="38"/>
      <x:c r="C12" s="38"/>
      <x:c r="D12" s="38"/>
      <x:c r="E12" s="38"/>
      <x:c r="F12" s="38"/>
      <x:c r="G12" s="38"/>
      <x:c r="H12" s="38"/>
      <x:c r="I12" s="38"/>
      <x:c r="J12" s="38"/>
      <x:c r="K12" s="38"/>
      <x:c r="L12" s="38"/>
      <x:c r="M12" s="38"/>
      <x:c r="N12" s="38"/>
      <x:c r="O12" s="38"/>
      <x:c r="P12" s="38"/>
      <x:c r="Q12" s="38"/>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x:c r="A13" s="38"/>
      <x:c r="B13" s="38"/>
      <x:c r="C13" s="38"/>
      <x:c r="D13" s="38"/>
      <x:c r="E13" s="38"/>
      <x:c r="F13" s="38"/>
      <x:c r="G13" s="38"/>
      <x:c r="H13" s="38"/>
      <x:c r="I13" s="38"/>
      <x:c r="J13" s="38"/>
      <x:c r="K13" s="38"/>
      <x:c r="L13" s="38"/>
      <x:c r="M13" s="38"/>
      <x:c r="N13" s="38"/>
      <x:c r="O13" s="38"/>
      <x:c r="P13" s="38"/>
      <x:c r="Q13" s="38"/>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x:c r="A14" s="38"/>
      <x:c r="B14" s="38"/>
      <x:c r="C14" s="38"/>
      <x:c r="D14" s="38"/>
      <x:c r="E14" s="38"/>
      <x:c r="F14" s="38"/>
      <x:c r="G14" s="38"/>
      <x:c r="H14" s="38"/>
      <x:c r="I14" s="38"/>
      <x:c r="J14" s="38"/>
      <x:c r="K14" s="38"/>
      <x:c r="L14" s="38"/>
      <x:c r="M14" s="38"/>
      <x:c r="N14" s="38"/>
      <x:c r="O14" s="38"/>
      <x:c r="P14" s="38"/>
      <x:c r="Q14" s="38"/>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x:c r="A15" s="38"/>
      <x:c r="B15" s="38"/>
      <x:c r="C15" s="38"/>
      <x:c r="D15" s="38"/>
      <x:c r="E15" s="38"/>
      <x:c r="F15" s="38"/>
      <x:c r="G15" s="38"/>
      <x:c r="H15" s="38"/>
      <x:c r="I15" s="38"/>
      <x:c r="J15" s="38"/>
      <x:c r="K15" s="38"/>
      <x:c r="L15" s="38"/>
      <x:c r="M15" s="38"/>
      <x:c r="N15" s="38"/>
      <x:c r="O15" s="38"/>
      <x:c r="P15" s="38"/>
      <x:c r="Q15" s="38"/>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x:c r="A16" s="38"/>
      <x:c r="B16" s="38"/>
      <x:c r="C16" s="38"/>
      <x:c r="D16" s="38"/>
      <x:c r="E16" s="38"/>
      <x:c r="F16" s="38"/>
      <x:c r="G16" s="38"/>
      <x:c r="H16" s="38"/>
      <x:c r="I16" s="38"/>
      <x:c r="J16" s="38"/>
      <x:c r="K16" s="38"/>
      <x:c r="L16" s="38"/>
      <x:c r="M16" s="38"/>
      <x:c r="N16" s="38"/>
      <x:c r="O16" s="38"/>
      <x:c r="P16" s="38"/>
      <x:c r="Q16" s="38"/>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x:c r="A17" s="38"/>
      <x:c r="B17" s="38"/>
      <x:c r="C17" s="38"/>
      <x:c r="D17" s="38"/>
      <x:c r="E17" s="38"/>
      <x:c r="F17" s="38"/>
      <x:c r="G17" s="38"/>
      <x:c r="H17" s="38"/>
      <x:c r="I17" s="38"/>
      <x:c r="J17" s="38"/>
      <x:c r="K17" s="38"/>
      <x:c r="L17" s="38"/>
      <x:c r="M17" s="38"/>
      <x:c r="N17" s="38"/>
      <x:c r="O17" s="38"/>
      <x:c r="P17" s="38"/>
      <x:c r="Q17" s="38"/>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x:c r="A18" s="38"/>
      <x:c r="B18" s="38"/>
      <x:c r="C18" s="38"/>
      <x:c r="D18" s="38"/>
      <x:c r="E18" s="38"/>
      <x:c r="F18" s="38"/>
      <x:c r="G18" s="38"/>
      <x:c r="H18" s="38"/>
      <x:c r="I18" s="38"/>
      <x:c r="J18" s="38"/>
      <x:c r="K18" s="38"/>
      <x:c r="L18" s="38"/>
      <x:c r="M18" s="38"/>
      <x:c r="N18" s="38"/>
      <x:c r="O18" s="38"/>
      <x:c r="P18" s="38"/>
      <x:c r="Q18" s="38"/>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38"/>
      <x:c r="B19" s="38"/>
      <x:c r="C19" s="38"/>
      <x:c r="D19" s="38"/>
      <x:c r="E19" s="38"/>
      <x:c r="F19" s="38"/>
      <x:c r="G19" s="38"/>
      <x:c r="H19" s="38"/>
      <x:c r="I19" s="38"/>
      <x:c r="J19" s="38"/>
      <x:c r="K19" s="38"/>
      <x:c r="L19" s="38"/>
      <x:c r="M19" s="38"/>
      <x:c r="N19" s="38"/>
      <x:c r="O19" s="38"/>
      <x:c r="P19" s="38"/>
      <x:c r="Q19" s="38"/>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x:c r="A20" s="38"/>
      <x:c r="B20" s="38"/>
      <x:c r="C20" s="38"/>
      <x:c r="D20" s="38"/>
      <x:c r="E20" s="38"/>
      <x:c r="F20" s="38"/>
      <x:c r="G20" s="38"/>
      <x:c r="H20" s="38"/>
      <x:c r="I20" s="38"/>
      <x:c r="J20" s="38"/>
      <x:c r="K20" s="38"/>
      <x:c r="L20" s="38"/>
      <x:c r="M20" s="38"/>
      <x:c r="N20" s="38"/>
      <x:c r="O20" s="38"/>
      <x:c r="P20" s="38"/>
      <x:c r="Q20" s="38"/>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x:c r="A21" s="38"/>
      <x:c r="B21" s="38"/>
      <x:c r="C21" s="38"/>
      <x:c r="D21" s="38"/>
      <x:c r="E21" s="38"/>
      <x:c r="F21" s="38"/>
      <x:c r="G21" s="38"/>
      <x:c r="H21" s="38"/>
      <x:c r="I21" s="38"/>
      <x:c r="J21" s="38"/>
      <x:c r="K21" s="38"/>
      <x:c r="L21" s="38"/>
      <x:c r="M21" s="38"/>
      <x:c r="N21" s="38"/>
      <x:c r="O21" s="38"/>
      <x:c r="P21" s="38"/>
      <x:c r="Q21" s="38"/>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x:c r="A22" s="38"/>
      <x:c r="B22" s="38"/>
      <x:c r="C22" s="38"/>
      <x:c r="D22" s="38"/>
      <x:c r="E22" s="38"/>
      <x:c r="F22" s="38"/>
      <x:c r="G22" s="38"/>
      <x:c r="H22" s="38"/>
      <x:c r="I22" s="38"/>
      <x:c r="J22" s="38"/>
      <x:c r="K22" s="38"/>
      <x:c r="L22" s="38"/>
      <x:c r="M22" s="38"/>
      <x:c r="N22" s="38"/>
      <x:c r="O22" s="38"/>
      <x:c r="P22" s="38"/>
      <x:c r="Q22" s="38"/>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x:c r="A23" s="38"/>
      <x:c r="B23" s="38"/>
      <x:c r="C23" s="38"/>
      <x:c r="D23" s="38"/>
      <x:c r="E23" s="38"/>
      <x:c r="F23" s="38"/>
      <x:c r="G23" s="38"/>
      <x:c r="H23" s="38"/>
      <x:c r="I23" s="38"/>
      <x:c r="J23" s="38"/>
      <x:c r="K23" s="38"/>
      <x:c r="L23" s="38"/>
      <x:c r="M23" s="38"/>
      <x:c r="N23" s="38"/>
      <x:c r="O23" s="38"/>
      <x:c r="P23" s="38"/>
      <x:c r="Q23" s="38"/>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x:c r="A24" s="38"/>
      <x:c r="B24" s="38"/>
      <x:c r="C24" s="38"/>
      <x:c r="D24" s="38"/>
      <x:c r="E24" s="38"/>
      <x:c r="F24" s="38"/>
      <x:c r="G24" s="38"/>
      <x:c r="H24" s="38"/>
      <x:c r="I24" s="38"/>
      <x:c r="J24" s="38"/>
      <x:c r="K24" s="38"/>
      <x:c r="L24" s="38"/>
      <x:c r="M24" s="38"/>
      <x:c r="N24" s="38"/>
      <x:c r="O24" s="38"/>
      <x:c r="P24" s="38"/>
      <x:c r="Q24" s="38"/>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x:c r="A25" s="38"/>
      <x:c r="B25" s="38"/>
      <x:c r="C25" s="38"/>
      <x:c r="D25" s="38"/>
      <x:c r="E25" s="38"/>
      <x:c r="F25" s="38"/>
      <x:c r="G25" s="38"/>
      <x:c r="H25" s="38"/>
      <x:c r="I25" s="38"/>
      <x:c r="J25" s="38"/>
      <x:c r="K25" s="38"/>
      <x:c r="L25" s="38"/>
      <x:c r="M25" s="38"/>
      <x:c r="N25" s="38"/>
      <x:c r="O25" s="38"/>
      <x:c r="P25" s="38"/>
      <x:c r="Q25" s="38"/>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x:c r="A26" s="38"/>
      <x:c r="B26" s="38"/>
      <x:c r="C26" s="38"/>
      <x:c r="D26" s="38"/>
      <x:c r="E26" s="38"/>
      <x:c r="F26" s="38"/>
      <x:c r="G26" s="38"/>
      <x:c r="H26" s="38"/>
      <x:c r="I26" s="38"/>
      <x:c r="J26" s="38"/>
      <x:c r="K26" s="38"/>
      <x:c r="L26" s="38"/>
      <x:c r="M26" s="38"/>
      <x:c r="N26" s="38"/>
      <x:c r="O26" s="38"/>
      <x:c r="P26" s="38"/>
      <x:c r="Q26" s="38"/>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x:c r="A27" s="38"/>
      <x:c r="B27" s="38"/>
      <x:c r="C27" s="38"/>
      <x:c r="D27" s="38"/>
      <x:c r="E27" s="38"/>
      <x:c r="F27" s="38"/>
      <x:c r="G27" s="38"/>
      <x:c r="H27" s="38"/>
      <x:c r="I27" s="38"/>
      <x:c r="J27" s="38"/>
      <x:c r="K27" s="38"/>
      <x:c r="L27" s="38"/>
      <x:c r="M27" s="38"/>
      <x:c r="N27" s="38"/>
      <x:c r="O27" s="38"/>
      <x:c r="P27" s="38"/>
      <x:c r="Q27" s="38"/>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x:c r="A28" s="38"/>
      <x:c r="B28" s="38"/>
      <x:c r="C28" s="38"/>
      <x:c r="D28" s="38"/>
      <x:c r="E28" s="38"/>
      <x:c r="F28" s="38"/>
      <x:c r="G28" s="38"/>
      <x:c r="H28" s="38"/>
      <x:c r="I28" s="38"/>
      <x:c r="J28" s="38"/>
      <x:c r="K28" s="38"/>
      <x:c r="L28" s="38"/>
      <x:c r="M28" s="38"/>
      <x:c r="N28" s="38"/>
      <x:c r="O28" s="38"/>
      <x:c r="P28" s="38"/>
      <x:c r="Q28" s="38"/>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x:c r="A29" s="38"/>
      <x:c r="B29" s="38"/>
      <x:c r="C29" s="38"/>
      <x:c r="D29" s="38"/>
      <x:c r="E29" s="38"/>
      <x:c r="F29" s="38"/>
      <x:c r="G29" s="38"/>
      <x:c r="H29" s="38"/>
      <x:c r="I29" s="38"/>
      <x:c r="J29" s="38"/>
      <x:c r="K29" s="38"/>
      <x:c r="L29" s="38"/>
      <x:c r="M29" s="38"/>
      <x:c r="N29" s="38"/>
      <x:c r="O29" s="38"/>
      <x:c r="P29" s="38"/>
      <x:c r="Q29" s="38"/>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x:c r="A30" s="38"/>
      <x:c r="B30" s="38"/>
      <x:c r="C30" s="38"/>
      <x:c r="D30" s="38"/>
      <x:c r="E30" s="38"/>
      <x:c r="F30" s="38"/>
      <x:c r="G30" s="38"/>
      <x:c r="H30" s="38"/>
      <x:c r="I30" s="38"/>
      <x:c r="J30" s="38"/>
      <x:c r="K30" s="38"/>
      <x:c r="L30" s="38"/>
      <x:c r="M30" s="38"/>
      <x:c r="N30" s="38"/>
      <x:c r="O30" s="38"/>
      <x:c r="P30" s="38"/>
      <x:c r="Q30" s="38"/>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x:c r="A31" s="129" t="str">
        <x:f>IF('_CONFIG'!$B$2="pt-BR","LEITURA DA DECISÃO","DECISION READOUT")</x:f>
        <x:v>DECISION READOUT</x:v>
      </x:c>
      <x:c r="B31" s="129"/>
      <x:c r="C31" s="129"/>
      <x:c r="D31" s="129"/>
      <x:c r="E31" s="129"/>
      <x:c r="F31" s="129"/>
      <x:c r="G31" s="129"/>
      <x:c r="H31" s="129"/>
      <x:c r="I31" s="38"/>
      <x:c r="J31" s="184" t="str">
        <x:f>IF('_CONFIG'!$B$2="pt-BR","O QUE ESTE RESULTADO DIZ","WHAT THIS RESULT SAYS")</x:f>
        <x:v>WHAT THIS RESULT SAYS</x:v>
      </x:c>
      <x:c r="K31" s="184"/>
      <x:c r="L31" s="184"/>
      <x:c r="M31" s="184"/>
      <x:c r="N31" s="184"/>
      <x:c r="O31" s="184"/>
      <x:c r="P31" s="184"/>
      <x:c r="Q31" s="184"/>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x:c r="A32" s="129"/>
      <x:c r="B32" s="129"/>
      <x:c r="C32" s="129"/>
      <x:c r="D32" s="129"/>
      <x:c r="E32" s="129"/>
      <x:c r="F32" s="129"/>
      <x:c r="G32" s="129"/>
      <x:c r="H32" s="129"/>
      <x:c r="I32" s="38"/>
      <x:c r="J32" s="184"/>
      <x:c r="K32" s="184"/>
      <x:c r="L32" s="184"/>
      <x:c r="M32" s="184"/>
      <x:c r="N32" s="184"/>
      <x:c r="O32" s="184"/>
      <x:c r="P32" s="184"/>
      <x:c r="Q32" s="184"/>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ht="19.5" customHeight="1">
      <x:c r="A33" s="478" t="str">
        <x:f>IF('_CONFIG'!$B$2="pt-BR","Métrica","Metric")</x:f>
        <x:v>Metric</x:v>
      </x:c>
      <x:c r="B33" s="479" t="str">
        <x:f>IF('_CONFIG'!$B$2="pt-BR","Valor","Value")</x:f>
        <x:v>Value</x:v>
      </x:c>
      <x:c r="C33" s="479" t="str">
        <x:f>IF('_CONFIG'!$B$2="pt-BR","Contexto","Context")</x:f>
        <x:v>Context</x:v>
      </x:c>
      <x:c r="D33" s="479" t="str">
        <x:f>IF('_CONFIG'!$B$2="pt-BR","Sinal","Signal")</x:f>
        <x:v>Signal</x:v>
      </x:c>
      <x:c r="E33" s="479"/>
      <x:c r="F33" s="479"/>
      <x:c r="G33" s="479"/>
      <x:c r="H33" s="480"/>
      <x:c r="I33" s="38"/>
      <x:c r="J33" s="203" t="str">
        <x:f>IF('_CONFIG'!$B$2="pt-BR","Leia o objetivo junto de sua referência histórica, não como um número isolado. Um delta negativo indica que o solver melhorou esse ponto de comparação; zero indica igualdade; um delta positivo mostra a distância restante. A distribuição das rodadas mostra se essa qualidade se repete entre sementes.","Read the objective beside its historical reference, not as an isolated score. A negative delta means the solver improved on that comparison point; zero matches it; a positive delta shows the remaining distance. The run distribution below then shows whether that quality is repeatable across seeds.")</x:f>
        <x:v>Read the objective beside its historical reference, not as an isolated score. A negative delta means the solver improved on that comparison point; zero matches it; a positive delta shows the remaining distance. The run distribution below then shows whether that quality is repeatable across seeds.</x:v>
      </x:c>
      <x:c r="K33" s="204"/>
      <x:c r="L33" s="204"/>
      <x:c r="M33" s="204"/>
      <x:c r="N33" s="204"/>
      <x:c r="O33" s="204"/>
      <x:c r="P33" s="204"/>
      <x:c r="Q33" s="205"/>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ht="25.5" customHeight="1">
      <x:c r="A34" s="472" t="str">
        <x:f>IF('_CONFIG'!$B$2="pt-BR","Referência histórica","Historical reference")</x:f>
        <x:v>Historical reference</x:v>
      </x:c>
      <x:c r="B34" s="481" t="n">
        <x:f>'_CONFIG'!$B$12</x:f>
        <x:v>24068</x:v>
      </x:c>
      <x:c r="C34" s="472" t="str">
        <x:f>IF('_CONFIG'!$B$2="pt-BR","Comparação MaScLib / 2015; consulte RESULTS.md no repositório; não é uma afirmação de ótimo","MaScLib / 2015 comparison; see repository RESULTS.md; not an optimum claim")</x:f>
        <x:v>MaScLib / 2015 comparison; see repository RESULTS.md; not an optimum claim</x:v>
      </x:c>
      <x:c r="D34" s="472" t="str">
        <x:f>IF('_CONFIG'!$B$2="pt-BR","referência","benchmark")</x:f>
        <x:v>benchmark</x:v>
      </x:c>
      <x:c r="E34" s="472"/>
      <x:c r="F34" s="472"/>
      <x:c r="G34" s="472"/>
      <x:c r="H34" s="472"/>
      <x:c r="I34" s="38"/>
      <x:c r="J34" s="206"/>
      <x:c r="K34" s="207"/>
      <x:c r="L34" s="207"/>
      <x:c r="M34" s="207"/>
      <x:c r="N34" s="207"/>
      <x:c r="O34" s="207"/>
      <x:c r="P34" s="207"/>
      <x:c r="Q34" s="208"/>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ht="25.5" customHeight="1">
      <x:c r="A35" s="472" t="str">
        <x:f>IF('_CONFIG'!$B$2="pt-BR","Delta do objetivo","Objective delta")</x:f>
        <x:v>Objective delta</x:v>
      </x:c>
      <x:c r="B35" s="482" t="n">
        <x:f>IF('_CONFIG'!$B$13="","",'_CONFIG'!$B$13/100)</x:f>
        <x:v>-0.0008309788931361143</x:v>
      </x:c>
      <x:c r="C35" s="472" t="str">
        <x:f>IF('_CONFIG'!$B$2="pt-BR","Um valor negativo indica que a rodada melhorou a referência histórica","Negative means the run improved on the historical reference")</x:f>
        <x:v>Negative means the run improved on the historical reference</x:v>
      </x:c>
      <x:c r="D35" s="472" t="str">
        <x:f>IF('_CONFIG'!$B$2="pt-BR","qualidade","quality")</x:f>
        <x:v>quality</x:v>
      </x:c>
      <x:c r="E35" s="472"/>
      <x:c r="F35" s="472"/>
      <x:c r="G35" s="472"/>
      <x:c r="H35" s="472"/>
      <x:c r="I35" s="38"/>
      <x:c r="J35" s="206"/>
      <x:c r="K35" s="207"/>
      <x:c r="L35" s="207"/>
      <x:c r="M35" s="207"/>
      <x:c r="N35" s="207"/>
      <x:c r="O35" s="207"/>
      <x:c r="P35" s="207"/>
      <x:c r="Q35" s="208"/>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ht="22.5" customHeight="1">
      <x:c r="A36" s="472" t="str">
        <x:f>IF('_CONFIG'!$B$2="pt-BR","Duração total","Makespan")</x:f>
        <x:v>Makespan</x:v>
      </x:c>
      <x:c r="B36" s="481" t="n">
        <x:f>'_CONFIG'!$B$16</x:f>
        <x:v>5583</x:v>
      </x:c>
      <x:c r="C36" s="472" t="str">
        <x:f>IF('_CONFIG'!$B$2="pt-BR","Instante de conclusão do último job programado","Completion time of the final scheduled job")</x:f>
        <x:v>Completion time of the final scheduled job</x:v>
      </x:c>
      <x:c r="D36" s="472" t="str">
        <x:f>IF('_CONFIG'!$B$2="pt-BR","capacidade","capacity")</x:f>
        <x:v>capacity</x:v>
      </x:c>
      <x:c r="E36" s="472"/>
      <x:c r="F36" s="472"/>
      <x:c r="G36" s="472"/>
      <x:c r="H36" s="472"/>
      <x:c r="I36" s="38"/>
      <x:c r="J36" s="206"/>
      <x:c r="K36" s="207"/>
      <x:c r="L36" s="207"/>
      <x:c r="M36" s="207"/>
      <x:c r="N36" s="207"/>
      <x:c r="O36" s="207"/>
      <x:c r="P36" s="207"/>
      <x:c r="Q36" s="208"/>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ht="22.5" customHeight="1">
      <x:c r="A37" s="472" t="str">
        <x:f>IF('_CONFIG'!$B$2="pt-BR","Parcela de preparação","Setup share")</x:f>
        <x:v>Setup share</x:v>
      </x:c>
      <x:c r="B37" s="483" t="n">
        <x:f>'_CONFIG'!$B$17/'_CONFIG'!$B$11</x:f>
        <x:v>0.027445109780439122</x:v>
      </x:c>
      <x:c r="C37" s="472" t="str">
        <x:f>IF('_CONFIG'!$B$2="pt-BR","Custo de preparação dividido pelo objetivo total","Setup cost divided by total objective")</x:f>
        <x:v>Setup cost divided by total objective</x:v>
      </x:c>
      <x:c r="D37" s="472" t="str">
        <x:f>IF('_CONFIG'!$B$2="pt-BR","sequência","sequence")</x:f>
        <x:v>sequence</x:v>
      </x:c>
      <x:c r="E37" s="472"/>
      <x:c r="F37" s="472"/>
      <x:c r="G37" s="472"/>
      <x:c r="H37" s="472"/>
      <x:c r="I37" s="38"/>
      <x:c r="J37" s="206"/>
      <x:c r="K37" s="207"/>
      <x:c r="L37" s="207"/>
      <x:c r="M37" s="207"/>
      <x:c r="N37" s="207"/>
      <x:c r="O37" s="207"/>
      <x:c r="P37" s="207"/>
      <x:c r="Q37" s="208"/>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ht="25.5" customHeight="1">
      <x:c r="A38" s="472" t="str">
        <x:f>IF('_CONFIG'!$B$2="pt-BR","Taxa de alcance da referência","Reference hit rate")</x:f>
        <x:v>Reference hit rate</x:v>
      </x:c>
      <x:c r="B38" s="483" t="n">
        <x:f>IF('_STATS'!$B$2&lt;2,"",'_STATS'!$B$9)</x:f>
        <x:v>0.7</x:v>
      </x:c>
      <x:c r="C38" s="472" t="str">
        <x:f>IF('_CONFIG'!$B$2="pt-BR","Rodadas iguais ou melhores que a referência histórica","Runs at or below the historical reference")</x:f>
        <x:v>Runs at or below the historical reference</x:v>
      </x:c>
      <x:c r="D38" s="472" t="str">
        <x:f>IF('_CONFIG'!$B$2="pt-BR","robustez","robustness")</x:f>
        <x:v>robustness</x:v>
      </x:c>
      <x:c r="E38" s="472"/>
      <x:c r="F38" s="472"/>
      <x:c r="G38" s="472"/>
      <x:c r="H38" s="472"/>
      <x:c r="I38" s="38"/>
      <x:c r="J38" s="206"/>
      <x:c r="K38" s="207"/>
      <x:c r="L38" s="207"/>
      <x:c r="M38" s="207"/>
      <x:c r="N38" s="207"/>
      <x:c r="O38" s="207"/>
      <x:c r="P38" s="207"/>
      <x:c r="Q38" s="208"/>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ht="25.5" customHeight="1">
      <x:c r="A39" s="472" t="str">
        <x:f>IF('_CONFIG'!$B$2="pt-BR","Avaliações","Evaluations")</x:f>
        <x:v>Evaluations</x:v>
      </x:c>
      <x:c r="B39" s="481" t="n">
        <x:f>'_CONFIG'!$B$22</x:f>
        <x:v>3049134</x:v>
      </x:c>
      <x:c r="C39" s="472" t="str">
        <x:f>IF('_CONFIG'!$B$2="pt-BR","Programações candidatas avaliadas na melhor rodada","Candidate schedules priced in the best run")</x:f>
        <x:v>Candidate schedules priced in the best run</x:v>
      </x:c>
      <x:c r="D39" s="472" t="str">
        <x:f>IF('_CONFIG'!$B$2="pt-BR","busca","search")</x:f>
        <x:v>search</x:v>
      </x:c>
      <x:c r="E39" s="472"/>
      <x:c r="F39" s="472"/>
      <x:c r="G39" s="472"/>
      <x:c r="H39" s="472"/>
      <x:c r="I39" s="38"/>
      <x:c r="J39" s="209"/>
      <x:c r="K39" s="210"/>
      <x:c r="L39" s="210"/>
      <x:c r="M39" s="210"/>
      <x:c r="N39" s="210"/>
      <x:c r="O39" s="210"/>
      <x:c r="P39" s="210"/>
      <x:c r="Q39" s="211"/>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38"/>
      <x:c r="B40" s="38"/>
      <x:c r="C40" s="38"/>
      <x:c r="D40" s="38"/>
      <x:c r="E40" s="38"/>
      <x:c r="F40" s="38"/>
      <x:c r="G40" s="38"/>
      <x:c r="H40" s="38"/>
      <x:c r="I40" s="38"/>
      <x:c r="J40" s="38"/>
      <x:c r="K40" s="38"/>
      <x:c r="L40" s="38"/>
      <x:c r="M40" s="38"/>
      <x:c r="N40" s="38"/>
      <x:c r="O40" s="38"/>
      <x:c r="P40" s="38"/>
      <x:c r="Q40" s="38"/>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38"/>
      <x:c r="B41" s="38"/>
      <x:c r="C41" s="38"/>
      <x:c r="D41" s="38"/>
      <x:c r="E41" s="38"/>
      <x:c r="F41" s="38"/>
      <x:c r="G41" s="38"/>
      <x:c r="H41" s="38"/>
      <x:c r="I41" s="38"/>
      <x:c r="J41" s="38"/>
      <x:c r="K41" s="38"/>
      <x:c r="L41" s="38"/>
      <x:c r="M41" s="38"/>
      <x:c r="N41" s="38"/>
      <x:c r="O41" s="38"/>
      <x:c r="P41" s="38"/>
      <x:c r="Q41" s="38"/>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ht="18" customHeight="1">
      <x:c r="A42" s="387" t="str">
        <x:f>IF('_CONFIG'!$B$2="pt-BR","O tempo de execução depende do ambiente. Valores do objetivo, viabilidade e contagens de avaliações são portáteis; compare milissegundos e avaliações por segundo apenas no mesmo ambiente.","Runtime is environment-contextual. Objective values, feasibility, and evaluation counts are portable; milliseconds and evaluations/second should only be compared within the same environment.")</x:f>
        <x:v>Runtime is environment-contextual. Objective values, feasibility, and evaluation counts are portable; milliseconds and evaluations/second should only be compared within the same environment.</x:v>
      </x:c>
      <x:c r="B42" s="388"/>
      <x:c r="C42" s="388"/>
      <x:c r="D42" s="388"/>
      <x:c r="E42" s="388"/>
      <x:c r="F42" s="388"/>
      <x:c r="G42" s="388"/>
      <x:c r="H42" s="388"/>
      <x:c r="I42" s="388"/>
      <x:c r="J42" s="388"/>
      <x:c r="K42" s="388"/>
      <x:c r="L42" s="388"/>
      <x:c r="M42" s="388"/>
      <x:c r="N42" s="388"/>
      <x:c r="O42" s="388"/>
      <x:c r="P42" s="388"/>
      <x:c r="Q42" s="389"/>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ht="18" customHeight="1">
      <x:c r="A43" s="390"/>
      <x:c r="B43" s="391"/>
      <x:c r="C43" s="391"/>
      <x:c r="D43" s="391"/>
      <x:c r="E43" s="391"/>
      <x:c r="F43" s="391"/>
      <x:c r="G43" s="391"/>
      <x:c r="H43" s="391"/>
      <x:c r="I43" s="391"/>
      <x:c r="J43" s="391"/>
      <x:c r="K43" s="391"/>
      <x:c r="L43" s="391"/>
      <x:c r="M43" s="391"/>
      <x:c r="N43" s="391"/>
      <x:c r="O43" s="391"/>
      <x:c r="P43" s="391"/>
      <x:c r="Q43" s="392"/>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ht="18" customHeight="1">
      <x:c r="A44" s="393"/>
      <x:c r="B44" s="394"/>
      <x:c r="C44" s="394"/>
      <x:c r="D44" s="394"/>
      <x:c r="E44" s="394"/>
      <x:c r="F44" s="394"/>
      <x:c r="G44" s="394"/>
      <x:c r="H44" s="394"/>
      <x:c r="I44" s="394"/>
      <x:c r="J44" s="394"/>
      <x:c r="K44" s="394"/>
      <x:c r="L44" s="394"/>
      <x:c r="M44" s="394"/>
      <x:c r="N44" s="394"/>
      <x:c r="O44" s="394"/>
      <x:c r="P44" s="394"/>
      <x:c r="Q44" s="395"/>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38"/>
      <x:c r="B45" s="38"/>
      <x:c r="C45" s="38"/>
      <x:c r="D45" s="38"/>
      <x:c r="E45" s="38"/>
      <x:c r="F45" s="38"/>
      <x:c r="G45" s="38"/>
      <x:c r="H45" s="38"/>
      <x:c r="I45" s="38"/>
      <x:c r="J45" s="38"/>
      <x:c r="K45" s="38"/>
      <x:c r="L45" s="38"/>
      <x:c r="M45" s="38"/>
      <x:c r="N45" s="38"/>
      <x:c r="O45" s="38"/>
      <x:c r="P45" s="38"/>
      <x:c r="Q45" s="38"/>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38"/>
      <x:c r="B46" s="38"/>
      <x:c r="C46" s="38"/>
      <x:c r="D46" s="38"/>
      <x:c r="E46" s="38"/>
      <x:c r="F46" s="38"/>
      <x:c r="G46" s="38"/>
      <x:c r="H46" s="38"/>
      <x:c r="I46" s="38"/>
      <x:c r="J46" s="38"/>
      <x:c r="K46" s="38"/>
      <x:c r="L46" s="38"/>
      <x:c r="M46" s="38"/>
      <x:c r="N46" s="38"/>
      <x:c r="O46" s="38"/>
      <x:c r="P46" s="38"/>
      <x:c r="Q46" s="38"/>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38"/>
      <x:c r="B47" s="38"/>
      <x:c r="C47" s="38"/>
      <x:c r="D47" s="38"/>
      <x:c r="E47" s="38"/>
      <x:c r="F47" s="38"/>
      <x:c r="G47" s="38"/>
      <x:c r="H47" s="38"/>
      <x:c r="I47" s="38"/>
      <x:c r="J47" s="38"/>
      <x:c r="K47" s="38"/>
      <x:c r="L47" s="38"/>
      <x:c r="M47" s="38"/>
      <x:c r="N47" s="38"/>
      <x:c r="O47" s="38"/>
      <x:c r="P47" s="38"/>
      <x:c r="Q47" s="38"/>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38"/>
      <x:c r="B48" s="38"/>
      <x:c r="C48" s="38"/>
      <x:c r="D48" s="38"/>
      <x:c r="E48" s="38"/>
      <x:c r="F48" s="38"/>
      <x:c r="G48" s="38"/>
      <x:c r="H48" s="38"/>
      <x:c r="I48" s="38"/>
      <x:c r="J48" s="38"/>
      <x:c r="K48" s="38"/>
      <x:c r="L48" s="38"/>
      <x:c r="M48" s="38"/>
      <x:c r="N48" s="38"/>
      <x:c r="O48" s="38"/>
      <x:c r="P48" s="38"/>
      <x:c r="Q48" s="38"/>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x:c r="A49" s="38"/>
      <x:c r="B49" s="38"/>
      <x:c r="C49" s="38"/>
      <x:c r="D49" s="38"/>
      <x:c r="E49" s="38"/>
      <x:c r="F49" s="38"/>
      <x:c r="G49" s="38"/>
      <x:c r="H49" s="38"/>
      <x:c r="I49" s="38"/>
      <x:c r="J49" s="38"/>
      <x:c r="K49" s="38"/>
      <x:c r="L49" s="38"/>
      <x:c r="M49" s="38"/>
      <x:c r="N49" s="38"/>
      <x:c r="O49" s="38"/>
      <x:c r="P49" s="38"/>
      <x:c r="Q49" s="38"/>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x:c r="A50" s="38"/>
      <x:c r="B50" s="38"/>
      <x:c r="C50" s="38"/>
      <x:c r="D50" s="38"/>
      <x:c r="E50" s="38"/>
      <x:c r="F50" s="38"/>
      <x:c r="G50" s="38"/>
      <x:c r="H50" s="38"/>
      <x:c r="I50" s="38"/>
      <x:c r="J50" s="38"/>
      <x:c r="K50" s="38"/>
      <x:c r="L50" s="38"/>
      <x:c r="M50" s="38"/>
      <x:c r="N50" s="38"/>
      <x:c r="O50" s="38"/>
      <x:c r="P50" s="38"/>
      <x:c r="Q50" s="38"/>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x:c r="A51" s="875"/>
      <x:c r="B51" s="875"/>
      <x:c r="C51" s="875"/>
      <x:c r="D51" s="875"/>
      <x:c r="E51" s="875"/>
      <x:c r="F51" s="875"/>
      <x:c r="G51" s="875"/>
      <x:c r="H51" s="875"/>
      <x:c r="I51" s="875"/>
      <x:c r="J51" s="875"/>
      <x:c r="K51" s="875"/>
      <x:c r="L51" s="875"/>
      <x:c r="M51" s="875"/>
      <x:c r="N51" s="875"/>
      <x:c r="O51" s="875"/>
      <x:c r="P51" s="875"/>
      <x:c r="Q51" s="875"/>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x:c r="A52" s="875"/>
      <x:c r="B52" s="875"/>
      <x:c r="C52" s="875"/>
      <x:c r="D52" s="875"/>
      <x:c r="E52" s="875"/>
      <x:c r="F52" s="875"/>
      <x:c r="G52" s="875"/>
      <x:c r="H52" s="875"/>
      <x:c r="I52" s="875"/>
      <x:c r="J52" s="875"/>
      <x:c r="K52" s="875"/>
      <x:c r="L52" s="875"/>
      <x:c r="M52" s="875"/>
      <x:c r="N52" s="875"/>
      <x:c r="O52" s="875"/>
      <x:c r="P52" s="875"/>
      <x:c r="Q52" s="875"/>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x:c r="A53" s="875"/>
      <x:c r="B53" s="875"/>
      <x:c r="C53" s="875"/>
      <x:c r="D53" s="875"/>
      <x:c r="E53" s="875"/>
      <x:c r="F53" s="875"/>
      <x:c r="G53" s="875"/>
      <x:c r="H53" s="875"/>
      <x:c r="I53" s="875"/>
      <x:c r="J53" s="875"/>
      <x:c r="K53" s="875"/>
      <x:c r="L53" s="875"/>
      <x:c r="M53" s="875"/>
      <x:c r="N53" s="875"/>
      <x:c r="O53" s="875"/>
      <x:c r="P53" s="875"/>
      <x:c r="Q53" s="875"/>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x:c r="A54" s="875"/>
      <x:c r="B54" s="875"/>
      <x:c r="C54" s="875"/>
      <x:c r="D54" s="875"/>
      <x:c r="E54" s="875"/>
      <x:c r="F54" s="875"/>
      <x:c r="G54" s="875"/>
      <x:c r="H54" s="875"/>
      <x:c r="I54" s="875"/>
      <x:c r="J54" s="875"/>
      <x:c r="K54" s="875"/>
      <x:c r="L54" s="875"/>
      <x:c r="M54" s="875"/>
      <x:c r="N54" s="875"/>
      <x:c r="O54" s="875"/>
      <x:c r="P54" s="875"/>
      <x:c r="Q54" s="875"/>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x:c r="A55" s="875"/>
      <x:c r="B55" s="875"/>
      <x:c r="C55" s="875"/>
      <x:c r="D55" s="875"/>
      <x:c r="E55" s="875"/>
      <x:c r="F55" s="875"/>
      <x:c r="G55" s="875"/>
      <x:c r="H55" s="875"/>
      <x:c r="I55" s="875"/>
      <x:c r="J55" s="875"/>
      <x:c r="K55" s="875"/>
      <x:c r="L55" s="875"/>
      <x:c r="M55" s="875"/>
      <x:c r="N55" s="875"/>
      <x:c r="O55" s="875"/>
      <x:c r="P55" s="875"/>
      <x:c r="Q55" s="875"/>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875"/>
      <x:c r="B56" s="875"/>
      <x:c r="C56" s="875"/>
      <x:c r="D56" s="875"/>
      <x:c r="E56" s="875"/>
      <x:c r="F56" s="875"/>
      <x:c r="G56" s="875"/>
      <x:c r="H56" s="875"/>
      <x:c r="I56" s="875"/>
      <x:c r="J56" s="875"/>
      <x:c r="K56" s="875"/>
      <x:c r="L56" s="875"/>
      <x:c r="M56" s="875"/>
      <x:c r="N56" s="875"/>
      <x:c r="O56" s="875"/>
      <x:c r="P56" s="875"/>
      <x:c r="Q56" s="875"/>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875"/>
      <x:c r="B57" s="875"/>
      <x:c r="C57" s="875"/>
      <x:c r="D57" s="875"/>
      <x:c r="E57" s="875"/>
      <x:c r="F57" s="875"/>
      <x:c r="G57" s="875"/>
      <x:c r="H57" s="875"/>
      <x:c r="I57" s="875"/>
      <x:c r="J57" s="875"/>
      <x:c r="K57" s="875"/>
      <x:c r="L57" s="875"/>
      <x:c r="M57" s="875"/>
      <x:c r="N57" s="875"/>
      <x:c r="O57" s="875"/>
      <x:c r="P57" s="875"/>
      <x:c r="Q57" s="875"/>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875"/>
      <x:c r="B58" s="875"/>
      <x:c r="C58" s="875"/>
      <x:c r="D58" s="875"/>
      <x:c r="E58" s="875"/>
      <x:c r="F58" s="875"/>
      <x:c r="G58" s="875"/>
      <x:c r="H58" s="875"/>
      <x:c r="I58" s="875"/>
      <x:c r="J58" s="875"/>
      <x:c r="K58" s="875"/>
      <x:c r="L58" s="875"/>
      <x:c r="M58" s="875"/>
      <x:c r="N58" s="875"/>
      <x:c r="O58" s="875"/>
      <x:c r="P58" s="875"/>
      <x:c r="Q58" s="875"/>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875"/>
      <x:c r="B59" s="875"/>
      <x:c r="C59" s="875"/>
      <x:c r="D59" s="875"/>
      <x:c r="E59" s="875"/>
      <x:c r="F59" s="875"/>
      <x:c r="G59" s="875"/>
      <x:c r="H59" s="875"/>
      <x:c r="I59" s="875"/>
      <x:c r="J59" s="875"/>
      <x:c r="K59" s="875"/>
      <x:c r="L59" s="875"/>
      <x:c r="M59" s="875"/>
      <x:c r="N59" s="875"/>
      <x:c r="O59" s="875"/>
      <x:c r="P59" s="875"/>
      <x:c r="Q59" s="875"/>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875"/>
      <x:c r="B60" s="875"/>
      <x:c r="C60" s="875"/>
      <x:c r="D60" s="875"/>
      <x:c r="E60" s="875"/>
      <x:c r="F60" s="875"/>
      <x:c r="G60" s="875"/>
      <x:c r="H60" s="875"/>
      <x:c r="I60" s="875"/>
      <x:c r="J60" s="875"/>
      <x:c r="K60" s="875"/>
      <x:c r="L60" s="875"/>
      <x:c r="M60" s="875"/>
      <x:c r="N60" s="875"/>
      <x:c r="O60" s="875"/>
      <x:c r="P60" s="875"/>
      <x:c r="Q60" s="875"/>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875"/>
      <x:c r="B61" s="875"/>
      <x:c r="C61" s="875"/>
      <x:c r="D61" s="875"/>
      <x:c r="E61" s="875"/>
      <x:c r="F61" s="875"/>
      <x:c r="G61" s="875"/>
      <x:c r="H61" s="875"/>
      <x:c r="I61" s="875"/>
      <x:c r="J61" s="875"/>
      <x:c r="K61" s="875"/>
      <x:c r="L61" s="875"/>
      <x:c r="M61" s="875"/>
      <x:c r="N61" s="875"/>
      <x:c r="O61" s="875"/>
      <x:c r="P61" s="875"/>
      <x:c r="Q61" s="875"/>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875"/>
      <x:c r="B62" s="875"/>
      <x:c r="C62" s="875"/>
      <x:c r="D62" s="875"/>
      <x:c r="E62" s="875"/>
      <x:c r="F62" s="875"/>
      <x:c r="G62" s="875"/>
      <x:c r="H62" s="875"/>
      <x:c r="I62" s="875"/>
      <x:c r="J62" s="875"/>
      <x:c r="K62" s="875"/>
      <x:c r="L62" s="875"/>
      <x:c r="M62" s="875"/>
      <x:c r="N62" s="875"/>
      <x:c r="O62" s="875"/>
      <x:c r="P62" s="875"/>
      <x:c r="Q62" s="875"/>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875"/>
      <x:c r="B63" s="875"/>
      <x:c r="C63" s="875"/>
      <x:c r="D63" s="875"/>
      <x:c r="E63" s="875"/>
      <x:c r="F63" s="875"/>
      <x:c r="G63" s="875"/>
      <x:c r="H63" s="875"/>
      <x:c r="I63" s="875"/>
      <x:c r="J63" s="875"/>
      <x:c r="K63" s="875"/>
      <x:c r="L63" s="875"/>
      <x:c r="M63" s="875"/>
      <x:c r="N63" s="875"/>
      <x:c r="O63" s="875"/>
      <x:c r="P63" s="875"/>
      <x:c r="Q63" s="875"/>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875"/>
      <x:c r="B64" s="875"/>
      <x:c r="C64" s="875"/>
      <x:c r="D64" s="875"/>
      <x:c r="E64" s="875"/>
      <x:c r="F64" s="875"/>
      <x:c r="G64" s="875"/>
      <x:c r="H64" s="875"/>
      <x:c r="I64" s="875"/>
      <x:c r="J64" s="875"/>
      <x:c r="K64" s="875"/>
      <x:c r="L64" s="875"/>
      <x:c r="M64" s="875"/>
      <x:c r="N64" s="875"/>
      <x:c r="O64" s="875"/>
      <x:c r="P64" s="875"/>
      <x:c r="Q64" s="875"/>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875"/>
      <x:c r="B65" s="875"/>
      <x:c r="C65" s="875"/>
      <x:c r="D65" s="875"/>
      <x:c r="E65" s="875"/>
      <x:c r="F65" s="875"/>
      <x:c r="G65" s="875"/>
      <x:c r="H65" s="875"/>
      <x:c r="I65" s="875"/>
      <x:c r="J65" s="875"/>
      <x:c r="K65" s="875"/>
      <x:c r="L65" s="875"/>
      <x:c r="M65" s="875"/>
      <x:c r="N65" s="875"/>
      <x:c r="O65" s="875"/>
      <x:c r="P65" s="875"/>
      <x:c r="Q65" s="875"/>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875"/>
      <x:c r="B66" s="875"/>
      <x:c r="C66" s="875"/>
      <x:c r="D66" s="875"/>
      <x:c r="E66" s="875"/>
      <x:c r="F66" s="875"/>
      <x:c r="G66" s="875"/>
      <x:c r="H66" s="875"/>
      <x:c r="I66" s="875"/>
      <x:c r="J66" s="875"/>
      <x:c r="K66" s="875"/>
      <x:c r="L66" s="875"/>
      <x:c r="M66" s="875"/>
      <x:c r="N66" s="875"/>
      <x:c r="O66" s="875"/>
      <x:c r="P66" s="875"/>
      <x:c r="Q66" s="875"/>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875"/>
      <x:c r="B67" s="875"/>
      <x:c r="C67" s="875"/>
      <x:c r="D67" s="875"/>
      <x:c r="E67" s="875"/>
      <x:c r="F67" s="875"/>
      <x:c r="G67" s="875"/>
      <x:c r="H67" s="875"/>
      <x:c r="I67" s="875"/>
      <x:c r="J67" s="875"/>
      <x:c r="K67" s="875"/>
      <x:c r="L67" s="875"/>
      <x:c r="M67" s="875"/>
      <x:c r="N67" s="875"/>
      <x:c r="O67" s="875"/>
      <x:c r="P67" s="875"/>
      <x:c r="Q67" s="875"/>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875"/>
      <x:c r="B68" s="875"/>
      <x:c r="C68" s="875"/>
      <x:c r="D68" s="875"/>
      <x:c r="E68" s="875"/>
      <x:c r="F68" s="875"/>
      <x:c r="G68" s="875"/>
      <x:c r="H68" s="875"/>
      <x:c r="I68" s="875"/>
      <x:c r="J68" s="875"/>
      <x:c r="K68" s="875"/>
      <x:c r="L68" s="875"/>
      <x:c r="M68" s="875"/>
      <x:c r="N68" s="875"/>
      <x:c r="O68" s="875"/>
      <x:c r="P68" s="875"/>
      <x:c r="Q68" s="875"/>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875"/>
      <x:c r="B69" s="875"/>
      <x:c r="C69" s="875"/>
      <x:c r="D69" s="875"/>
      <x:c r="E69" s="875"/>
      <x:c r="F69" s="875"/>
      <x:c r="G69" s="875"/>
      <x:c r="H69" s="875"/>
      <x:c r="I69" s="875"/>
      <x:c r="J69" s="875"/>
      <x:c r="K69" s="875"/>
      <x:c r="L69" s="875"/>
      <x:c r="M69" s="875"/>
      <x:c r="N69" s="875"/>
      <x:c r="O69" s="875"/>
      <x:c r="P69" s="875"/>
      <x:c r="Q69" s="875"/>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875"/>
      <x:c r="B70" s="875"/>
      <x:c r="C70" s="875"/>
      <x:c r="D70" s="875"/>
      <x:c r="E70" s="875"/>
      <x:c r="F70" s="875"/>
      <x:c r="G70" s="875"/>
      <x:c r="H70" s="875"/>
      <x:c r="I70" s="875"/>
      <x:c r="J70" s="875"/>
      <x:c r="K70" s="875"/>
      <x:c r="L70" s="875"/>
      <x:c r="M70" s="875"/>
      <x:c r="N70" s="875"/>
      <x:c r="O70" s="875"/>
      <x:c r="P70" s="875"/>
      <x:c r="Q70" s="875"/>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875"/>
      <x:c r="B71" s="875"/>
      <x:c r="C71" s="875"/>
      <x:c r="D71" s="875"/>
      <x:c r="E71" s="875"/>
      <x:c r="F71" s="875"/>
      <x:c r="G71" s="875"/>
      <x:c r="H71" s="875"/>
      <x:c r="I71" s="875"/>
      <x:c r="J71" s="875"/>
      <x:c r="K71" s="875"/>
      <x:c r="L71" s="875"/>
      <x:c r="M71" s="875"/>
      <x:c r="N71" s="875"/>
      <x:c r="O71" s="875"/>
      <x:c r="P71" s="875"/>
      <x:c r="Q71" s="875"/>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875"/>
      <x:c r="B72" s="875"/>
      <x:c r="C72" s="875"/>
      <x:c r="D72" s="875"/>
      <x:c r="E72" s="875"/>
      <x:c r="F72" s="875"/>
      <x:c r="G72" s="875"/>
      <x:c r="H72" s="875"/>
      <x:c r="I72" s="875"/>
      <x:c r="J72" s="875"/>
      <x:c r="K72" s="875"/>
      <x:c r="L72" s="875"/>
      <x:c r="M72" s="875"/>
      <x:c r="N72" s="875"/>
      <x:c r="O72" s="875"/>
      <x:c r="P72" s="875"/>
      <x:c r="Q72" s="875"/>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875"/>
      <x:c r="B73" s="875"/>
      <x:c r="C73" s="875"/>
      <x:c r="D73" s="875"/>
      <x:c r="E73" s="875"/>
      <x:c r="F73" s="875"/>
      <x:c r="G73" s="875"/>
      <x:c r="H73" s="875"/>
      <x:c r="I73" s="875"/>
      <x:c r="J73" s="875"/>
      <x:c r="K73" s="875"/>
      <x:c r="L73" s="875"/>
      <x:c r="M73" s="875"/>
      <x:c r="N73" s="875"/>
      <x:c r="O73" s="875"/>
      <x:c r="P73" s="875"/>
      <x:c r="Q73" s="875"/>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875"/>
      <x:c r="B74" s="875"/>
      <x:c r="C74" s="875"/>
      <x:c r="D74" s="875"/>
      <x:c r="E74" s="875"/>
      <x:c r="F74" s="875"/>
      <x:c r="G74" s="875"/>
      <x:c r="H74" s="875"/>
      <x:c r="I74" s="875"/>
      <x:c r="J74" s="875"/>
      <x:c r="K74" s="875"/>
      <x:c r="L74" s="875"/>
      <x:c r="M74" s="875"/>
      <x:c r="N74" s="875"/>
      <x:c r="O74" s="875"/>
      <x:c r="P74" s="875"/>
      <x:c r="Q74" s="875"/>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875"/>
      <x:c r="B75" s="875"/>
      <x:c r="C75" s="875"/>
      <x:c r="D75" s="875"/>
      <x:c r="E75" s="875"/>
      <x:c r="F75" s="875"/>
      <x:c r="G75" s="875"/>
      <x:c r="H75" s="875"/>
      <x:c r="I75" s="875"/>
      <x:c r="J75" s="875"/>
      <x:c r="K75" s="875"/>
      <x:c r="L75" s="875"/>
      <x:c r="M75" s="875"/>
      <x:c r="N75" s="875"/>
      <x:c r="O75" s="875"/>
      <x:c r="P75" s="875"/>
      <x:c r="Q75" s="875"/>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875"/>
      <x:c r="B76" s="875"/>
      <x:c r="C76" s="875"/>
      <x:c r="D76" s="875"/>
      <x:c r="E76" s="875"/>
      <x:c r="F76" s="875"/>
      <x:c r="G76" s="875"/>
      <x:c r="H76" s="875"/>
      <x:c r="I76" s="875"/>
      <x:c r="J76" s="875"/>
      <x:c r="K76" s="875"/>
      <x:c r="L76" s="875"/>
      <x:c r="M76" s="875"/>
      <x:c r="N76" s="875"/>
      <x:c r="O76" s="875"/>
      <x:c r="P76" s="875"/>
      <x:c r="Q76" s="875"/>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875"/>
      <x:c r="B77" s="875"/>
      <x:c r="C77" s="875"/>
      <x:c r="D77" s="875"/>
      <x:c r="E77" s="875"/>
      <x:c r="F77" s="875"/>
      <x:c r="G77" s="875"/>
      <x:c r="H77" s="875"/>
      <x:c r="I77" s="875"/>
      <x:c r="J77" s="875"/>
      <x:c r="K77" s="875"/>
      <x:c r="L77" s="875"/>
      <x:c r="M77" s="875"/>
      <x:c r="N77" s="875"/>
      <x:c r="O77" s="875"/>
      <x:c r="P77" s="875"/>
      <x:c r="Q77" s="875"/>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875"/>
      <x:c r="B78" s="875"/>
      <x:c r="C78" s="875"/>
      <x:c r="D78" s="875"/>
      <x:c r="E78" s="875"/>
      <x:c r="F78" s="875"/>
      <x:c r="G78" s="875"/>
      <x:c r="H78" s="875"/>
      <x:c r="I78" s="875"/>
      <x:c r="J78" s="875"/>
      <x:c r="K78" s="875"/>
      <x:c r="L78" s="875"/>
      <x:c r="M78" s="875"/>
      <x:c r="N78" s="875"/>
      <x:c r="O78" s="875"/>
      <x:c r="P78" s="875"/>
      <x:c r="Q78" s="875"/>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875"/>
      <x:c r="B79" s="875"/>
      <x:c r="C79" s="875"/>
      <x:c r="D79" s="875"/>
      <x:c r="E79" s="875"/>
      <x:c r="F79" s="875"/>
      <x:c r="G79" s="875"/>
      <x:c r="H79" s="875"/>
      <x:c r="I79" s="875"/>
      <x:c r="J79" s="875"/>
      <x:c r="K79" s="875"/>
      <x:c r="L79" s="875"/>
      <x:c r="M79" s="875"/>
      <x:c r="N79" s="875"/>
      <x:c r="O79" s="875"/>
      <x:c r="P79" s="875"/>
      <x:c r="Q79" s="875"/>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875"/>
      <x:c r="B80" s="875"/>
      <x:c r="C80" s="875"/>
      <x:c r="D80" s="875"/>
      <x:c r="E80" s="875"/>
      <x:c r="F80" s="875"/>
      <x:c r="G80" s="875"/>
      <x:c r="H80" s="875"/>
      <x:c r="I80" s="875"/>
      <x:c r="J80" s="875"/>
      <x:c r="K80" s="875"/>
      <x:c r="L80" s="875"/>
      <x:c r="M80" s="875"/>
      <x:c r="N80" s="875"/>
      <x:c r="O80" s="875"/>
      <x:c r="P80" s="875"/>
      <x:c r="Q80" s="875"/>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875"/>
      <x:c r="B81" s="875"/>
      <x:c r="C81" s="875"/>
      <x:c r="D81" s="875"/>
      <x:c r="E81" s="875"/>
      <x:c r="F81" s="875"/>
      <x:c r="G81" s="875"/>
      <x:c r="H81" s="875"/>
      <x:c r="I81" s="875"/>
      <x:c r="J81" s="875"/>
      <x:c r="K81" s="875"/>
      <x:c r="L81" s="875"/>
      <x:c r="M81" s="875"/>
      <x:c r="N81" s="875"/>
      <x:c r="O81" s="875"/>
      <x:c r="P81" s="875"/>
      <x:c r="Q81" s="875"/>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875"/>
      <x:c r="B82" s="875"/>
      <x:c r="C82" s="875"/>
      <x:c r="D82" s="875"/>
      <x:c r="E82" s="875"/>
      <x:c r="F82" s="875"/>
      <x:c r="G82" s="875"/>
      <x:c r="H82" s="875"/>
      <x:c r="I82" s="875"/>
      <x:c r="J82" s="875"/>
      <x:c r="K82" s="875"/>
      <x:c r="L82" s="875"/>
      <x:c r="M82" s="875"/>
      <x:c r="N82" s="875"/>
      <x:c r="O82" s="875"/>
      <x:c r="P82" s="875"/>
      <x:c r="Q82" s="875"/>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875"/>
      <x:c r="B83" s="875"/>
      <x:c r="C83" s="875"/>
      <x:c r="D83" s="875"/>
      <x:c r="E83" s="875"/>
      <x:c r="F83" s="875"/>
      <x:c r="G83" s="875"/>
      <x:c r="H83" s="875"/>
      <x:c r="I83" s="875"/>
      <x:c r="J83" s="875"/>
      <x:c r="K83" s="875"/>
      <x:c r="L83" s="875"/>
      <x:c r="M83" s="875"/>
      <x:c r="N83" s="875"/>
      <x:c r="O83" s="875"/>
      <x:c r="P83" s="875"/>
      <x:c r="Q83" s="875"/>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875"/>
      <x:c r="B84" s="875"/>
      <x:c r="C84" s="875"/>
      <x:c r="D84" s="875"/>
      <x:c r="E84" s="875"/>
      <x:c r="F84" s="875"/>
      <x:c r="G84" s="875"/>
      <x:c r="H84" s="875"/>
      <x:c r="I84" s="875"/>
      <x:c r="J84" s="875"/>
      <x:c r="K84" s="875"/>
      <x:c r="L84" s="875"/>
      <x:c r="M84" s="875"/>
      <x:c r="N84" s="875"/>
      <x:c r="O84" s="875"/>
      <x:c r="P84" s="875"/>
      <x:c r="Q84" s="875"/>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875"/>
      <x:c r="B85" s="875"/>
      <x:c r="C85" s="875"/>
      <x:c r="D85" s="875"/>
      <x:c r="E85" s="875"/>
      <x:c r="F85" s="875"/>
      <x:c r="G85" s="875"/>
      <x:c r="H85" s="875"/>
      <x:c r="I85" s="875"/>
      <x:c r="J85" s="875"/>
      <x:c r="K85" s="875"/>
      <x:c r="L85" s="875"/>
      <x:c r="M85" s="875"/>
      <x:c r="N85" s="875"/>
      <x:c r="O85" s="875"/>
      <x:c r="P85" s="875"/>
      <x:c r="Q85" s="875"/>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875"/>
      <x:c r="B86" s="875"/>
      <x:c r="C86" s="875"/>
      <x:c r="D86" s="875"/>
      <x:c r="E86" s="875"/>
      <x:c r="F86" s="875"/>
      <x:c r="G86" s="875"/>
      <x:c r="H86" s="875"/>
      <x:c r="I86" s="875"/>
      <x:c r="J86" s="875"/>
      <x:c r="K86" s="875"/>
      <x:c r="L86" s="875"/>
      <x:c r="M86" s="875"/>
      <x:c r="N86" s="875"/>
      <x:c r="O86" s="875"/>
      <x:c r="P86" s="875"/>
      <x:c r="Q86" s="875"/>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875"/>
      <x:c r="B87" s="875"/>
      <x:c r="C87" s="875"/>
      <x:c r="D87" s="875"/>
      <x:c r="E87" s="875"/>
      <x:c r="F87" s="875"/>
      <x:c r="G87" s="875"/>
      <x:c r="H87" s="875"/>
      <x:c r="I87" s="875"/>
      <x:c r="J87" s="875"/>
      <x:c r="K87" s="875"/>
      <x:c r="L87" s="875"/>
      <x:c r="M87" s="875"/>
      <x:c r="N87" s="875"/>
      <x:c r="O87" s="875"/>
      <x:c r="P87" s="875"/>
      <x:c r="Q87" s="875"/>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875"/>
      <x:c r="B88" s="875"/>
      <x:c r="C88" s="875"/>
      <x:c r="D88" s="875"/>
      <x:c r="E88" s="875"/>
      <x:c r="F88" s="875"/>
      <x:c r="G88" s="875"/>
      <x:c r="H88" s="875"/>
      <x:c r="I88" s="875"/>
      <x:c r="J88" s="875"/>
      <x:c r="K88" s="875"/>
      <x:c r="L88" s="875"/>
      <x:c r="M88" s="875"/>
      <x:c r="N88" s="875"/>
      <x:c r="O88" s="875"/>
      <x:c r="P88" s="875"/>
      <x:c r="Q88" s="875"/>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875"/>
      <x:c r="B89" s="875"/>
      <x:c r="C89" s="875"/>
      <x:c r="D89" s="875"/>
      <x:c r="E89" s="875"/>
      <x:c r="F89" s="875"/>
      <x:c r="G89" s="875"/>
      <x:c r="H89" s="875"/>
      <x:c r="I89" s="875"/>
      <x:c r="J89" s="875"/>
      <x:c r="K89" s="875"/>
      <x:c r="L89" s="875"/>
      <x:c r="M89" s="875"/>
      <x:c r="N89" s="875"/>
      <x:c r="O89" s="875"/>
      <x:c r="P89" s="875"/>
      <x:c r="Q89" s="875"/>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875"/>
      <x:c r="B90" s="875"/>
      <x:c r="C90" s="875"/>
      <x:c r="D90" s="875"/>
      <x:c r="E90" s="875"/>
      <x:c r="F90" s="875"/>
      <x:c r="G90" s="875"/>
      <x:c r="H90" s="875"/>
      <x:c r="I90" s="875"/>
      <x:c r="J90" s="875"/>
      <x:c r="K90" s="875"/>
      <x:c r="L90" s="875"/>
      <x:c r="M90" s="875"/>
      <x:c r="N90" s="875"/>
      <x:c r="O90" s="875"/>
      <x:c r="P90" s="875"/>
      <x:c r="Q90" s="875"/>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875"/>
      <x:c r="B91" s="875"/>
      <x:c r="C91" s="875"/>
      <x:c r="D91" s="875"/>
      <x:c r="E91" s="875"/>
      <x:c r="F91" s="875"/>
      <x:c r="G91" s="875"/>
      <x:c r="H91" s="875"/>
      <x:c r="I91" s="875"/>
      <x:c r="J91" s="875"/>
      <x:c r="K91" s="875"/>
      <x:c r="L91" s="875"/>
      <x:c r="M91" s="875"/>
      <x:c r="N91" s="875"/>
      <x:c r="O91" s="875"/>
      <x:c r="P91" s="875"/>
      <x:c r="Q91" s="875"/>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875"/>
      <x:c r="B92" s="875"/>
      <x:c r="C92" s="875"/>
      <x:c r="D92" s="875"/>
      <x:c r="E92" s="875"/>
      <x:c r="F92" s="875"/>
      <x:c r="G92" s="875"/>
      <x:c r="H92" s="875"/>
      <x:c r="I92" s="875"/>
      <x:c r="J92" s="875"/>
      <x:c r="K92" s="875"/>
      <x:c r="L92" s="875"/>
      <x:c r="M92" s="875"/>
      <x:c r="N92" s="875"/>
      <x:c r="O92" s="875"/>
      <x:c r="P92" s="875"/>
      <x:c r="Q92" s="875"/>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875"/>
      <x:c r="B93" s="875"/>
      <x:c r="C93" s="875"/>
      <x:c r="D93" s="875"/>
      <x:c r="E93" s="875"/>
      <x:c r="F93" s="875"/>
      <x:c r="G93" s="875"/>
      <x:c r="H93" s="875"/>
      <x:c r="I93" s="875"/>
      <x:c r="J93" s="875"/>
      <x:c r="K93" s="875"/>
      <x:c r="L93" s="875"/>
      <x:c r="M93" s="875"/>
      <x:c r="N93" s="875"/>
      <x:c r="O93" s="875"/>
      <x:c r="P93" s="875"/>
      <x:c r="Q93" s="875"/>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875"/>
      <x:c r="B94" s="875"/>
      <x:c r="C94" s="875"/>
      <x:c r="D94" s="875"/>
      <x:c r="E94" s="875"/>
      <x:c r="F94" s="875"/>
      <x:c r="G94" s="875"/>
      <x:c r="H94" s="875"/>
      <x:c r="I94" s="875"/>
      <x:c r="J94" s="875"/>
      <x:c r="K94" s="875"/>
      <x:c r="L94" s="875"/>
      <x:c r="M94" s="875"/>
      <x:c r="N94" s="875"/>
      <x:c r="O94" s="875"/>
      <x:c r="P94" s="875"/>
      <x:c r="Q94" s="875"/>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875"/>
      <x:c r="B95" s="875"/>
      <x:c r="C95" s="875"/>
      <x:c r="D95" s="875"/>
      <x:c r="E95" s="875"/>
      <x:c r="F95" s="875"/>
      <x:c r="G95" s="875"/>
      <x:c r="H95" s="875"/>
      <x:c r="I95" s="875"/>
      <x:c r="J95" s="875"/>
      <x:c r="K95" s="875"/>
      <x:c r="L95" s="875"/>
      <x:c r="M95" s="875"/>
      <x:c r="N95" s="875"/>
      <x:c r="O95" s="875"/>
      <x:c r="P95" s="875"/>
      <x:c r="Q95" s="875"/>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875"/>
      <x:c r="B96" s="875"/>
      <x:c r="C96" s="875"/>
      <x:c r="D96" s="875"/>
      <x:c r="E96" s="875"/>
      <x:c r="F96" s="875"/>
      <x:c r="G96" s="875"/>
      <x:c r="H96" s="875"/>
      <x:c r="I96" s="875"/>
      <x:c r="J96" s="875"/>
      <x:c r="K96" s="875"/>
      <x:c r="L96" s="875"/>
      <x:c r="M96" s="875"/>
      <x:c r="N96" s="875"/>
      <x:c r="O96" s="875"/>
      <x:c r="P96" s="875"/>
      <x:c r="Q96" s="875"/>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875"/>
      <x:c r="B97" s="875"/>
      <x:c r="C97" s="875"/>
      <x:c r="D97" s="875"/>
      <x:c r="E97" s="875"/>
      <x:c r="F97" s="875"/>
      <x:c r="G97" s="875"/>
      <x:c r="H97" s="875"/>
      <x:c r="I97" s="875"/>
      <x:c r="J97" s="875"/>
      <x:c r="K97" s="875"/>
      <x:c r="L97" s="875"/>
      <x:c r="M97" s="875"/>
      <x:c r="N97" s="875"/>
      <x:c r="O97" s="875"/>
      <x:c r="P97" s="875"/>
      <x:c r="Q97" s="875"/>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875"/>
      <x:c r="B98" s="875"/>
      <x:c r="C98" s="875"/>
      <x:c r="D98" s="875"/>
      <x:c r="E98" s="875"/>
      <x:c r="F98" s="875"/>
      <x:c r="G98" s="875"/>
      <x:c r="H98" s="875"/>
      <x:c r="I98" s="875"/>
      <x:c r="J98" s="875"/>
      <x:c r="K98" s="875"/>
      <x:c r="L98" s="875"/>
      <x:c r="M98" s="875"/>
      <x:c r="N98" s="875"/>
      <x:c r="O98" s="875"/>
      <x:c r="P98" s="875"/>
      <x:c r="Q98" s="875"/>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875"/>
      <x:c r="B99" s="875"/>
      <x:c r="C99" s="875"/>
      <x:c r="D99" s="875"/>
      <x:c r="E99" s="875"/>
      <x:c r="F99" s="875"/>
      <x:c r="G99" s="875"/>
      <x:c r="H99" s="875"/>
      <x:c r="I99" s="875"/>
      <x:c r="J99" s="875"/>
      <x:c r="K99" s="875"/>
      <x:c r="L99" s="875"/>
      <x:c r="M99" s="875"/>
      <x:c r="N99" s="875"/>
      <x:c r="O99" s="875"/>
      <x:c r="P99" s="875"/>
      <x:c r="Q99" s="875"/>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875"/>
      <x:c r="B100" s="875"/>
      <x:c r="C100" s="875"/>
      <x:c r="D100" s="875"/>
      <x:c r="E100" s="875"/>
      <x:c r="F100" s="875"/>
      <x:c r="G100" s="875"/>
      <x:c r="H100" s="875"/>
      <x:c r="I100" s="875"/>
      <x:c r="J100" s="875"/>
      <x:c r="K100" s="875"/>
      <x:c r="L100" s="875"/>
      <x:c r="M100" s="875"/>
      <x:c r="N100" s="875"/>
      <x:c r="O100" s="875"/>
      <x:c r="P100" s="875"/>
      <x:c r="Q100" s="875"/>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875"/>
      <x:c r="B101" s="875"/>
      <x:c r="C101" s="875"/>
      <x:c r="D101" s="875"/>
      <x:c r="E101" s="875"/>
      <x:c r="F101" s="875"/>
      <x:c r="G101" s="875"/>
      <x:c r="H101" s="875"/>
      <x:c r="I101" s="875"/>
      <x:c r="J101" s="875"/>
      <x:c r="K101" s="875"/>
      <x:c r="L101" s="875"/>
      <x:c r="M101" s="875"/>
      <x:c r="N101" s="875"/>
      <x:c r="O101" s="875"/>
      <x:c r="P101" s="875"/>
      <x:c r="Q101" s="875"/>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875"/>
      <x:c r="B102" s="875"/>
      <x:c r="C102" s="875"/>
      <x:c r="D102" s="875"/>
      <x:c r="E102" s="875"/>
      <x:c r="F102" s="875"/>
      <x:c r="G102" s="875"/>
      <x:c r="H102" s="875"/>
      <x:c r="I102" s="875"/>
      <x:c r="J102" s="875"/>
      <x:c r="K102" s="875"/>
      <x:c r="L102" s="875"/>
      <x:c r="M102" s="875"/>
      <x:c r="N102" s="875"/>
      <x:c r="O102" s="875"/>
      <x:c r="P102" s="875"/>
      <x:c r="Q102" s="875"/>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875"/>
      <x:c r="B103" s="875"/>
      <x:c r="C103" s="875"/>
      <x:c r="D103" s="875"/>
      <x:c r="E103" s="875"/>
      <x:c r="F103" s="875"/>
      <x:c r="G103" s="875"/>
      <x:c r="H103" s="875"/>
      <x:c r="I103" s="875"/>
      <x:c r="J103" s="875"/>
      <x:c r="K103" s="875"/>
      <x:c r="L103" s="875"/>
      <x:c r="M103" s="875"/>
      <x:c r="N103" s="875"/>
      <x:c r="O103" s="875"/>
      <x:c r="P103" s="875"/>
      <x:c r="Q103" s="875"/>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875"/>
      <x:c r="B104" s="875"/>
      <x:c r="C104" s="875"/>
      <x:c r="D104" s="875"/>
      <x:c r="E104" s="875"/>
      <x:c r="F104" s="875"/>
      <x:c r="G104" s="875"/>
      <x:c r="H104" s="875"/>
      <x:c r="I104" s="875"/>
      <x:c r="J104" s="875"/>
      <x:c r="K104" s="875"/>
      <x:c r="L104" s="875"/>
      <x:c r="M104" s="875"/>
      <x:c r="N104" s="875"/>
      <x:c r="O104" s="875"/>
      <x:c r="P104" s="875"/>
      <x:c r="Q104" s="875"/>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875"/>
      <x:c r="B105" s="875"/>
      <x:c r="C105" s="875"/>
      <x:c r="D105" s="875"/>
      <x:c r="E105" s="875"/>
      <x:c r="F105" s="875"/>
      <x:c r="G105" s="875"/>
      <x:c r="H105" s="875"/>
      <x:c r="I105" s="875"/>
      <x:c r="J105" s="875"/>
      <x:c r="K105" s="875"/>
      <x:c r="L105" s="875"/>
      <x:c r="M105" s="875"/>
      <x:c r="N105" s="875"/>
      <x:c r="O105" s="875"/>
      <x:c r="P105" s="875"/>
      <x:c r="Q105" s="875"/>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875"/>
      <x:c r="B106" s="875"/>
      <x:c r="C106" s="875"/>
      <x:c r="D106" s="875"/>
      <x:c r="E106" s="875"/>
      <x:c r="F106" s="875"/>
      <x:c r="G106" s="875"/>
      <x:c r="H106" s="875"/>
      <x:c r="I106" s="875"/>
      <x:c r="J106" s="875"/>
      <x:c r="K106" s="875"/>
      <x:c r="L106" s="875"/>
      <x:c r="M106" s="875"/>
      <x:c r="N106" s="875"/>
      <x:c r="O106" s="875"/>
      <x:c r="P106" s="875"/>
      <x:c r="Q106" s="875"/>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875"/>
      <x:c r="B107" s="875"/>
      <x:c r="C107" s="875"/>
      <x:c r="D107" s="875"/>
      <x:c r="E107" s="875"/>
      <x:c r="F107" s="875"/>
      <x:c r="G107" s="875"/>
      <x:c r="H107" s="875"/>
      <x:c r="I107" s="875"/>
      <x:c r="J107" s="875"/>
      <x:c r="K107" s="875"/>
      <x:c r="L107" s="875"/>
      <x:c r="M107" s="875"/>
      <x:c r="N107" s="875"/>
      <x:c r="O107" s="875"/>
      <x:c r="P107" s="875"/>
      <x:c r="Q107" s="875"/>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875"/>
      <x:c r="B108" s="875"/>
      <x:c r="C108" s="875"/>
      <x:c r="D108" s="875"/>
      <x:c r="E108" s="875"/>
      <x:c r="F108" s="875"/>
      <x:c r="G108" s="875"/>
      <x:c r="H108" s="875"/>
      <x:c r="I108" s="875"/>
      <x:c r="J108" s="875"/>
      <x:c r="K108" s="875"/>
      <x:c r="L108" s="875"/>
      <x:c r="M108" s="875"/>
      <x:c r="N108" s="875"/>
      <x:c r="O108" s="875"/>
      <x:c r="P108" s="875"/>
      <x:c r="Q108" s="875"/>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875"/>
      <x:c r="B109" s="875"/>
      <x:c r="C109" s="875"/>
      <x:c r="D109" s="875"/>
      <x:c r="E109" s="875"/>
      <x:c r="F109" s="875"/>
      <x:c r="G109" s="875"/>
      <x:c r="H109" s="875"/>
      <x:c r="I109" s="875"/>
      <x:c r="J109" s="875"/>
      <x:c r="K109" s="875"/>
      <x:c r="L109" s="875"/>
      <x:c r="M109" s="875"/>
      <x:c r="N109" s="875"/>
      <x:c r="O109" s="875"/>
      <x:c r="P109" s="875"/>
      <x:c r="Q109" s="875"/>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875"/>
      <x:c r="B110" s="875"/>
      <x:c r="C110" s="875"/>
      <x:c r="D110" s="875"/>
      <x:c r="E110" s="875"/>
      <x:c r="F110" s="875"/>
      <x:c r="G110" s="875"/>
      <x:c r="H110" s="875"/>
      <x:c r="I110" s="875"/>
      <x:c r="J110" s="875"/>
      <x:c r="K110" s="875"/>
      <x:c r="L110" s="875"/>
      <x:c r="M110" s="875"/>
      <x:c r="N110" s="875"/>
      <x:c r="O110" s="875"/>
      <x:c r="P110" s="875"/>
      <x:c r="Q110" s="875"/>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875"/>
      <x:c r="B111" s="875"/>
      <x:c r="C111" s="875"/>
      <x:c r="D111" s="875"/>
      <x:c r="E111" s="875"/>
      <x:c r="F111" s="875"/>
      <x:c r="G111" s="875"/>
      <x:c r="H111" s="875"/>
      <x:c r="I111" s="875"/>
      <x:c r="J111" s="875"/>
      <x:c r="K111" s="875"/>
      <x:c r="L111" s="875"/>
      <x:c r="M111" s="875"/>
      <x:c r="N111" s="875"/>
      <x:c r="O111" s="875"/>
      <x:c r="P111" s="875"/>
      <x:c r="Q111" s="875"/>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875"/>
      <x:c r="B112" s="875"/>
      <x:c r="C112" s="875"/>
      <x:c r="D112" s="875"/>
      <x:c r="E112" s="875"/>
      <x:c r="F112" s="875"/>
      <x:c r="G112" s="875"/>
      <x:c r="H112" s="875"/>
      <x:c r="I112" s="875"/>
      <x:c r="J112" s="875"/>
      <x:c r="K112" s="875"/>
      <x:c r="L112" s="875"/>
      <x:c r="M112" s="875"/>
      <x:c r="N112" s="875"/>
      <x:c r="O112" s="875"/>
      <x:c r="P112" s="875"/>
      <x:c r="Q112" s="875"/>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875"/>
      <x:c r="B113" s="875"/>
      <x:c r="C113" s="875"/>
      <x:c r="D113" s="875"/>
      <x:c r="E113" s="875"/>
      <x:c r="F113" s="875"/>
      <x:c r="G113" s="875"/>
      <x:c r="H113" s="875"/>
      <x:c r="I113" s="875"/>
      <x:c r="J113" s="875"/>
      <x:c r="K113" s="875"/>
      <x:c r="L113" s="875"/>
      <x:c r="M113" s="875"/>
      <x:c r="N113" s="875"/>
      <x:c r="O113" s="875"/>
      <x:c r="P113" s="875"/>
      <x:c r="Q113" s="875"/>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875"/>
      <x:c r="B114" s="875"/>
      <x:c r="C114" s="875"/>
      <x:c r="D114" s="875"/>
      <x:c r="E114" s="875"/>
      <x:c r="F114" s="875"/>
      <x:c r="G114" s="875"/>
      <x:c r="H114" s="875"/>
      <x:c r="I114" s="875"/>
      <x:c r="J114" s="875"/>
      <x:c r="K114" s="875"/>
      <x:c r="L114" s="875"/>
      <x:c r="M114" s="875"/>
      <x:c r="N114" s="875"/>
      <x:c r="O114" s="875"/>
      <x:c r="P114" s="875"/>
      <x:c r="Q114" s="875"/>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875"/>
      <x:c r="B115" s="875"/>
      <x:c r="C115" s="875"/>
      <x:c r="D115" s="875"/>
      <x:c r="E115" s="875"/>
      <x:c r="F115" s="875"/>
      <x:c r="G115" s="875"/>
      <x:c r="H115" s="875"/>
      <x:c r="I115" s="875"/>
      <x:c r="J115" s="875"/>
      <x:c r="K115" s="875"/>
      <x:c r="L115" s="875"/>
      <x:c r="M115" s="875"/>
      <x:c r="N115" s="875"/>
      <x:c r="O115" s="875"/>
      <x:c r="P115" s="875"/>
      <x:c r="Q115" s="875"/>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875"/>
      <x:c r="B116" s="875"/>
      <x:c r="C116" s="875"/>
      <x:c r="D116" s="875"/>
      <x:c r="E116" s="875"/>
      <x:c r="F116" s="875"/>
      <x:c r="G116" s="875"/>
      <x:c r="H116" s="875"/>
      <x:c r="I116" s="875"/>
      <x:c r="J116" s="875"/>
      <x:c r="K116" s="875"/>
      <x:c r="L116" s="875"/>
      <x:c r="M116" s="875"/>
      <x:c r="N116" s="875"/>
      <x:c r="O116" s="875"/>
      <x:c r="P116" s="875"/>
      <x:c r="Q116" s="875"/>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875"/>
      <x:c r="B117" s="875"/>
      <x:c r="C117" s="875"/>
      <x:c r="D117" s="875"/>
      <x:c r="E117" s="875"/>
      <x:c r="F117" s="875"/>
      <x:c r="G117" s="875"/>
      <x:c r="H117" s="875"/>
      <x:c r="I117" s="875"/>
      <x:c r="J117" s="875"/>
      <x:c r="K117" s="875"/>
      <x:c r="L117" s="875"/>
      <x:c r="M117" s="875"/>
      <x:c r="N117" s="875"/>
      <x:c r="O117" s="875"/>
      <x:c r="P117" s="875"/>
      <x:c r="Q117" s="875"/>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875"/>
      <x:c r="B118" s="875"/>
      <x:c r="C118" s="875"/>
      <x:c r="D118" s="875"/>
      <x:c r="E118" s="875"/>
      <x:c r="F118" s="875"/>
      <x:c r="G118" s="875"/>
      <x:c r="H118" s="875"/>
      <x:c r="I118" s="875"/>
      <x:c r="J118" s="875"/>
      <x:c r="K118" s="875"/>
      <x:c r="L118" s="875"/>
      <x:c r="M118" s="875"/>
      <x:c r="N118" s="875"/>
      <x:c r="O118" s="875"/>
      <x:c r="P118" s="875"/>
      <x:c r="Q118" s="875"/>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875"/>
      <x:c r="B119" s="875"/>
      <x:c r="C119" s="875"/>
      <x:c r="D119" s="875"/>
      <x:c r="E119" s="875"/>
      <x:c r="F119" s="875"/>
      <x:c r="G119" s="875"/>
      <x:c r="H119" s="875"/>
      <x:c r="I119" s="875"/>
      <x:c r="J119" s="875"/>
      <x:c r="K119" s="875"/>
      <x:c r="L119" s="875"/>
      <x:c r="M119" s="875"/>
      <x:c r="N119" s="875"/>
      <x:c r="O119" s="875"/>
      <x:c r="P119" s="875"/>
      <x:c r="Q119" s="875"/>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875"/>
      <x:c r="B120" s="875"/>
      <x:c r="C120" s="875"/>
      <x:c r="D120" s="875"/>
      <x:c r="E120" s="875"/>
      <x:c r="F120" s="875"/>
      <x:c r="G120" s="875"/>
      <x:c r="H120" s="875"/>
      <x:c r="I120" s="875"/>
      <x:c r="J120" s="875"/>
      <x:c r="K120" s="875"/>
      <x:c r="L120" s="875"/>
      <x:c r="M120" s="875"/>
      <x:c r="N120" s="875"/>
      <x:c r="O120" s="875"/>
      <x:c r="P120" s="875"/>
      <x:c r="Q120" s="875"/>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875"/>
      <x:c r="B121" s="875"/>
      <x:c r="C121" s="875"/>
      <x:c r="D121" s="875"/>
      <x:c r="E121" s="875"/>
      <x:c r="F121" s="875"/>
      <x:c r="G121" s="875"/>
      <x:c r="H121" s="875"/>
      <x:c r="I121" s="875"/>
      <x:c r="J121" s="875"/>
      <x:c r="K121" s="875"/>
      <x:c r="L121" s="875"/>
      <x:c r="M121" s="875"/>
      <x:c r="N121" s="875"/>
      <x:c r="O121" s="875"/>
      <x:c r="P121" s="875"/>
      <x:c r="Q121" s="875"/>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875"/>
      <x:c r="B122" s="875"/>
      <x:c r="C122" s="875"/>
      <x:c r="D122" s="875"/>
      <x:c r="E122" s="875"/>
      <x:c r="F122" s="875"/>
      <x:c r="G122" s="875"/>
      <x:c r="H122" s="875"/>
      <x:c r="I122" s="875"/>
      <x:c r="J122" s="875"/>
      <x:c r="K122" s="875"/>
      <x:c r="L122" s="875"/>
      <x:c r="M122" s="875"/>
      <x:c r="N122" s="875"/>
      <x:c r="O122" s="875"/>
      <x:c r="P122" s="875"/>
      <x:c r="Q122" s="875"/>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875"/>
      <x:c r="B123" s="875"/>
      <x:c r="C123" s="875"/>
      <x:c r="D123" s="875"/>
      <x:c r="E123" s="875"/>
      <x:c r="F123" s="875"/>
      <x:c r="G123" s="875"/>
      <x:c r="H123" s="875"/>
      <x:c r="I123" s="875"/>
      <x:c r="J123" s="875"/>
      <x:c r="K123" s="875"/>
      <x:c r="L123" s="875"/>
      <x:c r="M123" s="875"/>
      <x:c r="N123" s="875"/>
      <x:c r="O123" s="875"/>
      <x:c r="P123" s="875"/>
      <x:c r="Q123" s="875"/>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875"/>
      <x:c r="B124" s="875"/>
      <x:c r="C124" s="875"/>
      <x:c r="D124" s="875"/>
      <x:c r="E124" s="875"/>
      <x:c r="F124" s="875"/>
      <x:c r="G124" s="875"/>
      <x:c r="H124" s="875"/>
      <x:c r="I124" s="875"/>
      <x:c r="J124" s="875"/>
      <x:c r="K124" s="875"/>
      <x:c r="L124" s="875"/>
      <x:c r="M124" s="875"/>
      <x:c r="N124" s="875"/>
      <x:c r="O124" s="875"/>
      <x:c r="P124" s="875"/>
      <x:c r="Q124" s="875"/>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875"/>
      <x:c r="B125" s="875"/>
      <x:c r="C125" s="875"/>
      <x:c r="D125" s="875"/>
      <x:c r="E125" s="875"/>
      <x:c r="F125" s="875"/>
      <x:c r="G125" s="875"/>
      <x:c r="H125" s="875"/>
      <x:c r="I125" s="875"/>
      <x:c r="J125" s="875"/>
      <x:c r="K125" s="875"/>
      <x:c r="L125" s="875"/>
      <x:c r="M125" s="875"/>
      <x:c r="N125" s="875"/>
      <x:c r="O125" s="875"/>
      <x:c r="P125" s="875"/>
      <x:c r="Q125" s="875"/>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875"/>
      <x:c r="B126" s="875"/>
      <x:c r="C126" s="875"/>
      <x:c r="D126" s="875"/>
      <x:c r="E126" s="875"/>
      <x:c r="F126" s="875"/>
      <x:c r="G126" s="875"/>
      <x:c r="H126" s="875"/>
      <x:c r="I126" s="875"/>
      <x:c r="J126" s="875"/>
      <x:c r="K126" s="875"/>
      <x:c r="L126" s="875"/>
      <x:c r="M126" s="875"/>
      <x:c r="N126" s="875"/>
      <x:c r="O126" s="875"/>
      <x:c r="P126" s="875"/>
      <x:c r="Q126" s="875"/>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875"/>
      <x:c r="B127" s="875"/>
      <x:c r="C127" s="875"/>
      <x:c r="D127" s="875"/>
      <x:c r="E127" s="875"/>
      <x:c r="F127" s="875"/>
      <x:c r="G127" s="875"/>
      <x:c r="H127" s="875"/>
      <x:c r="I127" s="875"/>
      <x:c r="J127" s="875"/>
      <x:c r="K127" s="875"/>
      <x:c r="L127" s="875"/>
      <x:c r="M127" s="875"/>
      <x:c r="N127" s="875"/>
      <x:c r="O127" s="875"/>
      <x:c r="P127" s="875"/>
      <x:c r="Q127" s="875"/>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875"/>
      <x:c r="B128" s="875"/>
      <x:c r="C128" s="875"/>
      <x:c r="D128" s="875"/>
      <x:c r="E128" s="875"/>
      <x:c r="F128" s="875"/>
      <x:c r="G128" s="875"/>
      <x:c r="H128" s="875"/>
      <x:c r="I128" s="875"/>
      <x:c r="J128" s="875"/>
      <x:c r="K128" s="875"/>
      <x:c r="L128" s="875"/>
      <x:c r="M128" s="875"/>
      <x:c r="N128" s="875"/>
      <x:c r="O128" s="875"/>
      <x:c r="P128" s="875"/>
      <x:c r="Q128" s="875"/>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875"/>
      <x:c r="B129" s="875"/>
      <x:c r="C129" s="875"/>
      <x:c r="D129" s="875"/>
      <x:c r="E129" s="875"/>
      <x:c r="F129" s="875"/>
      <x:c r="G129" s="875"/>
      <x:c r="H129" s="875"/>
      <x:c r="I129" s="875"/>
      <x:c r="J129" s="875"/>
      <x:c r="K129" s="875"/>
      <x:c r="L129" s="875"/>
      <x:c r="M129" s="875"/>
      <x:c r="N129" s="875"/>
      <x:c r="O129" s="875"/>
      <x:c r="P129" s="875"/>
      <x:c r="Q129" s="875"/>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875"/>
      <x:c r="B130" s="875"/>
      <x:c r="C130" s="875"/>
      <x:c r="D130" s="875"/>
      <x:c r="E130" s="875"/>
      <x:c r="F130" s="875"/>
      <x:c r="G130" s="875"/>
      <x:c r="H130" s="875"/>
      <x:c r="I130" s="875"/>
      <x:c r="J130" s="875"/>
      <x:c r="K130" s="875"/>
      <x:c r="L130" s="875"/>
      <x:c r="M130" s="875"/>
      <x:c r="N130" s="875"/>
      <x:c r="O130" s="875"/>
      <x:c r="P130" s="875"/>
      <x:c r="Q130" s="875"/>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875"/>
      <x:c r="B131" s="875"/>
      <x:c r="C131" s="875"/>
      <x:c r="D131" s="875"/>
      <x:c r="E131" s="875"/>
      <x:c r="F131" s="875"/>
      <x:c r="G131" s="875"/>
      <x:c r="H131" s="875"/>
      <x:c r="I131" s="875"/>
      <x:c r="J131" s="875"/>
      <x:c r="K131" s="875"/>
      <x:c r="L131" s="875"/>
      <x:c r="M131" s="875"/>
      <x:c r="N131" s="875"/>
      <x:c r="O131" s="875"/>
      <x:c r="P131" s="875"/>
      <x:c r="Q131" s="875"/>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875"/>
      <x:c r="B132" s="875"/>
      <x:c r="C132" s="875"/>
      <x:c r="D132" s="875"/>
      <x:c r="E132" s="875"/>
      <x:c r="F132" s="875"/>
      <x:c r="G132" s="875"/>
      <x:c r="H132" s="875"/>
      <x:c r="I132" s="875"/>
      <x:c r="J132" s="875"/>
      <x:c r="K132" s="875"/>
      <x:c r="L132" s="875"/>
      <x:c r="M132" s="875"/>
      <x:c r="N132" s="875"/>
      <x:c r="O132" s="875"/>
      <x:c r="P132" s="875"/>
      <x:c r="Q132" s="875"/>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875"/>
      <x:c r="B133" s="875"/>
      <x:c r="C133" s="875"/>
      <x:c r="D133" s="875"/>
      <x:c r="E133" s="875"/>
      <x:c r="F133" s="875"/>
      <x:c r="G133" s="875"/>
      <x:c r="H133" s="875"/>
      <x:c r="I133" s="875"/>
      <x:c r="J133" s="875"/>
      <x:c r="K133" s="875"/>
      <x:c r="L133" s="875"/>
      <x:c r="M133" s="875"/>
      <x:c r="N133" s="875"/>
      <x:c r="O133" s="875"/>
      <x:c r="P133" s="875"/>
      <x:c r="Q133" s="875"/>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875"/>
      <x:c r="B134" s="875"/>
      <x:c r="C134" s="875"/>
      <x:c r="D134" s="875"/>
      <x:c r="E134" s="875"/>
      <x:c r="F134" s="875"/>
      <x:c r="G134" s="875"/>
      <x:c r="H134" s="875"/>
      <x:c r="I134" s="875"/>
      <x:c r="J134" s="875"/>
      <x:c r="K134" s="875"/>
      <x:c r="L134" s="875"/>
      <x:c r="M134" s="875"/>
      <x:c r="N134" s="875"/>
      <x:c r="O134" s="875"/>
      <x:c r="P134" s="875"/>
      <x:c r="Q134" s="875"/>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875"/>
      <x:c r="B135" s="875"/>
      <x:c r="C135" s="875"/>
      <x:c r="D135" s="875"/>
      <x:c r="E135" s="875"/>
      <x:c r="F135" s="875"/>
      <x:c r="G135" s="875"/>
      <x:c r="H135" s="875"/>
      <x:c r="I135" s="875"/>
      <x:c r="J135" s="875"/>
      <x:c r="K135" s="875"/>
      <x:c r="L135" s="875"/>
      <x:c r="M135" s="875"/>
      <x:c r="N135" s="875"/>
      <x:c r="O135" s="875"/>
      <x:c r="P135" s="875"/>
      <x:c r="Q135" s="875"/>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875"/>
      <x:c r="B136" s="875"/>
      <x:c r="C136" s="875"/>
      <x:c r="D136" s="875"/>
      <x:c r="E136" s="875"/>
      <x:c r="F136" s="875"/>
      <x:c r="G136" s="875"/>
      <x:c r="H136" s="875"/>
      <x:c r="I136" s="875"/>
      <x:c r="J136" s="875"/>
      <x:c r="K136" s="875"/>
      <x:c r="L136" s="875"/>
      <x:c r="M136" s="875"/>
      <x:c r="N136" s="875"/>
      <x:c r="O136" s="875"/>
      <x:c r="P136" s="875"/>
      <x:c r="Q136" s="875"/>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875"/>
      <x:c r="B137" s="875"/>
      <x:c r="C137" s="875"/>
      <x:c r="D137" s="875"/>
      <x:c r="E137" s="875"/>
      <x:c r="F137" s="875"/>
      <x:c r="G137" s="875"/>
      <x:c r="H137" s="875"/>
      <x:c r="I137" s="875"/>
      <x:c r="J137" s="875"/>
      <x:c r="K137" s="875"/>
      <x:c r="L137" s="875"/>
      <x:c r="M137" s="875"/>
      <x:c r="N137" s="875"/>
      <x:c r="O137" s="875"/>
      <x:c r="P137" s="875"/>
      <x:c r="Q137" s="875"/>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875"/>
      <x:c r="B138" s="875"/>
      <x:c r="C138" s="875"/>
      <x:c r="D138" s="875"/>
      <x:c r="E138" s="875"/>
      <x:c r="F138" s="875"/>
      <x:c r="G138" s="875"/>
      <x:c r="H138" s="875"/>
      <x:c r="I138" s="875"/>
      <x:c r="J138" s="875"/>
      <x:c r="K138" s="875"/>
      <x:c r="L138" s="875"/>
      <x:c r="M138" s="875"/>
      <x:c r="N138" s="875"/>
      <x:c r="O138" s="875"/>
      <x:c r="P138" s="875"/>
      <x:c r="Q138" s="875"/>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875"/>
      <x:c r="B139" s="875"/>
      <x:c r="C139" s="875"/>
      <x:c r="D139" s="875"/>
      <x:c r="E139" s="875"/>
      <x:c r="F139" s="875"/>
      <x:c r="G139" s="875"/>
      <x:c r="H139" s="875"/>
      <x:c r="I139" s="875"/>
      <x:c r="J139" s="875"/>
      <x:c r="K139" s="875"/>
      <x:c r="L139" s="875"/>
      <x:c r="M139" s="875"/>
      <x:c r="N139" s="875"/>
      <x:c r="O139" s="875"/>
      <x:c r="P139" s="875"/>
      <x:c r="Q139" s="875"/>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875"/>
      <x:c r="B140" s="875"/>
      <x:c r="C140" s="875"/>
      <x:c r="D140" s="875"/>
      <x:c r="E140" s="875"/>
      <x:c r="F140" s="875"/>
      <x:c r="G140" s="875"/>
      <x:c r="H140" s="875"/>
      <x:c r="I140" s="875"/>
      <x:c r="J140" s="875"/>
      <x:c r="K140" s="875"/>
      <x:c r="L140" s="875"/>
      <x:c r="M140" s="875"/>
      <x:c r="N140" s="875"/>
      <x:c r="O140" s="875"/>
      <x:c r="P140" s="875"/>
      <x:c r="Q140" s="875"/>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875"/>
      <x:c r="B141" s="875"/>
      <x:c r="C141" s="875"/>
      <x:c r="D141" s="875"/>
      <x:c r="E141" s="875"/>
      <x:c r="F141" s="875"/>
      <x:c r="G141" s="875"/>
      <x:c r="H141" s="875"/>
      <x:c r="I141" s="875"/>
      <x:c r="J141" s="875"/>
      <x:c r="K141" s="875"/>
      <x:c r="L141" s="875"/>
      <x:c r="M141" s="875"/>
      <x:c r="N141" s="875"/>
      <x:c r="O141" s="875"/>
      <x:c r="P141" s="875"/>
      <x:c r="Q141" s="875"/>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875"/>
      <x:c r="B142" s="875"/>
      <x:c r="C142" s="875"/>
      <x:c r="D142" s="875"/>
      <x:c r="E142" s="875"/>
      <x:c r="F142" s="875"/>
      <x:c r="G142" s="875"/>
      <x:c r="H142" s="875"/>
      <x:c r="I142" s="875"/>
      <x:c r="J142" s="875"/>
      <x:c r="K142" s="875"/>
      <x:c r="L142" s="875"/>
      <x:c r="M142" s="875"/>
      <x:c r="N142" s="875"/>
      <x:c r="O142" s="875"/>
      <x:c r="P142" s="875"/>
      <x:c r="Q142" s="875"/>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875"/>
      <x:c r="B143" s="875"/>
      <x:c r="C143" s="875"/>
      <x:c r="D143" s="875"/>
      <x:c r="E143" s="875"/>
      <x:c r="F143" s="875"/>
      <x:c r="G143" s="875"/>
      <x:c r="H143" s="875"/>
      <x:c r="I143" s="875"/>
      <x:c r="J143" s="875"/>
      <x:c r="K143" s="875"/>
      <x:c r="L143" s="875"/>
      <x:c r="M143" s="875"/>
      <x:c r="N143" s="875"/>
      <x:c r="O143" s="875"/>
      <x:c r="P143" s="875"/>
      <x:c r="Q143" s="875"/>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875"/>
      <x:c r="B144" s="875"/>
      <x:c r="C144" s="875"/>
      <x:c r="D144" s="875"/>
      <x:c r="E144" s="875"/>
      <x:c r="F144" s="875"/>
      <x:c r="G144" s="875"/>
      <x:c r="H144" s="875"/>
      <x:c r="I144" s="875"/>
      <x:c r="J144" s="875"/>
      <x:c r="K144" s="875"/>
      <x:c r="L144" s="875"/>
      <x:c r="M144" s="875"/>
      <x:c r="N144" s="875"/>
      <x:c r="O144" s="875"/>
      <x:c r="P144" s="875"/>
      <x:c r="Q144" s="875"/>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875"/>
      <x:c r="B145" s="875"/>
      <x:c r="C145" s="875"/>
      <x:c r="D145" s="875"/>
      <x:c r="E145" s="875"/>
      <x:c r="F145" s="875"/>
      <x:c r="G145" s="875"/>
      <x:c r="H145" s="875"/>
      <x:c r="I145" s="875"/>
      <x:c r="J145" s="875"/>
      <x:c r="K145" s="875"/>
      <x:c r="L145" s="875"/>
      <x:c r="M145" s="875"/>
      <x:c r="N145" s="875"/>
      <x:c r="O145" s="875"/>
      <x:c r="P145" s="875"/>
      <x:c r="Q145" s="875"/>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875"/>
      <x:c r="B146" s="875"/>
      <x:c r="C146" s="875"/>
      <x:c r="D146" s="875"/>
      <x:c r="E146" s="875"/>
      <x:c r="F146" s="875"/>
      <x:c r="G146" s="875"/>
      <x:c r="H146" s="875"/>
      <x:c r="I146" s="875"/>
      <x:c r="J146" s="875"/>
      <x:c r="K146" s="875"/>
      <x:c r="L146" s="875"/>
      <x:c r="M146" s="875"/>
      <x:c r="N146" s="875"/>
      <x:c r="O146" s="875"/>
      <x:c r="P146" s="875"/>
      <x:c r="Q146" s="875"/>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875"/>
      <x:c r="B147" s="875"/>
      <x:c r="C147" s="875"/>
      <x:c r="D147" s="875"/>
      <x:c r="E147" s="875"/>
      <x:c r="F147" s="875"/>
      <x:c r="G147" s="875"/>
      <x:c r="H147" s="875"/>
      <x:c r="I147" s="875"/>
      <x:c r="J147" s="875"/>
      <x:c r="K147" s="875"/>
      <x:c r="L147" s="875"/>
      <x:c r="M147" s="875"/>
      <x:c r="N147" s="875"/>
      <x:c r="O147" s="875"/>
      <x:c r="P147" s="875"/>
      <x:c r="Q147" s="875"/>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875"/>
      <x:c r="B148" s="875"/>
      <x:c r="C148" s="875"/>
      <x:c r="D148" s="875"/>
      <x:c r="E148" s="875"/>
      <x:c r="F148" s="875"/>
      <x:c r="G148" s="875"/>
      <x:c r="H148" s="875"/>
      <x:c r="I148" s="875"/>
      <x:c r="J148" s="875"/>
      <x:c r="K148" s="875"/>
      <x:c r="L148" s="875"/>
      <x:c r="M148" s="875"/>
      <x:c r="N148" s="875"/>
      <x:c r="O148" s="875"/>
      <x:c r="P148" s="875"/>
      <x:c r="Q148" s="875"/>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875"/>
      <x:c r="B149" s="875"/>
      <x:c r="C149" s="875"/>
      <x:c r="D149" s="875"/>
      <x:c r="E149" s="875"/>
      <x:c r="F149" s="875"/>
      <x:c r="G149" s="875"/>
      <x:c r="H149" s="875"/>
      <x:c r="I149" s="875"/>
      <x:c r="J149" s="875"/>
      <x:c r="K149" s="875"/>
      <x:c r="L149" s="875"/>
      <x:c r="M149" s="875"/>
      <x:c r="N149" s="875"/>
      <x:c r="O149" s="875"/>
      <x:c r="P149" s="875"/>
      <x:c r="Q149" s="875"/>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875"/>
      <x:c r="B150" s="875"/>
      <x:c r="C150" s="875"/>
      <x:c r="D150" s="875"/>
      <x:c r="E150" s="875"/>
      <x:c r="F150" s="875"/>
      <x:c r="G150" s="875"/>
      <x:c r="H150" s="875"/>
      <x:c r="I150" s="875"/>
      <x:c r="J150" s="875"/>
      <x:c r="K150" s="875"/>
      <x:c r="L150" s="875"/>
      <x:c r="M150" s="875"/>
      <x:c r="N150" s="875"/>
      <x:c r="O150" s="875"/>
      <x:c r="P150" s="875"/>
      <x:c r="Q150" s="875"/>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875"/>
      <x:c r="B151" s="875"/>
      <x:c r="C151" s="875"/>
      <x:c r="D151" s="875"/>
      <x:c r="E151" s="875"/>
      <x:c r="F151" s="875"/>
      <x:c r="G151" s="875"/>
      <x:c r="H151" s="875"/>
      <x:c r="I151" s="875"/>
      <x:c r="J151" s="875"/>
      <x:c r="K151" s="875"/>
      <x:c r="L151" s="875"/>
      <x:c r="M151" s="875"/>
      <x:c r="N151" s="875"/>
      <x:c r="O151" s="875"/>
      <x:c r="P151" s="875"/>
      <x:c r="Q151" s="875"/>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875"/>
      <x:c r="B152" s="875"/>
      <x:c r="C152" s="875"/>
      <x:c r="D152" s="875"/>
      <x:c r="E152" s="875"/>
      <x:c r="F152" s="875"/>
      <x:c r="G152" s="875"/>
      <x:c r="H152" s="875"/>
      <x:c r="I152" s="875"/>
      <x:c r="J152" s="875"/>
      <x:c r="K152" s="875"/>
      <x:c r="L152" s="875"/>
      <x:c r="M152" s="875"/>
      <x:c r="N152" s="875"/>
      <x:c r="O152" s="875"/>
      <x:c r="P152" s="875"/>
      <x:c r="Q152" s="875"/>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875"/>
      <x:c r="B153" s="875"/>
      <x:c r="C153" s="875"/>
      <x:c r="D153" s="875"/>
      <x:c r="E153" s="875"/>
      <x:c r="F153" s="875"/>
      <x:c r="G153" s="875"/>
      <x:c r="H153" s="875"/>
      <x:c r="I153" s="875"/>
      <x:c r="J153" s="875"/>
      <x:c r="K153" s="875"/>
      <x:c r="L153" s="875"/>
      <x:c r="M153" s="875"/>
      <x:c r="N153" s="875"/>
      <x:c r="O153" s="875"/>
      <x:c r="P153" s="875"/>
      <x:c r="Q153" s="875"/>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875"/>
      <x:c r="B154" s="875"/>
      <x:c r="C154" s="875"/>
      <x:c r="D154" s="875"/>
      <x:c r="E154" s="875"/>
      <x:c r="F154" s="875"/>
      <x:c r="G154" s="875"/>
      <x:c r="H154" s="875"/>
      <x:c r="I154" s="875"/>
      <x:c r="J154" s="875"/>
      <x:c r="K154" s="875"/>
      <x:c r="L154" s="875"/>
      <x:c r="M154" s="875"/>
      <x:c r="N154" s="875"/>
      <x:c r="O154" s="875"/>
      <x:c r="P154" s="875"/>
      <x:c r="Q154" s="875"/>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875"/>
      <x:c r="B155" s="875"/>
      <x:c r="C155" s="875"/>
      <x:c r="D155" s="875"/>
      <x:c r="E155" s="875"/>
      <x:c r="F155" s="875"/>
      <x:c r="G155" s="875"/>
      <x:c r="H155" s="875"/>
      <x:c r="I155" s="875"/>
      <x:c r="J155" s="875"/>
      <x:c r="K155" s="875"/>
      <x:c r="L155" s="875"/>
      <x:c r="M155" s="875"/>
      <x:c r="N155" s="875"/>
      <x:c r="O155" s="875"/>
      <x:c r="P155" s="875"/>
      <x:c r="Q155" s="875"/>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875"/>
      <x:c r="B156" s="875"/>
      <x:c r="C156" s="875"/>
      <x:c r="D156" s="875"/>
      <x:c r="E156" s="875"/>
      <x:c r="F156" s="875"/>
      <x:c r="G156" s="875"/>
      <x:c r="H156" s="875"/>
      <x:c r="I156" s="875"/>
      <x:c r="J156" s="875"/>
      <x:c r="K156" s="875"/>
      <x:c r="L156" s="875"/>
      <x:c r="M156" s="875"/>
      <x:c r="N156" s="875"/>
      <x:c r="O156" s="875"/>
      <x:c r="P156" s="875"/>
      <x:c r="Q156" s="875"/>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875"/>
      <x:c r="B157" s="875"/>
      <x:c r="C157" s="875"/>
      <x:c r="D157" s="875"/>
      <x:c r="E157" s="875"/>
      <x:c r="F157" s="875"/>
      <x:c r="G157" s="875"/>
      <x:c r="H157" s="875"/>
      <x:c r="I157" s="875"/>
      <x:c r="J157" s="875"/>
      <x:c r="K157" s="875"/>
      <x:c r="L157" s="875"/>
      <x:c r="M157" s="875"/>
      <x:c r="N157" s="875"/>
      <x:c r="O157" s="875"/>
      <x:c r="P157" s="875"/>
      <x:c r="Q157" s="875"/>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875"/>
      <x:c r="B158" s="875"/>
      <x:c r="C158" s="875"/>
      <x:c r="D158" s="875"/>
      <x:c r="E158" s="875"/>
      <x:c r="F158" s="875"/>
      <x:c r="G158" s="875"/>
      <x:c r="H158" s="875"/>
      <x:c r="I158" s="875"/>
      <x:c r="J158" s="875"/>
      <x:c r="K158" s="875"/>
      <x:c r="L158" s="875"/>
      <x:c r="M158" s="875"/>
      <x:c r="N158" s="875"/>
      <x:c r="O158" s="875"/>
      <x:c r="P158" s="875"/>
      <x:c r="Q158" s="875"/>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875"/>
      <x:c r="B159" s="875"/>
      <x:c r="C159" s="875"/>
      <x:c r="D159" s="875"/>
      <x:c r="E159" s="875"/>
      <x:c r="F159" s="875"/>
      <x:c r="G159" s="875"/>
      <x:c r="H159" s="875"/>
      <x:c r="I159" s="875"/>
      <x:c r="J159" s="875"/>
      <x:c r="K159" s="875"/>
      <x:c r="L159" s="875"/>
      <x:c r="M159" s="875"/>
      <x:c r="N159" s="875"/>
      <x:c r="O159" s="875"/>
      <x:c r="P159" s="875"/>
      <x:c r="Q159" s="875"/>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875"/>
      <x:c r="B160" s="875"/>
      <x:c r="C160" s="875"/>
      <x:c r="D160" s="875"/>
      <x:c r="E160" s="875"/>
      <x:c r="F160" s="875"/>
      <x:c r="G160" s="875"/>
      <x:c r="H160" s="875"/>
      <x:c r="I160" s="875"/>
      <x:c r="J160" s="875"/>
      <x:c r="K160" s="875"/>
      <x:c r="L160" s="875"/>
      <x:c r="M160" s="875"/>
      <x:c r="N160" s="875"/>
      <x:c r="O160" s="875"/>
      <x:c r="P160" s="875"/>
      <x:c r="Q160" s="875"/>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sheetData>
  <x:mergeCells>
    <x:mergeCell ref="A1:C2"/>
    <x:mergeCell ref="D1:Q1"/>
    <x:mergeCell ref="D2:Q2"/>
    <x:mergeCell ref="A4:C4"/>
    <x:mergeCell ref="A5:C7"/>
    <x:mergeCell ref="A8:C8"/>
    <x:mergeCell ref="D4:G4"/>
    <x:mergeCell ref="D5:G7"/>
    <x:mergeCell ref="D8:G8"/>
    <x:mergeCell ref="H4:K4"/>
    <x:mergeCell ref="H5:K7"/>
    <x:mergeCell ref="H8:K8"/>
    <x:mergeCell ref="L4:N4"/>
    <x:mergeCell ref="L5:N7"/>
    <x:mergeCell ref="L8:N8"/>
    <x:mergeCell ref="O4:Q4"/>
    <x:mergeCell ref="O5:Q7"/>
    <x:mergeCell ref="O8:Q8"/>
    <x:mergeCell ref="A10:H11"/>
    <x:mergeCell ref="J10:Q11"/>
    <x:mergeCell ref="A31:H32"/>
    <x:mergeCell ref="J31:Q32"/>
    <x:mergeCell ref="J33:Q39"/>
    <x:mergeCell ref="A42:Q44"/>
  </x:mergeCells>
  <x:pageMargins left="0.7" right="0.7" top="0.75" bottom="0.75" header="0.3" footer="0.3"/>
  <x:drawing xmlns:r="http://schemas.openxmlformats.org/officeDocument/2006/relationships" r:id="Raaec84b7d4174151"/>
</x:worksheet>
</file>

<file path=xl/worksheets/sheet3.xml><?xml version="1.0" encoding="utf-8"?>
<x:worksheet xmlns:x="http://schemas.openxmlformats.org/spreadsheetml/2006/main">
  <x:sheetViews>
    <x:sheetView showGridLines="0" workbookViewId="0"/>
  </x:sheetViews>
  <x:sheetFormatPr defaultRowHeight="15"/>
  <x:cols>
    <x:col min="1" max="1" width="4.670000076293945" hidden="0" customWidth="1"/>
    <x:col min="2" max="2" width="5.78000020980835" hidden="0" customWidth="1"/>
    <x:col min="3" max="3" width="6" hidden="0" customWidth="1"/>
    <x:col min="4" max="4" width="8" hidden="0" customWidth="1"/>
    <x:col min="5" max="5" width="8" hidden="0" customWidth="1"/>
    <x:col min="6" max="6" width="8" hidden="0" customWidth="1"/>
    <x:col min="7" max="7" width="8" hidden="0" customWidth="1"/>
    <x:col min="8" max="8" width="2.7799999713897705" hidden="0" customWidth="1"/>
    <x:col min="9" max="9" width="2.7799999713897705" hidden="0" customWidth="1"/>
    <x:col min="10" max="10" width="2.7799999713897705" hidden="0" customWidth="1"/>
    <x:col min="11" max="11" width="2.7799999713897705" hidden="0" customWidth="1"/>
    <x:col min="12" max="12" width="2.7799999713897705" hidden="0" customWidth="1"/>
    <x:col min="13" max="13" width="2.7799999713897705" hidden="0" customWidth="1"/>
    <x:col min="14" max="14" width="2.7799999713897705" hidden="0" customWidth="1"/>
    <x:col min="15" max="15" width="2.7799999713897705" hidden="0" customWidth="1"/>
    <x:col min="16" max="16" width="2.7799999713897705" hidden="0" customWidth="1"/>
    <x:col min="17" max="17" width="2.7799999713897705" hidden="0" customWidth="1"/>
    <x:col min="18" max="18" width="2.7799999713897705" hidden="0" customWidth="1"/>
    <x:col min="19" max="19" width="2.7799999713897705" hidden="0" customWidth="1"/>
    <x:col min="20" max="20" width="2.7799999713897705" hidden="0" customWidth="1"/>
    <x:col min="21" max="21" width="2.7799999713897705" hidden="0" customWidth="1"/>
    <x:col min="22" max="22" width="2.7799999713897705" hidden="0" customWidth="1"/>
    <x:col min="23" max="23" width="2.7799999713897705" hidden="0" customWidth="1"/>
    <x:col min="24" max="24" width="2.7799999713897705" hidden="0" customWidth="1"/>
    <x:col min="25" max="25" width="2.7799999713897705" hidden="0" customWidth="1"/>
    <x:col min="26" max="26" width="2.7799999713897705" hidden="0" customWidth="1"/>
    <x:col min="27" max="27" width="2.7799999713897705" hidden="0" customWidth="1"/>
    <x:col min="28" max="28" width="2.7799999713897705" hidden="0" customWidth="1"/>
    <x:col min="29" max="29" width="2.7799999713897705" hidden="0" customWidth="1"/>
    <x:col min="30" max="30" width="2.7799999713897705" hidden="0" customWidth="1"/>
    <x:col min="31" max="31" width="2.7799999713897705" hidden="0" customWidth="1"/>
    <x:col min="32" max="32" width="2.7799999713897705" hidden="0" customWidth="1"/>
    <x:col min="33" max="33" width="2.7799999713897705" hidden="0" customWidth="1"/>
    <x:col min="34" max="34" width="2.7799999713897705" hidden="0" customWidth="1"/>
    <x:col min="35" max="35" width="2.7799999713897705" hidden="0" customWidth="1"/>
    <x:col min="36" max="36" width="2.7799999713897705" hidden="0" customWidth="1"/>
    <x:col min="37" max="37" width="2.7799999713897705" hidden="0" customWidth="1"/>
    <x:col min="38" max="38" width="2.7799999713897705" hidden="0" customWidth="1"/>
    <x:col min="39" max="39" width="2.7799999713897705" hidden="0" customWidth="1"/>
  </x:cols>
  <x:sheetData>
    <x:row r="1" ht="24" customHeight="1">
      <x:c r="A1" s="42" t="str">
        <x:f>IF('_CONFIG'!$B$2="pt-BR","PROGRAMAÇÃO","SCHEDULE")</x:f>
        <x:v>SCHEDULE</x:v>
      </x:c>
      <x:c r="B1" s="42"/>
      <x:c r="C1" s="42"/>
      <x:c r="D1" s="44" t="str">
        <x:f>IF('_CONFIG'!$B$2="pt-BR","A sequência é a decisão.","The sequence is the decision.")</x:f>
        <x:v>The sequence is the decision.</x:v>
      </x:c>
      <x:c r="E1" s="44"/>
      <x:c r="F1" s="44"/>
      <x:c r="G1" s="44"/>
      <x:c r="H1" s="44"/>
      <x:c r="I1" s="44"/>
      <x:c r="J1" s="44"/>
      <x:c r="K1" s="44"/>
      <x:c r="L1" s="44"/>
      <x:c r="M1" s="44"/>
      <x:c r="N1" s="44"/>
      <x:c r="O1" s="44"/>
      <x:c r="P1" s="44"/>
      <x:c r="Q1" s="44"/>
      <x:c r="R1" s="44"/>
      <x:c r="S1" s="44"/>
      <x:c r="T1" s="44"/>
      <x:c r="U1" s="44"/>
      <x:c r="V1" s="44"/>
      <x:c r="W1" s="44"/>
      <x:c r="X1" s="44"/>
      <x:c r="Y1" s="44"/>
      <x:c r="Z1" s="44"/>
      <x:c r="AA1" s="44"/>
      <x:c r="AB1" s="44"/>
      <x:c r="AC1" s="44"/>
      <x:c r="AD1" s="44"/>
      <x:c r="AE1" s="44"/>
      <x:c r="AF1" s="44"/>
      <x:c r="AG1" s="44"/>
      <x:c r="AH1" s="44"/>
      <x:c r="AI1" s="44"/>
      <x:c r="AJ1" s="44"/>
      <x:c r="AK1" s="44"/>
      <x:c r="AL1" s="44"/>
      <x:c r="AM1" s="44"/>
    </x:row>
    <x:row r="2" ht="19.5" customHeight="1">
      <x:c r="A2" s="42"/>
      <x:c r="B2" s="42"/>
      <x:c r="C2" s="42"/>
      <x:c r="D2" s="45" t="str">
        <x:f>IF('_CONFIG'!$B$2="pt-BR","Gantt compacto e trilha de auditoria completa por job","Compact Gantt plus a complete job-level audit trail")</x:f>
        <x:v>Compact Gantt plus a complete job-level audit trail</x:v>
      </x:c>
      <x:c r="E2" s="45"/>
      <x:c r="F2" s="45"/>
      <x:c r="G2" s="45"/>
      <x:c r="H2" s="45"/>
      <x:c r="I2" s="45"/>
      <x:c r="J2" s="45"/>
      <x:c r="K2" s="45"/>
      <x:c r="L2" s="45"/>
      <x:c r="M2" s="45"/>
      <x:c r="N2" s="45"/>
      <x:c r="O2" s="45"/>
      <x:c r="P2" s="45"/>
      <x:c r="Q2" s="45"/>
      <x:c r="R2" s="45"/>
      <x:c r="S2" s="45"/>
      <x:c r="T2" s="45"/>
      <x:c r="U2" s="45"/>
      <x:c r="V2" s="45"/>
      <x:c r="W2" s="45"/>
      <x:c r="X2" s="45"/>
      <x:c r="Y2" s="45"/>
      <x:c r="Z2" s="45"/>
      <x:c r="AA2" s="45"/>
      <x:c r="AB2" s="45"/>
      <x:c r="AC2" s="45"/>
      <x:c r="AD2" s="45"/>
      <x:c r="AE2" s="45"/>
      <x:c r="AF2" s="45"/>
      <x:c r="AG2" s="45"/>
      <x:c r="AH2" s="45"/>
      <x:c r="AI2" s="45"/>
      <x:c r="AJ2" s="45"/>
      <x:c r="AK2" s="45"/>
      <x:c r="AL2" s="45"/>
      <x:c r="AM2" s="45"/>
    </x:row>
    <x:row r="3">
      <x:c r="A3" s="38"/>
      <x:c r="B3" s="38"/>
      <x:c r="C3" s="38"/>
      <x:c r="D3" s="38"/>
      <x:c r="E3" s="38"/>
      <x:c r="F3" s="38"/>
      <x:c r="G3" s="38"/>
      <x:c r="H3" s="38"/>
      <x:c r="I3" s="38"/>
      <x:c r="J3" s="38"/>
      <x:c r="K3" s="38"/>
      <x:c r="L3" s="38"/>
      <x:c r="M3" s="38"/>
      <x:c r="N3" s="38"/>
      <x:c r="O3" s="38"/>
      <x:c r="P3" s="38"/>
      <x:c r="Q3" s="38"/>
      <x:c r="R3" s="38"/>
      <x:c r="S3" s="38"/>
      <x:c r="T3" s="38"/>
      <x:c r="U3" s="38"/>
      <x:c r="V3" s="38"/>
      <x:c r="W3" s="38"/>
      <x:c r="X3" s="38"/>
      <x:c r="Y3" s="38"/>
      <x:c r="Z3" s="38"/>
      <x:c r="AA3" s="38"/>
      <x:c r="AB3" s="38"/>
      <x:c r="AC3" s="38"/>
      <x:c r="AD3" s="38"/>
      <x:c r="AE3" s="38"/>
      <x:c r="AF3" s="38"/>
      <x:c r="AG3" s="38"/>
      <x:c r="AH3" s="38"/>
      <x:c r="AI3" s="38"/>
      <x:c r="AJ3" s="38"/>
      <x:c r="AK3" s="38"/>
      <x:c r="AL3" s="38"/>
      <x:c r="AM3" s="38"/>
    </x:row>
    <x:row r="4">
      <x:c r="A4" s="497" t="str">
        <x:f>IF('_CONFIG'!$B$2="pt-BR","Leia da esquerda para a direita: cada linha representa um job programado. Cinza indica preparação; as cores indicam o processamento por família. A visualização compacta mostra as primeiras 20 posições; a tabela completa e verificada começa abaixo.","Read left to right: each row is one scheduled job. Gray marks setup; color marks processing by family. The compact view shows the first 20 positions; the full verified table begins below.")</x:f>
        <x:v>Read left to right: each row is one scheduled job. Gray marks setup; color marks processing by family. The compact view shows the first 20 positions; the full verified table begins below.</x:v>
      </x:c>
      <x:c r="B4" s="498"/>
      <x:c r="C4" s="498"/>
      <x:c r="D4" s="498"/>
      <x:c r="E4" s="498"/>
      <x:c r="F4" s="498"/>
      <x:c r="G4" s="498"/>
      <x:c r="H4" s="498"/>
      <x:c r="I4" s="498"/>
      <x:c r="J4" s="498"/>
      <x:c r="K4" s="498"/>
      <x:c r="L4" s="498"/>
      <x:c r="M4" s="498"/>
      <x:c r="N4" s="498"/>
      <x:c r="O4" s="498"/>
      <x:c r="P4" s="498"/>
      <x:c r="Q4" s="498"/>
      <x:c r="R4" s="498"/>
      <x:c r="S4" s="498"/>
      <x:c r="T4" s="498"/>
      <x:c r="U4" s="498"/>
      <x:c r="V4" s="498"/>
      <x:c r="W4" s="498"/>
      <x:c r="X4" s="498"/>
      <x:c r="Y4" s="498"/>
      <x:c r="Z4" s="498"/>
      <x:c r="AA4" s="498"/>
      <x:c r="AB4" s="498"/>
      <x:c r="AC4" s="498"/>
      <x:c r="AD4" s="498"/>
      <x:c r="AE4" s="498"/>
      <x:c r="AF4" s="498"/>
      <x:c r="AG4" s="498"/>
      <x:c r="AH4" s="498"/>
      <x:c r="AI4" s="498"/>
      <x:c r="AJ4" s="498"/>
      <x:c r="AK4" s="498"/>
      <x:c r="AL4" s="498"/>
      <x:c r="AM4" s="499"/>
    </x:row>
    <x:row r="5">
      <x:c r="A5" s="500"/>
      <x:c r="B5" s="501"/>
      <x:c r="C5" s="501"/>
      <x:c r="D5" s="501"/>
      <x:c r="E5" s="501"/>
      <x:c r="F5" s="501"/>
      <x:c r="G5" s="501"/>
      <x:c r="H5" s="501"/>
      <x:c r="I5" s="501"/>
      <x:c r="J5" s="501"/>
      <x:c r="K5" s="501"/>
      <x:c r="L5" s="501"/>
      <x:c r="M5" s="501"/>
      <x:c r="N5" s="501"/>
      <x:c r="O5" s="501"/>
      <x:c r="P5" s="501"/>
      <x:c r="Q5" s="501"/>
      <x:c r="R5" s="501"/>
      <x:c r="S5" s="501"/>
      <x:c r="T5" s="501"/>
      <x:c r="U5" s="501"/>
      <x:c r="V5" s="501"/>
      <x:c r="W5" s="501"/>
      <x:c r="X5" s="501"/>
      <x:c r="Y5" s="501"/>
      <x:c r="Z5" s="501"/>
      <x:c r="AA5" s="501"/>
      <x:c r="AB5" s="501"/>
      <x:c r="AC5" s="501"/>
      <x:c r="AD5" s="501"/>
      <x:c r="AE5" s="501"/>
      <x:c r="AF5" s="501"/>
      <x:c r="AG5" s="501"/>
      <x:c r="AH5" s="501"/>
      <x:c r="AI5" s="501"/>
      <x:c r="AJ5" s="501"/>
      <x:c r="AK5" s="501"/>
      <x:c r="AL5" s="501"/>
      <x:c r="AM5" s="502"/>
    </x:row>
    <x:row r="6">
      <x:c r="A6" s="38"/>
      <x:c r="B6" s="38"/>
      <x:c r="C6" s="38"/>
      <x:c r="D6" s="38"/>
      <x:c r="E6" s="38"/>
      <x:c r="F6" s="38"/>
      <x:c r="G6" s="38"/>
      <x:c r="H6" s="38"/>
      <x:c r="I6" s="38"/>
      <x:c r="J6" s="38"/>
      <x:c r="K6" s="38"/>
      <x:c r="L6" s="38"/>
      <x:c r="M6" s="38"/>
      <x:c r="N6" s="38"/>
      <x:c r="O6" s="38"/>
      <x:c r="P6" s="38"/>
      <x:c r="Q6" s="38"/>
      <x:c r="R6" s="38"/>
      <x:c r="S6" s="38"/>
      <x:c r="T6" s="38"/>
      <x:c r="U6" s="38"/>
      <x:c r="V6" s="38"/>
      <x:c r="W6" s="38"/>
      <x:c r="X6" s="38"/>
      <x:c r="Y6" s="38"/>
      <x:c r="Z6" s="38"/>
      <x:c r="AA6" s="38"/>
      <x:c r="AB6" s="38"/>
      <x:c r="AC6" s="38"/>
      <x:c r="AD6" s="38"/>
      <x:c r="AE6" s="38"/>
      <x:c r="AF6" s="38"/>
      <x:c r="AG6" s="38"/>
      <x:c r="AH6" s="38"/>
      <x:c r="AI6" s="38"/>
      <x:c r="AJ6" s="38"/>
      <x:c r="AK6" s="38"/>
      <x:c r="AL6" s="38"/>
      <x:c r="AM6" s="38"/>
    </x:row>
    <x:row r="7" ht="43.5" customHeight="1">
      <x:c r="A7" s="478" t="str">
        <x:f>IF('_CONFIG'!$B$2="pt-BR","#","#")</x:f>
        <x:v>#</x:v>
      </x:c>
      <x:c r="B7" s="479" t="str">
        <x:f>IF('_CONFIG'!$B$2="pt-BR","JOB","JOB")</x:f>
        <x:v>JOB</x:v>
      </x:c>
      <x:c r="C7" s="479" t="str">
        <x:f>IF('_CONFIG'!$B$2="pt-BR","FAMÍLIA","FAMILY")</x:f>
        <x:v>FAMILY</x:v>
      </x:c>
      <x:c r="D7" s="479" t="str">
        <x:f>IF('_CONFIG'!$B$2="pt-BR","PREPARAÇÃO","SETUP")</x:f>
        <x:v>SETUP</x:v>
      </x:c>
      <x:c r="E7" s="479" t="str">
        <x:f>IF('_CONFIG'!$B$2="pt-BR","INÍCIO","START")</x:f>
        <x:v>START</x:v>
      </x:c>
      <x:c r="F7" s="479" t="str">
        <x:f>IF('_CONFIG'!$B$2="pt-BR","FIM","FINISH")</x:f>
        <x:v>FINISH</x:v>
      </x:c>
      <x:c r="G7" s="480" t="str">
        <x:f>IF('_CONFIG'!$B$2="pt-BR","PRAZO","DUE")</x:f>
        <x:v>DUE</x:v>
      </x:c>
      <x:c r="H7" s="517" t="n">
        <x:f>IF(MAX('_SCHEDULE'!$L$2:$L$21)=0,"",ROUND(0*MAX('_SCHEDULE'!$L$2:$L$21)/('_STATE'!$B$5-1),0))</x:f>
        <x:v>0</x:v>
      </x:c>
      <x:c r="I7" s="518" t="n">
        <x:f>IF(MAX('_SCHEDULE'!$L$2:$L$21)=0,"",ROUND(1*MAX('_SCHEDULE'!$L$2:$L$21)/('_STATE'!$B$5-1),0))</x:f>
        <x:v>51</x:v>
      </x:c>
      <x:c r="J7" s="518" t="n">
        <x:f>IF(MAX('_SCHEDULE'!$L$2:$L$21)=0,"",ROUND(2*MAX('_SCHEDULE'!$L$2:$L$21)/('_STATE'!$B$5-1),0))</x:f>
        <x:v>102</x:v>
      </x:c>
      <x:c r="K7" s="518" t="n">
        <x:f>IF(MAX('_SCHEDULE'!$L$2:$L$21)=0,"",ROUND(3*MAX('_SCHEDULE'!$L$2:$L$21)/('_STATE'!$B$5-1),0))</x:f>
        <x:v>153</x:v>
      </x:c>
      <x:c r="L7" s="518" t="n">
        <x:f>IF(MAX('_SCHEDULE'!$L$2:$L$21)=0,"",ROUND(4*MAX('_SCHEDULE'!$L$2:$L$21)/('_STATE'!$B$5-1),0))</x:f>
        <x:v>204</x:v>
      </x:c>
      <x:c r="M7" s="518" t="n">
        <x:f>IF(MAX('_SCHEDULE'!$L$2:$L$21)=0,"",ROUND(5*MAX('_SCHEDULE'!$L$2:$L$21)/('_STATE'!$B$5-1),0))</x:f>
        <x:v>255</x:v>
      </x:c>
      <x:c r="N7" s="518" t="n">
        <x:f>IF(MAX('_SCHEDULE'!$L$2:$L$21)=0,"",ROUND(6*MAX('_SCHEDULE'!$L$2:$L$21)/('_STATE'!$B$5-1),0))</x:f>
        <x:v>306</x:v>
      </x:c>
      <x:c r="O7" s="518" t="n">
        <x:f>IF(MAX('_SCHEDULE'!$L$2:$L$21)=0,"",ROUND(7*MAX('_SCHEDULE'!$L$2:$L$21)/('_STATE'!$B$5-1),0))</x:f>
        <x:v>357</x:v>
      </x:c>
      <x:c r="P7" s="518" t="n">
        <x:f>IF(MAX('_SCHEDULE'!$L$2:$L$21)=0,"",ROUND(8*MAX('_SCHEDULE'!$L$2:$L$21)/('_STATE'!$B$5-1),0))</x:f>
        <x:v>409</x:v>
      </x:c>
      <x:c r="Q7" s="518" t="n">
        <x:f>IF(MAX('_SCHEDULE'!$L$2:$L$21)=0,"",ROUND(9*MAX('_SCHEDULE'!$L$2:$L$21)/('_STATE'!$B$5-1),0))</x:f>
        <x:v>460</x:v>
      </x:c>
      <x:c r="R7" s="518" t="n">
        <x:f>IF(MAX('_SCHEDULE'!$L$2:$L$21)=0,"",ROUND(10*MAX('_SCHEDULE'!$L$2:$L$21)/('_STATE'!$B$5-1),0))</x:f>
        <x:v>511</x:v>
      </x:c>
      <x:c r="S7" s="518" t="n">
        <x:f>IF(MAX('_SCHEDULE'!$L$2:$L$21)=0,"",ROUND(11*MAX('_SCHEDULE'!$L$2:$L$21)/('_STATE'!$B$5-1),0))</x:f>
        <x:v>562</x:v>
      </x:c>
      <x:c r="T7" s="518" t="n">
        <x:f>IF(MAX('_SCHEDULE'!$L$2:$L$21)=0,"",ROUND(12*MAX('_SCHEDULE'!$L$2:$L$21)/('_STATE'!$B$5-1),0))</x:f>
        <x:v>613</x:v>
      </x:c>
      <x:c r="U7" s="518" t="n">
        <x:f>IF(MAX('_SCHEDULE'!$L$2:$L$21)=0,"",ROUND(13*MAX('_SCHEDULE'!$L$2:$L$21)/('_STATE'!$B$5-1),0))</x:f>
        <x:v>664</x:v>
      </x:c>
      <x:c r="V7" s="518" t="n">
        <x:f>IF(MAX('_SCHEDULE'!$L$2:$L$21)=0,"",ROUND(14*MAX('_SCHEDULE'!$L$2:$L$21)/('_STATE'!$B$5-1),0))</x:f>
        <x:v>715</x:v>
      </x:c>
      <x:c r="W7" s="518" t="n">
        <x:f>IF(MAX('_SCHEDULE'!$L$2:$L$21)=0,"",ROUND(15*MAX('_SCHEDULE'!$L$2:$L$21)/('_STATE'!$B$5-1),0))</x:f>
        <x:v>766</x:v>
      </x:c>
      <x:c r="X7" s="518" t="n">
        <x:f>IF(MAX('_SCHEDULE'!$L$2:$L$21)=0,"",ROUND(16*MAX('_SCHEDULE'!$L$2:$L$21)/('_STATE'!$B$5-1),0))</x:f>
        <x:v>817</x:v>
      </x:c>
      <x:c r="Y7" s="518" t="n">
        <x:f>IF(MAX('_SCHEDULE'!$L$2:$L$21)=0,"",ROUND(17*MAX('_SCHEDULE'!$L$2:$L$21)/('_STATE'!$B$5-1),0))</x:f>
        <x:v>868</x:v>
      </x:c>
      <x:c r="Z7" s="518" t="n">
        <x:f>IF(MAX('_SCHEDULE'!$L$2:$L$21)=0,"",ROUND(18*MAX('_SCHEDULE'!$L$2:$L$21)/('_STATE'!$B$5-1),0))</x:f>
        <x:v>919</x:v>
      </x:c>
      <x:c r="AA7" s="518" t="n">
        <x:f>IF(MAX('_SCHEDULE'!$L$2:$L$21)=0,"",ROUND(19*MAX('_SCHEDULE'!$L$2:$L$21)/('_STATE'!$B$5-1),0))</x:f>
        <x:v>970</x:v>
      </x:c>
      <x:c r="AB7" s="518" t="n">
        <x:f>IF(MAX('_SCHEDULE'!$L$2:$L$21)=0,"",ROUND(20*MAX('_SCHEDULE'!$L$2:$L$21)/('_STATE'!$B$5-1),0))</x:f>
        <x:v>1021</x:v>
      </x:c>
      <x:c r="AC7" s="518" t="n">
        <x:f>IF(MAX('_SCHEDULE'!$L$2:$L$21)=0,"",ROUND(21*MAX('_SCHEDULE'!$L$2:$L$21)/('_STATE'!$B$5-1),0))</x:f>
        <x:v>1072</x:v>
      </x:c>
      <x:c r="AD7" s="518" t="n">
        <x:f>IF(MAX('_SCHEDULE'!$L$2:$L$21)=0,"",ROUND(22*MAX('_SCHEDULE'!$L$2:$L$21)/('_STATE'!$B$5-1),0))</x:f>
        <x:v>1123</x:v>
      </x:c>
      <x:c r="AE7" s="518" t="n">
        <x:f>IF(MAX('_SCHEDULE'!$L$2:$L$21)=0,"",ROUND(23*MAX('_SCHEDULE'!$L$2:$L$21)/('_STATE'!$B$5-1),0))</x:f>
        <x:v>1174</x:v>
      </x:c>
      <x:c r="AF7" s="518" t="n">
        <x:f>IF(MAX('_SCHEDULE'!$L$2:$L$21)=0,"",ROUND(24*MAX('_SCHEDULE'!$L$2:$L$21)/('_STATE'!$B$5-1),0))</x:f>
        <x:v>1226</x:v>
      </x:c>
      <x:c r="AG7" s="518" t="n">
        <x:f>IF(MAX('_SCHEDULE'!$L$2:$L$21)=0,"",ROUND(25*MAX('_SCHEDULE'!$L$2:$L$21)/('_STATE'!$B$5-1),0))</x:f>
        <x:v>1277</x:v>
      </x:c>
      <x:c r="AH7" s="518" t="n">
        <x:f>IF(MAX('_SCHEDULE'!$L$2:$L$21)=0,"",ROUND(26*MAX('_SCHEDULE'!$L$2:$L$21)/('_STATE'!$B$5-1),0))</x:f>
        <x:v>1328</x:v>
      </x:c>
      <x:c r="AI7" s="518" t="n">
        <x:f>IF(MAX('_SCHEDULE'!$L$2:$L$21)=0,"",ROUND(27*MAX('_SCHEDULE'!$L$2:$L$21)/('_STATE'!$B$5-1),0))</x:f>
        <x:v>1379</x:v>
      </x:c>
      <x:c r="AJ7" s="518" t="n">
        <x:f>IF(MAX('_SCHEDULE'!$L$2:$L$21)=0,"",ROUND(28*MAX('_SCHEDULE'!$L$2:$L$21)/('_STATE'!$B$5-1),0))</x:f>
        <x:v>1430</x:v>
      </x:c>
      <x:c r="AK7" s="518" t="n">
        <x:f>IF(MAX('_SCHEDULE'!$L$2:$L$21)=0,"",ROUND(29*MAX('_SCHEDULE'!$L$2:$L$21)/('_STATE'!$B$5-1),0))</x:f>
        <x:v>1481</x:v>
      </x:c>
      <x:c r="AL7" s="518" t="n">
        <x:f>IF(MAX('_SCHEDULE'!$L$2:$L$21)=0,"",ROUND(30*MAX('_SCHEDULE'!$L$2:$L$21)/('_STATE'!$B$5-1),0))</x:f>
        <x:v>1532</x:v>
      </x:c>
      <x:c r="AM7" s="519" t="n">
        <x:f>IF(MAX('_SCHEDULE'!$L$2:$L$21)=0,"",ROUND(31*MAX('_SCHEDULE'!$L$2:$L$21)/('_STATE'!$B$5-1),0))</x:f>
        <x:v>1583</x:v>
      </x:c>
    </x:row>
    <x:row r="8" ht="13.5" customHeight="1">
      <x:c r="A8" s="524" t="n">
        <x:f>IF(ISBLANK('_SCHEDULE'!A2),"",'_SCHEDULE'!A2)</x:f>
        <x:v>1</x:v>
      </x:c>
      <x:c r="B8" s="524" t="n">
        <x:f>IF(ISBLANK('_SCHEDULE'!C2),"",'_SCHEDULE'!C2)</x:f>
        <x:v>41</x:v>
      </x:c>
      <x:c r="C8" s="524" t="n">
        <x:f>IF(ISBLANK('_SCHEDULE'!D2),"",'_SCHEDULE'!D2)</x:f>
        <x:v>3</x:v>
      </x:c>
      <x:c r="D8" s="524" t="n">
        <x:f>IF(ISBLANK('_SCHEDULE'!H2),"",'_SCHEDULE'!H2)</x:f>
        <x:v>0</x:v>
      </x:c>
      <x:c r="E8" s="524" t="n">
        <x:f>IF(ISBLANK('_SCHEDULE'!J2),"",'_SCHEDULE'!J2)</x:f>
        <x:v>0</x:v>
      </x:c>
      <x:c r="F8" s="524" t="n">
        <x:f>IF(ISBLANK('_SCHEDULE'!L2),"",'_SCHEDULE'!L2)</x:f>
        <x:v>70</x:v>
      </x:c>
      <x:c r="G8" s="524" t="n">
        <x:f>IF(ISBLANK('_SCHEDULE'!F2),"",'_SCHEDULE'!F2)</x:f>
        <x:v>1400</x:v>
      </x:c>
      <x:c r="H8" s="528" t="str">
        <x:f>IF($A8="","",IF(AND(H$7&gt;=$D8,H$7&lt;$E8),"S",IF(AND(H$7&gt;=$E8,H$7&lt;$F8),"F"&amp;$C8,"")))</x:f>
        <x:v>F3</x:v>
      </x:c>
      <x:c r="I8" s="528" t="str">
        <x:f>IF($A8="","",IF(AND(I$7&gt;=$D8,I$7&lt;$E8),"S",IF(AND(I$7&gt;=$E8,I$7&lt;$F8),"F"&amp;$C8,"")))</x:f>
        <x:v>F3</x:v>
      </x:c>
      <x:c r="J8" s="528" t="str">
        <x:f>IF($A8="","",IF(AND(J$7&gt;=$D8,J$7&lt;$E8),"S",IF(AND(J$7&gt;=$E8,J$7&lt;$F8),"F"&amp;$C8,"")))</x:f>
      </x:c>
      <x:c r="K8" s="528" t="str">
        <x:f>IF($A8="","",IF(AND(K$7&gt;=$D8,K$7&lt;$E8),"S",IF(AND(K$7&gt;=$E8,K$7&lt;$F8),"F"&amp;$C8,"")))</x:f>
      </x:c>
      <x:c r="L8" s="528" t="str">
        <x:f>IF($A8="","",IF(AND(L$7&gt;=$D8,L$7&lt;$E8),"S",IF(AND(L$7&gt;=$E8,L$7&lt;$F8),"F"&amp;$C8,"")))</x:f>
      </x:c>
      <x:c r="M8" s="528" t="str">
        <x:f>IF($A8="","",IF(AND(M$7&gt;=$D8,M$7&lt;$E8),"S",IF(AND(M$7&gt;=$E8,M$7&lt;$F8),"F"&amp;$C8,"")))</x:f>
      </x:c>
      <x:c r="N8" s="528" t="str">
        <x:f>IF($A8="","",IF(AND(N$7&gt;=$D8,N$7&lt;$E8),"S",IF(AND(N$7&gt;=$E8,N$7&lt;$F8),"F"&amp;$C8,"")))</x:f>
      </x:c>
      <x:c r="O8" s="528" t="str">
        <x:f>IF($A8="","",IF(AND(O$7&gt;=$D8,O$7&lt;$E8),"S",IF(AND(O$7&gt;=$E8,O$7&lt;$F8),"F"&amp;$C8,"")))</x:f>
      </x:c>
      <x:c r="P8" s="528" t="str">
        <x:f>IF($A8="","",IF(AND(P$7&gt;=$D8,P$7&lt;$E8),"S",IF(AND(P$7&gt;=$E8,P$7&lt;$F8),"F"&amp;$C8,"")))</x:f>
      </x:c>
      <x:c r="Q8" s="528" t="str">
        <x:f>IF($A8="","",IF(AND(Q$7&gt;=$D8,Q$7&lt;$E8),"S",IF(AND(Q$7&gt;=$E8,Q$7&lt;$F8),"F"&amp;$C8,"")))</x:f>
      </x:c>
      <x:c r="R8" s="528" t="str">
        <x:f>IF($A8="","",IF(AND(R$7&gt;=$D8,R$7&lt;$E8),"S",IF(AND(R$7&gt;=$E8,R$7&lt;$F8),"F"&amp;$C8,"")))</x:f>
      </x:c>
      <x:c r="S8" s="528" t="str">
        <x:f>IF($A8="","",IF(AND(S$7&gt;=$D8,S$7&lt;$E8),"S",IF(AND(S$7&gt;=$E8,S$7&lt;$F8),"F"&amp;$C8,"")))</x:f>
      </x:c>
      <x:c r="T8" s="528" t="str">
        <x:f>IF($A8="","",IF(AND(T$7&gt;=$D8,T$7&lt;$E8),"S",IF(AND(T$7&gt;=$E8,T$7&lt;$F8),"F"&amp;$C8,"")))</x:f>
      </x:c>
      <x:c r="U8" s="528" t="str">
        <x:f>IF($A8="","",IF(AND(U$7&gt;=$D8,U$7&lt;$E8),"S",IF(AND(U$7&gt;=$E8,U$7&lt;$F8),"F"&amp;$C8,"")))</x:f>
      </x:c>
      <x:c r="V8" s="528" t="str">
        <x:f>IF($A8="","",IF(AND(V$7&gt;=$D8,V$7&lt;$E8),"S",IF(AND(V$7&gt;=$E8,V$7&lt;$F8),"F"&amp;$C8,"")))</x:f>
      </x:c>
      <x:c r="W8" s="528" t="str">
        <x:f>IF($A8="","",IF(AND(W$7&gt;=$D8,W$7&lt;$E8),"S",IF(AND(W$7&gt;=$E8,W$7&lt;$F8),"F"&amp;$C8,"")))</x:f>
      </x:c>
      <x:c r="X8" s="528" t="str">
        <x:f>IF($A8="","",IF(AND(X$7&gt;=$D8,X$7&lt;$E8),"S",IF(AND(X$7&gt;=$E8,X$7&lt;$F8),"F"&amp;$C8,"")))</x:f>
      </x:c>
      <x:c r="Y8" s="528" t="str">
        <x:f>IF($A8="","",IF(AND(Y$7&gt;=$D8,Y$7&lt;$E8),"S",IF(AND(Y$7&gt;=$E8,Y$7&lt;$F8),"F"&amp;$C8,"")))</x:f>
      </x:c>
      <x:c r="Z8" s="528" t="str">
        <x:f>IF($A8="","",IF(AND(Z$7&gt;=$D8,Z$7&lt;$E8),"S",IF(AND(Z$7&gt;=$E8,Z$7&lt;$F8),"F"&amp;$C8,"")))</x:f>
      </x:c>
      <x:c r="AA8" s="528" t="str">
        <x:f>IF($A8="","",IF(AND(AA$7&gt;=$D8,AA$7&lt;$E8),"S",IF(AND(AA$7&gt;=$E8,AA$7&lt;$F8),"F"&amp;$C8,"")))</x:f>
      </x:c>
      <x:c r="AB8" s="528" t="str">
        <x:f>IF($A8="","",IF(AND(AB$7&gt;=$D8,AB$7&lt;$E8),"S",IF(AND(AB$7&gt;=$E8,AB$7&lt;$F8),"F"&amp;$C8,"")))</x:f>
      </x:c>
      <x:c r="AC8" s="528" t="str">
        <x:f>IF($A8="","",IF(AND(AC$7&gt;=$D8,AC$7&lt;$E8),"S",IF(AND(AC$7&gt;=$E8,AC$7&lt;$F8),"F"&amp;$C8,"")))</x:f>
      </x:c>
      <x:c r="AD8" s="528" t="str">
        <x:f>IF($A8="","",IF(AND(AD$7&gt;=$D8,AD$7&lt;$E8),"S",IF(AND(AD$7&gt;=$E8,AD$7&lt;$F8),"F"&amp;$C8,"")))</x:f>
      </x:c>
      <x:c r="AE8" s="528" t="str">
        <x:f>IF($A8="","",IF(AND(AE$7&gt;=$D8,AE$7&lt;$E8),"S",IF(AND(AE$7&gt;=$E8,AE$7&lt;$F8),"F"&amp;$C8,"")))</x:f>
      </x:c>
      <x:c r="AF8" s="528" t="str">
        <x:f>IF($A8="","",IF(AND(AF$7&gt;=$D8,AF$7&lt;$E8),"S",IF(AND(AF$7&gt;=$E8,AF$7&lt;$F8),"F"&amp;$C8,"")))</x:f>
      </x:c>
      <x:c r="AG8" s="528" t="str">
        <x:f>IF($A8="","",IF(AND(AG$7&gt;=$D8,AG$7&lt;$E8),"S",IF(AND(AG$7&gt;=$E8,AG$7&lt;$F8),"F"&amp;$C8,"")))</x:f>
      </x:c>
      <x:c r="AH8" s="528" t="str">
        <x:f>IF($A8="","",IF(AND(AH$7&gt;=$D8,AH$7&lt;$E8),"S",IF(AND(AH$7&gt;=$E8,AH$7&lt;$F8),"F"&amp;$C8,"")))</x:f>
      </x:c>
      <x:c r="AI8" s="528" t="str">
        <x:f>IF($A8="","",IF(AND(AI$7&gt;=$D8,AI$7&lt;$E8),"S",IF(AND(AI$7&gt;=$E8,AI$7&lt;$F8),"F"&amp;$C8,"")))</x:f>
      </x:c>
      <x:c r="AJ8" s="528" t="str">
        <x:f>IF($A8="","",IF(AND(AJ$7&gt;=$D8,AJ$7&lt;$E8),"S",IF(AND(AJ$7&gt;=$E8,AJ$7&lt;$F8),"F"&amp;$C8,"")))</x:f>
      </x:c>
      <x:c r="AK8" s="528" t="str">
        <x:f>IF($A8="","",IF(AND(AK$7&gt;=$D8,AK$7&lt;$E8),"S",IF(AND(AK$7&gt;=$E8,AK$7&lt;$F8),"F"&amp;$C8,"")))</x:f>
      </x:c>
      <x:c r="AL8" s="528" t="str">
        <x:f>IF($A8="","",IF(AND(AL$7&gt;=$D8,AL$7&lt;$E8),"S",IF(AND(AL$7&gt;=$E8,AL$7&lt;$F8),"F"&amp;$C8,"")))</x:f>
      </x:c>
      <x:c r="AM8" s="528" t="str">
        <x:f>IF($A8="","",IF(AND(AM$7&gt;=$D8,AM$7&lt;$E8),"S",IF(AND(AM$7&gt;=$E8,AM$7&lt;$F8),"F"&amp;$C8,"")))</x:f>
      </x:c>
    </x:row>
    <x:row r="9" ht="13.5" customHeight="1">
      <x:c r="A9" s="525" t="n">
        <x:f>IF(ISBLANK('_SCHEDULE'!A3),"",'_SCHEDULE'!A3)</x:f>
        <x:v>2</x:v>
      </x:c>
      <x:c r="B9" s="525" t="n">
        <x:f>IF(ISBLANK('_SCHEDULE'!C3),"",'_SCHEDULE'!C3)</x:f>
        <x:v>40</x:v>
      </x:c>
      <x:c r="C9" s="525" t="n">
        <x:f>IF(ISBLANK('_SCHEDULE'!D3),"",'_SCHEDULE'!D3)</x:f>
        <x:v>3</x:v>
      </x:c>
      <x:c r="D9" s="525" t="n">
        <x:f>IF(ISBLANK('_SCHEDULE'!H3),"",'_SCHEDULE'!H3)</x:f>
        <x:v>70</x:v>
      </x:c>
      <x:c r="E9" s="525" t="n">
        <x:f>IF(ISBLANK('_SCHEDULE'!J3),"",'_SCHEDULE'!J3)</x:f>
        <x:v>70</x:v>
      </x:c>
      <x:c r="F9" s="525" t="n">
        <x:f>IF(ISBLANK('_SCHEDULE'!L3),"",'_SCHEDULE'!L3)</x:f>
        <x:v>140</x:v>
      </x:c>
      <x:c r="G9" s="525" t="n">
        <x:f>IF(ISBLANK('_SCHEDULE'!F3),"",'_SCHEDULE'!F3)</x:f>
        <x:v>1200</x:v>
      </x:c>
      <x:c r="H9" s="528" t="str">
        <x:f>IF($A9="","",IF(AND(H$7&gt;=$D9,H$7&lt;$E9),"S",IF(AND(H$7&gt;=$E9,H$7&lt;$F9),"F"&amp;$C9,"")))</x:f>
      </x:c>
      <x:c r="I9" s="528" t="str">
        <x:f>IF($A9="","",IF(AND(I$7&gt;=$D9,I$7&lt;$E9),"S",IF(AND(I$7&gt;=$E9,I$7&lt;$F9),"F"&amp;$C9,"")))</x:f>
      </x:c>
      <x:c r="J9" s="528" t="str">
        <x:f>IF($A9="","",IF(AND(J$7&gt;=$D9,J$7&lt;$E9),"S",IF(AND(J$7&gt;=$E9,J$7&lt;$F9),"F"&amp;$C9,"")))</x:f>
        <x:v>F3</x:v>
      </x:c>
      <x:c r="K9" s="528" t="str">
        <x:f>IF($A9="","",IF(AND(K$7&gt;=$D9,K$7&lt;$E9),"S",IF(AND(K$7&gt;=$E9,K$7&lt;$F9),"F"&amp;$C9,"")))</x:f>
      </x:c>
      <x:c r="L9" s="528" t="str">
        <x:f>IF($A9="","",IF(AND(L$7&gt;=$D9,L$7&lt;$E9),"S",IF(AND(L$7&gt;=$E9,L$7&lt;$F9),"F"&amp;$C9,"")))</x:f>
      </x:c>
      <x:c r="M9" s="528" t="str">
        <x:f>IF($A9="","",IF(AND(M$7&gt;=$D9,M$7&lt;$E9),"S",IF(AND(M$7&gt;=$E9,M$7&lt;$F9),"F"&amp;$C9,"")))</x:f>
      </x:c>
      <x:c r="N9" s="528" t="str">
        <x:f>IF($A9="","",IF(AND(N$7&gt;=$D9,N$7&lt;$E9),"S",IF(AND(N$7&gt;=$E9,N$7&lt;$F9),"F"&amp;$C9,"")))</x:f>
      </x:c>
      <x:c r="O9" s="528" t="str">
        <x:f>IF($A9="","",IF(AND(O$7&gt;=$D9,O$7&lt;$E9),"S",IF(AND(O$7&gt;=$E9,O$7&lt;$F9),"F"&amp;$C9,"")))</x:f>
      </x:c>
      <x:c r="P9" s="528" t="str">
        <x:f>IF($A9="","",IF(AND(P$7&gt;=$D9,P$7&lt;$E9),"S",IF(AND(P$7&gt;=$E9,P$7&lt;$F9),"F"&amp;$C9,"")))</x:f>
      </x:c>
      <x:c r="Q9" s="528" t="str">
        <x:f>IF($A9="","",IF(AND(Q$7&gt;=$D9,Q$7&lt;$E9),"S",IF(AND(Q$7&gt;=$E9,Q$7&lt;$F9),"F"&amp;$C9,"")))</x:f>
      </x:c>
      <x:c r="R9" s="528" t="str">
        <x:f>IF($A9="","",IF(AND(R$7&gt;=$D9,R$7&lt;$E9),"S",IF(AND(R$7&gt;=$E9,R$7&lt;$F9),"F"&amp;$C9,"")))</x:f>
      </x:c>
      <x:c r="S9" s="528" t="str">
        <x:f>IF($A9="","",IF(AND(S$7&gt;=$D9,S$7&lt;$E9),"S",IF(AND(S$7&gt;=$E9,S$7&lt;$F9),"F"&amp;$C9,"")))</x:f>
      </x:c>
      <x:c r="T9" s="528" t="str">
        <x:f>IF($A9="","",IF(AND(T$7&gt;=$D9,T$7&lt;$E9),"S",IF(AND(T$7&gt;=$E9,T$7&lt;$F9),"F"&amp;$C9,"")))</x:f>
      </x:c>
      <x:c r="U9" s="528" t="str">
        <x:f>IF($A9="","",IF(AND(U$7&gt;=$D9,U$7&lt;$E9),"S",IF(AND(U$7&gt;=$E9,U$7&lt;$F9),"F"&amp;$C9,"")))</x:f>
      </x:c>
      <x:c r="V9" s="528" t="str">
        <x:f>IF($A9="","",IF(AND(V$7&gt;=$D9,V$7&lt;$E9),"S",IF(AND(V$7&gt;=$E9,V$7&lt;$F9),"F"&amp;$C9,"")))</x:f>
      </x:c>
      <x:c r="W9" s="528" t="str">
        <x:f>IF($A9="","",IF(AND(W$7&gt;=$D9,W$7&lt;$E9),"S",IF(AND(W$7&gt;=$E9,W$7&lt;$F9),"F"&amp;$C9,"")))</x:f>
      </x:c>
      <x:c r="X9" s="528" t="str">
        <x:f>IF($A9="","",IF(AND(X$7&gt;=$D9,X$7&lt;$E9),"S",IF(AND(X$7&gt;=$E9,X$7&lt;$F9),"F"&amp;$C9,"")))</x:f>
      </x:c>
      <x:c r="Y9" s="528" t="str">
        <x:f>IF($A9="","",IF(AND(Y$7&gt;=$D9,Y$7&lt;$E9),"S",IF(AND(Y$7&gt;=$E9,Y$7&lt;$F9),"F"&amp;$C9,"")))</x:f>
      </x:c>
      <x:c r="Z9" s="528" t="str">
        <x:f>IF($A9="","",IF(AND(Z$7&gt;=$D9,Z$7&lt;$E9),"S",IF(AND(Z$7&gt;=$E9,Z$7&lt;$F9),"F"&amp;$C9,"")))</x:f>
      </x:c>
      <x:c r="AA9" s="528" t="str">
        <x:f>IF($A9="","",IF(AND(AA$7&gt;=$D9,AA$7&lt;$E9),"S",IF(AND(AA$7&gt;=$E9,AA$7&lt;$F9),"F"&amp;$C9,"")))</x:f>
      </x:c>
      <x:c r="AB9" s="528" t="str">
        <x:f>IF($A9="","",IF(AND(AB$7&gt;=$D9,AB$7&lt;$E9),"S",IF(AND(AB$7&gt;=$E9,AB$7&lt;$F9),"F"&amp;$C9,"")))</x:f>
      </x:c>
      <x:c r="AC9" s="528" t="str">
        <x:f>IF($A9="","",IF(AND(AC$7&gt;=$D9,AC$7&lt;$E9),"S",IF(AND(AC$7&gt;=$E9,AC$7&lt;$F9),"F"&amp;$C9,"")))</x:f>
      </x:c>
      <x:c r="AD9" s="528" t="str">
        <x:f>IF($A9="","",IF(AND(AD$7&gt;=$D9,AD$7&lt;$E9),"S",IF(AND(AD$7&gt;=$E9,AD$7&lt;$F9),"F"&amp;$C9,"")))</x:f>
      </x:c>
      <x:c r="AE9" s="528" t="str">
        <x:f>IF($A9="","",IF(AND(AE$7&gt;=$D9,AE$7&lt;$E9),"S",IF(AND(AE$7&gt;=$E9,AE$7&lt;$F9),"F"&amp;$C9,"")))</x:f>
      </x:c>
      <x:c r="AF9" s="528" t="str">
        <x:f>IF($A9="","",IF(AND(AF$7&gt;=$D9,AF$7&lt;$E9),"S",IF(AND(AF$7&gt;=$E9,AF$7&lt;$F9),"F"&amp;$C9,"")))</x:f>
      </x:c>
      <x:c r="AG9" s="528" t="str">
        <x:f>IF($A9="","",IF(AND(AG$7&gt;=$D9,AG$7&lt;$E9),"S",IF(AND(AG$7&gt;=$E9,AG$7&lt;$F9),"F"&amp;$C9,"")))</x:f>
      </x:c>
      <x:c r="AH9" s="528" t="str">
        <x:f>IF($A9="","",IF(AND(AH$7&gt;=$D9,AH$7&lt;$E9),"S",IF(AND(AH$7&gt;=$E9,AH$7&lt;$F9),"F"&amp;$C9,"")))</x:f>
      </x:c>
      <x:c r="AI9" s="528" t="str">
        <x:f>IF($A9="","",IF(AND(AI$7&gt;=$D9,AI$7&lt;$E9),"S",IF(AND(AI$7&gt;=$E9,AI$7&lt;$F9),"F"&amp;$C9,"")))</x:f>
      </x:c>
      <x:c r="AJ9" s="528" t="str">
        <x:f>IF($A9="","",IF(AND(AJ$7&gt;=$D9,AJ$7&lt;$E9),"S",IF(AND(AJ$7&gt;=$E9,AJ$7&lt;$F9),"F"&amp;$C9,"")))</x:f>
      </x:c>
      <x:c r="AK9" s="528" t="str">
        <x:f>IF($A9="","",IF(AND(AK$7&gt;=$D9,AK$7&lt;$E9),"S",IF(AND(AK$7&gt;=$E9,AK$7&lt;$F9),"F"&amp;$C9,"")))</x:f>
      </x:c>
      <x:c r="AL9" s="528" t="str">
        <x:f>IF($A9="","",IF(AND(AL$7&gt;=$D9,AL$7&lt;$E9),"S",IF(AND(AL$7&gt;=$E9,AL$7&lt;$F9),"F"&amp;$C9,"")))</x:f>
      </x:c>
      <x:c r="AM9" s="528" t="str">
        <x:f>IF($A9="","",IF(AND(AM$7&gt;=$D9,AM$7&lt;$E9),"S",IF(AND(AM$7&gt;=$E9,AM$7&lt;$F9),"F"&amp;$C9,"")))</x:f>
      </x:c>
    </x:row>
    <x:row r="10" ht="13.5" customHeight="1">
      <x:c r="A10" s="525" t="n">
        <x:f>IF(ISBLANK('_SCHEDULE'!A4),"",'_SCHEDULE'!A4)</x:f>
        <x:v>3</x:v>
      </x:c>
      <x:c r="B10" s="525" t="n">
        <x:f>IF(ISBLANK('_SCHEDULE'!C4),"",'_SCHEDULE'!C4)</x:f>
        <x:v>39</x:v>
      </x:c>
      <x:c r="C10" s="525" t="n">
        <x:f>IF(ISBLANK('_SCHEDULE'!D4),"",'_SCHEDULE'!D4)</x:f>
        <x:v>3</x:v>
      </x:c>
      <x:c r="D10" s="525" t="n">
        <x:f>IF(ISBLANK('_SCHEDULE'!H4),"",'_SCHEDULE'!H4)</x:f>
        <x:v>140</x:v>
      </x:c>
      <x:c r="E10" s="525" t="n">
        <x:f>IF(ISBLANK('_SCHEDULE'!J4),"",'_SCHEDULE'!J4)</x:f>
        <x:v>140</x:v>
      </x:c>
      <x:c r="F10" s="525" t="n">
        <x:f>IF(ISBLANK('_SCHEDULE'!L4),"",'_SCHEDULE'!L4)</x:f>
        <x:v>210</x:v>
      </x:c>
      <x:c r="G10" s="525" t="n">
        <x:f>IF(ISBLANK('_SCHEDULE'!F4),"",'_SCHEDULE'!F4)</x:f>
        <x:v>1400</x:v>
      </x:c>
      <x:c r="H10" s="528" t="str">
        <x:f>IF($A10="","",IF(AND(H$7&gt;=$D10,H$7&lt;$E10),"S",IF(AND(H$7&gt;=$E10,H$7&lt;$F10),"F"&amp;$C10,"")))</x:f>
      </x:c>
      <x:c r="I10" s="528" t="str">
        <x:f>IF($A10="","",IF(AND(I$7&gt;=$D10,I$7&lt;$E10),"S",IF(AND(I$7&gt;=$E10,I$7&lt;$F10),"F"&amp;$C10,"")))</x:f>
      </x:c>
      <x:c r="J10" s="528" t="str">
        <x:f>IF($A10="","",IF(AND(J$7&gt;=$D10,J$7&lt;$E10),"S",IF(AND(J$7&gt;=$E10,J$7&lt;$F10),"F"&amp;$C10,"")))</x:f>
      </x:c>
      <x:c r="K10" s="528" t="str">
        <x:f>IF($A10="","",IF(AND(K$7&gt;=$D10,K$7&lt;$E10),"S",IF(AND(K$7&gt;=$E10,K$7&lt;$F10),"F"&amp;$C10,"")))</x:f>
        <x:v>F3</x:v>
      </x:c>
      <x:c r="L10" s="528" t="str">
        <x:f>IF($A10="","",IF(AND(L$7&gt;=$D10,L$7&lt;$E10),"S",IF(AND(L$7&gt;=$E10,L$7&lt;$F10),"F"&amp;$C10,"")))</x:f>
        <x:v>F3</x:v>
      </x:c>
      <x:c r="M10" s="528" t="str">
        <x:f>IF($A10="","",IF(AND(M$7&gt;=$D10,M$7&lt;$E10),"S",IF(AND(M$7&gt;=$E10,M$7&lt;$F10),"F"&amp;$C10,"")))</x:f>
      </x:c>
      <x:c r="N10" s="528" t="str">
        <x:f>IF($A10="","",IF(AND(N$7&gt;=$D10,N$7&lt;$E10),"S",IF(AND(N$7&gt;=$E10,N$7&lt;$F10),"F"&amp;$C10,"")))</x:f>
      </x:c>
      <x:c r="O10" s="528" t="str">
        <x:f>IF($A10="","",IF(AND(O$7&gt;=$D10,O$7&lt;$E10),"S",IF(AND(O$7&gt;=$E10,O$7&lt;$F10),"F"&amp;$C10,"")))</x:f>
      </x:c>
      <x:c r="P10" s="528" t="str">
        <x:f>IF($A10="","",IF(AND(P$7&gt;=$D10,P$7&lt;$E10),"S",IF(AND(P$7&gt;=$E10,P$7&lt;$F10),"F"&amp;$C10,"")))</x:f>
      </x:c>
      <x:c r="Q10" s="528" t="str">
        <x:f>IF($A10="","",IF(AND(Q$7&gt;=$D10,Q$7&lt;$E10),"S",IF(AND(Q$7&gt;=$E10,Q$7&lt;$F10),"F"&amp;$C10,"")))</x:f>
      </x:c>
      <x:c r="R10" s="528" t="str">
        <x:f>IF($A10="","",IF(AND(R$7&gt;=$D10,R$7&lt;$E10),"S",IF(AND(R$7&gt;=$E10,R$7&lt;$F10),"F"&amp;$C10,"")))</x:f>
      </x:c>
      <x:c r="S10" s="528" t="str">
        <x:f>IF($A10="","",IF(AND(S$7&gt;=$D10,S$7&lt;$E10),"S",IF(AND(S$7&gt;=$E10,S$7&lt;$F10),"F"&amp;$C10,"")))</x:f>
      </x:c>
      <x:c r="T10" s="528" t="str">
        <x:f>IF($A10="","",IF(AND(T$7&gt;=$D10,T$7&lt;$E10),"S",IF(AND(T$7&gt;=$E10,T$7&lt;$F10),"F"&amp;$C10,"")))</x:f>
      </x:c>
      <x:c r="U10" s="528" t="str">
        <x:f>IF($A10="","",IF(AND(U$7&gt;=$D10,U$7&lt;$E10),"S",IF(AND(U$7&gt;=$E10,U$7&lt;$F10),"F"&amp;$C10,"")))</x:f>
      </x:c>
      <x:c r="V10" s="528" t="str">
        <x:f>IF($A10="","",IF(AND(V$7&gt;=$D10,V$7&lt;$E10),"S",IF(AND(V$7&gt;=$E10,V$7&lt;$F10),"F"&amp;$C10,"")))</x:f>
      </x:c>
      <x:c r="W10" s="528" t="str">
        <x:f>IF($A10="","",IF(AND(W$7&gt;=$D10,W$7&lt;$E10),"S",IF(AND(W$7&gt;=$E10,W$7&lt;$F10),"F"&amp;$C10,"")))</x:f>
      </x:c>
      <x:c r="X10" s="528" t="str">
        <x:f>IF($A10="","",IF(AND(X$7&gt;=$D10,X$7&lt;$E10),"S",IF(AND(X$7&gt;=$E10,X$7&lt;$F10),"F"&amp;$C10,"")))</x:f>
      </x:c>
      <x:c r="Y10" s="528" t="str">
        <x:f>IF($A10="","",IF(AND(Y$7&gt;=$D10,Y$7&lt;$E10),"S",IF(AND(Y$7&gt;=$E10,Y$7&lt;$F10),"F"&amp;$C10,"")))</x:f>
      </x:c>
      <x:c r="Z10" s="528" t="str">
        <x:f>IF($A10="","",IF(AND(Z$7&gt;=$D10,Z$7&lt;$E10),"S",IF(AND(Z$7&gt;=$E10,Z$7&lt;$F10),"F"&amp;$C10,"")))</x:f>
      </x:c>
      <x:c r="AA10" s="528" t="str">
        <x:f>IF($A10="","",IF(AND(AA$7&gt;=$D10,AA$7&lt;$E10),"S",IF(AND(AA$7&gt;=$E10,AA$7&lt;$F10),"F"&amp;$C10,"")))</x:f>
      </x:c>
      <x:c r="AB10" s="528" t="str">
        <x:f>IF($A10="","",IF(AND(AB$7&gt;=$D10,AB$7&lt;$E10),"S",IF(AND(AB$7&gt;=$E10,AB$7&lt;$F10),"F"&amp;$C10,"")))</x:f>
      </x:c>
      <x:c r="AC10" s="528" t="str">
        <x:f>IF($A10="","",IF(AND(AC$7&gt;=$D10,AC$7&lt;$E10),"S",IF(AND(AC$7&gt;=$E10,AC$7&lt;$F10),"F"&amp;$C10,"")))</x:f>
      </x:c>
      <x:c r="AD10" s="528" t="str">
        <x:f>IF($A10="","",IF(AND(AD$7&gt;=$D10,AD$7&lt;$E10),"S",IF(AND(AD$7&gt;=$E10,AD$7&lt;$F10),"F"&amp;$C10,"")))</x:f>
      </x:c>
      <x:c r="AE10" s="528" t="str">
        <x:f>IF($A10="","",IF(AND(AE$7&gt;=$D10,AE$7&lt;$E10),"S",IF(AND(AE$7&gt;=$E10,AE$7&lt;$F10),"F"&amp;$C10,"")))</x:f>
      </x:c>
      <x:c r="AF10" s="528" t="str">
        <x:f>IF($A10="","",IF(AND(AF$7&gt;=$D10,AF$7&lt;$E10),"S",IF(AND(AF$7&gt;=$E10,AF$7&lt;$F10),"F"&amp;$C10,"")))</x:f>
      </x:c>
      <x:c r="AG10" s="528" t="str">
        <x:f>IF($A10="","",IF(AND(AG$7&gt;=$D10,AG$7&lt;$E10),"S",IF(AND(AG$7&gt;=$E10,AG$7&lt;$F10),"F"&amp;$C10,"")))</x:f>
      </x:c>
      <x:c r="AH10" s="528" t="str">
        <x:f>IF($A10="","",IF(AND(AH$7&gt;=$D10,AH$7&lt;$E10),"S",IF(AND(AH$7&gt;=$E10,AH$7&lt;$F10),"F"&amp;$C10,"")))</x:f>
      </x:c>
      <x:c r="AI10" s="528" t="str">
        <x:f>IF($A10="","",IF(AND(AI$7&gt;=$D10,AI$7&lt;$E10),"S",IF(AND(AI$7&gt;=$E10,AI$7&lt;$F10),"F"&amp;$C10,"")))</x:f>
      </x:c>
      <x:c r="AJ10" s="528" t="str">
        <x:f>IF($A10="","",IF(AND(AJ$7&gt;=$D10,AJ$7&lt;$E10),"S",IF(AND(AJ$7&gt;=$E10,AJ$7&lt;$F10),"F"&amp;$C10,"")))</x:f>
      </x:c>
      <x:c r="AK10" s="528" t="str">
        <x:f>IF($A10="","",IF(AND(AK$7&gt;=$D10,AK$7&lt;$E10),"S",IF(AND(AK$7&gt;=$E10,AK$7&lt;$F10),"F"&amp;$C10,"")))</x:f>
      </x:c>
      <x:c r="AL10" s="528" t="str">
        <x:f>IF($A10="","",IF(AND(AL$7&gt;=$D10,AL$7&lt;$E10),"S",IF(AND(AL$7&gt;=$E10,AL$7&lt;$F10),"F"&amp;$C10,"")))</x:f>
      </x:c>
      <x:c r="AM10" s="528" t="str">
        <x:f>IF($A10="","",IF(AND(AM$7&gt;=$D10,AM$7&lt;$E10),"S",IF(AND(AM$7&gt;=$E10,AM$7&lt;$F10),"F"&amp;$C10,"")))</x:f>
      </x:c>
    </x:row>
    <x:row r="11" ht="13.5" customHeight="1">
      <x:c r="A11" s="525" t="n">
        <x:f>IF(ISBLANK('_SCHEDULE'!A5),"",'_SCHEDULE'!A5)</x:f>
        <x:v>4</x:v>
      </x:c>
      <x:c r="B11" s="525" t="n">
        <x:f>IF(ISBLANK('_SCHEDULE'!C5),"",'_SCHEDULE'!C5)</x:f>
        <x:v>37</x:v>
      </x:c>
      <x:c r="C11" s="525" t="n">
        <x:f>IF(ISBLANK('_SCHEDULE'!D5),"",'_SCHEDULE'!D5)</x:f>
        <x:v>3</x:v>
      </x:c>
      <x:c r="D11" s="525" t="n">
        <x:f>IF(ISBLANK('_SCHEDULE'!H5),"",'_SCHEDULE'!H5)</x:f>
        <x:v>210</x:v>
      </x:c>
      <x:c r="E11" s="525" t="n">
        <x:f>IF(ISBLANK('_SCHEDULE'!J5),"",'_SCHEDULE'!J5)</x:f>
        <x:v>210</x:v>
      </x:c>
      <x:c r="F11" s="525" t="n">
        <x:f>IF(ISBLANK('_SCHEDULE'!L5),"",'_SCHEDULE'!L5)</x:f>
        <x:v>280</x:v>
      </x:c>
      <x:c r="G11" s="525" t="n">
        <x:f>IF(ISBLANK('_SCHEDULE'!F5),"",'_SCHEDULE'!F5)</x:f>
        <x:v>1400</x:v>
      </x:c>
      <x:c r="H11" s="528" t="str">
        <x:f>IF($A11="","",IF(AND(H$7&gt;=$D11,H$7&lt;$E11),"S",IF(AND(H$7&gt;=$E11,H$7&lt;$F11),"F"&amp;$C11,"")))</x:f>
      </x:c>
      <x:c r="I11" s="528" t="str">
        <x:f>IF($A11="","",IF(AND(I$7&gt;=$D11,I$7&lt;$E11),"S",IF(AND(I$7&gt;=$E11,I$7&lt;$F11),"F"&amp;$C11,"")))</x:f>
      </x:c>
      <x:c r="J11" s="528" t="str">
        <x:f>IF($A11="","",IF(AND(J$7&gt;=$D11,J$7&lt;$E11),"S",IF(AND(J$7&gt;=$E11,J$7&lt;$F11),"F"&amp;$C11,"")))</x:f>
      </x:c>
      <x:c r="K11" s="528" t="str">
        <x:f>IF($A11="","",IF(AND(K$7&gt;=$D11,K$7&lt;$E11),"S",IF(AND(K$7&gt;=$E11,K$7&lt;$F11),"F"&amp;$C11,"")))</x:f>
      </x:c>
      <x:c r="L11" s="528" t="str">
        <x:f>IF($A11="","",IF(AND(L$7&gt;=$D11,L$7&lt;$E11),"S",IF(AND(L$7&gt;=$E11,L$7&lt;$F11),"F"&amp;$C11,"")))</x:f>
      </x:c>
      <x:c r="M11" s="528" t="str">
        <x:f>IF($A11="","",IF(AND(M$7&gt;=$D11,M$7&lt;$E11),"S",IF(AND(M$7&gt;=$E11,M$7&lt;$F11),"F"&amp;$C11,"")))</x:f>
        <x:v>F3</x:v>
      </x:c>
      <x:c r="N11" s="528" t="str">
        <x:f>IF($A11="","",IF(AND(N$7&gt;=$D11,N$7&lt;$E11),"S",IF(AND(N$7&gt;=$E11,N$7&lt;$F11),"F"&amp;$C11,"")))</x:f>
      </x:c>
      <x:c r="O11" s="528" t="str">
        <x:f>IF($A11="","",IF(AND(O$7&gt;=$D11,O$7&lt;$E11),"S",IF(AND(O$7&gt;=$E11,O$7&lt;$F11),"F"&amp;$C11,"")))</x:f>
      </x:c>
      <x:c r="P11" s="528" t="str">
        <x:f>IF($A11="","",IF(AND(P$7&gt;=$D11,P$7&lt;$E11),"S",IF(AND(P$7&gt;=$E11,P$7&lt;$F11),"F"&amp;$C11,"")))</x:f>
      </x:c>
      <x:c r="Q11" s="528" t="str">
        <x:f>IF($A11="","",IF(AND(Q$7&gt;=$D11,Q$7&lt;$E11),"S",IF(AND(Q$7&gt;=$E11,Q$7&lt;$F11),"F"&amp;$C11,"")))</x:f>
      </x:c>
      <x:c r="R11" s="528" t="str">
        <x:f>IF($A11="","",IF(AND(R$7&gt;=$D11,R$7&lt;$E11),"S",IF(AND(R$7&gt;=$E11,R$7&lt;$F11),"F"&amp;$C11,"")))</x:f>
      </x:c>
      <x:c r="S11" s="528" t="str">
        <x:f>IF($A11="","",IF(AND(S$7&gt;=$D11,S$7&lt;$E11),"S",IF(AND(S$7&gt;=$E11,S$7&lt;$F11),"F"&amp;$C11,"")))</x:f>
      </x:c>
      <x:c r="T11" s="528" t="str">
        <x:f>IF($A11="","",IF(AND(T$7&gt;=$D11,T$7&lt;$E11),"S",IF(AND(T$7&gt;=$E11,T$7&lt;$F11),"F"&amp;$C11,"")))</x:f>
      </x:c>
      <x:c r="U11" s="528" t="str">
        <x:f>IF($A11="","",IF(AND(U$7&gt;=$D11,U$7&lt;$E11),"S",IF(AND(U$7&gt;=$E11,U$7&lt;$F11),"F"&amp;$C11,"")))</x:f>
      </x:c>
      <x:c r="V11" s="528" t="str">
        <x:f>IF($A11="","",IF(AND(V$7&gt;=$D11,V$7&lt;$E11),"S",IF(AND(V$7&gt;=$E11,V$7&lt;$F11),"F"&amp;$C11,"")))</x:f>
      </x:c>
      <x:c r="W11" s="528" t="str">
        <x:f>IF($A11="","",IF(AND(W$7&gt;=$D11,W$7&lt;$E11),"S",IF(AND(W$7&gt;=$E11,W$7&lt;$F11),"F"&amp;$C11,"")))</x:f>
      </x:c>
      <x:c r="X11" s="528" t="str">
        <x:f>IF($A11="","",IF(AND(X$7&gt;=$D11,X$7&lt;$E11),"S",IF(AND(X$7&gt;=$E11,X$7&lt;$F11),"F"&amp;$C11,"")))</x:f>
      </x:c>
      <x:c r="Y11" s="528" t="str">
        <x:f>IF($A11="","",IF(AND(Y$7&gt;=$D11,Y$7&lt;$E11),"S",IF(AND(Y$7&gt;=$E11,Y$7&lt;$F11),"F"&amp;$C11,"")))</x:f>
      </x:c>
      <x:c r="Z11" s="528" t="str">
        <x:f>IF($A11="","",IF(AND(Z$7&gt;=$D11,Z$7&lt;$E11),"S",IF(AND(Z$7&gt;=$E11,Z$7&lt;$F11),"F"&amp;$C11,"")))</x:f>
      </x:c>
      <x:c r="AA11" s="528" t="str">
        <x:f>IF($A11="","",IF(AND(AA$7&gt;=$D11,AA$7&lt;$E11),"S",IF(AND(AA$7&gt;=$E11,AA$7&lt;$F11),"F"&amp;$C11,"")))</x:f>
      </x:c>
      <x:c r="AB11" s="528" t="str">
        <x:f>IF($A11="","",IF(AND(AB$7&gt;=$D11,AB$7&lt;$E11),"S",IF(AND(AB$7&gt;=$E11,AB$7&lt;$F11),"F"&amp;$C11,"")))</x:f>
      </x:c>
      <x:c r="AC11" s="528" t="str">
        <x:f>IF($A11="","",IF(AND(AC$7&gt;=$D11,AC$7&lt;$E11),"S",IF(AND(AC$7&gt;=$E11,AC$7&lt;$F11),"F"&amp;$C11,"")))</x:f>
      </x:c>
      <x:c r="AD11" s="528" t="str">
        <x:f>IF($A11="","",IF(AND(AD$7&gt;=$D11,AD$7&lt;$E11),"S",IF(AND(AD$7&gt;=$E11,AD$7&lt;$F11),"F"&amp;$C11,"")))</x:f>
      </x:c>
      <x:c r="AE11" s="528" t="str">
        <x:f>IF($A11="","",IF(AND(AE$7&gt;=$D11,AE$7&lt;$E11),"S",IF(AND(AE$7&gt;=$E11,AE$7&lt;$F11),"F"&amp;$C11,"")))</x:f>
      </x:c>
      <x:c r="AF11" s="528" t="str">
        <x:f>IF($A11="","",IF(AND(AF$7&gt;=$D11,AF$7&lt;$E11),"S",IF(AND(AF$7&gt;=$E11,AF$7&lt;$F11),"F"&amp;$C11,"")))</x:f>
      </x:c>
      <x:c r="AG11" s="528" t="str">
        <x:f>IF($A11="","",IF(AND(AG$7&gt;=$D11,AG$7&lt;$E11),"S",IF(AND(AG$7&gt;=$E11,AG$7&lt;$F11),"F"&amp;$C11,"")))</x:f>
      </x:c>
      <x:c r="AH11" s="528" t="str">
        <x:f>IF($A11="","",IF(AND(AH$7&gt;=$D11,AH$7&lt;$E11),"S",IF(AND(AH$7&gt;=$E11,AH$7&lt;$F11),"F"&amp;$C11,"")))</x:f>
      </x:c>
      <x:c r="AI11" s="528" t="str">
        <x:f>IF($A11="","",IF(AND(AI$7&gt;=$D11,AI$7&lt;$E11),"S",IF(AND(AI$7&gt;=$E11,AI$7&lt;$F11),"F"&amp;$C11,"")))</x:f>
      </x:c>
      <x:c r="AJ11" s="528" t="str">
        <x:f>IF($A11="","",IF(AND(AJ$7&gt;=$D11,AJ$7&lt;$E11),"S",IF(AND(AJ$7&gt;=$E11,AJ$7&lt;$F11),"F"&amp;$C11,"")))</x:f>
      </x:c>
      <x:c r="AK11" s="528" t="str">
        <x:f>IF($A11="","",IF(AND(AK$7&gt;=$D11,AK$7&lt;$E11),"S",IF(AND(AK$7&gt;=$E11,AK$7&lt;$F11),"F"&amp;$C11,"")))</x:f>
      </x:c>
      <x:c r="AL11" s="528" t="str">
        <x:f>IF($A11="","",IF(AND(AL$7&gt;=$D11,AL$7&lt;$E11),"S",IF(AND(AL$7&gt;=$E11,AL$7&lt;$F11),"F"&amp;$C11,"")))</x:f>
      </x:c>
      <x:c r="AM11" s="528" t="str">
        <x:f>IF($A11="","",IF(AND(AM$7&gt;=$D11,AM$7&lt;$E11),"S",IF(AND(AM$7&gt;=$E11,AM$7&lt;$F11),"F"&amp;$C11,"")))</x:f>
      </x:c>
    </x:row>
    <x:row r="12" ht="13.5" customHeight="1">
      <x:c r="A12" s="525" t="n">
        <x:f>IF(ISBLANK('_SCHEDULE'!A6),"",'_SCHEDULE'!A6)</x:f>
        <x:v>5</x:v>
      </x:c>
      <x:c r="B12" s="525" t="n">
        <x:f>IF(ISBLANK('_SCHEDULE'!C6),"",'_SCHEDULE'!C6)</x:f>
        <x:v>47</x:v>
      </x:c>
      <x:c r="C12" s="525" t="n">
        <x:f>IF(ISBLANK('_SCHEDULE'!D6),"",'_SCHEDULE'!D6)</x:f>
        <x:v>3</x:v>
      </x:c>
      <x:c r="D12" s="525" t="n">
        <x:f>IF(ISBLANK('_SCHEDULE'!H6),"",'_SCHEDULE'!H6)</x:f>
        <x:v>280</x:v>
      </x:c>
      <x:c r="E12" s="525" t="n">
        <x:f>IF(ISBLANK('_SCHEDULE'!J6),"",'_SCHEDULE'!J6)</x:f>
        <x:v>280</x:v>
      </x:c>
      <x:c r="F12" s="525" t="n">
        <x:f>IF(ISBLANK('_SCHEDULE'!L6),"",'_SCHEDULE'!L6)</x:f>
        <x:v>350</x:v>
      </x:c>
      <x:c r="G12" s="525" t="n">
        <x:f>IF(ISBLANK('_SCHEDULE'!F6),"",'_SCHEDULE'!F6)</x:f>
        <x:v>1200</x:v>
      </x:c>
      <x:c r="H12" s="528" t="str">
        <x:f>IF($A12="","",IF(AND(H$7&gt;=$D12,H$7&lt;$E12),"S",IF(AND(H$7&gt;=$E12,H$7&lt;$F12),"F"&amp;$C12,"")))</x:f>
      </x:c>
      <x:c r="I12" s="528" t="str">
        <x:f>IF($A12="","",IF(AND(I$7&gt;=$D12,I$7&lt;$E12),"S",IF(AND(I$7&gt;=$E12,I$7&lt;$F12),"F"&amp;$C12,"")))</x:f>
      </x:c>
      <x:c r="J12" s="528" t="str">
        <x:f>IF($A12="","",IF(AND(J$7&gt;=$D12,J$7&lt;$E12),"S",IF(AND(J$7&gt;=$E12,J$7&lt;$F12),"F"&amp;$C12,"")))</x:f>
      </x:c>
      <x:c r="K12" s="528" t="str">
        <x:f>IF($A12="","",IF(AND(K$7&gt;=$D12,K$7&lt;$E12),"S",IF(AND(K$7&gt;=$E12,K$7&lt;$F12),"F"&amp;$C12,"")))</x:f>
      </x:c>
      <x:c r="L12" s="528" t="str">
        <x:f>IF($A12="","",IF(AND(L$7&gt;=$D12,L$7&lt;$E12),"S",IF(AND(L$7&gt;=$E12,L$7&lt;$F12),"F"&amp;$C12,"")))</x:f>
      </x:c>
      <x:c r="M12" s="528" t="str">
        <x:f>IF($A12="","",IF(AND(M$7&gt;=$D12,M$7&lt;$E12),"S",IF(AND(M$7&gt;=$E12,M$7&lt;$F12),"F"&amp;$C12,"")))</x:f>
      </x:c>
      <x:c r="N12" s="528" t="str">
        <x:f>IF($A12="","",IF(AND(N$7&gt;=$D12,N$7&lt;$E12),"S",IF(AND(N$7&gt;=$E12,N$7&lt;$F12),"F"&amp;$C12,"")))</x:f>
        <x:v>F3</x:v>
      </x:c>
      <x:c r="O12" s="528" t="str">
        <x:f>IF($A12="","",IF(AND(O$7&gt;=$D12,O$7&lt;$E12),"S",IF(AND(O$7&gt;=$E12,O$7&lt;$F12),"F"&amp;$C12,"")))</x:f>
      </x:c>
      <x:c r="P12" s="528" t="str">
        <x:f>IF($A12="","",IF(AND(P$7&gt;=$D12,P$7&lt;$E12),"S",IF(AND(P$7&gt;=$E12,P$7&lt;$F12),"F"&amp;$C12,"")))</x:f>
      </x:c>
      <x:c r="Q12" s="528" t="str">
        <x:f>IF($A12="","",IF(AND(Q$7&gt;=$D12,Q$7&lt;$E12),"S",IF(AND(Q$7&gt;=$E12,Q$7&lt;$F12),"F"&amp;$C12,"")))</x:f>
      </x:c>
      <x:c r="R12" s="528" t="str">
        <x:f>IF($A12="","",IF(AND(R$7&gt;=$D12,R$7&lt;$E12),"S",IF(AND(R$7&gt;=$E12,R$7&lt;$F12),"F"&amp;$C12,"")))</x:f>
      </x:c>
      <x:c r="S12" s="528" t="str">
        <x:f>IF($A12="","",IF(AND(S$7&gt;=$D12,S$7&lt;$E12),"S",IF(AND(S$7&gt;=$E12,S$7&lt;$F12),"F"&amp;$C12,"")))</x:f>
      </x:c>
      <x:c r="T12" s="528" t="str">
        <x:f>IF($A12="","",IF(AND(T$7&gt;=$D12,T$7&lt;$E12),"S",IF(AND(T$7&gt;=$E12,T$7&lt;$F12),"F"&amp;$C12,"")))</x:f>
      </x:c>
      <x:c r="U12" s="528" t="str">
        <x:f>IF($A12="","",IF(AND(U$7&gt;=$D12,U$7&lt;$E12),"S",IF(AND(U$7&gt;=$E12,U$7&lt;$F12),"F"&amp;$C12,"")))</x:f>
      </x:c>
      <x:c r="V12" s="528" t="str">
        <x:f>IF($A12="","",IF(AND(V$7&gt;=$D12,V$7&lt;$E12),"S",IF(AND(V$7&gt;=$E12,V$7&lt;$F12),"F"&amp;$C12,"")))</x:f>
      </x:c>
      <x:c r="W12" s="528" t="str">
        <x:f>IF($A12="","",IF(AND(W$7&gt;=$D12,W$7&lt;$E12),"S",IF(AND(W$7&gt;=$E12,W$7&lt;$F12),"F"&amp;$C12,"")))</x:f>
      </x:c>
      <x:c r="X12" s="528" t="str">
        <x:f>IF($A12="","",IF(AND(X$7&gt;=$D12,X$7&lt;$E12),"S",IF(AND(X$7&gt;=$E12,X$7&lt;$F12),"F"&amp;$C12,"")))</x:f>
      </x:c>
      <x:c r="Y12" s="528" t="str">
        <x:f>IF($A12="","",IF(AND(Y$7&gt;=$D12,Y$7&lt;$E12),"S",IF(AND(Y$7&gt;=$E12,Y$7&lt;$F12),"F"&amp;$C12,"")))</x:f>
      </x:c>
      <x:c r="Z12" s="528" t="str">
        <x:f>IF($A12="","",IF(AND(Z$7&gt;=$D12,Z$7&lt;$E12),"S",IF(AND(Z$7&gt;=$E12,Z$7&lt;$F12),"F"&amp;$C12,"")))</x:f>
      </x:c>
      <x:c r="AA12" s="528" t="str">
        <x:f>IF($A12="","",IF(AND(AA$7&gt;=$D12,AA$7&lt;$E12),"S",IF(AND(AA$7&gt;=$E12,AA$7&lt;$F12),"F"&amp;$C12,"")))</x:f>
      </x:c>
      <x:c r="AB12" s="528" t="str">
        <x:f>IF($A12="","",IF(AND(AB$7&gt;=$D12,AB$7&lt;$E12),"S",IF(AND(AB$7&gt;=$E12,AB$7&lt;$F12),"F"&amp;$C12,"")))</x:f>
      </x:c>
      <x:c r="AC12" s="528" t="str">
        <x:f>IF($A12="","",IF(AND(AC$7&gt;=$D12,AC$7&lt;$E12),"S",IF(AND(AC$7&gt;=$E12,AC$7&lt;$F12),"F"&amp;$C12,"")))</x:f>
      </x:c>
      <x:c r="AD12" s="528" t="str">
        <x:f>IF($A12="","",IF(AND(AD$7&gt;=$D12,AD$7&lt;$E12),"S",IF(AND(AD$7&gt;=$E12,AD$7&lt;$F12),"F"&amp;$C12,"")))</x:f>
      </x:c>
      <x:c r="AE12" s="528" t="str">
        <x:f>IF($A12="","",IF(AND(AE$7&gt;=$D12,AE$7&lt;$E12),"S",IF(AND(AE$7&gt;=$E12,AE$7&lt;$F12),"F"&amp;$C12,"")))</x:f>
      </x:c>
      <x:c r="AF12" s="528" t="str">
        <x:f>IF($A12="","",IF(AND(AF$7&gt;=$D12,AF$7&lt;$E12),"S",IF(AND(AF$7&gt;=$E12,AF$7&lt;$F12),"F"&amp;$C12,"")))</x:f>
      </x:c>
      <x:c r="AG12" s="528" t="str">
        <x:f>IF($A12="","",IF(AND(AG$7&gt;=$D12,AG$7&lt;$E12),"S",IF(AND(AG$7&gt;=$E12,AG$7&lt;$F12),"F"&amp;$C12,"")))</x:f>
      </x:c>
      <x:c r="AH12" s="528" t="str">
        <x:f>IF($A12="","",IF(AND(AH$7&gt;=$D12,AH$7&lt;$E12),"S",IF(AND(AH$7&gt;=$E12,AH$7&lt;$F12),"F"&amp;$C12,"")))</x:f>
      </x:c>
      <x:c r="AI12" s="528" t="str">
        <x:f>IF($A12="","",IF(AND(AI$7&gt;=$D12,AI$7&lt;$E12),"S",IF(AND(AI$7&gt;=$E12,AI$7&lt;$F12),"F"&amp;$C12,"")))</x:f>
      </x:c>
      <x:c r="AJ12" s="528" t="str">
        <x:f>IF($A12="","",IF(AND(AJ$7&gt;=$D12,AJ$7&lt;$E12),"S",IF(AND(AJ$7&gt;=$E12,AJ$7&lt;$F12),"F"&amp;$C12,"")))</x:f>
      </x:c>
      <x:c r="AK12" s="528" t="str">
        <x:f>IF($A12="","",IF(AND(AK$7&gt;=$D12,AK$7&lt;$E12),"S",IF(AND(AK$7&gt;=$E12,AK$7&lt;$F12),"F"&amp;$C12,"")))</x:f>
      </x:c>
      <x:c r="AL12" s="528" t="str">
        <x:f>IF($A12="","",IF(AND(AL$7&gt;=$D12,AL$7&lt;$E12),"S",IF(AND(AL$7&gt;=$E12,AL$7&lt;$F12),"F"&amp;$C12,"")))</x:f>
      </x:c>
      <x:c r="AM12" s="528" t="str">
        <x:f>IF($A12="","",IF(AND(AM$7&gt;=$D12,AM$7&lt;$E12),"S",IF(AND(AM$7&gt;=$E12,AM$7&lt;$F12),"F"&amp;$C12,"")))</x:f>
      </x:c>
    </x:row>
    <x:row r="13" ht="13.5" customHeight="1">
      <x:c r="A13" s="525" t="n">
        <x:f>IF(ISBLANK('_SCHEDULE'!A7),"",'_SCHEDULE'!A7)</x:f>
        <x:v>6</x:v>
      </x:c>
      <x:c r="B13" s="525" t="n">
        <x:f>IF(ISBLANK('_SCHEDULE'!C7),"",'_SCHEDULE'!C7)</x:f>
        <x:v>45</x:v>
      </x:c>
      <x:c r="C13" s="525" t="n">
        <x:f>IF(ISBLANK('_SCHEDULE'!D7),"",'_SCHEDULE'!D7)</x:f>
        <x:v>3</x:v>
      </x:c>
      <x:c r="D13" s="525" t="n">
        <x:f>IF(ISBLANK('_SCHEDULE'!H7),"",'_SCHEDULE'!H7)</x:f>
        <x:v>350</x:v>
      </x:c>
      <x:c r="E13" s="525" t="n">
        <x:f>IF(ISBLANK('_SCHEDULE'!J7),"",'_SCHEDULE'!J7)</x:f>
        <x:v>350</x:v>
      </x:c>
      <x:c r="F13" s="525" t="n">
        <x:f>IF(ISBLANK('_SCHEDULE'!L7),"",'_SCHEDULE'!L7)</x:f>
        <x:v>420</x:v>
      </x:c>
      <x:c r="G13" s="525" t="n">
        <x:f>IF(ISBLANK('_SCHEDULE'!F7),"",'_SCHEDULE'!F7)</x:f>
        <x:v>1200</x:v>
      </x:c>
      <x:c r="H13" s="528" t="str">
        <x:f>IF($A13="","",IF(AND(H$7&gt;=$D13,H$7&lt;$E13),"S",IF(AND(H$7&gt;=$E13,H$7&lt;$F13),"F"&amp;$C13,"")))</x:f>
      </x:c>
      <x:c r="I13" s="528" t="str">
        <x:f>IF($A13="","",IF(AND(I$7&gt;=$D13,I$7&lt;$E13),"S",IF(AND(I$7&gt;=$E13,I$7&lt;$F13),"F"&amp;$C13,"")))</x:f>
      </x:c>
      <x:c r="J13" s="528" t="str">
        <x:f>IF($A13="","",IF(AND(J$7&gt;=$D13,J$7&lt;$E13),"S",IF(AND(J$7&gt;=$E13,J$7&lt;$F13),"F"&amp;$C13,"")))</x:f>
      </x:c>
      <x:c r="K13" s="528" t="str">
        <x:f>IF($A13="","",IF(AND(K$7&gt;=$D13,K$7&lt;$E13),"S",IF(AND(K$7&gt;=$E13,K$7&lt;$F13),"F"&amp;$C13,"")))</x:f>
      </x:c>
      <x:c r="L13" s="528" t="str">
        <x:f>IF($A13="","",IF(AND(L$7&gt;=$D13,L$7&lt;$E13),"S",IF(AND(L$7&gt;=$E13,L$7&lt;$F13),"F"&amp;$C13,"")))</x:f>
      </x:c>
      <x:c r="M13" s="528" t="str">
        <x:f>IF($A13="","",IF(AND(M$7&gt;=$D13,M$7&lt;$E13),"S",IF(AND(M$7&gt;=$E13,M$7&lt;$F13),"F"&amp;$C13,"")))</x:f>
      </x:c>
      <x:c r="N13" s="528" t="str">
        <x:f>IF($A13="","",IF(AND(N$7&gt;=$D13,N$7&lt;$E13),"S",IF(AND(N$7&gt;=$E13,N$7&lt;$F13),"F"&amp;$C13,"")))</x:f>
      </x:c>
      <x:c r="O13" s="528" t="str">
        <x:f>IF($A13="","",IF(AND(O$7&gt;=$D13,O$7&lt;$E13),"S",IF(AND(O$7&gt;=$E13,O$7&lt;$F13),"F"&amp;$C13,"")))</x:f>
        <x:v>F3</x:v>
      </x:c>
      <x:c r="P13" s="528" t="str">
        <x:f>IF($A13="","",IF(AND(P$7&gt;=$D13,P$7&lt;$E13),"S",IF(AND(P$7&gt;=$E13,P$7&lt;$F13),"F"&amp;$C13,"")))</x:f>
        <x:v>F3</x:v>
      </x:c>
      <x:c r="Q13" s="528" t="str">
        <x:f>IF($A13="","",IF(AND(Q$7&gt;=$D13,Q$7&lt;$E13),"S",IF(AND(Q$7&gt;=$E13,Q$7&lt;$F13),"F"&amp;$C13,"")))</x:f>
      </x:c>
      <x:c r="R13" s="528" t="str">
        <x:f>IF($A13="","",IF(AND(R$7&gt;=$D13,R$7&lt;$E13),"S",IF(AND(R$7&gt;=$E13,R$7&lt;$F13),"F"&amp;$C13,"")))</x:f>
      </x:c>
      <x:c r="S13" s="528" t="str">
        <x:f>IF($A13="","",IF(AND(S$7&gt;=$D13,S$7&lt;$E13),"S",IF(AND(S$7&gt;=$E13,S$7&lt;$F13),"F"&amp;$C13,"")))</x:f>
      </x:c>
      <x:c r="T13" s="528" t="str">
        <x:f>IF($A13="","",IF(AND(T$7&gt;=$D13,T$7&lt;$E13),"S",IF(AND(T$7&gt;=$E13,T$7&lt;$F13),"F"&amp;$C13,"")))</x:f>
      </x:c>
      <x:c r="U13" s="528" t="str">
        <x:f>IF($A13="","",IF(AND(U$7&gt;=$D13,U$7&lt;$E13),"S",IF(AND(U$7&gt;=$E13,U$7&lt;$F13),"F"&amp;$C13,"")))</x:f>
      </x:c>
      <x:c r="V13" s="528" t="str">
        <x:f>IF($A13="","",IF(AND(V$7&gt;=$D13,V$7&lt;$E13),"S",IF(AND(V$7&gt;=$E13,V$7&lt;$F13),"F"&amp;$C13,"")))</x:f>
      </x:c>
      <x:c r="W13" s="528" t="str">
        <x:f>IF($A13="","",IF(AND(W$7&gt;=$D13,W$7&lt;$E13),"S",IF(AND(W$7&gt;=$E13,W$7&lt;$F13),"F"&amp;$C13,"")))</x:f>
      </x:c>
      <x:c r="X13" s="528" t="str">
        <x:f>IF($A13="","",IF(AND(X$7&gt;=$D13,X$7&lt;$E13),"S",IF(AND(X$7&gt;=$E13,X$7&lt;$F13),"F"&amp;$C13,"")))</x:f>
      </x:c>
      <x:c r="Y13" s="528" t="str">
        <x:f>IF($A13="","",IF(AND(Y$7&gt;=$D13,Y$7&lt;$E13),"S",IF(AND(Y$7&gt;=$E13,Y$7&lt;$F13),"F"&amp;$C13,"")))</x:f>
      </x:c>
      <x:c r="Z13" s="528" t="str">
        <x:f>IF($A13="","",IF(AND(Z$7&gt;=$D13,Z$7&lt;$E13),"S",IF(AND(Z$7&gt;=$E13,Z$7&lt;$F13),"F"&amp;$C13,"")))</x:f>
      </x:c>
      <x:c r="AA13" s="528" t="str">
        <x:f>IF($A13="","",IF(AND(AA$7&gt;=$D13,AA$7&lt;$E13),"S",IF(AND(AA$7&gt;=$E13,AA$7&lt;$F13),"F"&amp;$C13,"")))</x:f>
      </x:c>
      <x:c r="AB13" s="528" t="str">
        <x:f>IF($A13="","",IF(AND(AB$7&gt;=$D13,AB$7&lt;$E13),"S",IF(AND(AB$7&gt;=$E13,AB$7&lt;$F13),"F"&amp;$C13,"")))</x:f>
      </x:c>
      <x:c r="AC13" s="528" t="str">
        <x:f>IF($A13="","",IF(AND(AC$7&gt;=$D13,AC$7&lt;$E13),"S",IF(AND(AC$7&gt;=$E13,AC$7&lt;$F13),"F"&amp;$C13,"")))</x:f>
      </x:c>
      <x:c r="AD13" s="528" t="str">
        <x:f>IF($A13="","",IF(AND(AD$7&gt;=$D13,AD$7&lt;$E13),"S",IF(AND(AD$7&gt;=$E13,AD$7&lt;$F13),"F"&amp;$C13,"")))</x:f>
      </x:c>
      <x:c r="AE13" s="528" t="str">
        <x:f>IF($A13="","",IF(AND(AE$7&gt;=$D13,AE$7&lt;$E13),"S",IF(AND(AE$7&gt;=$E13,AE$7&lt;$F13),"F"&amp;$C13,"")))</x:f>
      </x:c>
      <x:c r="AF13" s="528" t="str">
        <x:f>IF($A13="","",IF(AND(AF$7&gt;=$D13,AF$7&lt;$E13),"S",IF(AND(AF$7&gt;=$E13,AF$7&lt;$F13),"F"&amp;$C13,"")))</x:f>
      </x:c>
      <x:c r="AG13" s="528" t="str">
        <x:f>IF($A13="","",IF(AND(AG$7&gt;=$D13,AG$7&lt;$E13),"S",IF(AND(AG$7&gt;=$E13,AG$7&lt;$F13),"F"&amp;$C13,"")))</x:f>
      </x:c>
      <x:c r="AH13" s="528" t="str">
        <x:f>IF($A13="","",IF(AND(AH$7&gt;=$D13,AH$7&lt;$E13),"S",IF(AND(AH$7&gt;=$E13,AH$7&lt;$F13),"F"&amp;$C13,"")))</x:f>
      </x:c>
      <x:c r="AI13" s="528" t="str">
        <x:f>IF($A13="","",IF(AND(AI$7&gt;=$D13,AI$7&lt;$E13),"S",IF(AND(AI$7&gt;=$E13,AI$7&lt;$F13),"F"&amp;$C13,"")))</x:f>
      </x:c>
      <x:c r="AJ13" s="528" t="str">
        <x:f>IF($A13="","",IF(AND(AJ$7&gt;=$D13,AJ$7&lt;$E13),"S",IF(AND(AJ$7&gt;=$E13,AJ$7&lt;$F13),"F"&amp;$C13,"")))</x:f>
      </x:c>
      <x:c r="AK13" s="528" t="str">
        <x:f>IF($A13="","",IF(AND(AK$7&gt;=$D13,AK$7&lt;$E13),"S",IF(AND(AK$7&gt;=$E13,AK$7&lt;$F13),"F"&amp;$C13,"")))</x:f>
      </x:c>
      <x:c r="AL13" s="528" t="str">
        <x:f>IF($A13="","",IF(AND(AL$7&gt;=$D13,AL$7&lt;$E13),"S",IF(AND(AL$7&gt;=$E13,AL$7&lt;$F13),"F"&amp;$C13,"")))</x:f>
      </x:c>
      <x:c r="AM13" s="528" t="str">
        <x:f>IF($A13="","",IF(AND(AM$7&gt;=$D13,AM$7&lt;$E13),"S",IF(AND(AM$7&gt;=$E13,AM$7&lt;$F13),"F"&amp;$C13,"")))</x:f>
      </x:c>
    </x:row>
    <x:row r="14" ht="13.5" customHeight="1">
      <x:c r="A14" s="525" t="n">
        <x:f>IF(ISBLANK('_SCHEDULE'!A8),"",'_SCHEDULE'!A8)</x:f>
        <x:v>7</x:v>
      </x:c>
      <x:c r="B14" s="525" t="n">
        <x:f>IF(ISBLANK('_SCHEDULE'!C8),"",'_SCHEDULE'!C8)</x:f>
        <x:v>43</x:v>
      </x:c>
      <x:c r="C14" s="525" t="n">
        <x:f>IF(ISBLANK('_SCHEDULE'!D8),"",'_SCHEDULE'!D8)</x:f>
        <x:v>3</x:v>
      </x:c>
      <x:c r="D14" s="525" t="n">
        <x:f>IF(ISBLANK('_SCHEDULE'!H8),"",'_SCHEDULE'!H8)</x:f>
        <x:v>420</x:v>
      </x:c>
      <x:c r="E14" s="525" t="n">
        <x:f>IF(ISBLANK('_SCHEDULE'!J8),"",'_SCHEDULE'!J8)</x:f>
        <x:v>420</x:v>
      </x:c>
      <x:c r="F14" s="525" t="n">
        <x:f>IF(ISBLANK('_SCHEDULE'!L8),"",'_SCHEDULE'!L8)</x:f>
        <x:v>490</x:v>
      </x:c>
      <x:c r="G14" s="525" t="n">
        <x:f>IF(ISBLANK('_SCHEDULE'!F8),"",'_SCHEDULE'!F8)</x:f>
        <x:v>1400</x:v>
      </x:c>
      <x:c r="H14" s="528" t="str">
        <x:f>IF($A14="","",IF(AND(H$7&gt;=$D14,H$7&lt;$E14),"S",IF(AND(H$7&gt;=$E14,H$7&lt;$F14),"F"&amp;$C14,"")))</x:f>
      </x:c>
      <x:c r="I14" s="528" t="str">
        <x:f>IF($A14="","",IF(AND(I$7&gt;=$D14,I$7&lt;$E14),"S",IF(AND(I$7&gt;=$E14,I$7&lt;$F14),"F"&amp;$C14,"")))</x:f>
      </x:c>
      <x:c r="J14" s="528" t="str">
        <x:f>IF($A14="","",IF(AND(J$7&gt;=$D14,J$7&lt;$E14),"S",IF(AND(J$7&gt;=$E14,J$7&lt;$F14),"F"&amp;$C14,"")))</x:f>
      </x:c>
      <x:c r="K14" s="528" t="str">
        <x:f>IF($A14="","",IF(AND(K$7&gt;=$D14,K$7&lt;$E14),"S",IF(AND(K$7&gt;=$E14,K$7&lt;$F14),"F"&amp;$C14,"")))</x:f>
      </x:c>
      <x:c r="L14" s="528" t="str">
        <x:f>IF($A14="","",IF(AND(L$7&gt;=$D14,L$7&lt;$E14),"S",IF(AND(L$7&gt;=$E14,L$7&lt;$F14),"F"&amp;$C14,"")))</x:f>
      </x:c>
      <x:c r="M14" s="528" t="str">
        <x:f>IF($A14="","",IF(AND(M$7&gt;=$D14,M$7&lt;$E14),"S",IF(AND(M$7&gt;=$E14,M$7&lt;$F14),"F"&amp;$C14,"")))</x:f>
      </x:c>
      <x:c r="N14" s="528" t="str">
        <x:f>IF($A14="","",IF(AND(N$7&gt;=$D14,N$7&lt;$E14),"S",IF(AND(N$7&gt;=$E14,N$7&lt;$F14),"F"&amp;$C14,"")))</x:f>
      </x:c>
      <x:c r="O14" s="528" t="str">
        <x:f>IF($A14="","",IF(AND(O$7&gt;=$D14,O$7&lt;$E14),"S",IF(AND(O$7&gt;=$E14,O$7&lt;$F14),"F"&amp;$C14,"")))</x:f>
      </x:c>
      <x:c r="P14" s="528" t="str">
        <x:f>IF($A14="","",IF(AND(P$7&gt;=$D14,P$7&lt;$E14),"S",IF(AND(P$7&gt;=$E14,P$7&lt;$F14),"F"&amp;$C14,"")))</x:f>
      </x:c>
      <x:c r="Q14" s="528" t="str">
        <x:f>IF($A14="","",IF(AND(Q$7&gt;=$D14,Q$7&lt;$E14),"S",IF(AND(Q$7&gt;=$E14,Q$7&lt;$F14),"F"&amp;$C14,"")))</x:f>
        <x:v>F3</x:v>
      </x:c>
      <x:c r="R14" s="528" t="str">
        <x:f>IF($A14="","",IF(AND(R$7&gt;=$D14,R$7&lt;$E14),"S",IF(AND(R$7&gt;=$E14,R$7&lt;$F14),"F"&amp;$C14,"")))</x:f>
      </x:c>
      <x:c r="S14" s="528" t="str">
        <x:f>IF($A14="","",IF(AND(S$7&gt;=$D14,S$7&lt;$E14),"S",IF(AND(S$7&gt;=$E14,S$7&lt;$F14),"F"&amp;$C14,"")))</x:f>
      </x:c>
      <x:c r="T14" s="528" t="str">
        <x:f>IF($A14="","",IF(AND(T$7&gt;=$D14,T$7&lt;$E14),"S",IF(AND(T$7&gt;=$E14,T$7&lt;$F14),"F"&amp;$C14,"")))</x:f>
      </x:c>
      <x:c r="U14" s="528" t="str">
        <x:f>IF($A14="","",IF(AND(U$7&gt;=$D14,U$7&lt;$E14),"S",IF(AND(U$7&gt;=$E14,U$7&lt;$F14),"F"&amp;$C14,"")))</x:f>
      </x:c>
      <x:c r="V14" s="528" t="str">
        <x:f>IF($A14="","",IF(AND(V$7&gt;=$D14,V$7&lt;$E14),"S",IF(AND(V$7&gt;=$E14,V$7&lt;$F14),"F"&amp;$C14,"")))</x:f>
      </x:c>
      <x:c r="W14" s="528" t="str">
        <x:f>IF($A14="","",IF(AND(W$7&gt;=$D14,W$7&lt;$E14),"S",IF(AND(W$7&gt;=$E14,W$7&lt;$F14),"F"&amp;$C14,"")))</x:f>
      </x:c>
      <x:c r="X14" s="528" t="str">
        <x:f>IF($A14="","",IF(AND(X$7&gt;=$D14,X$7&lt;$E14),"S",IF(AND(X$7&gt;=$E14,X$7&lt;$F14),"F"&amp;$C14,"")))</x:f>
      </x:c>
      <x:c r="Y14" s="528" t="str">
        <x:f>IF($A14="","",IF(AND(Y$7&gt;=$D14,Y$7&lt;$E14),"S",IF(AND(Y$7&gt;=$E14,Y$7&lt;$F14),"F"&amp;$C14,"")))</x:f>
      </x:c>
      <x:c r="Z14" s="528" t="str">
        <x:f>IF($A14="","",IF(AND(Z$7&gt;=$D14,Z$7&lt;$E14),"S",IF(AND(Z$7&gt;=$E14,Z$7&lt;$F14),"F"&amp;$C14,"")))</x:f>
      </x:c>
      <x:c r="AA14" s="528" t="str">
        <x:f>IF($A14="","",IF(AND(AA$7&gt;=$D14,AA$7&lt;$E14),"S",IF(AND(AA$7&gt;=$E14,AA$7&lt;$F14),"F"&amp;$C14,"")))</x:f>
      </x:c>
      <x:c r="AB14" s="528" t="str">
        <x:f>IF($A14="","",IF(AND(AB$7&gt;=$D14,AB$7&lt;$E14),"S",IF(AND(AB$7&gt;=$E14,AB$7&lt;$F14),"F"&amp;$C14,"")))</x:f>
      </x:c>
      <x:c r="AC14" s="528" t="str">
        <x:f>IF($A14="","",IF(AND(AC$7&gt;=$D14,AC$7&lt;$E14),"S",IF(AND(AC$7&gt;=$E14,AC$7&lt;$F14),"F"&amp;$C14,"")))</x:f>
      </x:c>
      <x:c r="AD14" s="528" t="str">
        <x:f>IF($A14="","",IF(AND(AD$7&gt;=$D14,AD$7&lt;$E14),"S",IF(AND(AD$7&gt;=$E14,AD$7&lt;$F14),"F"&amp;$C14,"")))</x:f>
      </x:c>
      <x:c r="AE14" s="528" t="str">
        <x:f>IF($A14="","",IF(AND(AE$7&gt;=$D14,AE$7&lt;$E14),"S",IF(AND(AE$7&gt;=$E14,AE$7&lt;$F14),"F"&amp;$C14,"")))</x:f>
      </x:c>
      <x:c r="AF14" s="528" t="str">
        <x:f>IF($A14="","",IF(AND(AF$7&gt;=$D14,AF$7&lt;$E14),"S",IF(AND(AF$7&gt;=$E14,AF$7&lt;$F14),"F"&amp;$C14,"")))</x:f>
      </x:c>
      <x:c r="AG14" s="528" t="str">
        <x:f>IF($A14="","",IF(AND(AG$7&gt;=$D14,AG$7&lt;$E14),"S",IF(AND(AG$7&gt;=$E14,AG$7&lt;$F14),"F"&amp;$C14,"")))</x:f>
      </x:c>
      <x:c r="AH14" s="528" t="str">
        <x:f>IF($A14="","",IF(AND(AH$7&gt;=$D14,AH$7&lt;$E14),"S",IF(AND(AH$7&gt;=$E14,AH$7&lt;$F14),"F"&amp;$C14,"")))</x:f>
      </x:c>
      <x:c r="AI14" s="528" t="str">
        <x:f>IF($A14="","",IF(AND(AI$7&gt;=$D14,AI$7&lt;$E14),"S",IF(AND(AI$7&gt;=$E14,AI$7&lt;$F14),"F"&amp;$C14,"")))</x:f>
      </x:c>
      <x:c r="AJ14" s="528" t="str">
        <x:f>IF($A14="","",IF(AND(AJ$7&gt;=$D14,AJ$7&lt;$E14),"S",IF(AND(AJ$7&gt;=$E14,AJ$7&lt;$F14),"F"&amp;$C14,"")))</x:f>
      </x:c>
      <x:c r="AK14" s="528" t="str">
        <x:f>IF($A14="","",IF(AND(AK$7&gt;=$D14,AK$7&lt;$E14),"S",IF(AND(AK$7&gt;=$E14,AK$7&lt;$F14),"F"&amp;$C14,"")))</x:f>
      </x:c>
      <x:c r="AL14" s="528" t="str">
        <x:f>IF($A14="","",IF(AND(AL$7&gt;=$D14,AL$7&lt;$E14),"S",IF(AND(AL$7&gt;=$E14,AL$7&lt;$F14),"F"&amp;$C14,"")))</x:f>
      </x:c>
      <x:c r="AM14" s="528" t="str">
        <x:f>IF($A14="","",IF(AND(AM$7&gt;=$D14,AM$7&lt;$E14),"S",IF(AND(AM$7&gt;=$E14,AM$7&lt;$F14),"F"&amp;$C14,"")))</x:f>
      </x:c>
    </x:row>
    <x:row r="15" ht="13.5" customHeight="1">
      <x:c r="A15" s="525" t="n">
        <x:f>IF(ISBLANK('_SCHEDULE'!A9),"",'_SCHEDULE'!A9)</x:f>
        <x:v>8</x:v>
      </x:c>
      <x:c r="B15" s="525" t="n">
        <x:f>IF(ISBLANK('_SCHEDULE'!C9),"",'_SCHEDULE'!C9)</x:f>
        <x:v>42</x:v>
      </x:c>
      <x:c r="C15" s="525" t="n">
        <x:f>IF(ISBLANK('_SCHEDULE'!D9),"",'_SCHEDULE'!D9)</x:f>
        <x:v>3</x:v>
      </x:c>
      <x:c r="D15" s="525" t="n">
        <x:f>IF(ISBLANK('_SCHEDULE'!H9),"",'_SCHEDULE'!H9)</x:f>
        <x:v>490</x:v>
      </x:c>
      <x:c r="E15" s="525" t="n">
        <x:f>IF(ISBLANK('_SCHEDULE'!J9),"",'_SCHEDULE'!J9)</x:f>
        <x:v>490</x:v>
      </x:c>
      <x:c r="F15" s="525" t="n">
        <x:f>IF(ISBLANK('_SCHEDULE'!L9),"",'_SCHEDULE'!L9)</x:f>
        <x:v>560</x:v>
      </x:c>
      <x:c r="G15" s="525" t="n">
        <x:f>IF(ISBLANK('_SCHEDULE'!F9),"",'_SCHEDULE'!F9)</x:f>
        <x:v>1400</x:v>
      </x:c>
      <x:c r="H15" s="528" t="str">
        <x:f>IF($A15="","",IF(AND(H$7&gt;=$D15,H$7&lt;$E15),"S",IF(AND(H$7&gt;=$E15,H$7&lt;$F15),"F"&amp;$C15,"")))</x:f>
      </x:c>
      <x:c r="I15" s="528" t="str">
        <x:f>IF($A15="","",IF(AND(I$7&gt;=$D15,I$7&lt;$E15),"S",IF(AND(I$7&gt;=$E15,I$7&lt;$F15),"F"&amp;$C15,"")))</x:f>
      </x:c>
      <x:c r="J15" s="528" t="str">
        <x:f>IF($A15="","",IF(AND(J$7&gt;=$D15,J$7&lt;$E15),"S",IF(AND(J$7&gt;=$E15,J$7&lt;$F15),"F"&amp;$C15,"")))</x:f>
      </x:c>
      <x:c r="K15" s="528" t="str">
        <x:f>IF($A15="","",IF(AND(K$7&gt;=$D15,K$7&lt;$E15),"S",IF(AND(K$7&gt;=$E15,K$7&lt;$F15),"F"&amp;$C15,"")))</x:f>
      </x:c>
      <x:c r="L15" s="528" t="str">
        <x:f>IF($A15="","",IF(AND(L$7&gt;=$D15,L$7&lt;$E15),"S",IF(AND(L$7&gt;=$E15,L$7&lt;$F15),"F"&amp;$C15,"")))</x:f>
      </x:c>
      <x:c r="M15" s="528" t="str">
        <x:f>IF($A15="","",IF(AND(M$7&gt;=$D15,M$7&lt;$E15),"S",IF(AND(M$7&gt;=$E15,M$7&lt;$F15),"F"&amp;$C15,"")))</x:f>
      </x:c>
      <x:c r="N15" s="528" t="str">
        <x:f>IF($A15="","",IF(AND(N$7&gt;=$D15,N$7&lt;$E15),"S",IF(AND(N$7&gt;=$E15,N$7&lt;$F15),"F"&amp;$C15,"")))</x:f>
      </x:c>
      <x:c r="O15" s="528" t="str">
        <x:f>IF($A15="","",IF(AND(O$7&gt;=$D15,O$7&lt;$E15),"S",IF(AND(O$7&gt;=$E15,O$7&lt;$F15),"F"&amp;$C15,"")))</x:f>
      </x:c>
      <x:c r="P15" s="528" t="str">
        <x:f>IF($A15="","",IF(AND(P$7&gt;=$D15,P$7&lt;$E15),"S",IF(AND(P$7&gt;=$E15,P$7&lt;$F15),"F"&amp;$C15,"")))</x:f>
      </x:c>
      <x:c r="Q15" s="528" t="str">
        <x:f>IF($A15="","",IF(AND(Q$7&gt;=$D15,Q$7&lt;$E15),"S",IF(AND(Q$7&gt;=$E15,Q$7&lt;$F15),"F"&amp;$C15,"")))</x:f>
      </x:c>
      <x:c r="R15" s="528" t="str">
        <x:f>IF($A15="","",IF(AND(R$7&gt;=$D15,R$7&lt;$E15),"S",IF(AND(R$7&gt;=$E15,R$7&lt;$F15),"F"&amp;$C15,"")))</x:f>
        <x:v>F3</x:v>
      </x:c>
      <x:c r="S15" s="528" t="str">
        <x:f>IF($A15="","",IF(AND(S$7&gt;=$D15,S$7&lt;$E15),"S",IF(AND(S$7&gt;=$E15,S$7&lt;$F15),"F"&amp;$C15,"")))</x:f>
      </x:c>
      <x:c r="T15" s="528" t="str">
        <x:f>IF($A15="","",IF(AND(T$7&gt;=$D15,T$7&lt;$E15),"S",IF(AND(T$7&gt;=$E15,T$7&lt;$F15),"F"&amp;$C15,"")))</x:f>
      </x:c>
      <x:c r="U15" s="528" t="str">
        <x:f>IF($A15="","",IF(AND(U$7&gt;=$D15,U$7&lt;$E15),"S",IF(AND(U$7&gt;=$E15,U$7&lt;$F15),"F"&amp;$C15,"")))</x:f>
      </x:c>
      <x:c r="V15" s="528" t="str">
        <x:f>IF($A15="","",IF(AND(V$7&gt;=$D15,V$7&lt;$E15),"S",IF(AND(V$7&gt;=$E15,V$7&lt;$F15),"F"&amp;$C15,"")))</x:f>
      </x:c>
      <x:c r="W15" s="528" t="str">
        <x:f>IF($A15="","",IF(AND(W$7&gt;=$D15,W$7&lt;$E15),"S",IF(AND(W$7&gt;=$E15,W$7&lt;$F15),"F"&amp;$C15,"")))</x:f>
      </x:c>
      <x:c r="X15" s="528" t="str">
        <x:f>IF($A15="","",IF(AND(X$7&gt;=$D15,X$7&lt;$E15),"S",IF(AND(X$7&gt;=$E15,X$7&lt;$F15),"F"&amp;$C15,"")))</x:f>
      </x:c>
      <x:c r="Y15" s="528" t="str">
        <x:f>IF($A15="","",IF(AND(Y$7&gt;=$D15,Y$7&lt;$E15),"S",IF(AND(Y$7&gt;=$E15,Y$7&lt;$F15),"F"&amp;$C15,"")))</x:f>
      </x:c>
      <x:c r="Z15" s="528" t="str">
        <x:f>IF($A15="","",IF(AND(Z$7&gt;=$D15,Z$7&lt;$E15),"S",IF(AND(Z$7&gt;=$E15,Z$7&lt;$F15),"F"&amp;$C15,"")))</x:f>
      </x:c>
      <x:c r="AA15" s="528" t="str">
        <x:f>IF($A15="","",IF(AND(AA$7&gt;=$D15,AA$7&lt;$E15),"S",IF(AND(AA$7&gt;=$E15,AA$7&lt;$F15),"F"&amp;$C15,"")))</x:f>
      </x:c>
      <x:c r="AB15" s="528" t="str">
        <x:f>IF($A15="","",IF(AND(AB$7&gt;=$D15,AB$7&lt;$E15),"S",IF(AND(AB$7&gt;=$E15,AB$7&lt;$F15),"F"&amp;$C15,"")))</x:f>
      </x:c>
      <x:c r="AC15" s="528" t="str">
        <x:f>IF($A15="","",IF(AND(AC$7&gt;=$D15,AC$7&lt;$E15),"S",IF(AND(AC$7&gt;=$E15,AC$7&lt;$F15),"F"&amp;$C15,"")))</x:f>
      </x:c>
      <x:c r="AD15" s="528" t="str">
        <x:f>IF($A15="","",IF(AND(AD$7&gt;=$D15,AD$7&lt;$E15),"S",IF(AND(AD$7&gt;=$E15,AD$7&lt;$F15),"F"&amp;$C15,"")))</x:f>
      </x:c>
      <x:c r="AE15" s="528" t="str">
        <x:f>IF($A15="","",IF(AND(AE$7&gt;=$D15,AE$7&lt;$E15),"S",IF(AND(AE$7&gt;=$E15,AE$7&lt;$F15),"F"&amp;$C15,"")))</x:f>
      </x:c>
      <x:c r="AF15" s="528" t="str">
        <x:f>IF($A15="","",IF(AND(AF$7&gt;=$D15,AF$7&lt;$E15),"S",IF(AND(AF$7&gt;=$E15,AF$7&lt;$F15),"F"&amp;$C15,"")))</x:f>
      </x:c>
      <x:c r="AG15" s="528" t="str">
        <x:f>IF($A15="","",IF(AND(AG$7&gt;=$D15,AG$7&lt;$E15),"S",IF(AND(AG$7&gt;=$E15,AG$7&lt;$F15),"F"&amp;$C15,"")))</x:f>
      </x:c>
      <x:c r="AH15" s="528" t="str">
        <x:f>IF($A15="","",IF(AND(AH$7&gt;=$D15,AH$7&lt;$E15),"S",IF(AND(AH$7&gt;=$E15,AH$7&lt;$F15),"F"&amp;$C15,"")))</x:f>
      </x:c>
      <x:c r="AI15" s="528" t="str">
        <x:f>IF($A15="","",IF(AND(AI$7&gt;=$D15,AI$7&lt;$E15),"S",IF(AND(AI$7&gt;=$E15,AI$7&lt;$F15),"F"&amp;$C15,"")))</x:f>
      </x:c>
      <x:c r="AJ15" s="528" t="str">
        <x:f>IF($A15="","",IF(AND(AJ$7&gt;=$D15,AJ$7&lt;$E15),"S",IF(AND(AJ$7&gt;=$E15,AJ$7&lt;$F15),"F"&amp;$C15,"")))</x:f>
      </x:c>
      <x:c r="AK15" s="528" t="str">
        <x:f>IF($A15="","",IF(AND(AK$7&gt;=$D15,AK$7&lt;$E15),"S",IF(AND(AK$7&gt;=$E15,AK$7&lt;$F15),"F"&amp;$C15,"")))</x:f>
      </x:c>
      <x:c r="AL15" s="528" t="str">
        <x:f>IF($A15="","",IF(AND(AL$7&gt;=$D15,AL$7&lt;$E15),"S",IF(AND(AL$7&gt;=$E15,AL$7&lt;$F15),"F"&amp;$C15,"")))</x:f>
      </x:c>
      <x:c r="AM15" s="528" t="str">
        <x:f>IF($A15="","",IF(AND(AM$7&gt;=$D15,AM$7&lt;$E15),"S",IF(AND(AM$7&gt;=$E15,AM$7&lt;$F15),"F"&amp;$C15,"")))</x:f>
      </x:c>
    </x:row>
    <x:row r="16" ht="13.5" customHeight="1">
      <x:c r="A16" s="525" t="n">
        <x:f>IF(ISBLANK('_SCHEDULE'!A10),"",'_SCHEDULE'!A10)</x:f>
        <x:v>9</x:v>
      </x:c>
      <x:c r="B16" s="525" t="n">
        <x:f>IF(ISBLANK('_SCHEDULE'!C10),"",'_SCHEDULE'!C10)</x:f>
        <x:v>44</x:v>
      </x:c>
      <x:c r="C16" s="525" t="n">
        <x:f>IF(ISBLANK('_SCHEDULE'!D10),"",'_SCHEDULE'!D10)</x:f>
        <x:v>3</x:v>
      </x:c>
      <x:c r="D16" s="525" t="n">
        <x:f>IF(ISBLANK('_SCHEDULE'!H10),"",'_SCHEDULE'!H10)</x:f>
        <x:v>560</x:v>
      </x:c>
      <x:c r="E16" s="525" t="n">
        <x:f>IF(ISBLANK('_SCHEDULE'!J10),"",'_SCHEDULE'!J10)</x:f>
        <x:v>560</x:v>
      </x:c>
      <x:c r="F16" s="525" t="n">
        <x:f>IF(ISBLANK('_SCHEDULE'!L10),"",'_SCHEDULE'!L10)</x:f>
        <x:v>630</x:v>
      </x:c>
      <x:c r="G16" s="525" t="n">
        <x:f>IF(ISBLANK('_SCHEDULE'!F10),"",'_SCHEDULE'!F10)</x:f>
        <x:v>1400</x:v>
      </x:c>
      <x:c r="H16" s="528" t="str">
        <x:f>IF($A16="","",IF(AND(H$7&gt;=$D16,H$7&lt;$E16),"S",IF(AND(H$7&gt;=$E16,H$7&lt;$F16),"F"&amp;$C16,"")))</x:f>
      </x:c>
      <x:c r="I16" s="528" t="str">
        <x:f>IF($A16="","",IF(AND(I$7&gt;=$D16,I$7&lt;$E16),"S",IF(AND(I$7&gt;=$E16,I$7&lt;$F16),"F"&amp;$C16,"")))</x:f>
      </x:c>
      <x:c r="J16" s="528" t="str">
        <x:f>IF($A16="","",IF(AND(J$7&gt;=$D16,J$7&lt;$E16),"S",IF(AND(J$7&gt;=$E16,J$7&lt;$F16),"F"&amp;$C16,"")))</x:f>
      </x:c>
      <x:c r="K16" s="528" t="str">
        <x:f>IF($A16="","",IF(AND(K$7&gt;=$D16,K$7&lt;$E16),"S",IF(AND(K$7&gt;=$E16,K$7&lt;$F16),"F"&amp;$C16,"")))</x:f>
      </x:c>
      <x:c r="L16" s="528" t="str">
        <x:f>IF($A16="","",IF(AND(L$7&gt;=$D16,L$7&lt;$E16),"S",IF(AND(L$7&gt;=$E16,L$7&lt;$F16),"F"&amp;$C16,"")))</x:f>
      </x:c>
      <x:c r="M16" s="528" t="str">
        <x:f>IF($A16="","",IF(AND(M$7&gt;=$D16,M$7&lt;$E16),"S",IF(AND(M$7&gt;=$E16,M$7&lt;$F16),"F"&amp;$C16,"")))</x:f>
      </x:c>
      <x:c r="N16" s="528" t="str">
        <x:f>IF($A16="","",IF(AND(N$7&gt;=$D16,N$7&lt;$E16),"S",IF(AND(N$7&gt;=$E16,N$7&lt;$F16),"F"&amp;$C16,"")))</x:f>
      </x:c>
      <x:c r="O16" s="528" t="str">
        <x:f>IF($A16="","",IF(AND(O$7&gt;=$D16,O$7&lt;$E16),"S",IF(AND(O$7&gt;=$E16,O$7&lt;$F16),"F"&amp;$C16,"")))</x:f>
      </x:c>
      <x:c r="P16" s="528" t="str">
        <x:f>IF($A16="","",IF(AND(P$7&gt;=$D16,P$7&lt;$E16),"S",IF(AND(P$7&gt;=$E16,P$7&lt;$F16),"F"&amp;$C16,"")))</x:f>
      </x:c>
      <x:c r="Q16" s="528" t="str">
        <x:f>IF($A16="","",IF(AND(Q$7&gt;=$D16,Q$7&lt;$E16),"S",IF(AND(Q$7&gt;=$E16,Q$7&lt;$F16),"F"&amp;$C16,"")))</x:f>
      </x:c>
      <x:c r="R16" s="528" t="str">
        <x:f>IF($A16="","",IF(AND(R$7&gt;=$D16,R$7&lt;$E16),"S",IF(AND(R$7&gt;=$E16,R$7&lt;$F16),"F"&amp;$C16,"")))</x:f>
      </x:c>
      <x:c r="S16" s="528" t="str">
        <x:f>IF($A16="","",IF(AND(S$7&gt;=$D16,S$7&lt;$E16),"S",IF(AND(S$7&gt;=$E16,S$7&lt;$F16),"F"&amp;$C16,"")))</x:f>
        <x:v>F3</x:v>
      </x:c>
      <x:c r="T16" s="528" t="str">
        <x:f>IF($A16="","",IF(AND(T$7&gt;=$D16,T$7&lt;$E16),"S",IF(AND(T$7&gt;=$E16,T$7&lt;$F16),"F"&amp;$C16,"")))</x:f>
        <x:v>F3</x:v>
      </x:c>
      <x:c r="U16" s="528" t="str">
        <x:f>IF($A16="","",IF(AND(U$7&gt;=$D16,U$7&lt;$E16),"S",IF(AND(U$7&gt;=$E16,U$7&lt;$F16),"F"&amp;$C16,"")))</x:f>
      </x:c>
      <x:c r="V16" s="528" t="str">
        <x:f>IF($A16="","",IF(AND(V$7&gt;=$D16,V$7&lt;$E16),"S",IF(AND(V$7&gt;=$E16,V$7&lt;$F16),"F"&amp;$C16,"")))</x:f>
      </x:c>
      <x:c r="W16" s="528" t="str">
        <x:f>IF($A16="","",IF(AND(W$7&gt;=$D16,W$7&lt;$E16),"S",IF(AND(W$7&gt;=$E16,W$7&lt;$F16),"F"&amp;$C16,"")))</x:f>
      </x:c>
      <x:c r="X16" s="528" t="str">
        <x:f>IF($A16="","",IF(AND(X$7&gt;=$D16,X$7&lt;$E16),"S",IF(AND(X$7&gt;=$E16,X$7&lt;$F16),"F"&amp;$C16,"")))</x:f>
      </x:c>
      <x:c r="Y16" s="528" t="str">
        <x:f>IF($A16="","",IF(AND(Y$7&gt;=$D16,Y$7&lt;$E16),"S",IF(AND(Y$7&gt;=$E16,Y$7&lt;$F16),"F"&amp;$C16,"")))</x:f>
      </x:c>
      <x:c r="Z16" s="528" t="str">
        <x:f>IF($A16="","",IF(AND(Z$7&gt;=$D16,Z$7&lt;$E16),"S",IF(AND(Z$7&gt;=$E16,Z$7&lt;$F16),"F"&amp;$C16,"")))</x:f>
      </x:c>
      <x:c r="AA16" s="528" t="str">
        <x:f>IF($A16="","",IF(AND(AA$7&gt;=$D16,AA$7&lt;$E16),"S",IF(AND(AA$7&gt;=$E16,AA$7&lt;$F16),"F"&amp;$C16,"")))</x:f>
      </x:c>
      <x:c r="AB16" s="528" t="str">
        <x:f>IF($A16="","",IF(AND(AB$7&gt;=$D16,AB$7&lt;$E16),"S",IF(AND(AB$7&gt;=$E16,AB$7&lt;$F16),"F"&amp;$C16,"")))</x:f>
      </x:c>
      <x:c r="AC16" s="528" t="str">
        <x:f>IF($A16="","",IF(AND(AC$7&gt;=$D16,AC$7&lt;$E16),"S",IF(AND(AC$7&gt;=$E16,AC$7&lt;$F16),"F"&amp;$C16,"")))</x:f>
      </x:c>
      <x:c r="AD16" s="528" t="str">
        <x:f>IF($A16="","",IF(AND(AD$7&gt;=$D16,AD$7&lt;$E16),"S",IF(AND(AD$7&gt;=$E16,AD$7&lt;$F16),"F"&amp;$C16,"")))</x:f>
      </x:c>
      <x:c r="AE16" s="528" t="str">
        <x:f>IF($A16="","",IF(AND(AE$7&gt;=$D16,AE$7&lt;$E16),"S",IF(AND(AE$7&gt;=$E16,AE$7&lt;$F16),"F"&amp;$C16,"")))</x:f>
      </x:c>
      <x:c r="AF16" s="528" t="str">
        <x:f>IF($A16="","",IF(AND(AF$7&gt;=$D16,AF$7&lt;$E16),"S",IF(AND(AF$7&gt;=$E16,AF$7&lt;$F16),"F"&amp;$C16,"")))</x:f>
      </x:c>
      <x:c r="AG16" s="528" t="str">
        <x:f>IF($A16="","",IF(AND(AG$7&gt;=$D16,AG$7&lt;$E16),"S",IF(AND(AG$7&gt;=$E16,AG$7&lt;$F16),"F"&amp;$C16,"")))</x:f>
      </x:c>
      <x:c r="AH16" s="528" t="str">
        <x:f>IF($A16="","",IF(AND(AH$7&gt;=$D16,AH$7&lt;$E16),"S",IF(AND(AH$7&gt;=$E16,AH$7&lt;$F16),"F"&amp;$C16,"")))</x:f>
      </x:c>
      <x:c r="AI16" s="528" t="str">
        <x:f>IF($A16="","",IF(AND(AI$7&gt;=$D16,AI$7&lt;$E16),"S",IF(AND(AI$7&gt;=$E16,AI$7&lt;$F16),"F"&amp;$C16,"")))</x:f>
      </x:c>
      <x:c r="AJ16" s="528" t="str">
        <x:f>IF($A16="","",IF(AND(AJ$7&gt;=$D16,AJ$7&lt;$E16),"S",IF(AND(AJ$7&gt;=$E16,AJ$7&lt;$F16),"F"&amp;$C16,"")))</x:f>
      </x:c>
      <x:c r="AK16" s="528" t="str">
        <x:f>IF($A16="","",IF(AND(AK$7&gt;=$D16,AK$7&lt;$E16),"S",IF(AND(AK$7&gt;=$E16,AK$7&lt;$F16),"F"&amp;$C16,"")))</x:f>
      </x:c>
      <x:c r="AL16" s="528" t="str">
        <x:f>IF($A16="","",IF(AND(AL$7&gt;=$D16,AL$7&lt;$E16),"S",IF(AND(AL$7&gt;=$E16,AL$7&lt;$F16),"F"&amp;$C16,"")))</x:f>
      </x:c>
      <x:c r="AM16" s="528" t="str">
        <x:f>IF($A16="","",IF(AND(AM$7&gt;=$D16,AM$7&lt;$E16),"S",IF(AND(AM$7&gt;=$E16,AM$7&lt;$F16),"F"&amp;$C16,"")))</x:f>
      </x:c>
    </x:row>
    <x:row r="17" ht="13.5" customHeight="1">
      <x:c r="A17" s="525" t="n">
        <x:f>IF(ISBLANK('_SCHEDULE'!A11),"",'_SCHEDULE'!A11)</x:f>
        <x:v>10</x:v>
      </x:c>
      <x:c r="B17" s="525" t="n">
        <x:f>IF(ISBLANK('_SCHEDULE'!C11),"",'_SCHEDULE'!C11)</x:f>
        <x:v>38</x:v>
      </x:c>
      <x:c r="C17" s="525" t="n">
        <x:f>IF(ISBLANK('_SCHEDULE'!D11),"",'_SCHEDULE'!D11)</x:f>
        <x:v>3</x:v>
      </x:c>
      <x:c r="D17" s="525" t="n">
        <x:f>IF(ISBLANK('_SCHEDULE'!H11),"",'_SCHEDULE'!H11)</x:f>
        <x:v>630</x:v>
      </x:c>
      <x:c r="E17" s="525" t="n">
        <x:f>IF(ISBLANK('_SCHEDULE'!J11),"",'_SCHEDULE'!J11)</x:f>
        <x:v>630</x:v>
      </x:c>
      <x:c r="F17" s="525" t="n">
        <x:f>IF(ISBLANK('_SCHEDULE'!L11),"",'_SCHEDULE'!L11)</x:f>
        <x:v>700</x:v>
      </x:c>
      <x:c r="G17" s="525" t="n">
        <x:f>IF(ISBLANK('_SCHEDULE'!F11),"",'_SCHEDULE'!F11)</x:f>
        <x:v>1400</x:v>
      </x:c>
      <x:c r="H17" s="528" t="str">
        <x:f>IF($A17="","",IF(AND(H$7&gt;=$D17,H$7&lt;$E17),"S",IF(AND(H$7&gt;=$E17,H$7&lt;$F17),"F"&amp;$C17,"")))</x:f>
      </x:c>
      <x:c r="I17" s="528" t="str">
        <x:f>IF($A17="","",IF(AND(I$7&gt;=$D17,I$7&lt;$E17),"S",IF(AND(I$7&gt;=$E17,I$7&lt;$F17),"F"&amp;$C17,"")))</x:f>
      </x:c>
      <x:c r="J17" s="528" t="str">
        <x:f>IF($A17="","",IF(AND(J$7&gt;=$D17,J$7&lt;$E17),"S",IF(AND(J$7&gt;=$E17,J$7&lt;$F17),"F"&amp;$C17,"")))</x:f>
      </x:c>
      <x:c r="K17" s="528" t="str">
        <x:f>IF($A17="","",IF(AND(K$7&gt;=$D17,K$7&lt;$E17),"S",IF(AND(K$7&gt;=$E17,K$7&lt;$F17),"F"&amp;$C17,"")))</x:f>
      </x:c>
      <x:c r="L17" s="528" t="str">
        <x:f>IF($A17="","",IF(AND(L$7&gt;=$D17,L$7&lt;$E17),"S",IF(AND(L$7&gt;=$E17,L$7&lt;$F17),"F"&amp;$C17,"")))</x:f>
      </x:c>
      <x:c r="M17" s="528" t="str">
        <x:f>IF($A17="","",IF(AND(M$7&gt;=$D17,M$7&lt;$E17),"S",IF(AND(M$7&gt;=$E17,M$7&lt;$F17),"F"&amp;$C17,"")))</x:f>
      </x:c>
      <x:c r="N17" s="528" t="str">
        <x:f>IF($A17="","",IF(AND(N$7&gt;=$D17,N$7&lt;$E17),"S",IF(AND(N$7&gt;=$E17,N$7&lt;$F17),"F"&amp;$C17,"")))</x:f>
      </x:c>
      <x:c r="O17" s="528" t="str">
        <x:f>IF($A17="","",IF(AND(O$7&gt;=$D17,O$7&lt;$E17),"S",IF(AND(O$7&gt;=$E17,O$7&lt;$F17),"F"&amp;$C17,"")))</x:f>
      </x:c>
      <x:c r="P17" s="528" t="str">
        <x:f>IF($A17="","",IF(AND(P$7&gt;=$D17,P$7&lt;$E17),"S",IF(AND(P$7&gt;=$E17,P$7&lt;$F17),"F"&amp;$C17,"")))</x:f>
      </x:c>
      <x:c r="Q17" s="528" t="str">
        <x:f>IF($A17="","",IF(AND(Q$7&gt;=$D17,Q$7&lt;$E17),"S",IF(AND(Q$7&gt;=$E17,Q$7&lt;$F17),"F"&amp;$C17,"")))</x:f>
      </x:c>
      <x:c r="R17" s="528" t="str">
        <x:f>IF($A17="","",IF(AND(R$7&gt;=$D17,R$7&lt;$E17),"S",IF(AND(R$7&gt;=$E17,R$7&lt;$F17),"F"&amp;$C17,"")))</x:f>
      </x:c>
      <x:c r="S17" s="528" t="str">
        <x:f>IF($A17="","",IF(AND(S$7&gt;=$D17,S$7&lt;$E17),"S",IF(AND(S$7&gt;=$E17,S$7&lt;$F17),"F"&amp;$C17,"")))</x:f>
      </x:c>
      <x:c r="T17" s="528" t="str">
        <x:f>IF($A17="","",IF(AND(T$7&gt;=$D17,T$7&lt;$E17),"S",IF(AND(T$7&gt;=$E17,T$7&lt;$F17),"F"&amp;$C17,"")))</x:f>
      </x:c>
      <x:c r="U17" s="528" t="str">
        <x:f>IF($A17="","",IF(AND(U$7&gt;=$D17,U$7&lt;$E17),"S",IF(AND(U$7&gt;=$E17,U$7&lt;$F17),"F"&amp;$C17,"")))</x:f>
        <x:v>F3</x:v>
      </x:c>
      <x:c r="V17" s="528" t="str">
        <x:f>IF($A17="","",IF(AND(V$7&gt;=$D17,V$7&lt;$E17),"S",IF(AND(V$7&gt;=$E17,V$7&lt;$F17),"F"&amp;$C17,"")))</x:f>
      </x:c>
      <x:c r="W17" s="528" t="str">
        <x:f>IF($A17="","",IF(AND(W$7&gt;=$D17,W$7&lt;$E17),"S",IF(AND(W$7&gt;=$E17,W$7&lt;$F17),"F"&amp;$C17,"")))</x:f>
      </x:c>
      <x:c r="X17" s="528" t="str">
        <x:f>IF($A17="","",IF(AND(X$7&gt;=$D17,X$7&lt;$E17),"S",IF(AND(X$7&gt;=$E17,X$7&lt;$F17),"F"&amp;$C17,"")))</x:f>
      </x:c>
      <x:c r="Y17" s="528" t="str">
        <x:f>IF($A17="","",IF(AND(Y$7&gt;=$D17,Y$7&lt;$E17),"S",IF(AND(Y$7&gt;=$E17,Y$7&lt;$F17),"F"&amp;$C17,"")))</x:f>
      </x:c>
      <x:c r="Z17" s="528" t="str">
        <x:f>IF($A17="","",IF(AND(Z$7&gt;=$D17,Z$7&lt;$E17),"S",IF(AND(Z$7&gt;=$E17,Z$7&lt;$F17),"F"&amp;$C17,"")))</x:f>
      </x:c>
      <x:c r="AA17" s="528" t="str">
        <x:f>IF($A17="","",IF(AND(AA$7&gt;=$D17,AA$7&lt;$E17),"S",IF(AND(AA$7&gt;=$E17,AA$7&lt;$F17),"F"&amp;$C17,"")))</x:f>
      </x:c>
      <x:c r="AB17" s="528" t="str">
        <x:f>IF($A17="","",IF(AND(AB$7&gt;=$D17,AB$7&lt;$E17),"S",IF(AND(AB$7&gt;=$E17,AB$7&lt;$F17),"F"&amp;$C17,"")))</x:f>
      </x:c>
      <x:c r="AC17" s="528" t="str">
        <x:f>IF($A17="","",IF(AND(AC$7&gt;=$D17,AC$7&lt;$E17),"S",IF(AND(AC$7&gt;=$E17,AC$7&lt;$F17),"F"&amp;$C17,"")))</x:f>
      </x:c>
      <x:c r="AD17" s="528" t="str">
        <x:f>IF($A17="","",IF(AND(AD$7&gt;=$D17,AD$7&lt;$E17),"S",IF(AND(AD$7&gt;=$E17,AD$7&lt;$F17),"F"&amp;$C17,"")))</x:f>
      </x:c>
      <x:c r="AE17" s="528" t="str">
        <x:f>IF($A17="","",IF(AND(AE$7&gt;=$D17,AE$7&lt;$E17),"S",IF(AND(AE$7&gt;=$E17,AE$7&lt;$F17),"F"&amp;$C17,"")))</x:f>
      </x:c>
      <x:c r="AF17" s="528" t="str">
        <x:f>IF($A17="","",IF(AND(AF$7&gt;=$D17,AF$7&lt;$E17),"S",IF(AND(AF$7&gt;=$E17,AF$7&lt;$F17),"F"&amp;$C17,"")))</x:f>
      </x:c>
      <x:c r="AG17" s="528" t="str">
        <x:f>IF($A17="","",IF(AND(AG$7&gt;=$D17,AG$7&lt;$E17),"S",IF(AND(AG$7&gt;=$E17,AG$7&lt;$F17),"F"&amp;$C17,"")))</x:f>
      </x:c>
      <x:c r="AH17" s="528" t="str">
        <x:f>IF($A17="","",IF(AND(AH$7&gt;=$D17,AH$7&lt;$E17),"S",IF(AND(AH$7&gt;=$E17,AH$7&lt;$F17),"F"&amp;$C17,"")))</x:f>
      </x:c>
      <x:c r="AI17" s="528" t="str">
        <x:f>IF($A17="","",IF(AND(AI$7&gt;=$D17,AI$7&lt;$E17),"S",IF(AND(AI$7&gt;=$E17,AI$7&lt;$F17),"F"&amp;$C17,"")))</x:f>
      </x:c>
      <x:c r="AJ17" s="528" t="str">
        <x:f>IF($A17="","",IF(AND(AJ$7&gt;=$D17,AJ$7&lt;$E17),"S",IF(AND(AJ$7&gt;=$E17,AJ$7&lt;$F17),"F"&amp;$C17,"")))</x:f>
      </x:c>
      <x:c r="AK17" s="528" t="str">
        <x:f>IF($A17="","",IF(AND(AK$7&gt;=$D17,AK$7&lt;$E17),"S",IF(AND(AK$7&gt;=$E17,AK$7&lt;$F17),"F"&amp;$C17,"")))</x:f>
      </x:c>
      <x:c r="AL17" s="528" t="str">
        <x:f>IF($A17="","",IF(AND(AL$7&gt;=$D17,AL$7&lt;$E17),"S",IF(AND(AL$7&gt;=$E17,AL$7&lt;$F17),"F"&amp;$C17,"")))</x:f>
      </x:c>
      <x:c r="AM17" s="528" t="str">
        <x:f>IF($A17="","",IF(AND(AM$7&gt;=$D17,AM$7&lt;$E17),"S",IF(AND(AM$7&gt;=$E17,AM$7&lt;$F17),"F"&amp;$C17,"")))</x:f>
      </x:c>
    </x:row>
    <x:row r="18" ht="13.5" customHeight="1">
      <x:c r="A18" s="525" t="n">
        <x:f>IF(ISBLANK('_SCHEDULE'!A12),"",'_SCHEDULE'!A12)</x:f>
        <x:v>11</x:v>
      </x:c>
      <x:c r="B18" s="525" t="n">
        <x:f>IF(ISBLANK('_SCHEDULE'!C12),"",'_SCHEDULE'!C12)</x:f>
        <x:v>46</x:v>
      </x:c>
      <x:c r="C18" s="525" t="n">
        <x:f>IF(ISBLANK('_SCHEDULE'!D12),"",'_SCHEDULE'!D12)</x:f>
        <x:v>3</x:v>
      </x:c>
      <x:c r="D18" s="525" t="n">
        <x:f>IF(ISBLANK('_SCHEDULE'!H12),"",'_SCHEDULE'!H12)</x:f>
        <x:v>700</x:v>
      </x:c>
      <x:c r="E18" s="525" t="n">
        <x:f>IF(ISBLANK('_SCHEDULE'!J12),"",'_SCHEDULE'!J12)</x:f>
        <x:v>700</x:v>
      </x:c>
      <x:c r="F18" s="525" t="n">
        <x:f>IF(ISBLANK('_SCHEDULE'!L12),"",'_SCHEDULE'!L12)</x:f>
        <x:v>770</x:v>
      </x:c>
      <x:c r="G18" s="525" t="n">
        <x:f>IF(ISBLANK('_SCHEDULE'!F12),"",'_SCHEDULE'!F12)</x:f>
        <x:v>1400</x:v>
      </x:c>
      <x:c r="H18" s="528" t="str">
        <x:f>IF($A18="","",IF(AND(H$7&gt;=$D18,H$7&lt;$E18),"S",IF(AND(H$7&gt;=$E18,H$7&lt;$F18),"F"&amp;$C18,"")))</x:f>
      </x:c>
      <x:c r="I18" s="528" t="str">
        <x:f>IF($A18="","",IF(AND(I$7&gt;=$D18,I$7&lt;$E18),"S",IF(AND(I$7&gt;=$E18,I$7&lt;$F18),"F"&amp;$C18,"")))</x:f>
      </x:c>
      <x:c r="J18" s="528" t="str">
        <x:f>IF($A18="","",IF(AND(J$7&gt;=$D18,J$7&lt;$E18),"S",IF(AND(J$7&gt;=$E18,J$7&lt;$F18),"F"&amp;$C18,"")))</x:f>
      </x:c>
      <x:c r="K18" s="528" t="str">
        <x:f>IF($A18="","",IF(AND(K$7&gt;=$D18,K$7&lt;$E18),"S",IF(AND(K$7&gt;=$E18,K$7&lt;$F18),"F"&amp;$C18,"")))</x:f>
      </x:c>
      <x:c r="L18" s="528" t="str">
        <x:f>IF($A18="","",IF(AND(L$7&gt;=$D18,L$7&lt;$E18),"S",IF(AND(L$7&gt;=$E18,L$7&lt;$F18),"F"&amp;$C18,"")))</x:f>
      </x:c>
      <x:c r="M18" s="528" t="str">
        <x:f>IF($A18="","",IF(AND(M$7&gt;=$D18,M$7&lt;$E18),"S",IF(AND(M$7&gt;=$E18,M$7&lt;$F18),"F"&amp;$C18,"")))</x:f>
      </x:c>
      <x:c r="N18" s="528" t="str">
        <x:f>IF($A18="","",IF(AND(N$7&gt;=$D18,N$7&lt;$E18),"S",IF(AND(N$7&gt;=$E18,N$7&lt;$F18),"F"&amp;$C18,"")))</x:f>
      </x:c>
      <x:c r="O18" s="528" t="str">
        <x:f>IF($A18="","",IF(AND(O$7&gt;=$D18,O$7&lt;$E18),"S",IF(AND(O$7&gt;=$E18,O$7&lt;$F18),"F"&amp;$C18,"")))</x:f>
      </x:c>
      <x:c r="P18" s="528" t="str">
        <x:f>IF($A18="","",IF(AND(P$7&gt;=$D18,P$7&lt;$E18),"S",IF(AND(P$7&gt;=$E18,P$7&lt;$F18),"F"&amp;$C18,"")))</x:f>
      </x:c>
      <x:c r="Q18" s="528" t="str">
        <x:f>IF($A18="","",IF(AND(Q$7&gt;=$D18,Q$7&lt;$E18),"S",IF(AND(Q$7&gt;=$E18,Q$7&lt;$F18),"F"&amp;$C18,"")))</x:f>
      </x:c>
      <x:c r="R18" s="528" t="str">
        <x:f>IF($A18="","",IF(AND(R$7&gt;=$D18,R$7&lt;$E18),"S",IF(AND(R$7&gt;=$E18,R$7&lt;$F18),"F"&amp;$C18,"")))</x:f>
      </x:c>
      <x:c r="S18" s="528" t="str">
        <x:f>IF($A18="","",IF(AND(S$7&gt;=$D18,S$7&lt;$E18),"S",IF(AND(S$7&gt;=$E18,S$7&lt;$F18),"F"&amp;$C18,"")))</x:f>
      </x:c>
      <x:c r="T18" s="528" t="str">
        <x:f>IF($A18="","",IF(AND(T$7&gt;=$D18,T$7&lt;$E18),"S",IF(AND(T$7&gt;=$E18,T$7&lt;$F18),"F"&amp;$C18,"")))</x:f>
      </x:c>
      <x:c r="U18" s="528" t="str">
        <x:f>IF($A18="","",IF(AND(U$7&gt;=$D18,U$7&lt;$E18),"S",IF(AND(U$7&gt;=$E18,U$7&lt;$F18),"F"&amp;$C18,"")))</x:f>
      </x:c>
      <x:c r="V18" s="528" t="str">
        <x:f>IF($A18="","",IF(AND(V$7&gt;=$D18,V$7&lt;$E18),"S",IF(AND(V$7&gt;=$E18,V$7&lt;$F18),"F"&amp;$C18,"")))</x:f>
        <x:v>F3</x:v>
      </x:c>
      <x:c r="W18" s="528" t="str">
        <x:f>IF($A18="","",IF(AND(W$7&gt;=$D18,W$7&lt;$E18),"S",IF(AND(W$7&gt;=$E18,W$7&lt;$F18),"F"&amp;$C18,"")))</x:f>
        <x:v>F3</x:v>
      </x:c>
      <x:c r="X18" s="528" t="str">
        <x:f>IF($A18="","",IF(AND(X$7&gt;=$D18,X$7&lt;$E18),"S",IF(AND(X$7&gt;=$E18,X$7&lt;$F18),"F"&amp;$C18,"")))</x:f>
      </x:c>
      <x:c r="Y18" s="528" t="str">
        <x:f>IF($A18="","",IF(AND(Y$7&gt;=$D18,Y$7&lt;$E18),"S",IF(AND(Y$7&gt;=$E18,Y$7&lt;$F18),"F"&amp;$C18,"")))</x:f>
      </x:c>
      <x:c r="Z18" s="528" t="str">
        <x:f>IF($A18="","",IF(AND(Z$7&gt;=$D18,Z$7&lt;$E18),"S",IF(AND(Z$7&gt;=$E18,Z$7&lt;$F18),"F"&amp;$C18,"")))</x:f>
      </x:c>
      <x:c r="AA18" s="528" t="str">
        <x:f>IF($A18="","",IF(AND(AA$7&gt;=$D18,AA$7&lt;$E18),"S",IF(AND(AA$7&gt;=$E18,AA$7&lt;$F18),"F"&amp;$C18,"")))</x:f>
      </x:c>
      <x:c r="AB18" s="528" t="str">
        <x:f>IF($A18="","",IF(AND(AB$7&gt;=$D18,AB$7&lt;$E18),"S",IF(AND(AB$7&gt;=$E18,AB$7&lt;$F18),"F"&amp;$C18,"")))</x:f>
      </x:c>
      <x:c r="AC18" s="528" t="str">
        <x:f>IF($A18="","",IF(AND(AC$7&gt;=$D18,AC$7&lt;$E18),"S",IF(AND(AC$7&gt;=$E18,AC$7&lt;$F18),"F"&amp;$C18,"")))</x:f>
      </x:c>
      <x:c r="AD18" s="528" t="str">
        <x:f>IF($A18="","",IF(AND(AD$7&gt;=$D18,AD$7&lt;$E18),"S",IF(AND(AD$7&gt;=$E18,AD$7&lt;$F18),"F"&amp;$C18,"")))</x:f>
      </x:c>
      <x:c r="AE18" s="528" t="str">
        <x:f>IF($A18="","",IF(AND(AE$7&gt;=$D18,AE$7&lt;$E18),"S",IF(AND(AE$7&gt;=$E18,AE$7&lt;$F18),"F"&amp;$C18,"")))</x:f>
      </x:c>
      <x:c r="AF18" s="528" t="str">
        <x:f>IF($A18="","",IF(AND(AF$7&gt;=$D18,AF$7&lt;$E18),"S",IF(AND(AF$7&gt;=$E18,AF$7&lt;$F18),"F"&amp;$C18,"")))</x:f>
      </x:c>
      <x:c r="AG18" s="528" t="str">
        <x:f>IF($A18="","",IF(AND(AG$7&gt;=$D18,AG$7&lt;$E18),"S",IF(AND(AG$7&gt;=$E18,AG$7&lt;$F18),"F"&amp;$C18,"")))</x:f>
      </x:c>
      <x:c r="AH18" s="528" t="str">
        <x:f>IF($A18="","",IF(AND(AH$7&gt;=$D18,AH$7&lt;$E18),"S",IF(AND(AH$7&gt;=$E18,AH$7&lt;$F18),"F"&amp;$C18,"")))</x:f>
      </x:c>
      <x:c r="AI18" s="528" t="str">
        <x:f>IF($A18="","",IF(AND(AI$7&gt;=$D18,AI$7&lt;$E18),"S",IF(AND(AI$7&gt;=$E18,AI$7&lt;$F18),"F"&amp;$C18,"")))</x:f>
      </x:c>
      <x:c r="AJ18" s="528" t="str">
        <x:f>IF($A18="","",IF(AND(AJ$7&gt;=$D18,AJ$7&lt;$E18),"S",IF(AND(AJ$7&gt;=$E18,AJ$7&lt;$F18),"F"&amp;$C18,"")))</x:f>
      </x:c>
      <x:c r="AK18" s="528" t="str">
        <x:f>IF($A18="","",IF(AND(AK$7&gt;=$D18,AK$7&lt;$E18),"S",IF(AND(AK$7&gt;=$E18,AK$7&lt;$F18),"F"&amp;$C18,"")))</x:f>
      </x:c>
      <x:c r="AL18" s="528" t="str">
        <x:f>IF($A18="","",IF(AND(AL$7&gt;=$D18,AL$7&lt;$E18),"S",IF(AND(AL$7&gt;=$E18,AL$7&lt;$F18),"F"&amp;$C18,"")))</x:f>
      </x:c>
      <x:c r="AM18" s="528" t="str">
        <x:f>IF($A18="","",IF(AND(AM$7&gt;=$D18,AM$7&lt;$E18),"S",IF(AND(AM$7&gt;=$E18,AM$7&lt;$F18),"F"&amp;$C18,"")))</x:f>
      </x:c>
    </x:row>
    <x:row r="19" ht="13.5" customHeight="1">
      <x:c r="A19" s="525" t="n">
        <x:f>IF(ISBLANK('_SCHEDULE'!A13),"",'_SCHEDULE'!A13)</x:f>
        <x:v>12</x:v>
      </x:c>
      <x:c r="B19" s="525" t="n">
        <x:f>IF(ISBLANK('_SCHEDULE'!C13),"",'_SCHEDULE'!C13)</x:f>
        <x:v>62</x:v>
      </x:c>
      <x:c r="C19" s="525" t="n">
        <x:f>IF(ISBLANK('_SCHEDULE'!D13),"",'_SCHEDULE'!D13)</x:f>
        <x:v>2</x:v>
      </x:c>
      <x:c r="D19" s="525" t="n">
        <x:f>IF(ISBLANK('_SCHEDULE'!H13),"",'_SCHEDULE'!H13)</x:f>
        <x:v>770</x:v>
      </x:c>
      <x:c r="E19" s="525" t="n">
        <x:f>IF(ISBLANK('_SCHEDULE'!J13),"",'_SCHEDULE'!J13)</x:f>
        <x:v>773</x:v>
      </x:c>
      <x:c r="F19" s="525" t="n">
        <x:f>IF(ISBLANK('_SCHEDULE'!L13),"",'_SCHEDULE'!L13)</x:f>
        <x:v>863</x:v>
      </x:c>
      <x:c r="G19" s="525" t="n">
        <x:f>IF(ISBLANK('_SCHEDULE'!F13),"",'_SCHEDULE'!F13)</x:f>
        <x:v>2000</x:v>
      </x:c>
      <x:c r="H19" s="528" t="str">
        <x:f>IF($A19="","",IF(AND(H$7&gt;=$D19,H$7&lt;$E19),"S",IF(AND(H$7&gt;=$E19,H$7&lt;$F19),"F"&amp;$C19,"")))</x:f>
      </x:c>
      <x:c r="I19" s="528" t="str">
        <x:f>IF($A19="","",IF(AND(I$7&gt;=$D19,I$7&lt;$E19),"S",IF(AND(I$7&gt;=$E19,I$7&lt;$F19),"F"&amp;$C19,"")))</x:f>
      </x:c>
      <x:c r="J19" s="528" t="str">
        <x:f>IF($A19="","",IF(AND(J$7&gt;=$D19,J$7&lt;$E19),"S",IF(AND(J$7&gt;=$E19,J$7&lt;$F19),"F"&amp;$C19,"")))</x:f>
      </x:c>
      <x:c r="K19" s="528" t="str">
        <x:f>IF($A19="","",IF(AND(K$7&gt;=$D19,K$7&lt;$E19),"S",IF(AND(K$7&gt;=$E19,K$7&lt;$F19),"F"&amp;$C19,"")))</x:f>
      </x:c>
      <x:c r="L19" s="528" t="str">
        <x:f>IF($A19="","",IF(AND(L$7&gt;=$D19,L$7&lt;$E19),"S",IF(AND(L$7&gt;=$E19,L$7&lt;$F19),"F"&amp;$C19,"")))</x:f>
      </x:c>
      <x:c r="M19" s="528" t="str">
        <x:f>IF($A19="","",IF(AND(M$7&gt;=$D19,M$7&lt;$E19),"S",IF(AND(M$7&gt;=$E19,M$7&lt;$F19),"F"&amp;$C19,"")))</x:f>
      </x:c>
      <x:c r="N19" s="528" t="str">
        <x:f>IF($A19="","",IF(AND(N$7&gt;=$D19,N$7&lt;$E19),"S",IF(AND(N$7&gt;=$E19,N$7&lt;$F19),"F"&amp;$C19,"")))</x:f>
      </x:c>
      <x:c r="O19" s="528" t="str">
        <x:f>IF($A19="","",IF(AND(O$7&gt;=$D19,O$7&lt;$E19),"S",IF(AND(O$7&gt;=$E19,O$7&lt;$F19),"F"&amp;$C19,"")))</x:f>
      </x:c>
      <x:c r="P19" s="528" t="str">
        <x:f>IF($A19="","",IF(AND(P$7&gt;=$D19,P$7&lt;$E19),"S",IF(AND(P$7&gt;=$E19,P$7&lt;$F19),"F"&amp;$C19,"")))</x:f>
      </x:c>
      <x:c r="Q19" s="528" t="str">
        <x:f>IF($A19="","",IF(AND(Q$7&gt;=$D19,Q$7&lt;$E19),"S",IF(AND(Q$7&gt;=$E19,Q$7&lt;$F19),"F"&amp;$C19,"")))</x:f>
      </x:c>
      <x:c r="R19" s="528" t="str">
        <x:f>IF($A19="","",IF(AND(R$7&gt;=$D19,R$7&lt;$E19),"S",IF(AND(R$7&gt;=$E19,R$7&lt;$F19),"F"&amp;$C19,"")))</x:f>
      </x:c>
      <x:c r="S19" s="528" t="str">
        <x:f>IF($A19="","",IF(AND(S$7&gt;=$D19,S$7&lt;$E19),"S",IF(AND(S$7&gt;=$E19,S$7&lt;$F19),"F"&amp;$C19,"")))</x:f>
      </x:c>
      <x:c r="T19" s="528" t="str">
        <x:f>IF($A19="","",IF(AND(T$7&gt;=$D19,T$7&lt;$E19),"S",IF(AND(T$7&gt;=$E19,T$7&lt;$F19),"F"&amp;$C19,"")))</x:f>
      </x:c>
      <x:c r="U19" s="528" t="str">
        <x:f>IF($A19="","",IF(AND(U$7&gt;=$D19,U$7&lt;$E19),"S",IF(AND(U$7&gt;=$E19,U$7&lt;$F19),"F"&amp;$C19,"")))</x:f>
      </x:c>
      <x:c r="V19" s="528" t="str">
        <x:f>IF($A19="","",IF(AND(V$7&gt;=$D19,V$7&lt;$E19),"S",IF(AND(V$7&gt;=$E19,V$7&lt;$F19),"F"&amp;$C19,"")))</x:f>
      </x:c>
      <x:c r="W19" s="528" t="str">
        <x:f>IF($A19="","",IF(AND(W$7&gt;=$D19,W$7&lt;$E19),"S",IF(AND(W$7&gt;=$E19,W$7&lt;$F19),"F"&amp;$C19,"")))</x:f>
      </x:c>
      <x:c r="X19" s="528" t="str">
        <x:f>IF($A19="","",IF(AND(X$7&gt;=$D19,X$7&lt;$E19),"S",IF(AND(X$7&gt;=$E19,X$7&lt;$F19),"F"&amp;$C19,"")))</x:f>
        <x:v>F2</x:v>
      </x:c>
      <x:c r="Y19" s="528" t="str">
        <x:f>IF($A19="","",IF(AND(Y$7&gt;=$D19,Y$7&lt;$E19),"S",IF(AND(Y$7&gt;=$E19,Y$7&lt;$F19),"F"&amp;$C19,"")))</x:f>
      </x:c>
      <x:c r="Z19" s="528" t="str">
        <x:f>IF($A19="","",IF(AND(Z$7&gt;=$D19,Z$7&lt;$E19),"S",IF(AND(Z$7&gt;=$E19,Z$7&lt;$F19),"F"&amp;$C19,"")))</x:f>
      </x:c>
      <x:c r="AA19" s="528" t="str">
        <x:f>IF($A19="","",IF(AND(AA$7&gt;=$D19,AA$7&lt;$E19),"S",IF(AND(AA$7&gt;=$E19,AA$7&lt;$F19),"F"&amp;$C19,"")))</x:f>
      </x:c>
      <x:c r="AB19" s="528" t="str">
        <x:f>IF($A19="","",IF(AND(AB$7&gt;=$D19,AB$7&lt;$E19),"S",IF(AND(AB$7&gt;=$E19,AB$7&lt;$F19),"F"&amp;$C19,"")))</x:f>
      </x:c>
      <x:c r="AC19" s="528" t="str">
        <x:f>IF($A19="","",IF(AND(AC$7&gt;=$D19,AC$7&lt;$E19),"S",IF(AND(AC$7&gt;=$E19,AC$7&lt;$F19),"F"&amp;$C19,"")))</x:f>
      </x:c>
      <x:c r="AD19" s="528" t="str">
        <x:f>IF($A19="","",IF(AND(AD$7&gt;=$D19,AD$7&lt;$E19),"S",IF(AND(AD$7&gt;=$E19,AD$7&lt;$F19),"F"&amp;$C19,"")))</x:f>
      </x:c>
      <x:c r="AE19" s="528" t="str">
        <x:f>IF($A19="","",IF(AND(AE$7&gt;=$D19,AE$7&lt;$E19),"S",IF(AND(AE$7&gt;=$E19,AE$7&lt;$F19),"F"&amp;$C19,"")))</x:f>
      </x:c>
      <x:c r="AF19" s="528" t="str">
        <x:f>IF($A19="","",IF(AND(AF$7&gt;=$D19,AF$7&lt;$E19),"S",IF(AND(AF$7&gt;=$E19,AF$7&lt;$F19),"F"&amp;$C19,"")))</x:f>
      </x:c>
      <x:c r="AG19" s="528" t="str">
        <x:f>IF($A19="","",IF(AND(AG$7&gt;=$D19,AG$7&lt;$E19),"S",IF(AND(AG$7&gt;=$E19,AG$7&lt;$F19),"F"&amp;$C19,"")))</x:f>
      </x:c>
      <x:c r="AH19" s="528" t="str">
        <x:f>IF($A19="","",IF(AND(AH$7&gt;=$D19,AH$7&lt;$E19),"S",IF(AND(AH$7&gt;=$E19,AH$7&lt;$F19),"F"&amp;$C19,"")))</x:f>
      </x:c>
      <x:c r="AI19" s="528" t="str">
        <x:f>IF($A19="","",IF(AND(AI$7&gt;=$D19,AI$7&lt;$E19),"S",IF(AND(AI$7&gt;=$E19,AI$7&lt;$F19),"F"&amp;$C19,"")))</x:f>
      </x:c>
      <x:c r="AJ19" s="528" t="str">
        <x:f>IF($A19="","",IF(AND(AJ$7&gt;=$D19,AJ$7&lt;$E19),"S",IF(AND(AJ$7&gt;=$E19,AJ$7&lt;$F19),"F"&amp;$C19,"")))</x:f>
      </x:c>
      <x:c r="AK19" s="528" t="str">
        <x:f>IF($A19="","",IF(AND(AK$7&gt;=$D19,AK$7&lt;$E19),"S",IF(AND(AK$7&gt;=$E19,AK$7&lt;$F19),"F"&amp;$C19,"")))</x:f>
      </x:c>
      <x:c r="AL19" s="528" t="str">
        <x:f>IF($A19="","",IF(AND(AL$7&gt;=$D19,AL$7&lt;$E19),"S",IF(AND(AL$7&gt;=$E19,AL$7&lt;$F19),"F"&amp;$C19,"")))</x:f>
      </x:c>
      <x:c r="AM19" s="528" t="str">
        <x:f>IF($A19="","",IF(AND(AM$7&gt;=$D19,AM$7&lt;$E19),"S",IF(AND(AM$7&gt;=$E19,AM$7&lt;$F19),"F"&amp;$C19,"")))</x:f>
      </x:c>
    </x:row>
    <x:row r="20" ht="13.5" customHeight="1">
      <x:c r="A20" s="525" t="n">
        <x:f>IF(ISBLANK('_SCHEDULE'!A14),"",'_SCHEDULE'!A14)</x:f>
        <x:v>13</x:v>
      </x:c>
      <x:c r="B20" s="525" t="n">
        <x:f>IF(ISBLANK('_SCHEDULE'!C14),"",'_SCHEDULE'!C14)</x:f>
        <x:v>56</x:v>
      </x:c>
      <x:c r="C20" s="525" t="n">
        <x:f>IF(ISBLANK('_SCHEDULE'!D14),"",'_SCHEDULE'!D14)</x:f>
        <x:v>2</x:v>
      </x:c>
      <x:c r="D20" s="525" t="n">
        <x:f>IF(ISBLANK('_SCHEDULE'!H14),"",'_SCHEDULE'!H14)</x:f>
        <x:v>863</x:v>
      </x:c>
      <x:c r="E20" s="525" t="n">
        <x:f>IF(ISBLANK('_SCHEDULE'!J14),"",'_SCHEDULE'!J14)</x:f>
        <x:v>863</x:v>
      </x:c>
      <x:c r="F20" s="525" t="n">
        <x:f>IF(ISBLANK('_SCHEDULE'!L14),"",'_SCHEDULE'!L14)</x:f>
        <x:v>953</x:v>
      </x:c>
      <x:c r="G20" s="525" t="n">
        <x:f>IF(ISBLANK('_SCHEDULE'!F14),"",'_SCHEDULE'!F14)</x:f>
        <x:v>1900</x:v>
      </x:c>
      <x:c r="H20" s="528" t="str">
        <x:f>IF($A20="","",IF(AND(H$7&gt;=$D20,H$7&lt;$E20),"S",IF(AND(H$7&gt;=$E20,H$7&lt;$F20),"F"&amp;$C20,"")))</x:f>
      </x:c>
      <x:c r="I20" s="528" t="str">
        <x:f>IF($A20="","",IF(AND(I$7&gt;=$D20,I$7&lt;$E20),"S",IF(AND(I$7&gt;=$E20,I$7&lt;$F20),"F"&amp;$C20,"")))</x:f>
      </x:c>
      <x:c r="J20" s="528" t="str">
        <x:f>IF($A20="","",IF(AND(J$7&gt;=$D20,J$7&lt;$E20),"S",IF(AND(J$7&gt;=$E20,J$7&lt;$F20),"F"&amp;$C20,"")))</x:f>
      </x:c>
      <x:c r="K20" s="528" t="str">
        <x:f>IF($A20="","",IF(AND(K$7&gt;=$D20,K$7&lt;$E20),"S",IF(AND(K$7&gt;=$E20,K$7&lt;$F20),"F"&amp;$C20,"")))</x:f>
      </x:c>
      <x:c r="L20" s="528" t="str">
        <x:f>IF($A20="","",IF(AND(L$7&gt;=$D20,L$7&lt;$E20),"S",IF(AND(L$7&gt;=$E20,L$7&lt;$F20),"F"&amp;$C20,"")))</x:f>
      </x:c>
      <x:c r="M20" s="528" t="str">
        <x:f>IF($A20="","",IF(AND(M$7&gt;=$D20,M$7&lt;$E20),"S",IF(AND(M$7&gt;=$E20,M$7&lt;$F20),"F"&amp;$C20,"")))</x:f>
      </x:c>
      <x:c r="N20" s="528" t="str">
        <x:f>IF($A20="","",IF(AND(N$7&gt;=$D20,N$7&lt;$E20),"S",IF(AND(N$7&gt;=$E20,N$7&lt;$F20),"F"&amp;$C20,"")))</x:f>
      </x:c>
      <x:c r="O20" s="528" t="str">
        <x:f>IF($A20="","",IF(AND(O$7&gt;=$D20,O$7&lt;$E20),"S",IF(AND(O$7&gt;=$E20,O$7&lt;$F20),"F"&amp;$C20,"")))</x:f>
      </x:c>
      <x:c r="P20" s="528" t="str">
        <x:f>IF($A20="","",IF(AND(P$7&gt;=$D20,P$7&lt;$E20),"S",IF(AND(P$7&gt;=$E20,P$7&lt;$F20),"F"&amp;$C20,"")))</x:f>
      </x:c>
      <x:c r="Q20" s="528" t="str">
        <x:f>IF($A20="","",IF(AND(Q$7&gt;=$D20,Q$7&lt;$E20),"S",IF(AND(Q$7&gt;=$E20,Q$7&lt;$F20),"F"&amp;$C20,"")))</x:f>
      </x:c>
      <x:c r="R20" s="528" t="str">
        <x:f>IF($A20="","",IF(AND(R$7&gt;=$D20,R$7&lt;$E20),"S",IF(AND(R$7&gt;=$E20,R$7&lt;$F20),"F"&amp;$C20,"")))</x:f>
      </x:c>
      <x:c r="S20" s="528" t="str">
        <x:f>IF($A20="","",IF(AND(S$7&gt;=$D20,S$7&lt;$E20),"S",IF(AND(S$7&gt;=$E20,S$7&lt;$F20),"F"&amp;$C20,"")))</x:f>
      </x:c>
      <x:c r="T20" s="528" t="str">
        <x:f>IF($A20="","",IF(AND(T$7&gt;=$D20,T$7&lt;$E20),"S",IF(AND(T$7&gt;=$E20,T$7&lt;$F20),"F"&amp;$C20,"")))</x:f>
      </x:c>
      <x:c r="U20" s="528" t="str">
        <x:f>IF($A20="","",IF(AND(U$7&gt;=$D20,U$7&lt;$E20),"S",IF(AND(U$7&gt;=$E20,U$7&lt;$F20),"F"&amp;$C20,"")))</x:f>
      </x:c>
      <x:c r="V20" s="528" t="str">
        <x:f>IF($A20="","",IF(AND(V$7&gt;=$D20,V$7&lt;$E20),"S",IF(AND(V$7&gt;=$E20,V$7&lt;$F20),"F"&amp;$C20,"")))</x:f>
      </x:c>
      <x:c r="W20" s="528" t="str">
        <x:f>IF($A20="","",IF(AND(W$7&gt;=$D20,W$7&lt;$E20),"S",IF(AND(W$7&gt;=$E20,W$7&lt;$F20),"F"&amp;$C20,"")))</x:f>
      </x:c>
      <x:c r="X20" s="528" t="str">
        <x:f>IF($A20="","",IF(AND(X$7&gt;=$D20,X$7&lt;$E20),"S",IF(AND(X$7&gt;=$E20,X$7&lt;$F20),"F"&amp;$C20,"")))</x:f>
      </x:c>
      <x:c r="Y20" s="528" t="str">
        <x:f>IF($A20="","",IF(AND(Y$7&gt;=$D20,Y$7&lt;$E20),"S",IF(AND(Y$7&gt;=$E20,Y$7&lt;$F20),"F"&amp;$C20,"")))</x:f>
        <x:v>F2</x:v>
      </x:c>
      <x:c r="Z20" s="528" t="str">
        <x:f>IF($A20="","",IF(AND(Z$7&gt;=$D20,Z$7&lt;$E20),"S",IF(AND(Z$7&gt;=$E20,Z$7&lt;$F20),"F"&amp;$C20,"")))</x:f>
        <x:v>F2</x:v>
      </x:c>
      <x:c r="AA20" s="528" t="str">
        <x:f>IF($A20="","",IF(AND(AA$7&gt;=$D20,AA$7&lt;$E20),"S",IF(AND(AA$7&gt;=$E20,AA$7&lt;$F20),"F"&amp;$C20,"")))</x:f>
      </x:c>
      <x:c r="AB20" s="528" t="str">
        <x:f>IF($A20="","",IF(AND(AB$7&gt;=$D20,AB$7&lt;$E20),"S",IF(AND(AB$7&gt;=$E20,AB$7&lt;$F20),"F"&amp;$C20,"")))</x:f>
      </x:c>
      <x:c r="AC20" s="528" t="str">
        <x:f>IF($A20="","",IF(AND(AC$7&gt;=$D20,AC$7&lt;$E20),"S",IF(AND(AC$7&gt;=$E20,AC$7&lt;$F20),"F"&amp;$C20,"")))</x:f>
      </x:c>
      <x:c r="AD20" s="528" t="str">
        <x:f>IF($A20="","",IF(AND(AD$7&gt;=$D20,AD$7&lt;$E20),"S",IF(AND(AD$7&gt;=$E20,AD$7&lt;$F20),"F"&amp;$C20,"")))</x:f>
      </x:c>
      <x:c r="AE20" s="528" t="str">
        <x:f>IF($A20="","",IF(AND(AE$7&gt;=$D20,AE$7&lt;$E20),"S",IF(AND(AE$7&gt;=$E20,AE$7&lt;$F20),"F"&amp;$C20,"")))</x:f>
      </x:c>
      <x:c r="AF20" s="528" t="str">
        <x:f>IF($A20="","",IF(AND(AF$7&gt;=$D20,AF$7&lt;$E20),"S",IF(AND(AF$7&gt;=$E20,AF$7&lt;$F20),"F"&amp;$C20,"")))</x:f>
      </x:c>
      <x:c r="AG20" s="528" t="str">
        <x:f>IF($A20="","",IF(AND(AG$7&gt;=$D20,AG$7&lt;$E20),"S",IF(AND(AG$7&gt;=$E20,AG$7&lt;$F20),"F"&amp;$C20,"")))</x:f>
      </x:c>
      <x:c r="AH20" s="528" t="str">
        <x:f>IF($A20="","",IF(AND(AH$7&gt;=$D20,AH$7&lt;$E20),"S",IF(AND(AH$7&gt;=$E20,AH$7&lt;$F20),"F"&amp;$C20,"")))</x:f>
      </x:c>
      <x:c r="AI20" s="528" t="str">
        <x:f>IF($A20="","",IF(AND(AI$7&gt;=$D20,AI$7&lt;$E20),"S",IF(AND(AI$7&gt;=$E20,AI$7&lt;$F20),"F"&amp;$C20,"")))</x:f>
      </x:c>
      <x:c r="AJ20" s="528" t="str">
        <x:f>IF($A20="","",IF(AND(AJ$7&gt;=$D20,AJ$7&lt;$E20),"S",IF(AND(AJ$7&gt;=$E20,AJ$7&lt;$F20),"F"&amp;$C20,"")))</x:f>
      </x:c>
      <x:c r="AK20" s="528" t="str">
        <x:f>IF($A20="","",IF(AND(AK$7&gt;=$D20,AK$7&lt;$E20),"S",IF(AND(AK$7&gt;=$E20,AK$7&lt;$F20),"F"&amp;$C20,"")))</x:f>
      </x:c>
      <x:c r="AL20" s="528" t="str">
        <x:f>IF($A20="","",IF(AND(AL$7&gt;=$D20,AL$7&lt;$E20),"S",IF(AND(AL$7&gt;=$E20,AL$7&lt;$F20),"F"&amp;$C20,"")))</x:f>
      </x:c>
      <x:c r="AM20" s="528" t="str">
        <x:f>IF($A20="","",IF(AND(AM$7&gt;=$D20,AM$7&lt;$E20),"S",IF(AND(AM$7&gt;=$E20,AM$7&lt;$F20),"F"&amp;$C20,"")))</x:f>
      </x:c>
    </x:row>
    <x:row r="21" ht="13.5" customHeight="1">
      <x:c r="A21" s="525" t="n">
        <x:f>IF(ISBLANK('_SCHEDULE'!A15),"",'_SCHEDULE'!A15)</x:f>
        <x:v>14</x:v>
      </x:c>
      <x:c r="B21" s="525" t="n">
        <x:f>IF(ISBLANK('_SCHEDULE'!C15),"",'_SCHEDULE'!C15)</x:f>
        <x:v>57</x:v>
      </x:c>
      <x:c r="C21" s="525" t="n">
        <x:f>IF(ISBLANK('_SCHEDULE'!D15),"",'_SCHEDULE'!D15)</x:f>
        <x:v>2</x:v>
      </x:c>
      <x:c r="D21" s="525" t="n">
        <x:f>IF(ISBLANK('_SCHEDULE'!H15),"",'_SCHEDULE'!H15)</x:f>
        <x:v>953</x:v>
      </x:c>
      <x:c r="E21" s="525" t="n">
        <x:f>IF(ISBLANK('_SCHEDULE'!J15),"",'_SCHEDULE'!J15)</x:f>
        <x:v>953</x:v>
      </x:c>
      <x:c r="F21" s="525" t="n">
        <x:f>IF(ISBLANK('_SCHEDULE'!L15),"",'_SCHEDULE'!L15)</x:f>
        <x:v>1043</x:v>
      </x:c>
      <x:c r="G21" s="525" t="n">
        <x:f>IF(ISBLANK('_SCHEDULE'!F15),"",'_SCHEDULE'!F15)</x:f>
        <x:v>1900</x:v>
      </x:c>
      <x:c r="H21" s="528" t="str">
        <x:f>IF($A21="","",IF(AND(H$7&gt;=$D21,H$7&lt;$E21),"S",IF(AND(H$7&gt;=$E21,H$7&lt;$F21),"F"&amp;$C21,"")))</x:f>
      </x:c>
      <x:c r="I21" s="528" t="str">
        <x:f>IF($A21="","",IF(AND(I$7&gt;=$D21,I$7&lt;$E21),"S",IF(AND(I$7&gt;=$E21,I$7&lt;$F21),"F"&amp;$C21,"")))</x:f>
      </x:c>
      <x:c r="J21" s="528" t="str">
        <x:f>IF($A21="","",IF(AND(J$7&gt;=$D21,J$7&lt;$E21),"S",IF(AND(J$7&gt;=$E21,J$7&lt;$F21),"F"&amp;$C21,"")))</x:f>
      </x:c>
      <x:c r="K21" s="528" t="str">
        <x:f>IF($A21="","",IF(AND(K$7&gt;=$D21,K$7&lt;$E21),"S",IF(AND(K$7&gt;=$E21,K$7&lt;$F21),"F"&amp;$C21,"")))</x:f>
      </x:c>
      <x:c r="L21" s="528" t="str">
        <x:f>IF($A21="","",IF(AND(L$7&gt;=$D21,L$7&lt;$E21),"S",IF(AND(L$7&gt;=$E21,L$7&lt;$F21),"F"&amp;$C21,"")))</x:f>
      </x:c>
      <x:c r="M21" s="528" t="str">
        <x:f>IF($A21="","",IF(AND(M$7&gt;=$D21,M$7&lt;$E21),"S",IF(AND(M$7&gt;=$E21,M$7&lt;$F21),"F"&amp;$C21,"")))</x:f>
      </x:c>
      <x:c r="N21" s="528" t="str">
        <x:f>IF($A21="","",IF(AND(N$7&gt;=$D21,N$7&lt;$E21),"S",IF(AND(N$7&gt;=$E21,N$7&lt;$F21),"F"&amp;$C21,"")))</x:f>
      </x:c>
      <x:c r="O21" s="528" t="str">
        <x:f>IF($A21="","",IF(AND(O$7&gt;=$D21,O$7&lt;$E21),"S",IF(AND(O$7&gt;=$E21,O$7&lt;$F21),"F"&amp;$C21,"")))</x:f>
      </x:c>
      <x:c r="P21" s="528" t="str">
        <x:f>IF($A21="","",IF(AND(P$7&gt;=$D21,P$7&lt;$E21),"S",IF(AND(P$7&gt;=$E21,P$7&lt;$F21),"F"&amp;$C21,"")))</x:f>
      </x:c>
      <x:c r="Q21" s="528" t="str">
        <x:f>IF($A21="","",IF(AND(Q$7&gt;=$D21,Q$7&lt;$E21),"S",IF(AND(Q$7&gt;=$E21,Q$7&lt;$F21),"F"&amp;$C21,"")))</x:f>
      </x:c>
      <x:c r="R21" s="528" t="str">
        <x:f>IF($A21="","",IF(AND(R$7&gt;=$D21,R$7&lt;$E21),"S",IF(AND(R$7&gt;=$E21,R$7&lt;$F21),"F"&amp;$C21,"")))</x:f>
      </x:c>
      <x:c r="S21" s="528" t="str">
        <x:f>IF($A21="","",IF(AND(S$7&gt;=$D21,S$7&lt;$E21),"S",IF(AND(S$7&gt;=$E21,S$7&lt;$F21),"F"&amp;$C21,"")))</x:f>
      </x:c>
      <x:c r="T21" s="528" t="str">
        <x:f>IF($A21="","",IF(AND(T$7&gt;=$D21,T$7&lt;$E21),"S",IF(AND(T$7&gt;=$E21,T$7&lt;$F21),"F"&amp;$C21,"")))</x:f>
      </x:c>
      <x:c r="U21" s="528" t="str">
        <x:f>IF($A21="","",IF(AND(U$7&gt;=$D21,U$7&lt;$E21),"S",IF(AND(U$7&gt;=$E21,U$7&lt;$F21),"F"&amp;$C21,"")))</x:f>
      </x:c>
      <x:c r="V21" s="528" t="str">
        <x:f>IF($A21="","",IF(AND(V$7&gt;=$D21,V$7&lt;$E21),"S",IF(AND(V$7&gt;=$E21,V$7&lt;$F21),"F"&amp;$C21,"")))</x:f>
      </x:c>
      <x:c r="W21" s="528" t="str">
        <x:f>IF($A21="","",IF(AND(W$7&gt;=$D21,W$7&lt;$E21),"S",IF(AND(W$7&gt;=$E21,W$7&lt;$F21),"F"&amp;$C21,"")))</x:f>
      </x:c>
      <x:c r="X21" s="528" t="str">
        <x:f>IF($A21="","",IF(AND(X$7&gt;=$D21,X$7&lt;$E21),"S",IF(AND(X$7&gt;=$E21,X$7&lt;$F21),"F"&amp;$C21,"")))</x:f>
      </x:c>
      <x:c r="Y21" s="528" t="str">
        <x:f>IF($A21="","",IF(AND(Y$7&gt;=$D21,Y$7&lt;$E21),"S",IF(AND(Y$7&gt;=$E21,Y$7&lt;$F21),"F"&amp;$C21,"")))</x:f>
      </x:c>
      <x:c r="Z21" s="528" t="str">
        <x:f>IF($A21="","",IF(AND(Z$7&gt;=$D21,Z$7&lt;$E21),"S",IF(AND(Z$7&gt;=$E21,Z$7&lt;$F21),"F"&amp;$C21,"")))</x:f>
      </x:c>
      <x:c r="AA21" s="528" t="str">
        <x:f>IF($A21="","",IF(AND(AA$7&gt;=$D21,AA$7&lt;$E21),"S",IF(AND(AA$7&gt;=$E21,AA$7&lt;$F21),"F"&amp;$C21,"")))</x:f>
        <x:v>F2</x:v>
      </x:c>
      <x:c r="AB21" s="528" t="str">
        <x:f>IF($A21="","",IF(AND(AB$7&gt;=$D21,AB$7&lt;$E21),"S",IF(AND(AB$7&gt;=$E21,AB$7&lt;$F21),"F"&amp;$C21,"")))</x:f>
        <x:v>F2</x:v>
      </x:c>
      <x:c r="AC21" s="528" t="str">
        <x:f>IF($A21="","",IF(AND(AC$7&gt;=$D21,AC$7&lt;$E21),"S",IF(AND(AC$7&gt;=$E21,AC$7&lt;$F21),"F"&amp;$C21,"")))</x:f>
      </x:c>
      <x:c r="AD21" s="528" t="str">
        <x:f>IF($A21="","",IF(AND(AD$7&gt;=$D21,AD$7&lt;$E21),"S",IF(AND(AD$7&gt;=$E21,AD$7&lt;$F21),"F"&amp;$C21,"")))</x:f>
      </x:c>
      <x:c r="AE21" s="528" t="str">
        <x:f>IF($A21="","",IF(AND(AE$7&gt;=$D21,AE$7&lt;$E21),"S",IF(AND(AE$7&gt;=$E21,AE$7&lt;$F21),"F"&amp;$C21,"")))</x:f>
      </x:c>
      <x:c r="AF21" s="528" t="str">
        <x:f>IF($A21="","",IF(AND(AF$7&gt;=$D21,AF$7&lt;$E21),"S",IF(AND(AF$7&gt;=$E21,AF$7&lt;$F21),"F"&amp;$C21,"")))</x:f>
      </x:c>
      <x:c r="AG21" s="528" t="str">
        <x:f>IF($A21="","",IF(AND(AG$7&gt;=$D21,AG$7&lt;$E21),"S",IF(AND(AG$7&gt;=$E21,AG$7&lt;$F21),"F"&amp;$C21,"")))</x:f>
      </x:c>
      <x:c r="AH21" s="528" t="str">
        <x:f>IF($A21="","",IF(AND(AH$7&gt;=$D21,AH$7&lt;$E21),"S",IF(AND(AH$7&gt;=$E21,AH$7&lt;$F21),"F"&amp;$C21,"")))</x:f>
      </x:c>
      <x:c r="AI21" s="528" t="str">
        <x:f>IF($A21="","",IF(AND(AI$7&gt;=$D21,AI$7&lt;$E21),"S",IF(AND(AI$7&gt;=$E21,AI$7&lt;$F21),"F"&amp;$C21,"")))</x:f>
      </x:c>
      <x:c r="AJ21" s="528" t="str">
        <x:f>IF($A21="","",IF(AND(AJ$7&gt;=$D21,AJ$7&lt;$E21),"S",IF(AND(AJ$7&gt;=$E21,AJ$7&lt;$F21),"F"&amp;$C21,"")))</x:f>
      </x:c>
      <x:c r="AK21" s="528" t="str">
        <x:f>IF($A21="","",IF(AND(AK$7&gt;=$D21,AK$7&lt;$E21),"S",IF(AND(AK$7&gt;=$E21,AK$7&lt;$F21),"F"&amp;$C21,"")))</x:f>
      </x:c>
      <x:c r="AL21" s="528" t="str">
        <x:f>IF($A21="","",IF(AND(AL$7&gt;=$D21,AL$7&lt;$E21),"S",IF(AND(AL$7&gt;=$E21,AL$7&lt;$F21),"F"&amp;$C21,"")))</x:f>
      </x:c>
      <x:c r="AM21" s="528" t="str">
        <x:f>IF($A21="","",IF(AND(AM$7&gt;=$D21,AM$7&lt;$E21),"S",IF(AND(AM$7&gt;=$E21,AM$7&lt;$F21),"F"&amp;$C21,"")))</x:f>
      </x:c>
    </x:row>
    <x:row r="22" ht="13.5" customHeight="1">
      <x:c r="A22" s="525" t="n">
        <x:f>IF(ISBLANK('_SCHEDULE'!A16),"",'_SCHEDULE'!A16)</x:f>
        <x:v>15</x:v>
      </x:c>
      <x:c r="B22" s="525" t="n">
        <x:f>IF(ISBLANK('_SCHEDULE'!C16),"",'_SCHEDULE'!C16)</x:f>
        <x:v>63</x:v>
      </x:c>
      <x:c r="C22" s="525" t="n">
        <x:f>IF(ISBLANK('_SCHEDULE'!D16),"",'_SCHEDULE'!D16)</x:f>
        <x:v>2</x:v>
      </x:c>
      <x:c r="D22" s="525" t="n">
        <x:f>IF(ISBLANK('_SCHEDULE'!H16),"",'_SCHEDULE'!H16)</x:f>
        <x:v>1043</x:v>
      </x:c>
      <x:c r="E22" s="525" t="n">
        <x:f>IF(ISBLANK('_SCHEDULE'!J16),"",'_SCHEDULE'!J16)</x:f>
        <x:v>1043</x:v>
      </x:c>
      <x:c r="F22" s="525" t="n">
        <x:f>IF(ISBLANK('_SCHEDULE'!L16),"",'_SCHEDULE'!L16)</x:f>
        <x:v>1133</x:v>
      </x:c>
      <x:c r="G22" s="525" t="n">
        <x:f>IF(ISBLANK('_SCHEDULE'!F16),"",'_SCHEDULE'!F16)</x:f>
        <x:v>2000</x:v>
      </x:c>
      <x:c r="H22" s="528" t="str">
        <x:f>IF($A22="","",IF(AND(H$7&gt;=$D22,H$7&lt;$E22),"S",IF(AND(H$7&gt;=$E22,H$7&lt;$F22),"F"&amp;$C22,"")))</x:f>
      </x:c>
      <x:c r="I22" s="528" t="str">
        <x:f>IF($A22="","",IF(AND(I$7&gt;=$D22,I$7&lt;$E22),"S",IF(AND(I$7&gt;=$E22,I$7&lt;$F22),"F"&amp;$C22,"")))</x:f>
      </x:c>
      <x:c r="J22" s="528" t="str">
        <x:f>IF($A22="","",IF(AND(J$7&gt;=$D22,J$7&lt;$E22),"S",IF(AND(J$7&gt;=$E22,J$7&lt;$F22),"F"&amp;$C22,"")))</x:f>
      </x:c>
      <x:c r="K22" s="528" t="str">
        <x:f>IF($A22="","",IF(AND(K$7&gt;=$D22,K$7&lt;$E22),"S",IF(AND(K$7&gt;=$E22,K$7&lt;$F22),"F"&amp;$C22,"")))</x:f>
      </x:c>
      <x:c r="L22" s="528" t="str">
        <x:f>IF($A22="","",IF(AND(L$7&gt;=$D22,L$7&lt;$E22),"S",IF(AND(L$7&gt;=$E22,L$7&lt;$F22),"F"&amp;$C22,"")))</x:f>
      </x:c>
      <x:c r="M22" s="528" t="str">
        <x:f>IF($A22="","",IF(AND(M$7&gt;=$D22,M$7&lt;$E22),"S",IF(AND(M$7&gt;=$E22,M$7&lt;$F22),"F"&amp;$C22,"")))</x:f>
      </x:c>
      <x:c r="N22" s="528" t="str">
        <x:f>IF($A22="","",IF(AND(N$7&gt;=$D22,N$7&lt;$E22),"S",IF(AND(N$7&gt;=$E22,N$7&lt;$F22),"F"&amp;$C22,"")))</x:f>
      </x:c>
      <x:c r="O22" s="528" t="str">
        <x:f>IF($A22="","",IF(AND(O$7&gt;=$D22,O$7&lt;$E22),"S",IF(AND(O$7&gt;=$E22,O$7&lt;$F22),"F"&amp;$C22,"")))</x:f>
      </x:c>
      <x:c r="P22" s="528" t="str">
        <x:f>IF($A22="","",IF(AND(P$7&gt;=$D22,P$7&lt;$E22),"S",IF(AND(P$7&gt;=$E22,P$7&lt;$F22),"F"&amp;$C22,"")))</x:f>
      </x:c>
      <x:c r="Q22" s="528" t="str">
        <x:f>IF($A22="","",IF(AND(Q$7&gt;=$D22,Q$7&lt;$E22),"S",IF(AND(Q$7&gt;=$E22,Q$7&lt;$F22),"F"&amp;$C22,"")))</x:f>
      </x:c>
      <x:c r="R22" s="528" t="str">
        <x:f>IF($A22="","",IF(AND(R$7&gt;=$D22,R$7&lt;$E22),"S",IF(AND(R$7&gt;=$E22,R$7&lt;$F22),"F"&amp;$C22,"")))</x:f>
      </x:c>
      <x:c r="S22" s="528" t="str">
        <x:f>IF($A22="","",IF(AND(S$7&gt;=$D22,S$7&lt;$E22),"S",IF(AND(S$7&gt;=$E22,S$7&lt;$F22),"F"&amp;$C22,"")))</x:f>
      </x:c>
      <x:c r="T22" s="528" t="str">
        <x:f>IF($A22="","",IF(AND(T$7&gt;=$D22,T$7&lt;$E22),"S",IF(AND(T$7&gt;=$E22,T$7&lt;$F22),"F"&amp;$C22,"")))</x:f>
      </x:c>
      <x:c r="U22" s="528" t="str">
        <x:f>IF($A22="","",IF(AND(U$7&gt;=$D22,U$7&lt;$E22),"S",IF(AND(U$7&gt;=$E22,U$7&lt;$F22),"F"&amp;$C22,"")))</x:f>
      </x:c>
      <x:c r="V22" s="528" t="str">
        <x:f>IF($A22="","",IF(AND(V$7&gt;=$D22,V$7&lt;$E22),"S",IF(AND(V$7&gt;=$E22,V$7&lt;$F22),"F"&amp;$C22,"")))</x:f>
      </x:c>
      <x:c r="W22" s="528" t="str">
        <x:f>IF($A22="","",IF(AND(W$7&gt;=$D22,W$7&lt;$E22),"S",IF(AND(W$7&gt;=$E22,W$7&lt;$F22),"F"&amp;$C22,"")))</x:f>
      </x:c>
      <x:c r="X22" s="528" t="str">
        <x:f>IF($A22="","",IF(AND(X$7&gt;=$D22,X$7&lt;$E22),"S",IF(AND(X$7&gt;=$E22,X$7&lt;$F22),"F"&amp;$C22,"")))</x:f>
      </x:c>
      <x:c r="Y22" s="528" t="str">
        <x:f>IF($A22="","",IF(AND(Y$7&gt;=$D22,Y$7&lt;$E22),"S",IF(AND(Y$7&gt;=$E22,Y$7&lt;$F22),"F"&amp;$C22,"")))</x:f>
      </x:c>
      <x:c r="Z22" s="528" t="str">
        <x:f>IF($A22="","",IF(AND(Z$7&gt;=$D22,Z$7&lt;$E22),"S",IF(AND(Z$7&gt;=$E22,Z$7&lt;$F22),"F"&amp;$C22,"")))</x:f>
      </x:c>
      <x:c r="AA22" s="528" t="str">
        <x:f>IF($A22="","",IF(AND(AA$7&gt;=$D22,AA$7&lt;$E22),"S",IF(AND(AA$7&gt;=$E22,AA$7&lt;$F22),"F"&amp;$C22,"")))</x:f>
      </x:c>
      <x:c r="AB22" s="528" t="str">
        <x:f>IF($A22="","",IF(AND(AB$7&gt;=$D22,AB$7&lt;$E22),"S",IF(AND(AB$7&gt;=$E22,AB$7&lt;$F22),"F"&amp;$C22,"")))</x:f>
      </x:c>
      <x:c r="AC22" s="528" t="str">
        <x:f>IF($A22="","",IF(AND(AC$7&gt;=$D22,AC$7&lt;$E22),"S",IF(AND(AC$7&gt;=$E22,AC$7&lt;$F22),"F"&amp;$C22,"")))</x:f>
        <x:v>F2</x:v>
      </x:c>
      <x:c r="AD22" s="528" t="str">
        <x:f>IF($A22="","",IF(AND(AD$7&gt;=$D22,AD$7&lt;$E22),"S",IF(AND(AD$7&gt;=$E22,AD$7&lt;$F22),"F"&amp;$C22,"")))</x:f>
        <x:v>F2</x:v>
      </x:c>
      <x:c r="AE22" s="528" t="str">
        <x:f>IF($A22="","",IF(AND(AE$7&gt;=$D22,AE$7&lt;$E22),"S",IF(AND(AE$7&gt;=$E22,AE$7&lt;$F22),"F"&amp;$C22,"")))</x:f>
      </x:c>
      <x:c r="AF22" s="528" t="str">
        <x:f>IF($A22="","",IF(AND(AF$7&gt;=$D22,AF$7&lt;$E22),"S",IF(AND(AF$7&gt;=$E22,AF$7&lt;$F22),"F"&amp;$C22,"")))</x:f>
      </x:c>
      <x:c r="AG22" s="528" t="str">
        <x:f>IF($A22="","",IF(AND(AG$7&gt;=$D22,AG$7&lt;$E22),"S",IF(AND(AG$7&gt;=$E22,AG$7&lt;$F22),"F"&amp;$C22,"")))</x:f>
      </x:c>
      <x:c r="AH22" s="528" t="str">
        <x:f>IF($A22="","",IF(AND(AH$7&gt;=$D22,AH$7&lt;$E22),"S",IF(AND(AH$7&gt;=$E22,AH$7&lt;$F22),"F"&amp;$C22,"")))</x:f>
      </x:c>
      <x:c r="AI22" s="528" t="str">
        <x:f>IF($A22="","",IF(AND(AI$7&gt;=$D22,AI$7&lt;$E22),"S",IF(AND(AI$7&gt;=$E22,AI$7&lt;$F22),"F"&amp;$C22,"")))</x:f>
      </x:c>
      <x:c r="AJ22" s="528" t="str">
        <x:f>IF($A22="","",IF(AND(AJ$7&gt;=$D22,AJ$7&lt;$E22),"S",IF(AND(AJ$7&gt;=$E22,AJ$7&lt;$F22),"F"&amp;$C22,"")))</x:f>
      </x:c>
      <x:c r="AK22" s="528" t="str">
        <x:f>IF($A22="","",IF(AND(AK$7&gt;=$D22,AK$7&lt;$E22),"S",IF(AND(AK$7&gt;=$E22,AK$7&lt;$F22),"F"&amp;$C22,"")))</x:f>
      </x:c>
      <x:c r="AL22" s="528" t="str">
        <x:f>IF($A22="","",IF(AND(AL$7&gt;=$D22,AL$7&lt;$E22),"S",IF(AND(AL$7&gt;=$E22,AL$7&lt;$F22),"F"&amp;$C22,"")))</x:f>
      </x:c>
      <x:c r="AM22" s="528" t="str">
        <x:f>IF($A22="","",IF(AND(AM$7&gt;=$D22,AM$7&lt;$E22),"S",IF(AND(AM$7&gt;=$E22,AM$7&lt;$F22),"F"&amp;$C22,"")))</x:f>
      </x:c>
    </x:row>
    <x:row r="23" ht="13.5" customHeight="1">
      <x:c r="A23" s="525" t="n">
        <x:f>IF(ISBLANK('_SCHEDULE'!A17),"",'_SCHEDULE'!A17)</x:f>
        <x:v>16</x:v>
      </x:c>
      <x:c r="B23" s="525" t="n">
        <x:f>IF(ISBLANK('_SCHEDULE'!C17),"",'_SCHEDULE'!C17)</x:f>
        <x:v>61</x:v>
      </x:c>
      <x:c r="C23" s="525" t="n">
        <x:f>IF(ISBLANK('_SCHEDULE'!D17),"",'_SCHEDULE'!D17)</x:f>
        <x:v>2</x:v>
      </x:c>
      <x:c r="D23" s="525" t="n">
        <x:f>IF(ISBLANK('_SCHEDULE'!H17),"",'_SCHEDULE'!H17)</x:f>
        <x:v>1133</x:v>
      </x:c>
      <x:c r="E23" s="525" t="n">
        <x:f>IF(ISBLANK('_SCHEDULE'!J17),"",'_SCHEDULE'!J17)</x:f>
        <x:v>1133</x:v>
      </x:c>
      <x:c r="F23" s="525" t="n">
        <x:f>IF(ISBLANK('_SCHEDULE'!L17),"",'_SCHEDULE'!L17)</x:f>
        <x:v>1223</x:v>
      </x:c>
      <x:c r="G23" s="525" t="n">
        <x:f>IF(ISBLANK('_SCHEDULE'!F17),"",'_SCHEDULE'!F17)</x:f>
        <x:v>2000</x:v>
      </x:c>
      <x:c r="H23" s="528" t="str">
        <x:f>IF($A23="","",IF(AND(H$7&gt;=$D23,H$7&lt;$E23),"S",IF(AND(H$7&gt;=$E23,H$7&lt;$F23),"F"&amp;$C23,"")))</x:f>
      </x:c>
      <x:c r="I23" s="528" t="str">
        <x:f>IF($A23="","",IF(AND(I$7&gt;=$D23,I$7&lt;$E23),"S",IF(AND(I$7&gt;=$E23,I$7&lt;$F23),"F"&amp;$C23,"")))</x:f>
      </x:c>
      <x:c r="J23" s="528" t="str">
        <x:f>IF($A23="","",IF(AND(J$7&gt;=$D23,J$7&lt;$E23),"S",IF(AND(J$7&gt;=$E23,J$7&lt;$F23),"F"&amp;$C23,"")))</x:f>
      </x:c>
      <x:c r="K23" s="528" t="str">
        <x:f>IF($A23="","",IF(AND(K$7&gt;=$D23,K$7&lt;$E23),"S",IF(AND(K$7&gt;=$E23,K$7&lt;$F23),"F"&amp;$C23,"")))</x:f>
      </x:c>
      <x:c r="L23" s="528" t="str">
        <x:f>IF($A23="","",IF(AND(L$7&gt;=$D23,L$7&lt;$E23),"S",IF(AND(L$7&gt;=$E23,L$7&lt;$F23),"F"&amp;$C23,"")))</x:f>
      </x:c>
      <x:c r="M23" s="528" t="str">
        <x:f>IF($A23="","",IF(AND(M$7&gt;=$D23,M$7&lt;$E23),"S",IF(AND(M$7&gt;=$E23,M$7&lt;$F23),"F"&amp;$C23,"")))</x:f>
      </x:c>
      <x:c r="N23" s="528" t="str">
        <x:f>IF($A23="","",IF(AND(N$7&gt;=$D23,N$7&lt;$E23),"S",IF(AND(N$7&gt;=$E23,N$7&lt;$F23),"F"&amp;$C23,"")))</x:f>
      </x:c>
      <x:c r="O23" s="528" t="str">
        <x:f>IF($A23="","",IF(AND(O$7&gt;=$D23,O$7&lt;$E23),"S",IF(AND(O$7&gt;=$E23,O$7&lt;$F23),"F"&amp;$C23,"")))</x:f>
      </x:c>
      <x:c r="P23" s="528" t="str">
        <x:f>IF($A23="","",IF(AND(P$7&gt;=$D23,P$7&lt;$E23),"S",IF(AND(P$7&gt;=$E23,P$7&lt;$F23),"F"&amp;$C23,"")))</x:f>
      </x:c>
      <x:c r="Q23" s="528" t="str">
        <x:f>IF($A23="","",IF(AND(Q$7&gt;=$D23,Q$7&lt;$E23),"S",IF(AND(Q$7&gt;=$E23,Q$7&lt;$F23),"F"&amp;$C23,"")))</x:f>
      </x:c>
      <x:c r="R23" s="528" t="str">
        <x:f>IF($A23="","",IF(AND(R$7&gt;=$D23,R$7&lt;$E23),"S",IF(AND(R$7&gt;=$E23,R$7&lt;$F23),"F"&amp;$C23,"")))</x:f>
      </x:c>
      <x:c r="S23" s="528" t="str">
        <x:f>IF($A23="","",IF(AND(S$7&gt;=$D23,S$7&lt;$E23),"S",IF(AND(S$7&gt;=$E23,S$7&lt;$F23),"F"&amp;$C23,"")))</x:f>
      </x:c>
      <x:c r="T23" s="528" t="str">
        <x:f>IF($A23="","",IF(AND(T$7&gt;=$D23,T$7&lt;$E23),"S",IF(AND(T$7&gt;=$E23,T$7&lt;$F23),"F"&amp;$C23,"")))</x:f>
      </x:c>
      <x:c r="U23" s="528" t="str">
        <x:f>IF($A23="","",IF(AND(U$7&gt;=$D23,U$7&lt;$E23),"S",IF(AND(U$7&gt;=$E23,U$7&lt;$F23),"F"&amp;$C23,"")))</x:f>
      </x:c>
      <x:c r="V23" s="528" t="str">
        <x:f>IF($A23="","",IF(AND(V$7&gt;=$D23,V$7&lt;$E23),"S",IF(AND(V$7&gt;=$E23,V$7&lt;$F23),"F"&amp;$C23,"")))</x:f>
      </x:c>
      <x:c r="W23" s="528" t="str">
        <x:f>IF($A23="","",IF(AND(W$7&gt;=$D23,W$7&lt;$E23),"S",IF(AND(W$7&gt;=$E23,W$7&lt;$F23),"F"&amp;$C23,"")))</x:f>
      </x:c>
      <x:c r="X23" s="528" t="str">
        <x:f>IF($A23="","",IF(AND(X$7&gt;=$D23,X$7&lt;$E23),"S",IF(AND(X$7&gt;=$E23,X$7&lt;$F23),"F"&amp;$C23,"")))</x:f>
      </x:c>
      <x:c r="Y23" s="528" t="str">
        <x:f>IF($A23="","",IF(AND(Y$7&gt;=$D23,Y$7&lt;$E23),"S",IF(AND(Y$7&gt;=$E23,Y$7&lt;$F23),"F"&amp;$C23,"")))</x:f>
      </x:c>
      <x:c r="Z23" s="528" t="str">
        <x:f>IF($A23="","",IF(AND(Z$7&gt;=$D23,Z$7&lt;$E23),"S",IF(AND(Z$7&gt;=$E23,Z$7&lt;$F23),"F"&amp;$C23,"")))</x:f>
      </x:c>
      <x:c r="AA23" s="528" t="str">
        <x:f>IF($A23="","",IF(AND(AA$7&gt;=$D23,AA$7&lt;$E23),"S",IF(AND(AA$7&gt;=$E23,AA$7&lt;$F23),"F"&amp;$C23,"")))</x:f>
      </x:c>
      <x:c r="AB23" s="528" t="str">
        <x:f>IF($A23="","",IF(AND(AB$7&gt;=$D23,AB$7&lt;$E23),"S",IF(AND(AB$7&gt;=$E23,AB$7&lt;$F23),"F"&amp;$C23,"")))</x:f>
      </x:c>
      <x:c r="AC23" s="528" t="str">
        <x:f>IF($A23="","",IF(AND(AC$7&gt;=$D23,AC$7&lt;$E23),"S",IF(AND(AC$7&gt;=$E23,AC$7&lt;$F23),"F"&amp;$C23,"")))</x:f>
      </x:c>
      <x:c r="AD23" s="528" t="str">
        <x:f>IF($A23="","",IF(AND(AD$7&gt;=$D23,AD$7&lt;$E23),"S",IF(AND(AD$7&gt;=$E23,AD$7&lt;$F23),"F"&amp;$C23,"")))</x:f>
      </x:c>
      <x:c r="AE23" s="528" t="str">
        <x:f>IF($A23="","",IF(AND(AE$7&gt;=$D23,AE$7&lt;$E23),"S",IF(AND(AE$7&gt;=$E23,AE$7&lt;$F23),"F"&amp;$C23,"")))</x:f>
        <x:v>F2</x:v>
      </x:c>
      <x:c r="AF23" s="528" t="str">
        <x:f>IF($A23="","",IF(AND(AF$7&gt;=$D23,AF$7&lt;$E23),"S",IF(AND(AF$7&gt;=$E23,AF$7&lt;$F23),"F"&amp;$C23,"")))</x:f>
      </x:c>
      <x:c r="AG23" s="528" t="str">
        <x:f>IF($A23="","",IF(AND(AG$7&gt;=$D23,AG$7&lt;$E23),"S",IF(AND(AG$7&gt;=$E23,AG$7&lt;$F23),"F"&amp;$C23,"")))</x:f>
      </x:c>
      <x:c r="AH23" s="528" t="str">
        <x:f>IF($A23="","",IF(AND(AH$7&gt;=$D23,AH$7&lt;$E23),"S",IF(AND(AH$7&gt;=$E23,AH$7&lt;$F23),"F"&amp;$C23,"")))</x:f>
      </x:c>
      <x:c r="AI23" s="528" t="str">
        <x:f>IF($A23="","",IF(AND(AI$7&gt;=$D23,AI$7&lt;$E23),"S",IF(AND(AI$7&gt;=$E23,AI$7&lt;$F23),"F"&amp;$C23,"")))</x:f>
      </x:c>
      <x:c r="AJ23" s="528" t="str">
        <x:f>IF($A23="","",IF(AND(AJ$7&gt;=$D23,AJ$7&lt;$E23),"S",IF(AND(AJ$7&gt;=$E23,AJ$7&lt;$F23),"F"&amp;$C23,"")))</x:f>
      </x:c>
      <x:c r="AK23" s="528" t="str">
        <x:f>IF($A23="","",IF(AND(AK$7&gt;=$D23,AK$7&lt;$E23),"S",IF(AND(AK$7&gt;=$E23,AK$7&lt;$F23),"F"&amp;$C23,"")))</x:f>
      </x:c>
      <x:c r="AL23" s="528" t="str">
        <x:f>IF($A23="","",IF(AND(AL$7&gt;=$D23,AL$7&lt;$E23),"S",IF(AND(AL$7&gt;=$E23,AL$7&lt;$F23),"F"&amp;$C23,"")))</x:f>
      </x:c>
      <x:c r="AM23" s="528" t="str">
        <x:f>IF($A23="","",IF(AND(AM$7&gt;=$D23,AM$7&lt;$E23),"S",IF(AND(AM$7&gt;=$E23,AM$7&lt;$F23),"F"&amp;$C23,"")))</x:f>
      </x:c>
    </x:row>
    <x:row r="24" ht="13.5" customHeight="1">
      <x:c r="A24" s="525" t="n">
        <x:f>IF(ISBLANK('_SCHEDULE'!A18),"",'_SCHEDULE'!A18)</x:f>
        <x:v>17</x:v>
      </x:c>
      <x:c r="B24" s="525" t="n">
        <x:f>IF(ISBLANK('_SCHEDULE'!C18),"",'_SCHEDULE'!C18)</x:f>
        <x:v>58</x:v>
      </x:c>
      <x:c r="C24" s="525" t="n">
        <x:f>IF(ISBLANK('_SCHEDULE'!D18),"",'_SCHEDULE'!D18)</x:f>
        <x:v>2</x:v>
      </x:c>
      <x:c r="D24" s="525" t="n">
        <x:f>IF(ISBLANK('_SCHEDULE'!H18),"",'_SCHEDULE'!H18)</x:f>
        <x:v>1223</x:v>
      </x:c>
      <x:c r="E24" s="525" t="n">
        <x:f>IF(ISBLANK('_SCHEDULE'!J18),"",'_SCHEDULE'!J18)</x:f>
        <x:v>1223</x:v>
      </x:c>
      <x:c r="F24" s="525" t="n">
        <x:f>IF(ISBLANK('_SCHEDULE'!L18),"",'_SCHEDULE'!L18)</x:f>
        <x:v>1313</x:v>
      </x:c>
      <x:c r="G24" s="525" t="n">
        <x:f>IF(ISBLANK('_SCHEDULE'!F18),"",'_SCHEDULE'!F18)</x:f>
        <x:v>1900</x:v>
      </x:c>
      <x:c r="H24" s="528" t="str">
        <x:f>IF($A24="","",IF(AND(H$7&gt;=$D24,H$7&lt;$E24),"S",IF(AND(H$7&gt;=$E24,H$7&lt;$F24),"F"&amp;$C24,"")))</x:f>
      </x:c>
      <x:c r="I24" s="528" t="str">
        <x:f>IF($A24="","",IF(AND(I$7&gt;=$D24,I$7&lt;$E24),"S",IF(AND(I$7&gt;=$E24,I$7&lt;$F24),"F"&amp;$C24,"")))</x:f>
      </x:c>
      <x:c r="J24" s="528" t="str">
        <x:f>IF($A24="","",IF(AND(J$7&gt;=$D24,J$7&lt;$E24),"S",IF(AND(J$7&gt;=$E24,J$7&lt;$F24),"F"&amp;$C24,"")))</x:f>
      </x:c>
      <x:c r="K24" s="528" t="str">
        <x:f>IF($A24="","",IF(AND(K$7&gt;=$D24,K$7&lt;$E24),"S",IF(AND(K$7&gt;=$E24,K$7&lt;$F24),"F"&amp;$C24,"")))</x:f>
      </x:c>
      <x:c r="L24" s="528" t="str">
        <x:f>IF($A24="","",IF(AND(L$7&gt;=$D24,L$7&lt;$E24),"S",IF(AND(L$7&gt;=$E24,L$7&lt;$F24),"F"&amp;$C24,"")))</x:f>
      </x:c>
      <x:c r="M24" s="528" t="str">
        <x:f>IF($A24="","",IF(AND(M$7&gt;=$D24,M$7&lt;$E24),"S",IF(AND(M$7&gt;=$E24,M$7&lt;$F24),"F"&amp;$C24,"")))</x:f>
      </x:c>
      <x:c r="N24" s="528" t="str">
        <x:f>IF($A24="","",IF(AND(N$7&gt;=$D24,N$7&lt;$E24),"S",IF(AND(N$7&gt;=$E24,N$7&lt;$F24),"F"&amp;$C24,"")))</x:f>
      </x:c>
      <x:c r="O24" s="528" t="str">
        <x:f>IF($A24="","",IF(AND(O$7&gt;=$D24,O$7&lt;$E24),"S",IF(AND(O$7&gt;=$E24,O$7&lt;$F24),"F"&amp;$C24,"")))</x:f>
      </x:c>
      <x:c r="P24" s="528" t="str">
        <x:f>IF($A24="","",IF(AND(P$7&gt;=$D24,P$7&lt;$E24),"S",IF(AND(P$7&gt;=$E24,P$7&lt;$F24),"F"&amp;$C24,"")))</x:f>
      </x:c>
      <x:c r="Q24" s="528" t="str">
        <x:f>IF($A24="","",IF(AND(Q$7&gt;=$D24,Q$7&lt;$E24),"S",IF(AND(Q$7&gt;=$E24,Q$7&lt;$F24),"F"&amp;$C24,"")))</x:f>
      </x:c>
      <x:c r="R24" s="528" t="str">
        <x:f>IF($A24="","",IF(AND(R$7&gt;=$D24,R$7&lt;$E24),"S",IF(AND(R$7&gt;=$E24,R$7&lt;$F24),"F"&amp;$C24,"")))</x:f>
      </x:c>
      <x:c r="S24" s="528" t="str">
        <x:f>IF($A24="","",IF(AND(S$7&gt;=$D24,S$7&lt;$E24),"S",IF(AND(S$7&gt;=$E24,S$7&lt;$F24),"F"&amp;$C24,"")))</x:f>
      </x:c>
      <x:c r="T24" s="528" t="str">
        <x:f>IF($A24="","",IF(AND(T$7&gt;=$D24,T$7&lt;$E24),"S",IF(AND(T$7&gt;=$E24,T$7&lt;$F24),"F"&amp;$C24,"")))</x:f>
      </x:c>
      <x:c r="U24" s="528" t="str">
        <x:f>IF($A24="","",IF(AND(U$7&gt;=$D24,U$7&lt;$E24),"S",IF(AND(U$7&gt;=$E24,U$7&lt;$F24),"F"&amp;$C24,"")))</x:f>
      </x:c>
      <x:c r="V24" s="528" t="str">
        <x:f>IF($A24="","",IF(AND(V$7&gt;=$D24,V$7&lt;$E24),"S",IF(AND(V$7&gt;=$E24,V$7&lt;$F24),"F"&amp;$C24,"")))</x:f>
      </x:c>
      <x:c r="W24" s="528" t="str">
        <x:f>IF($A24="","",IF(AND(W$7&gt;=$D24,W$7&lt;$E24),"S",IF(AND(W$7&gt;=$E24,W$7&lt;$F24),"F"&amp;$C24,"")))</x:f>
      </x:c>
      <x:c r="X24" s="528" t="str">
        <x:f>IF($A24="","",IF(AND(X$7&gt;=$D24,X$7&lt;$E24),"S",IF(AND(X$7&gt;=$E24,X$7&lt;$F24),"F"&amp;$C24,"")))</x:f>
      </x:c>
      <x:c r="Y24" s="528" t="str">
        <x:f>IF($A24="","",IF(AND(Y$7&gt;=$D24,Y$7&lt;$E24),"S",IF(AND(Y$7&gt;=$E24,Y$7&lt;$F24),"F"&amp;$C24,"")))</x:f>
      </x:c>
      <x:c r="Z24" s="528" t="str">
        <x:f>IF($A24="","",IF(AND(Z$7&gt;=$D24,Z$7&lt;$E24),"S",IF(AND(Z$7&gt;=$E24,Z$7&lt;$F24),"F"&amp;$C24,"")))</x:f>
      </x:c>
      <x:c r="AA24" s="528" t="str">
        <x:f>IF($A24="","",IF(AND(AA$7&gt;=$D24,AA$7&lt;$E24),"S",IF(AND(AA$7&gt;=$E24,AA$7&lt;$F24),"F"&amp;$C24,"")))</x:f>
      </x:c>
      <x:c r="AB24" s="528" t="str">
        <x:f>IF($A24="","",IF(AND(AB$7&gt;=$D24,AB$7&lt;$E24),"S",IF(AND(AB$7&gt;=$E24,AB$7&lt;$F24),"F"&amp;$C24,"")))</x:f>
      </x:c>
      <x:c r="AC24" s="528" t="str">
        <x:f>IF($A24="","",IF(AND(AC$7&gt;=$D24,AC$7&lt;$E24),"S",IF(AND(AC$7&gt;=$E24,AC$7&lt;$F24),"F"&amp;$C24,"")))</x:f>
      </x:c>
      <x:c r="AD24" s="528" t="str">
        <x:f>IF($A24="","",IF(AND(AD$7&gt;=$D24,AD$7&lt;$E24),"S",IF(AND(AD$7&gt;=$E24,AD$7&lt;$F24),"F"&amp;$C24,"")))</x:f>
      </x:c>
      <x:c r="AE24" s="528" t="str">
        <x:f>IF($A24="","",IF(AND(AE$7&gt;=$D24,AE$7&lt;$E24),"S",IF(AND(AE$7&gt;=$E24,AE$7&lt;$F24),"F"&amp;$C24,"")))</x:f>
      </x:c>
      <x:c r="AF24" s="528" t="str">
        <x:f>IF($A24="","",IF(AND(AF$7&gt;=$D24,AF$7&lt;$E24),"S",IF(AND(AF$7&gt;=$E24,AF$7&lt;$F24),"F"&amp;$C24,"")))</x:f>
        <x:v>F2</x:v>
      </x:c>
      <x:c r="AG24" s="528" t="str">
        <x:f>IF($A24="","",IF(AND(AG$7&gt;=$D24,AG$7&lt;$E24),"S",IF(AND(AG$7&gt;=$E24,AG$7&lt;$F24),"F"&amp;$C24,"")))</x:f>
        <x:v>F2</x:v>
      </x:c>
      <x:c r="AH24" s="528" t="str">
        <x:f>IF($A24="","",IF(AND(AH$7&gt;=$D24,AH$7&lt;$E24),"S",IF(AND(AH$7&gt;=$E24,AH$7&lt;$F24),"F"&amp;$C24,"")))</x:f>
      </x:c>
      <x:c r="AI24" s="528" t="str">
        <x:f>IF($A24="","",IF(AND(AI$7&gt;=$D24,AI$7&lt;$E24),"S",IF(AND(AI$7&gt;=$E24,AI$7&lt;$F24),"F"&amp;$C24,"")))</x:f>
      </x:c>
      <x:c r="AJ24" s="528" t="str">
        <x:f>IF($A24="","",IF(AND(AJ$7&gt;=$D24,AJ$7&lt;$E24),"S",IF(AND(AJ$7&gt;=$E24,AJ$7&lt;$F24),"F"&amp;$C24,"")))</x:f>
      </x:c>
      <x:c r="AK24" s="528" t="str">
        <x:f>IF($A24="","",IF(AND(AK$7&gt;=$D24,AK$7&lt;$E24),"S",IF(AND(AK$7&gt;=$E24,AK$7&lt;$F24),"F"&amp;$C24,"")))</x:f>
      </x:c>
      <x:c r="AL24" s="528" t="str">
        <x:f>IF($A24="","",IF(AND(AL$7&gt;=$D24,AL$7&lt;$E24),"S",IF(AND(AL$7&gt;=$E24,AL$7&lt;$F24),"F"&amp;$C24,"")))</x:f>
      </x:c>
      <x:c r="AM24" s="528" t="str">
        <x:f>IF($A24="","",IF(AND(AM$7&gt;=$D24,AM$7&lt;$E24),"S",IF(AND(AM$7&gt;=$E24,AM$7&lt;$F24),"F"&amp;$C24,"")))</x:f>
      </x:c>
    </x:row>
    <x:row r="25" ht="13.5" customHeight="1">
      <x:c r="A25" s="525" t="n">
        <x:f>IF(ISBLANK('_SCHEDULE'!A19),"",'_SCHEDULE'!A19)</x:f>
        <x:v>18</x:v>
      </x:c>
      <x:c r="B25" s="525" t="n">
        <x:f>IF(ISBLANK('_SCHEDULE'!C19),"",'_SCHEDULE'!C19)</x:f>
        <x:v>64</x:v>
      </x:c>
      <x:c r="C25" s="525" t="n">
        <x:f>IF(ISBLANK('_SCHEDULE'!D19),"",'_SCHEDULE'!D19)</x:f>
        <x:v>2</x:v>
      </x:c>
      <x:c r="D25" s="525" t="n">
        <x:f>IF(ISBLANK('_SCHEDULE'!H19),"",'_SCHEDULE'!H19)</x:f>
        <x:v>1313</x:v>
      </x:c>
      <x:c r="E25" s="525" t="n">
        <x:f>IF(ISBLANK('_SCHEDULE'!J19),"",'_SCHEDULE'!J19)</x:f>
        <x:v>1313</x:v>
      </x:c>
      <x:c r="F25" s="525" t="n">
        <x:f>IF(ISBLANK('_SCHEDULE'!L19),"",'_SCHEDULE'!L19)</x:f>
        <x:v>1403</x:v>
      </x:c>
      <x:c r="G25" s="525" t="n">
        <x:f>IF(ISBLANK('_SCHEDULE'!F19),"",'_SCHEDULE'!F19)</x:f>
        <x:v>2000</x:v>
      </x:c>
      <x:c r="H25" s="528" t="str">
        <x:f>IF($A25="","",IF(AND(H$7&gt;=$D25,H$7&lt;$E25),"S",IF(AND(H$7&gt;=$E25,H$7&lt;$F25),"F"&amp;$C25,"")))</x:f>
      </x:c>
      <x:c r="I25" s="528" t="str">
        <x:f>IF($A25="","",IF(AND(I$7&gt;=$D25,I$7&lt;$E25),"S",IF(AND(I$7&gt;=$E25,I$7&lt;$F25),"F"&amp;$C25,"")))</x:f>
      </x:c>
      <x:c r="J25" s="528" t="str">
        <x:f>IF($A25="","",IF(AND(J$7&gt;=$D25,J$7&lt;$E25),"S",IF(AND(J$7&gt;=$E25,J$7&lt;$F25),"F"&amp;$C25,"")))</x:f>
      </x:c>
      <x:c r="K25" s="528" t="str">
        <x:f>IF($A25="","",IF(AND(K$7&gt;=$D25,K$7&lt;$E25),"S",IF(AND(K$7&gt;=$E25,K$7&lt;$F25),"F"&amp;$C25,"")))</x:f>
      </x:c>
      <x:c r="L25" s="528" t="str">
        <x:f>IF($A25="","",IF(AND(L$7&gt;=$D25,L$7&lt;$E25),"S",IF(AND(L$7&gt;=$E25,L$7&lt;$F25),"F"&amp;$C25,"")))</x:f>
      </x:c>
      <x:c r="M25" s="528" t="str">
        <x:f>IF($A25="","",IF(AND(M$7&gt;=$D25,M$7&lt;$E25),"S",IF(AND(M$7&gt;=$E25,M$7&lt;$F25),"F"&amp;$C25,"")))</x:f>
      </x:c>
      <x:c r="N25" s="528" t="str">
        <x:f>IF($A25="","",IF(AND(N$7&gt;=$D25,N$7&lt;$E25),"S",IF(AND(N$7&gt;=$E25,N$7&lt;$F25),"F"&amp;$C25,"")))</x:f>
      </x:c>
      <x:c r="O25" s="528" t="str">
        <x:f>IF($A25="","",IF(AND(O$7&gt;=$D25,O$7&lt;$E25),"S",IF(AND(O$7&gt;=$E25,O$7&lt;$F25),"F"&amp;$C25,"")))</x:f>
      </x:c>
      <x:c r="P25" s="528" t="str">
        <x:f>IF($A25="","",IF(AND(P$7&gt;=$D25,P$7&lt;$E25),"S",IF(AND(P$7&gt;=$E25,P$7&lt;$F25),"F"&amp;$C25,"")))</x:f>
      </x:c>
      <x:c r="Q25" s="528" t="str">
        <x:f>IF($A25="","",IF(AND(Q$7&gt;=$D25,Q$7&lt;$E25),"S",IF(AND(Q$7&gt;=$E25,Q$7&lt;$F25),"F"&amp;$C25,"")))</x:f>
      </x:c>
      <x:c r="R25" s="528" t="str">
        <x:f>IF($A25="","",IF(AND(R$7&gt;=$D25,R$7&lt;$E25),"S",IF(AND(R$7&gt;=$E25,R$7&lt;$F25),"F"&amp;$C25,"")))</x:f>
      </x:c>
      <x:c r="S25" s="528" t="str">
        <x:f>IF($A25="","",IF(AND(S$7&gt;=$D25,S$7&lt;$E25),"S",IF(AND(S$7&gt;=$E25,S$7&lt;$F25),"F"&amp;$C25,"")))</x:f>
      </x:c>
      <x:c r="T25" s="528" t="str">
        <x:f>IF($A25="","",IF(AND(T$7&gt;=$D25,T$7&lt;$E25),"S",IF(AND(T$7&gt;=$E25,T$7&lt;$F25),"F"&amp;$C25,"")))</x:f>
      </x:c>
      <x:c r="U25" s="528" t="str">
        <x:f>IF($A25="","",IF(AND(U$7&gt;=$D25,U$7&lt;$E25),"S",IF(AND(U$7&gt;=$E25,U$7&lt;$F25),"F"&amp;$C25,"")))</x:f>
      </x:c>
      <x:c r="V25" s="528" t="str">
        <x:f>IF($A25="","",IF(AND(V$7&gt;=$D25,V$7&lt;$E25),"S",IF(AND(V$7&gt;=$E25,V$7&lt;$F25),"F"&amp;$C25,"")))</x:f>
      </x:c>
      <x:c r="W25" s="528" t="str">
        <x:f>IF($A25="","",IF(AND(W$7&gt;=$D25,W$7&lt;$E25),"S",IF(AND(W$7&gt;=$E25,W$7&lt;$F25),"F"&amp;$C25,"")))</x:f>
      </x:c>
      <x:c r="X25" s="528" t="str">
        <x:f>IF($A25="","",IF(AND(X$7&gt;=$D25,X$7&lt;$E25),"S",IF(AND(X$7&gt;=$E25,X$7&lt;$F25),"F"&amp;$C25,"")))</x:f>
      </x:c>
      <x:c r="Y25" s="528" t="str">
        <x:f>IF($A25="","",IF(AND(Y$7&gt;=$D25,Y$7&lt;$E25),"S",IF(AND(Y$7&gt;=$E25,Y$7&lt;$F25),"F"&amp;$C25,"")))</x:f>
      </x:c>
      <x:c r="Z25" s="528" t="str">
        <x:f>IF($A25="","",IF(AND(Z$7&gt;=$D25,Z$7&lt;$E25),"S",IF(AND(Z$7&gt;=$E25,Z$7&lt;$F25),"F"&amp;$C25,"")))</x:f>
      </x:c>
      <x:c r="AA25" s="528" t="str">
        <x:f>IF($A25="","",IF(AND(AA$7&gt;=$D25,AA$7&lt;$E25),"S",IF(AND(AA$7&gt;=$E25,AA$7&lt;$F25),"F"&amp;$C25,"")))</x:f>
      </x:c>
      <x:c r="AB25" s="528" t="str">
        <x:f>IF($A25="","",IF(AND(AB$7&gt;=$D25,AB$7&lt;$E25),"S",IF(AND(AB$7&gt;=$E25,AB$7&lt;$F25),"F"&amp;$C25,"")))</x:f>
      </x:c>
      <x:c r="AC25" s="528" t="str">
        <x:f>IF($A25="","",IF(AND(AC$7&gt;=$D25,AC$7&lt;$E25),"S",IF(AND(AC$7&gt;=$E25,AC$7&lt;$F25),"F"&amp;$C25,"")))</x:f>
      </x:c>
      <x:c r="AD25" s="528" t="str">
        <x:f>IF($A25="","",IF(AND(AD$7&gt;=$D25,AD$7&lt;$E25),"S",IF(AND(AD$7&gt;=$E25,AD$7&lt;$F25),"F"&amp;$C25,"")))</x:f>
      </x:c>
      <x:c r="AE25" s="528" t="str">
        <x:f>IF($A25="","",IF(AND(AE$7&gt;=$D25,AE$7&lt;$E25),"S",IF(AND(AE$7&gt;=$E25,AE$7&lt;$F25),"F"&amp;$C25,"")))</x:f>
      </x:c>
      <x:c r="AF25" s="528" t="str">
        <x:f>IF($A25="","",IF(AND(AF$7&gt;=$D25,AF$7&lt;$E25),"S",IF(AND(AF$7&gt;=$E25,AF$7&lt;$F25),"F"&amp;$C25,"")))</x:f>
      </x:c>
      <x:c r="AG25" s="528" t="str">
        <x:f>IF($A25="","",IF(AND(AG$7&gt;=$D25,AG$7&lt;$E25),"S",IF(AND(AG$7&gt;=$E25,AG$7&lt;$F25),"F"&amp;$C25,"")))</x:f>
      </x:c>
      <x:c r="AH25" s="528" t="str">
        <x:f>IF($A25="","",IF(AND(AH$7&gt;=$D25,AH$7&lt;$E25),"S",IF(AND(AH$7&gt;=$E25,AH$7&lt;$F25),"F"&amp;$C25,"")))</x:f>
        <x:v>F2</x:v>
      </x:c>
      <x:c r="AI25" s="528" t="str">
        <x:f>IF($A25="","",IF(AND(AI$7&gt;=$D25,AI$7&lt;$E25),"S",IF(AND(AI$7&gt;=$E25,AI$7&lt;$F25),"F"&amp;$C25,"")))</x:f>
        <x:v>F2</x:v>
      </x:c>
      <x:c r="AJ25" s="528" t="str">
        <x:f>IF($A25="","",IF(AND(AJ$7&gt;=$D25,AJ$7&lt;$E25),"S",IF(AND(AJ$7&gt;=$E25,AJ$7&lt;$F25),"F"&amp;$C25,"")))</x:f>
      </x:c>
      <x:c r="AK25" s="528" t="str">
        <x:f>IF($A25="","",IF(AND(AK$7&gt;=$D25,AK$7&lt;$E25),"S",IF(AND(AK$7&gt;=$E25,AK$7&lt;$F25),"F"&amp;$C25,"")))</x:f>
      </x:c>
      <x:c r="AL25" s="528" t="str">
        <x:f>IF($A25="","",IF(AND(AL$7&gt;=$D25,AL$7&lt;$E25),"S",IF(AND(AL$7&gt;=$E25,AL$7&lt;$F25),"F"&amp;$C25,"")))</x:f>
      </x:c>
      <x:c r="AM25" s="528" t="str">
        <x:f>IF($A25="","",IF(AND(AM$7&gt;=$D25,AM$7&lt;$E25),"S",IF(AND(AM$7&gt;=$E25,AM$7&lt;$F25),"F"&amp;$C25,"")))</x:f>
      </x:c>
    </x:row>
    <x:row r="26" ht="13.5" customHeight="1">
      <x:c r="A26" s="525" t="n">
        <x:f>IF(ISBLANK('_SCHEDULE'!A20),"",'_SCHEDULE'!A20)</x:f>
        <x:v>19</x:v>
      </x:c>
      <x:c r="B26" s="525" t="n">
        <x:f>IF(ISBLANK('_SCHEDULE'!C20),"",'_SCHEDULE'!C20)</x:f>
        <x:v>68</x:v>
      </x:c>
      <x:c r="C26" s="525" t="n">
        <x:f>IF(ISBLANK('_SCHEDULE'!D20),"",'_SCHEDULE'!D20)</x:f>
        <x:v>2</x:v>
      </x:c>
      <x:c r="D26" s="525" t="n">
        <x:f>IF(ISBLANK('_SCHEDULE'!H20),"",'_SCHEDULE'!H20)</x:f>
        <x:v>1403</x:v>
      </x:c>
      <x:c r="E26" s="525" t="n">
        <x:f>IF(ISBLANK('_SCHEDULE'!J20),"",'_SCHEDULE'!J20)</x:f>
        <x:v>1403</x:v>
      </x:c>
      <x:c r="F26" s="525" t="n">
        <x:f>IF(ISBLANK('_SCHEDULE'!L20),"",'_SCHEDULE'!L20)</x:f>
        <x:v>1493</x:v>
      </x:c>
      <x:c r="G26" s="525" t="n">
        <x:f>IF(ISBLANK('_SCHEDULE'!F20),"",'_SCHEDULE'!F20)</x:f>
        <x:v>2000</x:v>
      </x:c>
      <x:c r="H26" s="528" t="str">
        <x:f>IF($A26="","",IF(AND(H$7&gt;=$D26,H$7&lt;$E26),"S",IF(AND(H$7&gt;=$E26,H$7&lt;$F26),"F"&amp;$C26,"")))</x:f>
      </x:c>
      <x:c r="I26" s="528" t="str">
        <x:f>IF($A26="","",IF(AND(I$7&gt;=$D26,I$7&lt;$E26),"S",IF(AND(I$7&gt;=$E26,I$7&lt;$F26),"F"&amp;$C26,"")))</x:f>
      </x:c>
      <x:c r="J26" s="528" t="str">
        <x:f>IF($A26="","",IF(AND(J$7&gt;=$D26,J$7&lt;$E26),"S",IF(AND(J$7&gt;=$E26,J$7&lt;$F26),"F"&amp;$C26,"")))</x:f>
      </x:c>
      <x:c r="K26" s="528" t="str">
        <x:f>IF($A26="","",IF(AND(K$7&gt;=$D26,K$7&lt;$E26),"S",IF(AND(K$7&gt;=$E26,K$7&lt;$F26),"F"&amp;$C26,"")))</x:f>
      </x:c>
      <x:c r="L26" s="528" t="str">
        <x:f>IF($A26="","",IF(AND(L$7&gt;=$D26,L$7&lt;$E26),"S",IF(AND(L$7&gt;=$E26,L$7&lt;$F26),"F"&amp;$C26,"")))</x:f>
      </x:c>
      <x:c r="M26" s="528" t="str">
        <x:f>IF($A26="","",IF(AND(M$7&gt;=$D26,M$7&lt;$E26),"S",IF(AND(M$7&gt;=$E26,M$7&lt;$F26),"F"&amp;$C26,"")))</x:f>
      </x:c>
      <x:c r="N26" s="528" t="str">
        <x:f>IF($A26="","",IF(AND(N$7&gt;=$D26,N$7&lt;$E26),"S",IF(AND(N$7&gt;=$E26,N$7&lt;$F26),"F"&amp;$C26,"")))</x:f>
      </x:c>
      <x:c r="O26" s="528" t="str">
        <x:f>IF($A26="","",IF(AND(O$7&gt;=$D26,O$7&lt;$E26),"S",IF(AND(O$7&gt;=$E26,O$7&lt;$F26),"F"&amp;$C26,"")))</x:f>
      </x:c>
      <x:c r="P26" s="528" t="str">
        <x:f>IF($A26="","",IF(AND(P$7&gt;=$D26,P$7&lt;$E26),"S",IF(AND(P$7&gt;=$E26,P$7&lt;$F26),"F"&amp;$C26,"")))</x:f>
      </x:c>
      <x:c r="Q26" s="528" t="str">
        <x:f>IF($A26="","",IF(AND(Q$7&gt;=$D26,Q$7&lt;$E26),"S",IF(AND(Q$7&gt;=$E26,Q$7&lt;$F26),"F"&amp;$C26,"")))</x:f>
      </x:c>
      <x:c r="R26" s="528" t="str">
        <x:f>IF($A26="","",IF(AND(R$7&gt;=$D26,R$7&lt;$E26),"S",IF(AND(R$7&gt;=$E26,R$7&lt;$F26),"F"&amp;$C26,"")))</x:f>
      </x:c>
      <x:c r="S26" s="528" t="str">
        <x:f>IF($A26="","",IF(AND(S$7&gt;=$D26,S$7&lt;$E26),"S",IF(AND(S$7&gt;=$E26,S$7&lt;$F26),"F"&amp;$C26,"")))</x:f>
      </x:c>
      <x:c r="T26" s="528" t="str">
        <x:f>IF($A26="","",IF(AND(T$7&gt;=$D26,T$7&lt;$E26),"S",IF(AND(T$7&gt;=$E26,T$7&lt;$F26),"F"&amp;$C26,"")))</x:f>
      </x:c>
      <x:c r="U26" s="528" t="str">
        <x:f>IF($A26="","",IF(AND(U$7&gt;=$D26,U$7&lt;$E26),"S",IF(AND(U$7&gt;=$E26,U$7&lt;$F26),"F"&amp;$C26,"")))</x:f>
      </x:c>
      <x:c r="V26" s="528" t="str">
        <x:f>IF($A26="","",IF(AND(V$7&gt;=$D26,V$7&lt;$E26),"S",IF(AND(V$7&gt;=$E26,V$7&lt;$F26),"F"&amp;$C26,"")))</x:f>
      </x:c>
      <x:c r="W26" s="528" t="str">
        <x:f>IF($A26="","",IF(AND(W$7&gt;=$D26,W$7&lt;$E26),"S",IF(AND(W$7&gt;=$E26,W$7&lt;$F26),"F"&amp;$C26,"")))</x:f>
      </x:c>
      <x:c r="X26" s="528" t="str">
        <x:f>IF($A26="","",IF(AND(X$7&gt;=$D26,X$7&lt;$E26),"S",IF(AND(X$7&gt;=$E26,X$7&lt;$F26),"F"&amp;$C26,"")))</x:f>
      </x:c>
      <x:c r="Y26" s="528" t="str">
        <x:f>IF($A26="","",IF(AND(Y$7&gt;=$D26,Y$7&lt;$E26),"S",IF(AND(Y$7&gt;=$E26,Y$7&lt;$F26),"F"&amp;$C26,"")))</x:f>
      </x:c>
      <x:c r="Z26" s="528" t="str">
        <x:f>IF($A26="","",IF(AND(Z$7&gt;=$D26,Z$7&lt;$E26),"S",IF(AND(Z$7&gt;=$E26,Z$7&lt;$F26),"F"&amp;$C26,"")))</x:f>
      </x:c>
      <x:c r="AA26" s="528" t="str">
        <x:f>IF($A26="","",IF(AND(AA$7&gt;=$D26,AA$7&lt;$E26),"S",IF(AND(AA$7&gt;=$E26,AA$7&lt;$F26),"F"&amp;$C26,"")))</x:f>
      </x:c>
      <x:c r="AB26" s="528" t="str">
        <x:f>IF($A26="","",IF(AND(AB$7&gt;=$D26,AB$7&lt;$E26),"S",IF(AND(AB$7&gt;=$E26,AB$7&lt;$F26),"F"&amp;$C26,"")))</x:f>
      </x:c>
      <x:c r="AC26" s="528" t="str">
        <x:f>IF($A26="","",IF(AND(AC$7&gt;=$D26,AC$7&lt;$E26),"S",IF(AND(AC$7&gt;=$E26,AC$7&lt;$F26),"F"&amp;$C26,"")))</x:f>
      </x:c>
      <x:c r="AD26" s="528" t="str">
        <x:f>IF($A26="","",IF(AND(AD$7&gt;=$D26,AD$7&lt;$E26),"S",IF(AND(AD$7&gt;=$E26,AD$7&lt;$F26),"F"&amp;$C26,"")))</x:f>
      </x:c>
      <x:c r="AE26" s="528" t="str">
        <x:f>IF($A26="","",IF(AND(AE$7&gt;=$D26,AE$7&lt;$E26),"S",IF(AND(AE$7&gt;=$E26,AE$7&lt;$F26),"F"&amp;$C26,"")))</x:f>
      </x:c>
      <x:c r="AF26" s="528" t="str">
        <x:f>IF($A26="","",IF(AND(AF$7&gt;=$D26,AF$7&lt;$E26),"S",IF(AND(AF$7&gt;=$E26,AF$7&lt;$F26),"F"&amp;$C26,"")))</x:f>
      </x:c>
      <x:c r="AG26" s="528" t="str">
        <x:f>IF($A26="","",IF(AND(AG$7&gt;=$D26,AG$7&lt;$E26),"S",IF(AND(AG$7&gt;=$E26,AG$7&lt;$F26),"F"&amp;$C26,"")))</x:f>
      </x:c>
      <x:c r="AH26" s="528" t="str">
        <x:f>IF($A26="","",IF(AND(AH$7&gt;=$D26,AH$7&lt;$E26),"S",IF(AND(AH$7&gt;=$E26,AH$7&lt;$F26),"F"&amp;$C26,"")))</x:f>
      </x:c>
      <x:c r="AI26" s="528" t="str">
        <x:f>IF($A26="","",IF(AND(AI$7&gt;=$D26,AI$7&lt;$E26),"S",IF(AND(AI$7&gt;=$E26,AI$7&lt;$F26),"F"&amp;$C26,"")))</x:f>
      </x:c>
      <x:c r="AJ26" s="528" t="str">
        <x:f>IF($A26="","",IF(AND(AJ$7&gt;=$D26,AJ$7&lt;$E26),"S",IF(AND(AJ$7&gt;=$E26,AJ$7&lt;$F26),"F"&amp;$C26,"")))</x:f>
        <x:v>F2</x:v>
      </x:c>
      <x:c r="AK26" s="528" t="str">
        <x:f>IF($A26="","",IF(AND(AK$7&gt;=$D26,AK$7&lt;$E26),"S",IF(AND(AK$7&gt;=$E26,AK$7&lt;$F26),"F"&amp;$C26,"")))</x:f>
        <x:v>F2</x:v>
      </x:c>
      <x:c r="AL26" s="528" t="str">
        <x:f>IF($A26="","",IF(AND(AL$7&gt;=$D26,AL$7&lt;$E26),"S",IF(AND(AL$7&gt;=$E26,AL$7&lt;$F26),"F"&amp;$C26,"")))</x:f>
      </x:c>
      <x:c r="AM26" s="528" t="str">
        <x:f>IF($A26="","",IF(AND(AM$7&gt;=$D26,AM$7&lt;$E26),"S",IF(AND(AM$7&gt;=$E26,AM$7&lt;$F26),"F"&amp;$C26,"")))</x:f>
      </x:c>
    </x:row>
    <x:row r="27" ht="13.5" customHeight="1">
      <x:c r="A27" s="525" t="n">
        <x:f>IF(ISBLANK('_SCHEDULE'!A21),"",'_SCHEDULE'!A21)</x:f>
        <x:v>20</x:v>
      </x:c>
      <x:c r="B27" s="525" t="n">
        <x:f>IF(ISBLANK('_SCHEDULE'!C21),"",'_SCHEDULE'!C21)</x:f>
        <x:v>59</x:v>
      </x:c>
      <x:c r="C27" s="525" t="n">
        <x:f>IF(ISBLANK('_SCHEDULE'!D21),"",'_SCHEDULE'!D21)</x:f>
        <x:v>2</x:v>
      </x:c>
      <x:c r="D27" s="525" t="n">
        <x:f>IF(ISBLANK('_SCHEDULE'!H21),"",'_SCHEDULE'!H21)</x:f>
        <x:v>1493</x:v>
      </x:c>
      <x:c r="E27" s="525" t="n">
        <x:f>IF(ISBLANK('_SCHEDULE'!J21),"",'_SCHEDULE'!J21)</x:f>
        <x:v>1493</x:v>
      </x:c>
      <x:c r="F27" s="525" t="n">
        <x:f>IF(ISBLANK('_SCHEDULE'!L21),"",'_SCHEDULE'!L21)</x:f>
        <x:v>1583</x:v>
      </x:c>
      <x:c r="G27" s="525" t="n">
        <x:f>IF(ISBLANK('_SCHEDULE'!F21),"",'_SCHEDULE'!F21)</x:f>
        <x:v>1900</x:v>
      </x:c>
      <x:c r="H27" s="528" t="str">
        <x:f>IF($A27="","",IF(AND(H$7&gt;=$D27,H$7&lt;$E27),"S",IF(AND(H$7&gt;=$E27,H$7&lt;$F27),"F"&amp;$C27,"")))</x:f>
      </x:c>
      <x:c r="I27" s="528" t="str">
        <x:f>IF($A27="","",IF(AND(I$7&gt;=$D27,I$7&lt;$E27),"S",IF(AND(I$7&gt;=$E27,I$7&lt;$F27),"F"&amp;$C27,"")))</x:f>
      </x:c>
      <x:c r="J27" s="528" t="str">
        <x:f>IF($A27="","",IF(AND(J$7&gt;=$D27,J$7&lt;$E27),"S",IF(AND(J$7&gt;=$E27,J$7&lt;$F27),"F"&amp;$C27,"")))</x:f>
      </x:c>
      <x:c r="K27" s="528" t="str">
        <x:f>IF($A27="","",IF(AND(K$7&gt;=$D27,K$7&lt;$E27),"S",IF(AND(K$7&gt;=$E27,K$7&lt;$F27),"F"&amp;$C27,"")))</x:f>
      </x:c>
      <x:c r="L27" s="528" t="str">
        <x:f>IF($A27="","",IF(AND(L$7&gt;=$D27,L$7&lt;$E27),"S",IF(AND(L$7&gt;=$E27,L$7&lt;$F27),"F"&amp;$C27,"")))</x:f>
      </x:c>
      <x:c r="M27" s="528" t="str">
        <x:f>IF($A27="","",IF(AND(M$7&gt;=$D27,M$7&lt;$E27),"S",IF(AND(M$7&gt;=$E27,M$7&lt;$F27),"F"&amp;$C27,"")))</x:f>
      </x:c>
      <x:c r="N27" s="528" t="str">
        <x:f>IF($A27="","",IF(AND(N$7&gt;=$D27,N$7&lt;$E27),"S",IF(AND(N$7&gt;=$E27,N$7&lt;$F27),"F"&amp;$C27,"")))</x:f>
      </x:c>
      <x:c r="O27" s="528" t="str">
        <x:f>IF($A27="","",IF(AND(O$7&gt;=$D27,O$7&lt;$E27),"S",IF(AND(O$7&gt;=$E27,O$7&lt;$F27),"F"&amp;$C27,"")))</x:f>
      </x:c>
      <x:c r="P27" s="528" t="str">
        <x:f>IF($A27="","",IF(AND(P$7&gt;=$D27,P$7&lt;$E27),"S",IF(AND(P$7&gt;=$E27,P$7&lt;$F27),"F"&amp;$C27,"")))</x:f>
      </x:c>
      <x:c r="Q27" s="528" t="str">
        <x:f>IF($A27="","",IF(AND(Q$7&gt;=$D27,Q$7&lt;$E27),"S",IF(AND(Q$7&gt;=$E27,Q$7&lt;$F27),"F"&amp;$C27,"")))</x:f>
      </x:c>
      <x:c r="R27" s="528" t="str">
        <x:f>IF($A27="","",IF(AND(R$7&gt;=$D27,R$7&lt;$E27),"S",IF(AND(R$7&gt;=$E27,R$7&lt;$F27),"F"&amp;$C27,"")))</x:f>
      </x:c>
      <x:c r="S27" s="528" t="str">
        <x:f>IF($A27="","",IF(AND(S$7&gt;=$D27,S$7&lt;$E27),"S",IF(AND(S$7&gt;=$E27,S$7&lt;$F27),"F"&amp;$C27,"")))</x:f>
      </x:c>
      <x:c r="T27" s="528" t="str">
        <x:f>IF($A27="","",IF(AND(T$7&gt;=$D27,T$7&lt;$E27),"S",IF(AND(T$7&gt;=$E27,T$7&lt;$F27),"F"&amp;$C27,"")))</x:f>
      </x:c>
      <x:c r="U27" s="528" t="str">
        <x:f>IF($A27="","",IF(AND(U$7&gt;=$D27,U$7&lt;$E27),"S",IF(AND(U$7&gt;=$E27,U$7&lt;$F27),"F"&amp;$C27,"")))</x:f>
      </x:c>
      <x:c r="V27" s="528" t="str">
        <x:f>IF($A27="","",IF(AND(V$7&gt;=$D27,V$7&lt;$E27),"S",IF(AND(V$7&gt;=$E27,V$7&lt;$F27),"F"&amp;$C27,"")))</x:f>
      </x:c>
      <x:c r="W27" s="528" t="str">
        <x:f>IF($A27="","",IF(AND(W$7&gt;=$D27,W$7&lt;$E27),"S",IF(AND(W$7&gt;=$E27,W$7&lt;$F27),"F"&amp;$C27,"")))</x:f>
      </x:c>
      <x:c r="X27" s="528" t="str">
        <x:f>IF($A27="","",IF(AND(X$7&gt;=$D27,X$7&lt;$E27),"S",IF(AND(X$7&gt;=$E27,X$7&lt;$F27),"F"&amp;$C27,"")))</x:f>
      </x:c>
      <x:c r="Y27" s="528" t="str">
        <x:f>IF($A27="","",IF(AND(Y$7&gt;=$D27,Y$7&lt;$E27),"S",IF(AND(Y$7&gt;=$E27,Y$7&lt;$F27),"F"&amp;$C27,"")))</x:f>
      </x:c>
      <x:c r="Z27" s="528" t="str">
        <x:f>IF($A27="","",IF(AND(Z$7&gt;=$D27,Z$7&lt;$E27),"S",IF(AND(Z$7&gt;=$E27,Z$7&lt;$F27),"F"&amp;$C27,"")))</x:f>
      </x:c>
      <x:c r="AA27" s="528" t="str">
        <x:f>IF($A27="","",IF(AND(AA$7&gt;=$D27,AA$7&lt;$E27),"S",IF(AND(AA$7&gt;=$E27,AA$7&lt;$F27),"F"&amp;$C27,"")))</x:f>
      </x:c>
      <x:c r="AB27" s="528" t="str">
        <x:f>IF($A27="","",IF(AND(AB$7&gt;=$D27,AB$7&lt;$E27),"S",IF(AND(AB$7&gt;=$E27,AB$7&lt;$F27),"F"&amp;$C27,"")))</x:f>
      </x:c>
      <x:c r="AC27" s="528" t="str">
        <x:f>IF($A27="","",IF(AND(AC$7&gt;=$D27,AC$7&lt;$E27),"S",IF(AND(AC$7&gt;=$E27,AC$7&lt;$F27),"F"&amp;$C27,"")))</x:f>
      </x:c>
      <x:c r="AD27" s="528" t="str">
        <x:f>IF($A27="","",IF(AND(AD$7&gt;=$D27,AD$7&lt;$E27),"S",IF(AND(AD$7&gt;=$E27,AD$7&lt;$F27),"F"&amp;$C27,"")))</x:f>
      </x:c>
      <x:c r="AE27" s="528" t="str">
        <x:f>IF($A27="","",IF(AND(AE$7&gt;=$D27,AE$7&lt;$E27),"S",IF(AND(AE$7&gt;=$E27,AE$7&lt;$F27),"F"&amp;$C27,"")))</x:f>
      </x:c>
      <x:c r="AF27" s="528" t="str">
        <x:f>IF($A27="","",IF(AND(AF$7&gt;=$D27,AF$7&lt;$E27),"S",IF(AND(AF$7&gt;=$E27,AF$7&lt;$F27),"F"&amp;$C27,"")))</x:f>
      </x:c>
      <x:c r="AG27" s="528" t="str">
        <x:f>IF($A27="","",IF(AND(AG$7&gt;=$D27,AG$7&lt;$E27),"S",IF(AND(AG$7&gt;=$E27,AG$7&lt;$F27),"F"&amp;$C27,"")))</x:f>
      </x:c>
      <x:c r="AH27" s="528" t="str">
        <x:f>IF($A27="","",IF(AND(AH$7&gt;=$D27,AH$7&lt;$E27),"S",IF(AND(AH$7&gt;=$E27,AH$7&lt;$F27),"F"&amp;$C27,"")))</x:f>
      </x:c>
      <x:c r="AI27" s="528" t="str">
        <x:f>IF($A27="","",IF(AND(AI$7&gt;=$D27,AI$7&lt;$E27),"S",IF(AND(AI$7&gt;=$E27,AI$7&lt;$F27),"F"&amp;$C27,"")))</x:f>
      </x:c>
      <x:c r="AJ27" s="528" t="str">
        <x:f>IF($A27="","",IF(AND(AJ$7&gt;=$D27,AJ$7&lt;$E27),"S",IF(AND(AJ$7&gt;=$E27,AJ$7&lt;$F27),"F"&amp;$C27,"")))</x:f>
      </x:c>
      <x:c r="AK27" s="528" t="str">
        <x:f>IF($A27="","",IF(AND(AK$7&gt;=$D27,AK$7&lt;$E27),"S",IF(AND(AK$7&gt;=$E27,AK$7&lt;$F27),"F"&amp;$C27,"")))</x:f>
      </x:c>
      <x:c r="AL27" s="528" t="str">
        <x:f>IF($A27="","",IF(AND(AL$7&gt;=$D27,AL$7&lt;$E27),"S",IF(AND(AL$7&gt;=$E27,AL$7&lt;$F27),"F"&amp;$C27,"")))</x:f>
        <x:v>F2</x:v>
      </x:c>
      <x:c r="AM27" s="528" t="str">
        <x:f>IF($A27="","",IF(AND(AM$7&gt;=$D27,AM$7&lt;$E27),"S",IF(AND(AM$7&gt;=$E27,AM$7&lt;$F27),"F"&amp;$C27,"")))</x:f>
      </x:c>
    </x:row>
    <x:row r="28">
      <x:c r="A28" s="38"/>
      <x:c r="B28" s="38"/>
      <x:c r="C28" s="38"/>
      <x:c r="D28" s="38"/>
      <x:c r="E28" s="38"/>
      <x:c r="F28" s="38"/>
      <x:c r="G28" s="38"/>
      <x:c r="H28" s="38"/>
      <x:c r="I28" s="38"/>
      <x:c r="J28" s="38"/>
      <x:c r="K28" s="38"/>
      <x:c r="L28" s="38"/>
      <x:c r="M28" s="38"/>
      <x:c r="N28" s="38"/>
      <x:c r="O28" s="38"/>
      <x:c r="P28" s="38"/>
      <x:c r="Q28" s="38"/>
      <x:c r="R28" s="38"/>
      <x:c r="S28" s="38"/>
      <x:c r="T28" s="38"/>
      <x:c r="U28" s="38"/>
      <x:c r="V28" s="38"/>
      <x:c r="W28" s="38"/>
      <x:c r="X28" s="38"/>
      <x:c r="Y28" s="38"/>
      <x:c r="Z28" s="38"/>
      <x:c r="AA28" s="38"/>
      <x:c r="AB28" s="38"/>
      <x:c r="AC28" s="38"/>
      <x:c r="AD28" s="38"/>
      <x:c r="AE28" s="38"/>
      <x:c r="AF28" s="38"/>
      <x:c r="AG28" s="38"/>
      <x:c r="AH28" s="38"/>
      <x:c r="AI28" s="38"/>
      <x:c r="AJ28" s="38"/>
      <x:c r="AK28" s="38"/>
      <x:c r="AL28" s="38"/>
      <x:c r="AM28" s="38"/>
    </x:row>
    <x:row r="29">
      <x:c r="A29" s="38"/>
      <x:c r="B29" s="38"/>
      <x:c r="C29" s="38"/>
      <x:c r="D29" s="38"/>
      <x:c r="E29" s="38"/>
      <x:c r="F29" s="38"/>
      <x:c r="G29" s="38"/>
      <x:c r="H29" s="38"/>
      <x:c r="I29" s="38"/>
      <x:c r="J29" s="38"/>
      <x:c r="K29" s="38"/>
      <x:c r="L29" s="38"/>
      <x:c r="M29" s="38"/>
      <x:c r="N29" s="38"/>
      <x:c r="O29" s="38"/>
      <x:c r="P29" s="38"/>
      <x:c r="Q29" s="38"/>
      <x:c r="R29" s="38"/>
      <x:c r="S29" s="38"/>
      <x:c r="T29" s="38"/>
      <x:c r="U29" s="38"/>
      <x:c r="V29" s="38"/>
      <x:c r="W29" s="38"/>
      <x:c r="X29" s="38"/>
      <x:c r="Y29" s="38"/>
      <x:c r="Z29" s="38"/>
      <x:c r="AA29" s="38"/>
      <x:c r="AB29" s="38"/>
      <x:c r="AC29" s="38"/>
      <x:c r="AD29" s="38"/>
      <x:c r="AE29" s="38"/>
      <x:c r="AF29" s="38"/>
      <x:c r="AG29" s="38"/>
      <x:c r="AH29" s="38"/>
      <x:c r="AI29" s="38"/>
      <x:c r="AJ29" s="38"/>
      <x:c r="AK29" s="38"/>
      <x:c r="AL29" s="38"/>
      <x:c r="AM29" s="38"/>
    </x:row>
    <x:row r="30">
      <x:c r="A30" s="129" t="str">
        <x:f>IF('_CONFIG'!$B$2="pt-BR","PROGRAMAÇÃO COMPLETA E VERIFICADA","COMPLETE VERIFIED SCHEDULE")</x:f>
        <x:v>COMPLETE VERIFIED SCHEDULE</x:v>
      </x:c>
      <x:c r="B30" s="129"/>
      <x:c r="C30" s="129"/>
      <x:c r="D30" s="129"/>
      <x:c r="E30" s="129"/>
      <x:c r="F30" s="129"/>
      <x:c r="G30" s="129"/>
      <x:c r="H30" s="129"/>
      <x:c r="I30" s="129"/>
      <x:c r="J30" s="129"/>
      <x:c r="K30" s="129"/>
      <x:c r="L30" s="129"/>
      <x:c r="M30" s="129"/>
      <x:c r="N30" s="129"/>
      <x:c r="O30" s="129"/>
      <x:c r="P30" s="129"/>
      <x:c r="Q30" s="129"/>
      <x:c r="R30" s="129"/>
      <x:c r="S30" s="129"/>
      <x:c r="T30" s="129"/>
      <x:c r="U30" s="129"/>
      <x:c r="V30" s="129"/>
      <x:c r="W30" s="129"/>
      <x:c r="X30" s="129"/>
      <x:c r="Y30" s="129"/>
      <x:c r="Z30" s="129"/>
      <x:c r="AA30" s="129"/>
      <x:c r="AB30" s="129"/>
      <x:c r="AC30" s="129"/>
      <x:c r="AD30" s="129"/>
      <x:c r="AE30" s="129"/>
      <x:c r="AF30" s="129"/>
      <x:c r="AG30" s="129"/>
      <x:c r="AH30" s="129"/>
      <x:c r="AI30" s="129"/>
      <x:c r="AJ30" s="129"/>
      <x:c r="AK30" s="129"/>
      <x:c r="AL30" s="129"/>
      <x:c r="AM30" s="129"/>
    </x:row>
    <x:row r="31">
      <x:c r="A31" s="129"/>
      <x:c r="B31" s="129"/>
      <x:c r="C31" s="129"/>
      <x:c r="D31" s="129"/>
      <x:c r="E31" s="129"/>
      <x:c r="F31" s="129"/>
      <x:c r="G31" s="129"/>
      <x:c r="H31" s="129"/>
      <x:c r="I31" s="129"/>
      <x:c r="J31" s="129"/>
      <x:c r="K31" s="129"/>
      <x:c r="L31" s="129"/>
      <x:c r="M31" s="129"/>
      <x:c r="N31" s="129"/>
      <x:c r="O31" s="129"/>
      <x:c r="P31" s="129"/>
      <x:c r="Q31" s="129"/>
      <x:c r="R31" s="129"/>
      <x:c r="S31" s="129"/>
      <x:c r="T31" s="129"/>
      <x:c r="U31" s="129"/>
      <x:c r="V31" s="129"/>
      <x:c r="W31" s="129"/>
      <x:c r="X31" s="129"/>
      <x:c r="Y31" s="129"/>
      <x:c r="Z31" s="129"/>
      <x:c r="AA31" s="129"/>
      <x:c r="AB31" s="129"/>
      <x:c r="AC31" s="129"/>
      <x:c r="AD31" s="129"/>
      <x:c r="AE31" s="129"/>
      <x:c r="AF31" s="129"/>
      <x:c r="AG31" s="129"/>
      <x:c r="AH31" s="129"/>
      <x:c r="AI31" s="129"/>
      <x:c r="AJ31" s="129"/>
      <x:c r="AK31" s="129"/>
      <x:c r="AL31" s="129"/>
      <x:c r="AM31" s="129"/>
    </x:row>
    <x:row r="32">
      <x:c r="A32" s="38"/>
      <x:c r="B32" s="38"/>
      <x:c r="C32" s="38"/>
      <x:c r="D32" s="38"/>
      <x:c r="E32" s="38"/>
      <x:c r="F32" s="38"/>
      <x:c r="G32" s="38"/>
      <x:c r="H32" s="38"/>
      <x:c r="I32" s="38"/>
      <x:c r="J32" s="38"/>
      <x:c r="K32" s="38"/>
      <x:c r="L32" s="38"/>
      <x:c r="M32" s="38"/>
      <x:c r="N32" s="38"/>
      <x:c r="O32" s="38"/>
      <x:c r="P32" s="38"/>
      <x:c r="Q32" s="38"/>
      <x:c r="R32" s="38"/>
      <x:c r="S32" s="38"/>
      <x:c r="T32" s="38"/>
      <x:c r="U32" s="38"/>
      <x:c r="V32" s="38"/>
      <x:c r="W32" s="38"/>
      <x:c r="X32" s="38"/>
      <x:c r="Y32" s="38"/>
      <x:c r="Z32" s="38"/>
      <x:c r="AA32" s="38"/>
      <x:c r="AB32" s="38"/>
      <x:c r="AC32" s="38"/>
      <x:c r="AD32" s="38"/>
      <x:c r="AE32" s="38"/>
      <x:c r="AF32" s="38"/>
      <x:c r="AG32" s="38"/>
      <x:c r="AH32" s="38"/>
      <x:c r="AI32" s="38"/>
      <x:c r="AJ32" s="38"/>
      <x:c r="AK32" s="38"/>
      <x:c r="AL32" s="38"/>
      <x:c r="AM32" s="38"/>
    </x:row>
    <x:row r="33">
      <x:c r="A33" s="478" t="str">
        <x:f>IF('_CONFIG'!$B$2="pt-BR","Posição","Position")</x:f>
        <x:v>Position</x:v>
      </x:c>
      <x:c r="B33" s="479" t="str">
        <x:f>IF('_CONFIG'!$B$2="pt-BR","Status","Status")</x:f>
        <x:v>Status</x:v>
      </x:c>
      <x:c r="C33" s="479" t="str">
        <x:f>IF('_CONFIG'!$B$2="pt-BR","Job","Job")</x:f>
        <x:v>Job</x:v>
      </x:c>
      <x:c r="D33" s="479" t="str">
        <x:f>IF('_CONFIG'!$B$2="pt-BR","Família","Family")</x:f>
        <x:v>Family</x:v>
      </x:c>
      <x:c r="E33" s="479" t="str">
        <x:f>IF('_CONFIG'!$B$2="pt-BR","Liberação","Release")</x:f>
        <x:v>Release</x:v>
      </x:c>
      <x:c r="F33" s="479" t="str">
        <x:f>IF('_CONFIG'!$B$2="pt-BR","Prazo","Due")</x:f>
        <x:v>Due</x:v>
      </x:c>
      <x:c r="G33" s="479" t="str">
        <x:f>IF('_CONFIG'!$B$2="pt-BR","Limite rígido","Hard deadline")</x:f>
        <x:v>Hard deadline</x:v>
      </x:c>
      <x:c r="H33" s="479" t="str">
        <x:f>IF('_CONFIG'!$B$2="pt-BR","Início da preparação","Setup start")</x:f>
        <x:v>Setup start</x:v>
      </x:c>
      <x:c r="I33" s="479" t="str">
        <x:f>IF('_CONFIG'!$B$2="pt-BR","Tempo de preparação","Setup time")</x:f>
        <x:v>Setup time</x:v>
      </x:c>
      <x:c r="J33" s="479" t="str">
        <x:f>IF('_CONFIG'!$B$2="pt-BR","Início do processamento","Process start")</x:f>
        <x:v>Process start</x:v>
      </x:c>
      <x:c r="K33" s="479" t="str">
        <x:f>IF('_CONFIG'!$B$2="pt-BR","Processamento","Processing")</x:f>
        <x:v>Processing</x:v>
      </x:c>
      <x:c r="L33" s="479" t="str">
        <x:f>IF('_CONFIG'!$B$2="pt-BR","Conclusão","Finish")</x:f>
        <x:v>Finish</x:v>
      </x:c>
      <x:c r="M33" s="479" t="str">
        <x:f>IF('_CONFIG'!$B$2="pt-BR","Atraso","Late")</x:f>
        <x:v>Late</x:v>
      </x:c>
      <x:c r="N33" s="479" t="str">
        <x:f>IF('_CONFIG'!$B$2="pt-BR","Custo de preparação","Setup cost")</x:f>
        <x:v>Setup cost</x:v>
      </x:c>
      <x:c r="O33" s="479" t="str">
        <x:f>IF('_CONFIG'!$B$2="pt-BR","Execução","Execution")</x:f>
        <x:v>Execution</x:v>
      </x:c>
      <x:c r="P33" s="479" t="str">
        <x:f>IF('_CONFIG'!$B$2="pt-BR","Custo de atraso","Tardiness")</x:f>
        <x:v>Tardiness</x:v>
      </x:c>
      <x:c r="Q33" s="479" t="str">
        <x:f>IF('_CONFIG'!$B$2="pt-BR","Rejeição","Rejection")</x:f>
        <x:v>Rejection</x:v>
      </x:c>
      <x:c r="R33" s="479" t="str">
        <x:f>IF('_CONFIG'!$B$2="pt-BR","Contribuição","Contribution")</x:f>
        <x:v>Contribution</x:v>
      </x:c>
      <x:c r="S33" s="480" t="str">
        <x:f>IF('_CONFIG'!$B$2="pt-BR","Viável","Feasible")</x:f>
        <x:v>Feasible</x:v>
      </x:c>
      <x:c r="T33" s="38"/>
      <x:c r="U33" s="38"/>
      <x:c r="V33" s="38"/>
      <x:c r="W33" s="38"/>
      <x:c r="X33" s="38"/>
      <x:c r="Y33" s="38"/>
      <x:c r="Z33" s="38"/>
      <x:c r="AA33" s="38"/>
      <x:c r="AB33" s="38"/>
      <x:c r="AC33" s="38"/>
      <x:c r="AD33" s="38"/>
      <x:c r="AE33" s="38"/>
      <x:c r="AF33" s="38"/>
      <x:c r="AG33" s="38"/>
      <x:c r="AH33" s="38"/>
      <x:c r="AI33" s="38"/>
      <x:c r="AJ33" s="38"/>
      <x:c r="AK33" s="38"/>
      <x:c r="AL33" s="38"/>
      <x:c r="AM33" s="38"/>
    </x:row>
    <x:row r="34">
      <x:c r="A34" s="522" t="n">
        <x:f>IF(ISBLANK('_SCHEDULE'!A2),"",'_SCHEDULE'!A2)</x:f>
        <x:v>1</x:v>
      </x:c>
      <x:c r="B34" s="522" t="str">
        <x:f>IF(ISBLANK('_SCHEDULE'!B2),"",IF('_CONFIG'!$B$2="pt-BR",IF('_SCHEDULE'!B2="scheduled","programado",IF('_SCHEDULE'!B2="rejected","rejeitado",'_SCHEDULE'!B2)),'_SCHEDULE'!B2))</x:f>
        <x:v>scheduled</x:v>
      </x:c>
      <x:c r="C34" s="522" t="n">
        <x:f>IF(ISBLANK('_SCHEDULE'!C2),"",'_SCHEDULE'!C2)</x:f>
        <x:v>41</x:v>
      </x:c>
      <x:c r="D34" s="522" t="n">
        <x:f>IF(ISBLANK('_SCHEDULE'!D2),"",'_SCHEDULE'!D2)</x:f>
        <x:v>3</x:v>
      </x:c>
      <x:c r="E34" s="529" t="n">
        <x:f>IF(ISBLANK('_SCHEDULE'!E2),"",'_SCHEDULE'!E2)</x:f>
        <x:v>0</x:v>
      </x:c>
      <x:c r="F34" s="529" t="n">
        <x:f>IF(ISBLANK('_SCHEDULE'!F2),"",'_SCHEDULE'!F2)</x:f>
        <x:v>1400</x:v>
      </x:c>
      <x:c r="G34" s="529" t="n">
        <x:f>IF(ISBLANK('_SCHEDULE'!G2),"",'_SCHEDULE'!G2)</x:f>
        <x:v>20000</x:v>
      </x:c>
      <x:c r="H34" s="529" t="n">
        <x:f>IF(ISBLANK('_SCHEDULE'!H2),"",'_SCHEDULE'!H2)</x:f>
        <x:v>0</x:v>
      </x:c>
      <x:c r="I34" s="529" t="n">
        <x:f>IF(ISBLANK('_SCHEDULE'!I2),"",'_SCHEDULE'!I2)</x:f>
        <x:v>0</x:v>
      </x:c>
      <x:c r="J34" s="529" t="n">
        <x:f>IF(ISBLANK('_SCHEDULE'!J2),"",'_SCHEDULE'!J2)</x:f>
        <x:v>0</x:v>
      </x:c>
      <x:c r="K34" s="529" t="n">
        <x:f>IF(ISBLANK('_SCHEDULE'!K2),"",'_SCHEDULE'!K2)</x:f>
        <x:v>70</x:v>
      </x:c>
      <x:c r="L34" s="529" t="n">
        <x:f>IF(ISBLANK('_SCHEDULE'!L2),"",'_SCHEDULE'!L2)</x:f>
        <x:v>70</x:v>
      </x:c>
      <x:c r="M34" s="529" t="n">
        <x:f>IF(ISBLANK('_SCHEDULE'!M2),"",'_SCHEDULE'!M2)</x:f>
        <x:v>0</x:v>
      </x:c>
      <x:c r="N34" s="529" t="n">
        <x:f>IF(ISBLANK('_SCHEDULE'!N2),"",'_SCHEDULE'!N2)</x:f>
        <x:v>0</x:v>
      </x:c>
      <x:c r="O34" s="529" t="n">
        <x:f>IF(ISBLANK('_SCHEDULE'!O2),"",'_SCHEDULE'!O2)</x:f>
        <x:v>100</x:v>
      </x:c>
      <x:c r="P34" s="529" t="n">
        <x:f>IF(ISBLANK('_SCHEDULE'!P2),"",'_SCHEDULE'!P2)</x:f>
        <x:v>0</x:v>
      </x:c>
      <x:c r="Q34" s="529" t="n">
        <x:f>IF(ISBLANK('_SCHEDULE'!Q2),"",'_SCHEDULE'!Q2)</x:f>
        <x:v>0</x:v>
      </x:c>
      <x:c r="R34" s="529" t="n">
        <x:f>IF(ISBLANK('_SCHEDULE'!R2),"",'_SCHEDULE'!R2)</x:f>
        <x:v>100</x:v>
      </x:c>
      <x:c r="S34" s="522" t="b">
        <x:f>IF(ISBLANK('_SCHEDULE'!S2),"",'_SCHEDULE'!S2)</x:f>
        <x:v>1</x:v>
      </x:c>
      <x:c r="T34" s="38"/>
      <x:c r="U34" s="38"/>
      <x:c r="V34" s="38"/>
      <x:c r="W34" s="38"/>
      <x:c r="X34" s="38"/>
      <x:c r="Y34" s="38"/>
      <x:c r="Z34" s="38"/>
      <x:c r="AA34" s="38"/>
      <x:c r="AB34" s="38"/>
      <x:c r="AC34" s="38"/>
      <x:c r="AD34" s="38"/>
      <x:c r="AE34" s="38"/>
      <x:c r="AF34" s="38"/>
      <x:c r="AG34" s="38"/>
      <x:c r="AH34" s="38"/>
      <x:c r="AI34" s="38"/>
      <x:c r="AJ34" s="38"/>
      <x:c r="AK34" s="38"/>
      <x:c r="AL34" s="38"/>
      <x:c r="AM34" s="38"/>
    </x:row>
    <x:row r="35">
      <x:c r="A35" s="523" t="n">
        <x:f>IF(ISBLANK('_SCHEDULE'!A3),"",'_SCHEDULE'!A3)</x:f>
        <x:v>2</x:v>
      </x:c>
      <x:c r="B35" s="523" t="str">
        <x:f>IF(ISBLANK('_SCHEDULE'!B3),"",IF('_CONFIG'!$B$2="pt-BR",IF('_SCHEDULE'!B3="scheduled","programado",IF('_SCHEDULE'!B3="rejected","rejeitado",'_SCHEDULE'!B3)),'_SCHEDULE'!B3))</x:f>
        <x:v>scheduled</x:v>
      </x:c>
      <x:c r="C35" s="523" t="n">
        <x:f>IF(ISBLANK('_SCHEDULE'!C3),"",'_SCHEDULE'!C3)</x:f>
        <x:v>40</x:v>
      </x:c>
      <x:c r="D35" s="523" t="n">
        <x:f>IF(ISBLANK('_SCHEDULE'!D3),"",'_SCHEDULE'!D3)</x:f>
        <x:v>3</x:v>
      </x:c>
      <x:c r="E35" s="530" t="n">
        <x:f>IF(ISBLANK('_SCHEDULE'!E3),"",'_SCHEDULE'!E3)</x:f>
        <x:v>0</x:v>
      </x:c>
      <x:c r="F35" s="530" t="n">
        <x:f>IF(ISBLANK('_SCHEDULE'!F3),"",'_SCHEDULE'!F3)</x:f>
        <x:v>1200</x:v>
      </x:c>
      <x:c r="G35" s="530" t="n">
        <x:f>IF(ISBLANK('_SCHEDULE'!G3),"",'_SCHEDULE'!G3)</x:f>
        <x:v>20000</x:v>
      </x:c>
      <x:c r="H35" s="530" t="n">
        <x:f>IF(ISBLANK('_SCHEDULE'!H3),"",'_SCHEDULE'!H3)</x:f>
        <x:v>70</x:v>
      </x:c>
      <x:c r="I35" s="530" t="n">
        <x:f>IF(ISBLANK('_SCHEDULE'!I3),"",'_SCHEDULE'!I3)</x:f>
        <x:v>0</x:v>
      </x:c>
      <x:c r="J35" s="530" t="n">
        <x:f>IF(ISBLANK('_SCHEDULE'!J3),"",'_SCHEDULE'!J3)</x:f>
        <x:v>70</x:v>
      </x:c>
      <x:c r="K35" s="530" t="n">
        <x:f>IF(ISBLANK('_SCHEDULE'!K3),"",'_SCHEDULE'!K3)</x:f>
        <x:v>70</x:v>
      </x:c>
      <x:c r="L35" s="530" t="n">
        <x:f>IF(ISBLANK('_SCHEDULE'!L3),"",'_SCHEDULE'!L3)</x:f>
        <x:v>140</x:v>
      </x:c>
      <x:c r="M35" s="530" t="n">
        <x:f>IF(ISBLANK('_SCHEDULE'!M3),"",'_SCHEDULE'!M3)</x:f>
        <x:v>0</x:v>
      </x:c>
      <x:c r="N35" s="530" t="n">
        <x:f>IF(ISBLANK('_SCHEDULE'!N3),"",'_SCHEDULE'!N3)</x:f>
        <x:v>0</x:v>
      </x:c>
      <x:c r="O35" s="530" t="n">
        <x:f>IF(ISBLANK('_SCHEDULE'!O3),"",'_SCHEDULE'!O3)</x:f>
        <x:v>100</x:v>
      </x:c>
      <x:c r="P35" s="530" t="n">
        <x:f>IF(ISBLANK('_SCHEDULE'!P3),"",'_SCHEDULE'!P3)</x:f>
        <x:v>0</x:v>
      </x:c>
      <x:c r="Q35" s="530" t="n">
        <x:f>IF(ISBLANK('_SCHEDULE'!Q3),"",'_SCHEDULE'!Q3)</x:f>
        <x:v>0</x:v>
      </x:c>
      <x:c r="R35" s="530" t="n">
        <x:f>IF(ISBLANK('_SCHEDULE'!R3),"",'_SCHEDULE'!R3)</x:f>
        <x:v>100</x:v>
      </x:c>
      <x:c r="S35" s="523" t="b">
        <x:f>IF(ISBLANK('_SCHEDULE'!S3),"",'_SCHEDULE'!S3)</x:f>
        <x:v>1</x:v>
      </x:c>
      <x:c r="T35" s="38"/>
      <x:c r="U35" s="38"/>
      <x:c r="V35" s="38"/>
      <x:c r="W35" s="38"/>
      <x:c r="X35" s="38"/>
      <x:c r="Y35" s="38"/>
      <x:c r="Z35" s="38"/>
      <x:c r="AA35" s="38"/>
      <x:c r="AB35" s="38"/>
      <x:c r="AC35" s="38"/>
      <x:c r="AD35" s="38"/>
      <x:c r="AE35" s="38"/>
      <x:c r="AF35" s="38"/>
      <x:c r="AG35" s="38"/>
      <x:c r="AH35" s="38"/>
      <x:c r="AI35" s="38"/>
      <x:c r="AJ35" s="38"/>
      <x:c r="AK35" s="38"/>
      <x:c r="AL35" s="38"/>
      <x:c r="AM35" s="38"/>
    </x:row>
    <x:row r="36">
      <x:c r="A36" s="523" t="n">
        <x:f>IF(ISBLANK('_SCHEDULE'!A4),"",'_SCHEDULE'!A4)</x:f>
        <x:v>3</x:v>
      </x:c>
      <x:c r="B36" s="523" t="str">
        <x:f>IF(ISBLANK('_SCHEDULE'!B4),"",IF('_CONFIG'!$B$2="pt-BR",IF('_SCHEDULE'!B4="scheduled","programado",IF('_SCHEDULE'!B4="rejected","rejeitado",'_SCHEDULE'!B4)),'_SCHEDULE'!B4))</x:f>
        <x:v>scheduled</x:v>
      </x:c>
      <x:c r="C36" s="523" t="n">
        <x:f>IF(ISBLANK('_SCHEDULE'!C4),"",'_SCHEDULE'!C4)</x:f>
        <x:v>39</x:v>
      </x:c>
      <x:c r="D36" s="523" t="n">
        <x:f>IF(ISBLANK('_SCHEDULE'!D4),"",'_SCHEDULE'!D4)</x:f>
        <x:v>3</x:v>
      </x:c>
      <x:c r="E36" s="530" t="n">
        <x:f>IF(ISBLANK('_SCHEDULE'!E4),"",'_SCHEDULE'!E4)</x:f>
        <x:v>0</x:v>
      </x:c>
      <x:c r="F36" s="530" t="n">
        <x:f>IF(ISBLANK('_SCHEDULE'!F4),"",'_SCHEDULE'!F4)</x:f>
        <x:v>1400</x:v>
      </x:c>
      <x:c r="G36" s="530" t="n">
        <x:f>IF(ISBLANK('_SCHEDULE'!G4),"",'_SCHEDULE'!G4)</x:f>
        <x:v>20000</x:v>
      </x:c>
      <x:c r="H36" s="530" t="n">
        <x:f>IF(ISBLANK('_SCHEDULE'!H4),"",'_SCHEDULE'!H4)</x:f>
        <x:v>140</x:v>
      </x:c>
      <x:c r="I36" s="530" t="n">
        <x:f>IF(ISBLANK('_SCHEDULE'!I4),"",'_SCHEDULE'!I4)</x:f>
        <x:v>0</x:v>
      </x:c>
      <x:c r="J36" s="530" t="n">
        <x:f>IF(ISBLANK('_SCHEDULE'!J4),"",'_SCHEDULE'!J4)</x:f>
        <x:v>140</x:v>
      </x:c>
      <x:c r="K36" s="530" t="n">
        <x:f>IF(ISBLANK('_SCHEDULE'!K4),"",'_SCHEDULE'!K4)</x:f>
        <x:v>70</x:v>
      </x:c>
      <x:c r="L36" s="530" t="n">
        <x:f>IF(ISBLANK('_SCHEDULE'!L4),"",'_SCHEDULE'!L4)</x:f>
        <x:v>210</x:v>
      </x:c>
      <x:c r="M36" s="530" t="n">
        <x:f>IF(ISBLANK('_SCHEDULE'!M4),"",'_SCHEDULE'!M4)</x:f>
        <x:v>0</x:v>
      </x:c>
      <x:c r="N36" s="530" t="n">
        <x:f>IF(ISBLANK('_SCHEDULE'!N4),"",'_SCHEDULE'!N4)</x:f>
        <x:v>0</x:v>
      </x:c>
      <x:c r="O36" s="530" t="n">
        <x:f>IF(ISBLANK('_SCHEDULE'!O4),"",'_SCHEDULE'!O4)</x:f>
        <x:v>100</x:v>
      </x:c>
      <x:c r="P36" s="530" t="n">
        <x:f>IF(ISBLANK('_SCHEDULE'!P4),"",'_SCHEDULE'!P4)</x:f>
        <x:v>0</x:v>
      </x:c>
      <x:c r="Q36" s="530" t="n">
        <x:f>IF(ISBLANK('_SCHEDULE'!Q4),"",'_SCHEDULE'!Q4)</x:f>
        <x:v>0</x:v>
      </x:c>
      <x:c r="R36" s="530" t="n">
        <x:f>IF(ISBLANK('_SCHEDULE'!R4),"",'_SCHEDULE'!R4)</x:f>
        <x:v>100</x:v>
      </x:c>
      <x:c r="S36" s="523" t="b">
        <x:f>IF(ISBLANK('_SCHEDULE'!S4),"",'_SCHEDULE'!S4)</x:f>
        <x:v>1</x:v>
      </x:c>
      <x:c r="T36" s="38"/>
      <x:c r="U36" s="38"/>
      <x:c r="V36" s="38"/>
      <x:c r="W36" s="38"/>
      <x:c r="X36" s="38"/>
      <x:c r="Y36" s="38"/>
      <x:c r="Z36" s="38"/>
      <x:c r="AA36" s="38"/>
      <x:c r="AB36" s="38"/>
      <x:c r="AC36" s="38"/>
      <x:c r="AD36" s="38"/>
      <x:c r="AE36" s="38"/>
      <x:c r="AF36" s="38"/>
      <x:c r="AG36" s="38"/>
      <x:c r="AH36" s="38"/>
      <x:c r="AI36" s="38"/>
      <x:c r="AJ36" s="38"/>
      <x:c r="AK36" s="38"/>
      <x:c r="AL36" s="38"/>
      <x:c r="AM36" s="38"/>
    </x:row>
    <x:row r="37">
      <x:c r="A37" s="523" t="n">
        <x:f>IF(ISBLANK('_SCHEDULE'!A5),"",'_SCHEDULE'!A5)</x:f>
        <x:v>4</x:v>
      </x:c>
      <x:c r="B37" s="523" t="str">
        <x:f>IF(ISBLANK('_SCHEDULE'!B5),"",IF('_CONFIG'!$B$2="pt-BR",IF('_SCHEDULE'!B5="scheduled","programado",IF('_SCHEDULE'!B5="rejected","rejeitado",'_SCHEDULE'!B5)),'_SCHEDULE'!B5))</x:f>
        <x:v>scheduled</x:v>
      </x:c>
      <x:c r="C37" s="523" t="n">
        <x:f>IF(ISBLANK('_SCHEDULE'!C5),"",'_SCHEDULE'!C5)</x:f>
        <x:v>37</x:v>
      </x:c>
      <x:c r="D37" s="523" t="n">
        <x:f>IF(ISBLANK('_SCHEDULE'!D5),"",'_SCHEDULE'!D5)</x:f>
        <x:v>3</x:v>
      </x:c>
      <x:c r="E37" s="530" t="n">
        <x:f>IF(ISBLANK('_SCHEDULE'!E5),"",'_SCHEDULE'!E5)</x:f>
        <x:v>0</x:v>
      </x:c>
      <x:c r="F37" s="530" t="n">
        <x:f>IF(ISBLANK('_SCHEDULE'!F5),"",'_SCHEDULE'!F5)</x:f>
        <x:v>1400</x:v>
      </x:c>
      <x:c r="G37" s="530" t="n">
        <x:f>IF(ISBLANK('_SCHEDULE'!G5),"",'_SCHEDULE'!G5)</x:f>
        <x:v>20000</x:v>
      </x:c>
      <x:c r="H37" s="530" t="n">
        <x:f>IF(ISBLANK('_SCHEDULE'!H5),"",'_SCHEDULE'!H5)</x:f>
        <x:v>210</x:v>
      </x:c>
      <x:c r="I37" s="530" t="n">
        <x:f>IF(ISBLANK('_SCHEDULE'!I5),"",'_SCHEDULE'!I5)</x:f>
        <x:v>0</x:v>
      </x:c>
      <x:c r="J37" s="530" t="n">
        <x:f>IF(ISBLANK('_SCHEDULE'!J5),"",'_SCHEDULE'!J5)</x:f>
        <x:v>210</x:v>
      </x:c>
      <x:c r="K37" s="530" t="n">
        <x:f>IF(ISBLANK('_SCHEDULE'!K5),"",'_SCHEDULE'!K5)</x:f>
        <x:v>70</x:v>
      </x:c>
      <x:c r="L37" s="530" t="n">
        <x:f>IF(ISBLANK('_SCHEDULE'!L5),"",'_SCHEDULE'!L5)</x:f>
        <x:v>280</x:v>
      </x:c>
      <x:c r="M37" s="530" t="n">
        <x:f>IF(ISBLANK('_SCHEDULE'!M5),"",'_SCHEDULE'!M5)</x:f>
        <x:v>0</x:v>
      </x:c>
      <x:c r="N37" s="530" t="n">
        <x:f>IF(ISBLANK('_SCHEDULE'!N5),"",'_SCHEDULE'!N5)</x:f>
        <x:v>0</x:v>
      </x:c>
      <x:c r="O37" s="530" t="n">
        <x:f>IF(ISBLANK('_SCHEDULE'!O5),"",'_SCHEDULE'!O5)</x:f>
        <x:v>100</x:v>
      </x:c>
      <x:c r="P37" s="530" t="n">
        <x:f>IF(ISBLANK('_SCHEDULE'!P5),"",'_SCHEDULE'!P5)</x:f>
        <x:v>0</x:v>
      </x:c>
      <x:c r="Q37" s="530" t="n">
        <x:f>IF(ISBLANK('_SCHEDULE'!Q5),"",'_SCHEDULE'!Q5)</x:f>
        <x:v>0</x:v>
      </x:c>
      <x:c r="R37" s="530" t="n">
        <x:f>IF(ISBLANK('_SCHEDULE'!R5),"",'_SCHEDULE'!R5)</x:f>
        <x:v>100</x:v>
      </x:c>
      <x:c r="S37" s="523" t="b">
        <x:f>IF(ISBLANK('_SCHEDULE'!S5),"",'_SCHEDULE'!S5)</x:f>
        <x:v>1</x:v>
      </x:c>
      <x:c r="T37" s="38"/>
      <x:c r="U37" s="38"/>
      <x:c r="V37" s="38"/>
      <x:c r="W37" s="38"/>
      <x:c r="X37" s="38"/>
      <x:c r="Y37" s="38"/>
      <x:c r="Z37" s="38"/>
      <x:c r="AA37" s="38"/>
      <x:c r="AB37" s="38"/>
      <x:c r="AC37" s="38"/>
      <x:c r="AD37" s="38"/>
      <x:c r="AE37" s="38"/>
      <x:c r="AF37" s="38"/>
      <x:c r="AG37" s="38"/>
      <x:c r="AH37" s="38"/>
      <x:c r="AI37" s="38"/>
      <x:c r="AJ37" s="38"/>
      <x:c r="AK37" s="38"/>
      <x:c r="AL37" s="38"/>
      <x:c r="AM37" s="38"/>
    </x:row>
    <x:row r="38">
      <x:c r="A38" s="523" t="n">
        <x:f>IF(ISBLANK('_SCHEDULE'!A6),"",'_SCHEDULE'!A6)</x:f>
        <x:v>5</x:v>
      </x:c>
      <x:c r="B38" s="523" t="str">
        <x:f>IF(ISBLANK('_SCHEDULE'!B6),"",IF('_CONFIG'!$B$2="pt-BR",IF('_SCHEDULE'!B6="scheduled","programado",IF('_SCHEDULE'!B6="rejected","rejeitado",'_SCHEDULE'!B6)),'_SCHEDULE'!B6))</x:f>
        <x:v>scheduled</x:v>
      </x:c>
      <x:c r="C38" s="523" t="n">
        <x:f>IF(ISBLANK('_SCHEDULE'!C6),"",'_SCHEDULE'!C6)</x:f>
        <x:v>47</x:v>
      </x:c>
      <x:c r="D38" s="523" t="n">
        <x:f>IF(ISBLANK('_SCHEDULE'!D6),"",'_SCHEDULE'!D6)</x:f>
        <x:v>3</x:v>
      </x:c>
      <x:c r="E38" s="530" t="n">
        <x:f>IF(ISBLANK('_SCHEDULE'!E6),"",'_SCHEDULE'!E6)</x:f>
        <x:v>0</x:v>
      </x:c>
      <x:c r="F38" s="530" t="n">
        <x:f>IF(ISBLANK('_SCHEDULE'!F6),"",'_SCHEDULE'!F6)</x:f>
        <x:v>1200</x:v>
      </x:c>
      <x:c r="G38" s="530" t="n">
        <x:f>IF(ISBLANK('_SCHEDULE'!G6),"",'_SCHEDULE'!G6)</x:f>
        <x:v>20000</x:v>
      </x:c>
      <x:c r="H38" s="530" t="n">
        <x:f>IF(ISBLANK('_SCHEDULE'!H6),"",'_SCHEDULE'!H6)</x:f>
        <x:v>280</x:v>
      </x:c>
      <x:c r="I38" s="530" t="n">
        <x:f>IF(ISBLANK('_SCHEDULE'!I6),"",'_SCHEDULE'!I6)</x:f>
        <x:v>0</x:v>
      </x:c>
      <x:c r="J38" s="530" t="n">
        <x:f>IF(ISBLANK('_SCHEDULE'!J6),"",'_SCHEDULE'!J6)</x:f>
        <x:v>280</x:v>
      </x:c>
      <x:c r="K38" s="530" t="n">
        <x:f>IF(ISBLANK('_SCHEDULE'!K6),"",'_SCHEDULE'!K6)</x:f>
        <x:v>70</x:v>
      </x:c>
      <x:c r="L38" s="530" t="n">
        <x:f>IF(ISBLANK('_SCHEDULE'!L6),"",'_SCHEDULE'!L6)</x:f>
        <x:v>350</x:v>
      </x:c>
      <x:c r="M38" s="530" t="n">
        <x:f>IF(ISBLANK('_SCHEDULE'!M6),"",'_SCHEDULE'!M6)</x:f>
        <x:v>0</x:v>
      </x:c>
      <x:c r="N38" s="530" t="n">
        <x:f>IF(ISBLANK('_SCHEDULE'!N6),"",'_SCHEDULE'!N6)</x:f>
        <x:v>0</x:v>
      </x:c>
      <x:c r="O38" s="530" t="n">
        <x:f>IF(ISBLANK('_SCHEDULE'!O6),"",'_SCHEDULE'!O6)</x:f>
        <x:v>100</x:v>
      </x:c>
      <x:c r="P38" s="530" t="n">
        <x:f>IF(ISBLANK('_SCHEDULE'!P6),"",'_SCHEDULE'!P6)</x:f>
        <x:v>0</x:v>
      </x:c>
      <x:c r="Q38" s="530" t="n">
        <x:f>IF(ISBLANK('_SCHEDULE'!Q6),"",'_SCHEDULE'!Q6)</x:f>
        <x:v>0</x:v>
      </x:c>
      <x:c r="R38" s="530" t="n">
        <x:f>IF(ISBLANK('_SCHEDULE'!R6),"",'_SCHEDULE'!R6)</x:f>
        <x:v>100</x:v>
      </x:c>
      <x:c r="S38" s="523" t="b">
        <x:f>IF(ISBLANK('_SCHEDULE'!S6),"",'_SCHEDULE'!S6)</x:f>
        <x:v>1</x:v>
      </x:c>
      <x:c r="T38" s="38"/>
      <x:c r="U38" s="38"/>
      <x:c r="V38" s="38"/>
      <x:c r="W38" s="38"/>
      <x:c r="X38" s="38"/>
      <x:c r="Y38" s="38"/>
      <x:c r="Z38" s="38"/>
      <x:c r="AA38" s="38"/>
      <x:c r="AB38" s="38"/>
      <x:c r="AC38" s="38"/>
      <x:c r="AD38" s="38"/>
      <x:c r="AE38" s="38"/>
      <x:c r="AF38" s="38"/>
      <x:c r="AG38" s="38"/>
      <x:c r="AH38" s="38"/>
      <x:c r="AI38" s="38"/>
      <x:c r="AJ38" s="38"/>
      <x:c r="AK38" s="38"/>
      <x:c r="AL38" s="38"/>
      <x:c r="AM38" s="38"/>
    </x:row>
    <x:row r="39">
      <x:c r="A39" s="523" t="n">
        <x:f>IF(ISBLANK('_SCHEDULE'!A7),"",'_SCHEDULE'!A7)</x:f>
        <x:v>6</x:v>
      </x:c>
      <x:c r="B39" s="523" t="str">
        <x:f>IF(ISBLANK('_SCHEDULE'!B7),"",IF('_CONFIG'!$B$2="pt-BR",IF('_SCHEDULE'!B7="scheduled","programado",IF('_SCHEDULE'!B7="rejected","rejeitado",'_SCHEDULE'!B7)),'_SCHEDULE'!B7))</x:f>
        <x:v>scheduled</x:v>
      </x:c>
      <x:c r="C39" s="523" t="n">
        <x:f>IF(ISBLANK('_SCHEDULE'!C7),"",'_SCHEDULE'!C7)</x:f>
        <x:v>45</x:v>
      </x:c>
      <x:c r="D39" s="523" t="n">
        <x:f>IF(ISBLANK('_SCHEDULE'!D7),"",'_SCHEDULE'!D7)</x:f>
        <x:v>3</x:v>
      </x:c>
      <x:c r="E39" s="530" t="n">
        <x:f>IF(ISBLANK('_SCHEDULE'!E7),"",'_SCHEDULE'!E7)</x:f>
        <x:v>0</x:v>
      </x:c>
      <x:c r="F39" s="530" t="n">
        <x:f>IF(ISBLANK('_SCHEDULE'!F7),"",'_SCHEDULE'!F7)</x:f>
        <x:v>1200</x:v>
      </x:c>
      <x:c r="G39" s="530" t="n">
        <x:f>IF(ISBLANK('_SCHEDULE'!G7),"",'_SCHEDULE'!G7)</x:f>
        <x:v>20000</x:v>
      </x:c>
      <x:c r="H39" s="530" t="n">
        <x:f>IF(ISBLANK('_SCHEDULE'!H7),"",'_SCHEDULE'!H7)</x:f>
        <x:v>350</x:v>
      </x:c>
      <x:c r="I39" s="530" t="n">
        <x:f>IF(ISBLANK('_SCHEDULE'!I7),"",'_SCHEDULE'!I7)</x:f>
        <x:v>0</x:v>
      </x:c>
      <x:c r="J39" s="530" t="n">
        <x:f>IF(ISBLANK('_SCHEDULE'!J7),"",'_SCHEDULE'!J7)</x:f>
        <x:v>350</x:v>
      </x:c>
      <x:c r="K39" s="530" t="n">
        <x:f>IF(ISBLANK('_SCHEDULE'!K7),"",'_SCHEDULE'!K7)</x:f>
        <x:v>70</x:v>
      </x:c>
      <x:c r="L39" s="530" t="n">
        <x:f>IF(ISBLANK('_SCHEDULE'!L7),"",'_SCHEDULE'!L7)</x:f>
        <x:v>420</x:v>
      </x:c>
      <x:c r="M39" s="530" t="n">
        <x:f>IF(ISBLANK('_SCHEDULE'!M7),"",'_SCHEDULE'!M7)</x:f>
        <x:v>0</x:v>
      </x:c>
      <x:c r="N39" s="530" t="n">
        <x:f>IF(ISBLANK('_SCHEDULE'!N7),"",'_SCHEDULE'!N7)</x:f>
        <x:v>0</x:v>
      </x:c>
      <x:c r="O39" s="530" t="n">
        <x:f>IF(ISBLANK('_SCHEDULE'!O7),"",'_SCHEDULE'!O7)</x:f>
        <x:v>100</x:v>
      </x:c>
      <x:c r="P39" s="530" t="n">
        <x:f>IF(ISBLANK('_SCHEDULE'!P7),"",'_SCHEDULE'!P7)</x:f>
        <x:v>0</x:v>
      </x:c>
      <x:c r="Q39" s="530" t="n">
        <x:f>IF(ISBLANK('_SCHEDULE'!Q7),"",'_SCHEDULE'!Q7)</x:f>
        <x:v>0</x:v>
      </x:c>
      <x:c r="R39" s="530" t="n">
        <x:f>IF(ISBLANK('_SCHEDULE'!R7),"",'_SCHEDULE'!R7)</x:f>
        <x:v>100</x:v>
      </x:c>
      <x:c r="S39" s="523" t="b">
        <x:f>IF(ISBLANK('_SCHEDULE'!S7),"",'_SCHEDULE'!S7)</x:f>
        <x:v>1</x:v>
      </x:c>
      <x:c r="T39" s="38"/>
      <x:c r="U39" s="38"/>
      <x:c r="V39" s="38"/>
      <x:c r="W39" s="38"/>
      <x:c r="X39" s="38"/>
      <x:c r="Y39" s="38"/>
      <x:c r="Z39" s="38"/>
      <x:c r="AA39" s="38"/>
      <x:c r="AB39" s="38"/>
      <x:c r="AC39" s="38"/>
      <x:c r="AD39" s="38"/>
      <x:c r="AE39" s="38"/>
      <x:c r="AF39" s="38"/>
      <x:c r="AG39" s="38"/>
      <x:c r="AH39" s="38"/>
      <x:c r="AI39" s="38"/>
      <x:c r="AJ39" s="38"/>
      <x:c r="AK39" s="38"/>
      <x:c r="AL39" s="38"/>
      <x:c r="AM39" s="38"/>
    </x:row>
    <x:row r="40">
      <x:c r="A40" s="523" t="n">
        <x:f>IF(ISBLANK('_SCHEDULE'!A8),"",'_SCHEDULE'!A8)</x:f>
        <x:v>7</x:v>
      </x:c>
      <x:c r="B40" s="523" t="str">
        <x:f>IF(ISBLANK('_SCHEDULE'!B8),"",IF('_CONFIG'!$B$2="pt-BR",IF('_SCHEDULE'!B8="scheduled","programado",IF('_SCHEDULE'!B8="rejected","rejeitado",'_SCHEDULE'!B8)),'_SCHEDULE'!B8))</x:f>
        <x:v>scheduled</x:v>
      </x:c>
      <x:c r="C40" s="523" t="n">
        <x:f>IF(ISBLANK('_SCHEDULE'!C8),"",'_SCHEDULE'!C8)</x:f>
        <x:v>43</x:v>
      </x:c>
      <x:c r="D40" s="523" t="n">
        <x:f>IF(ISBLANK('_SCHEDULE'!D8),"",'_SCHEDULE'!D8)</x:f>
        <x:v>3</x:v>
      </x:c>
      <x:c r="E40" s="530" t="n">
        <x:f>IF(ISBLANK('_SCHEDULE'!E8),"",'_SCHEDULE'!E8)</x:f>
        <x:v>0</x:v>
      </x:c>
      <x:c r="F40" s="530" t="n">
        <x:f>IF(ISBLANK('_SCHEDULE'!F8),"",'_SCHEDULE'!F8)</x:f>
        <x:v>1400</x:v>
      </x:c>
      <x:c r="G40" s="530" t="n">
        <x:f>IF(ISBLANK('_SCHEDULE'!G8),"",'_SCHEDULE'!G8)</x:f>
        <x:v>20000</x:v>
      </x:c>
      <x:c r="H40" s="530" t="n">
        <x:f>IF(ISBLANK('_SCHEDULE'!H8),"",'_SCHEDULE'!H8)</x:f>
        <x:v>420</x:v>
      </x:c>
      <x:c r="I40" s="530" t="n">
        <x:f>IF(ISBLANK('_SCHEDULE'!I8),"",'_SCHEDULE'!I8)</x:f>
        <x:v>0</x:v>
      </x:c>
      <x:c r="J40" s="530" t="n">
        <x:f>IF(ISBLANK('_SCHEDULE'!J8),"",'_SCHEDULE'!J8)</x:f>
        <x:v>420</x:v>
      </x:c>
      <x:c r="K40" s="530" t="n">
        <x:f>IF(ISBLANK('_SCHEDULE'!K8),"",'_SCHEDULE'!K8)</x:f>
        <x:v>70</x:v>
      </x:c>
      <x:c r="L40" s="530" t="n">
        <x:f>IF(ISBLANK('_SCHEDULE'!L8),"",'_SCHEDULE'!L8)</x:f>
        <x:v>490</x:v>
      </x:c>
      <x:c r="M40" s="530" t="n">
        <x:f>IF(ISBLANK('_SCHEDULE'!M8),"",'_SCHEDULE'!M8)</x:f>
        <x:v>0</x:v>
      </x:c>
      <x:c r="N40" s="530" t="n">
        <x:f>IF(ISBLANK('_SCHEDULE'!N8),"",'_SCHEDULE'!N8)</x:f>
        <x:v>0</x:v>
      </x:c>
      <x:c r="O40" s="530" t="n">
        <x:f>IF(ISBLANK('_SCHEDULE'!O8),"",'_SCHEDULE'!O8)</x:f>
        <x:v>100</x:v>
      </x:c>
      <x:c r="P40" s="530" t="n">
        <x:f>IF(ISBLANK('_SCHEDULE'!P8),"",'_SCHEDULE'!P8)</x:f>
        <x:v>0</x:v>
      </x:c>
      <x:c r="Q40" s="530" t="n">
        <x:f>IF(ISBLANK('_SCHEDULE'!Q8),"",'_SCHEDULE'!Q8)</x:f>
        <x:v>0</x:v>
      </x:c>
      <x:c r="R40" s="530" t="n">
        <x:f>IF(ISBLANK('_SCHEDULE'!R8),"",'_SCHEDULE'!R8)</x:f>
        <x:v>100</x:v>
      </x:c>
      <x:c r="S40" s="523" t="b">
        <x:f>IF(ISBLANK('_SCHEDULE'!S8),"",'_SCHEDULE'!S8)</x:f>
        <x:v>1</x:v>
      </x:c>
      <x:c r="T40" s="38"/>
      <x:c r="U40" s="38"/>
      <x:c r="V40" s="38"/>
      <x:c r="W40" s="38"/>
      <x:c r="X40" s="38"/>
      <x:c r="Y40" s="38"/>
      <x:c r="Z40" s="38"/>
      <x:c r="AA40" s="38"/>
      <x:c r="AB40" s="38"/>
      <x:c r="AC40" s="38"/>
      <x:c r="AD40" s="38"/>
      <x:c r="AE40" s="38"/>
      <x:c r="AF40" s="38"/>
      <x:c r="AG40" s="38"/>
      <x:c r="AH40" s="38"/>
      <x:c r="AI40" s="38"/>
      <x:c r="AJ40" s="38"/>
      <x:c r="AK40" s="38"/>
      <x:c r="AL40" s="38"/>
      <x:c r="AM40" s="38"/>
    </x:row>
    <x:row r="41">
      <x:c r="A41" s="523" t="n">
        <x:f>IF(ISBLANK('_SCHEDULE'!A9),"",'_SCHEDULE'!A9)</x:f>
        <x:v>8</x:v>
      </x:c>
      <x:c r="B41" s="523" t="str">
        <x:f>IF(ISBLANK('_SCHEDULE'!B9),"",IF('_CONFIG'!$B$2="pt-BR",IF('_SCHEDULE'!B9="scheduled","programado",IF('_SCHEDULE'!B9="rejected","rejeitado",'_SCHEDULE'!B9)),'_SCHEDULE'!B9))</x:f>
        <x:v>scheduled</x:v>
      </x:c>
      <x:c r="C41" s="523" t="n">
        <x:f>IF(ISBLANK('_SCHEDULE'!C9),"",'_SCHEDULE'!C9)</x:f>
        <x:v>42</x:v>
      </x:c>
      <x:c r="D41" s="523" t="n">
        <x:f>IF(ISBLANK('_SCHEDULE'!D9),"",'_SCHEDULE'!D9)</x:f>
        <x:v>3</x:v>
      </x:c>
      <x:c r="E41" s="530" t="n">
        <x:f>IF(ISBLANK('_SCHEDULE'!E9),"",'_SCHEDULE'!E9)</x:f>
        <x:v>0</x:v>
      </x:c>
      <x:c r="F41" s="530" t="n">
        <x:f>IF(ISBLANK('_SCHEDULE'!F9),"",'_SCHEDULE'!F9)</x:f>
        <x:v>1400</x:v>
      </x:c>
      <x:c r="G41" s="530" t="n">
        <x:f>IF(ISBLANK('_SCHEDULE'!G9),"",'_SCHEDULE'!G9)</x:f>
        <x:v>20000</x:v>
      </x:c>
      <x:c r="H41" s="530" t="n">
        <x:f>IF(ISBLANK('_SCHEDULE'!H9),"",'_SCHEDULE'!H9)</x:f>
        <x:v>490</x:v>
      </x:c>
      <x:c r="I41" s="530" t="n">
        <x:f>IF(ISBLANK('_SCHEDULE'!I9),"",'_SCHEDULE'!I9)</x:f>
        <x:v>0</x:v>
      </x:c>
      <x:c r="J41" s="530" t="n">
        <x:f>IF(ISBLANK('_SCHEDULE'!J9),"",'_SCHEDULE'!J9)</x:f>
        <x:v>490</x:v>
      </x:c>
      <x:c r="K41" s="530" t="n">
        <x:f>IF(ISBLANK('_SCHEDULE'!K9),"",'_SCHEDULE'!K9)</x:f>
        <x:v>70</x:v>
      </x:c>
      <x:c r="L41" s="530" t="n">
        <x:f>IF(ISBLANK('_SCHEDULE'!L9),"",'_SCHEDULE'!L9)</x:f>
        <x:v>560</x:v>
      </x:c>
      <x:c r="M41" s="530" t="n">
        <x:f>IF(ISBLANK('_SCHEDULE'!M9),"",'_SCHEDULE'!M9)</x:f>
        <x:v>0</x:v>
      </x:c>
      <x:c r="N41" s="530" t="n">
        <x:f>IF(ISBLANK('_SCHEDULE'!N9),"",'_SCHEDULE'!N9)</x:f>
        <x:v>0</x:v>
      </x:c>
      <x:c r="O41" s="530" t="n">
        <x:f>IF(ISBLANK('_SCHEDULE'!O9),"",'_SCHEDULE'!O9)</x:f>
        <x:v>100</x:v>
      </x:c>
      <x:c r="P41" s="530" t="n">
        <x:f>IF(ISBLANK('_SCHEDULE'!P9),"",'_SCHEDULE'!P9)</x:f>
        <x:v>0</x:v>
      </x:c>
      <x:c r="Q41" s="530" t="n">
        <x:f>IF(ISBLANK('_SCHEDULE'!Q9),"",'_SCHEDULE'!Q9)</x:f>
        <x:v>0</x:v>
      </x:c>
      <x:c r="R41" s="530" t="n">
        <x:f>IF(ISBLANK('_SCHEDULE'!R9),"",'_SCHEDULE'!R9)</x:f>
        <x:v>100</x:v>
      </x:c>
      <x:c r="S41" s="523" t="b">
        <x:f>IF(ISBLANK('_SCHEDULE'!S9),"",'_SCHEDULE'!S9)</x:f>
        <x:v>1</x:v>
      </x:c>
      <x:c r="T41" s="38"/>
      <x:c r="U41" s="38"/>
      <x:c r="V41" s="38"/>
      <x:c r="W41" s="38"/>
      <x:c r="X41" s="38"/>
      <x:c r="Y41" s="38"/>
      <x:c r="Z41" s="38"/>
      <x:c r="AA41" s="38"/>
      <x:c r="AB41" s="38"/>
      <x:c r="AC41" s="38"/>
      <x:c r="AD41" s="38"/>
      <x:c r="AE41" s="38"/>
      <x:c r="AF41" s="38"/>
      <x:c r="AG41" s="38"/>
      <x:c r="AH41" s="38"/>
      <x:c r="AI41" s="38"/>
      <x:c r="AJ41" s="38"/>
      <x:c r="AK41" s="38"/>
      <x:c r="AL41" s="38"/>
      <x:c r="AM41" s="38"/>
    </x:row>
    <x:row r="42">
      <x:c r="A42" s="523" t="n">
        <x:f>IF(ISBLANK('_SCHEDULE'!A10),"",'_SCHEDULE'!A10)</x:f>
        <x:v>9</x:v>
      </x:c>
      <x:c r="B42" s="523" t="str">
        <x:f>IF(ISBLANK('_SCHEDULE'!B10),"",IF('_CONFIG'!$B$2="pt-BR",IF('_SCHEDULE'!B10="scheduled","programado",IF('_SCHEDULE'!B10="rejected","rejeitado",'_SCHEDULE'!B10)),'_SCHEDULE'!B10))</x:f>
        <x:v>scheduled</x:v>
      </x:c>
      <x:c r="C42" s="523" t="n">
        <x:f>IF(ISBLANK('_SCHEDULE'!C10),"",'_SCHEDULE'!C10)</x:f>
        <x:v>44</x:v>
      </x:c>
      <x:c r="D42" s="523" t="n">
        <x:f>IF(ISBLANK('_SCHEDULE'!D10),"",'_SCHEDULE'!D10)</x:f>
        <x:v>3</x:v>
      </x:c>
      <x:c r="E42" s="530" t="n">
        <x:f>IF(ISBLANK('_SCHEDULE'!E10),"",'_SCHEDULE'!E10)</x:f>
        <x:v>0</x:v>
      </x:c>
      <x:c r="F42" s="530" t="n">
        <x:f>IF(ISBLANK('_SCHEDULE'!F10),"",'_SCHEDULE'!F10)</x:f>
        <x:v>1400</x:v>
      </x:c>
      <x:c r="G42" s="530" t="n">
        <x:f>IF(ISBLANK('_SCHEDULE'!G10),"",'_SCHEDULE'!G10)</x:f>
        <x:v>20000</x:v>
      </x:c>
      <x:c r="H42" s="530" t="n">
        <x:f>IF(ISBLANK('_SCHEDULE'!H10),"",'_SCHEDULE'!H10)</x:f>
        <x:v>560</x:v>
      </x:c>
      <x:c r="I42" s="530" t="n">
        <x:f>IF(ISBLANK('_SCHEDULE'!I10),"",'_SCHEDULE'!I10)</x:f>
        <x:v>0</x:v>
      </x:c>
      <x:c r="J42" s="530" t="n">
        <x:f>IF(ISBLANK('_SCHEDULE'!J10),"",'_SCHEDULE'!J10)</x:f>
        <x:v>560</x:v>
      </x:c>
      <x:c r="K42" s="530" t="n">
        <x:f>IF(ISBLANK('_SCHEDULE'!K10),"",'_SCHEDULE'!K10)</x:f>
        <x:v>70</x:v>
      </x:c>
      <x:c r="L42" s="530" t="n">
        <x:f>IF(ISBLANK('_SCHEDULE'!L10),"",'_SCHEDULE'!L10)</x:f>
        <x:v>630</x:v>
      </x:c>
      <x:c r="M42" s="530" t="n">
        <x:f>IF(ISBLANK('_SCHEDULE'!M10),"",'_SCHEDULE'!M10)</x:f>
        <x:v>0</x:v>
      </x:c>
      <x:c r="N42" s="530" t="n">
        <x:f>IF(ISBLANK('_SCHEDULE'!N10),"",'_SCHEDULE'!N10)</x:f>
        <x:v>0</x:v>
      </x:c>
      <x:c r="O42" s="530" t="n">
        <x:f>IF(ISBLANK('_SCHEDULE'!O10),"",'_SCHEDULE'!O10)</x:f>
        <x:v>100</x:v>
      </x:c>
      <x:c r="P42" s="530" t="n">
        <x:f>IF(ISBLANK('_SCHEDULE'!P10),"",'_SCHEDULE'!P10)</x:f>
        <x:v>0</x:v>
      </x:c>
      <x:c r="Q42" s="530" t="n">
        <x:f>IF(ISBLANK('_SCHEDULE'!Q10),"",'_SCHEDULE'!Q10)</x:f>
        <x:v>0</x:v>
      </x:c>
      <x:c r="R42" s="530" t="n">
        <x:f>IF(ISBLANK('_SCHEDULE'!R10),"",'_SCHEDULE'!R10)</x:f>
        <x:v>100</x:v>
      </x:c>
      <x:c r="S42" s="523" t="b">
        <x:f>IF(ISBLANK('_SCHEDULE'!S10),"",'_SCHEDULE'!S10)</x:f>
        <x:v>1</x:v>
      </x:c>
      <x:c r="T42" s="38"/>
      <x:c r="U42" s="38"/>
      <x:c r="V42" s="38"/>
      <x:c r="W42" s="38"/>
      <x:c r="X42" s="38"/>
      <x:c r="Y42" s="38"/>
      <x:c r="Z42" s="38"/>
      <x:c r="AA42" s="38"/>
      <x:c r="AB42" s="38"/>
      <x:c r="AC42" s="38"/>
      <x:c r="AD42" s="38"/>
      <x:c r="AE42" s="38"/>
      <x:c r="AF42" s="38"/>
      <x:c r="AG42" s="38"/>
      <x:c r="AH42" s="38"/>
      <x:c r="AI42" s="38"/>
      <x:c r="AJ42" s="38"/>
      <x:c r="AK42" s="38"/>
      <x:c r="AL42" s="38"/>
      <x:c r="AM42" s="38"/>
    </x:row>
    <x:row r="43">
      <x:c r="A43" s="523" t="n">
        <x:f>IF(ISBLANK('_SCHEDULE'!A11),"",'_SCHEDULE'!A11)</x:f>
        <x:v>10</x:v>
      </x:c>
      <x:c r="B43" s="523" t="str">
        <x:f>IF(ISBLANK('_SCHEDULE'!B11),"",IF('_CONFIG'!$B$2="pt-BR",IF('_SCHEDULE'!B11="scheduled","programado",IF('_SCHEDULE'!B11="rejected","rejeitado",'_SCHEDULE'!B11)),'_SCHEDULE'!B11))</x:f>
        <x:v>scheduled</x:v>
      </x:c>
      <x:c r="C43" s="523" t="n">
        <x:f>IF(ISBLANK('_SCHEDULE'!C11),"",'_SCHEDULE'!C11)</x:f>
        <x:v>38</x:v>
      </x:c>
      <x:c r="D43" s="523" t="n">
        <x:f>IF(ISBLANK('_SCHEDULE'!D11),"",'_SCHEDULE'!D11)</x:f>
        <x:v>3</x:v>
      </x:c>
      <x:c r="E43" s="530" t="n">
        <x:f>IF(ISBLANK('_SCHEDULE'!E11),"",'_SCHEDULE'!E11)</x:f>
        <x:v>0</x:v>
      </x:c>
      <x:c r="F43" s="530" t="n">
        <x:f>IF(ISBLANK('_SCHEDULE'!F11),"",'_SCHEDULE'!F11)</x:f>
        <x:v>1400</x:v>
      </x:c>
      <x:c r="G43" s="530" t="n">
        <x:f>IF(ISBLANK('_SCHEDULE'!G11),"",'_SCHEDULE'!G11)</x:f>
        <x:v>20000</x:v>
      </x:c>
      <x:c r="H43" s="530" t="n">
        <x:f>IF(ISBLANK('_SCHEDULE'!H11),"",'_SCHEDULE'!H11)</x:f>
        <x:v>630</x:v>
      </x:c>
      <x:c r="I43" s="530" t="n">
        <x:f>IF(ISBLANK('_SCHEDULE'!I11),"",'_SCHEDULE'!I11)</x:f>
        <x:v>0</x:v>
      </x:c>
      <x:c r="J43" s="530" t="n">
        <x:f>IF(ISBLANK('_SCHEDULE'!J11),"",'_SCHEDULE'!J11)</x:f>
        <x:v>630</x:v>
      </x:c>
      <x:c r="K43" s="530" t="n">
        <x:f>IF(ISBLANK('_SCHEDULE'!K11),"",'_SCHEDULE'!K11)</x:f>
        <x:v>70</x:v>
      </x:c>
      <x:c r="L43" s="530" t="n">
        <x:f>IF(ISBLANK('_SCHEDULE'!L11),"",'_SCHEDULE'!L11)</x:f>
        <x:v>700</x:v>
      </x:c>
      <x:c r="M43" s="530" t="n">
        <x:f>IF(ISBLANK('_SCHEDULE'!M11),"",'_SCHEDULE'!M11)</x:f>
        <x:v>0</x:v>
      </x:c>
      <x:c r="N43" s="530" t="n">
        <x:f>IF(ISBLANK('_SCHEDULE'!N11),"",'_SCHEDULE'!N11)</x:f>
        <x:v>0</x:v>
      </x:c>
      <x:c r="O43" s="530" t="n">
        <x:f>IF(ISBLANK('_SCHEDULE'!O11),"",'_SCHEDULE'!O11)</x:f>
        <x:v>100</x:v>
      </x:c>
      <x:c r="P43" s="530" t="n">
        <x:f>IF(ISBLANK('_SCHEDULE'!P11),"",'_SCHEDULE'!P11)</x:f>
        <x:v>0</x:v>
      </x:c>
      <x:c r="Q43" s="530" t="n">
        <x:f>IF(ISBLANK('_SCHEDULE'!Q11),"",'_SCHEDULE'!Q11)</x:f>
        <x:v>0</x:v>
      </x:c>
      <x:c r="R43" s="530" t="n">
        <x:f>IF(ISBLANK('_SCHEDULE'!R11),"",'_SCHEDULE'!R11)</x:f>
        <x:v>100</x:v>
      </x:c>
      <x:c r="S43" s="523" t="b">
        <x:f>IF(ISBLANK('_SCHEDULE'!S11),"",'_SCHEDULE'!S11)</x:f>
        <x:v>1</x:v>
      </x:c>
      <x:c r="T43" s="38"/>
      <x:c r="U43" s="38"/>
      <x:c r="V43" s="38"/>
      <x:c r="W43" s="38"/>
      <x:c r="X43" s="38"/>
      <x:c r="Y43" s="38"/>
      <x:c r="Z43" s="38"/>
      <x:c r="AA43" s="38"/>
      <x:c r="AB43" s="38"/>
      <x:c r="AC43" s="38"/>
      <x:c r="AD43" s="38"/>
      <x:c r="AE43" s="38"/>
      <x:c r="AF43" s="38"/>
      <x:c r="AG43" s="38"/>
      <x:c r="AH43" s="38"/>
      <x:c r="AI43" s="38"/>
      <x:c r="AJ43" s="38"/>
      <x:c r="AK43" s="38"/>
      <x:c r="AL43" s="38"/>
      <x:c r="AM43" s="38"/>
    </x:row>
    <x:row r="44">
      <x:c r="A44" s="523" t="n">
        <x:f>IF(ISBLANK('_SCHEDULE'!A12),"",'_SCHEDULE'!A12)</x:f>
        <x:v>11</x:v>
      </x:c>
      <x:c r="B44" s="523" t="str">
        <x:f>IF(ISBLANK('_SCHEDULE'!B12),"",IF('_CONFIG'!$B$2="pt-BR",IF('_SCHEDULE'!B12="scheduled","programado",IF('_SCHEDULE'!B12="rejected","rejeitado",'_SCHEDULE'!B12)),'_SCHEDULE'!B12))</x:f>
        <x:v>scheduled</x:v>
      </x:c>
      <x:c r="C44" s="523" t="n">
        <x:f>IF(ISBLANK('_SCHEDULE'!C12),"",'_SCHEDULE'!C12)</x:f>
        <x:v>46</x:v>
      </x:c>
      <x:c r="D44" s="523" t="n">
        <x:f>IF(ISBLANK('_SCHEDULE'!D12),"",'_SCHEDULE'!D12)</x:f>
        <x:v>3</x:v>
      </x:c>
      <x:c r="E44" s="530" t="n">
        <x:f>IF(ISBLANK('_SCHEDULE'!E12),"",'_SCHEDULE'!E12)</x:f>
        <x:v>0</x:v>
      </x:c>
      <x:c r="F44" s="530" t="n">
        <x:f>IF(ISBLANK('_SCHEDULE'!F12),"",'_SCHEDULE'!F12)</x:f>
        <x:v>1400</x:v>
      </x:c>
      <x:c r="G44" s="530" t="n">
        <x:f>IF(ISBLANK('_SCHEDULE'!G12),"",'_SCHEDULE'!G12)</x:f>
        <x:v>20000</x:v>
      </x:c>
      <x:c r="H44" s="530" t="n">
        <x:f>IF(ISBLANK('_SCHEDULE'!H12),"",'_SCHEDULE'!H12)</x:f>
        <x:v>700</x:v>
      </x:c>
      <x:c r="I44" s="530" t="n">
        <x:f>IF(ISBLANK('_SCHEDULE'!I12),"",'_SCHEDULE'!I12)</x:f>
        <x:v>0</x:v>
      </x:c>
      <x:c r="J44" s="530" t="n">
        <x:f>IF(ISBLANK('_SCHEDULE'!J12),"",'_SCHEDULE'!J12)</x:f>
        <x:v>700</x:v>
      </x:c>
      <x:c r="K44" s="530" t="n">
        <x:f>IF(ISBLANK('_SCHEDULE'!K12),"",'_SCHEDULE'!K12)</x:f>
        <x:v>70</x:v>
      </x:c>
      <x:c r="L44" s="530" t="n">
        <x:f>IF(ISBLANK('_SCHEDULE'!L12),"",'_SCHEDULE'!L12)</x:f>
        <x:v>770</x:v>
      </x:c>
      <x:c r="M44" s="530" t="n">
        <x:f>IF(ISBLANK('_SCHEDULE'!M12),"",'_SCHEDULE'!M12)</x:f>
        <x:v>0</x:v>
      </x:c>
      <x:c r="N44" s="530" t="n">
        <x:f>IF(ISBLANK('_SCHEDULE'!N12),"",'_SCHEDULE'!N12)</x:f>
        <x:v>0</x:v>
      </x:c>
      <x:c r="O44" s="530" t="n">
        <x:f>IF(ISBLANK('_SCHEDULE'!O12),"",'_SCHEDULE'!O12)</x:f>
        <x:v>100</x:v>
      </x:c>
      <x:c r="P44" s="530" t="n">
        <x:f>IF(ISBLANK('_SCHEDULE'!P12),"",'_SCHEDULE'!P12)</x:f>
        <x:v>0</x:v>
      </x:c>
      <x:c r="Q44" s="530" t="n">
        <x:f>IF(ISBLANK('_SCHEDULE'!Q12),"",'_SCHEDULE'!Q12)</x:f>
        <x:v>0</x:v>
      </x:c>
      <x:c r="R44" s="530" t="n">
        <x:f>IF(ISBLANK('_SCHEDULE'!R12),"",'_SCHEDULE'!R12)</x:f>
        <x:v>100</x:v>
      </x:c>
      <x:c r="S44" s="523" t="b">
        <x:f>IF(ISBLANK('_SCHEDULE'!S12),"",'_SCHEDULE'!S12)</x:f>
        <x:v>1</x:v>
      </x:c>
      <x:c r="T44" s="38"/>
      <x:c r="U44" s="38"/>
      <x:c r="V44" s="38"/>
      <x:c r="W44" s="38"/>
      <x:c r="X44" s="38"/>
      <x:c r="Y44" s="38"/>
      <x:c r="Z44" s="38"/>
      <x:c r="AA44" s="38"/>
      <x:c r="AB44" s="38"/>
      <x:c r="AC44" s="38"/>
      <x:c r="AD44" s="38"/>
      <x:c r="AE44" s="38"/>
      <x:c r="AF44" s="38"/>
      <x:c r="AG44" s="38"/>
      <x:c r="AH44" s="38"/>
      <x:c r="AI44" s="38"/>
      <x:c r="AJ44" s="38"/>
      <x:c r="AK44" s="38"/>
      <x:c r="AL44" s="38"/>
      <x:c r="AM44" s="38"/>
    </x:row>
    <x:row r="45">
      <x:c r="A45" s="523" t="n">
        <x:f>IF(ISBLANK('_SCHEDULE'!A13),"",'_SCHEDULE'!A13)</x:f>
        <x:v>12</x:v>
      </x:c>
      <x:c r="B45" s="523" t="str">
        <x:f>IF(ISBLANK('_SCHEDULE'!B13),"",IF('_CONFIG'!$B$2="pt-BR",IF('_SCHEDULE'!B13="scheduled","programado",IF('_SCHEDULE'!B13="rejected","rejeitado",'_SCHEDULE'!B13)),'_SCHEDULE'!B13))</x:f>
        <x:v>scheduled</x:v>
      </x:c>
      <x:c r="C45" s="523" t="n">
        <x:f>IF(ISBLANK('_SCHEDULE'!C13),"",'_SCHEDULE'!C13)</x:f>
        <x:v>62</x:v>
      </x:c>
      <x:c r="D45" s="523" t="n">
        <x:f>IF(ISBLANK('_SCHEDULE'!D13),"",'_SCHEDULE'!D13)</x:f>
        <x:v>2</x:v>
      </x:c>
      <x:c r="E45" s="530" t="n">
        <x:f>IF(ISBLANK('_SCHEDULE'!E13),"",'_SCHEDULE'!E13)</x:f>
        <x:v>0</x:v>
      </x:c>
      <x:c r="F45" s="530" t="n">
        <x:f>IF(ISBLANK('_SCHEDULE'!F13),"",'_SCHEDULE'!F13)</x:f>
        <x:v>2000</x:v>
      </x:c>
      <x:c r="G45" s="530" t="n">
        <x:f>IF(ISBLANK('_SCHEDULE'!G13),"",'_SCHEDULE'!G13)</x:f>
        <x:v>20000</x:v>
      </x:c>
      <x:c r="H45" s="530" t="n">
        <x:f>IF(ISBLANK('_SCHEDULE'!H13),"",'_SCHEDULE'!H13)</x:f>
        <x:v>770</x:v>
      </x:c>
      <x:c r="I45" s="530" t="n">
        <x:f>IF(ISBLANK('_SCHEDULE'!I13),"",'_SCHEDULE'!I13)</x:f>
        <x:v>3</x:v>
      </x:c>
      <x:c r="J45" s="530" t="n">
        <x:f>IF(ISBLANK('_SCHEDULE'!J13),"",'_SCHEDULE'!J13)</x:f>
        <x:v>773</x:v>
      </x:c>
      <x:c r="K45" s="530" t="n">
        <x:f>IF(ISBLANK('_SCHEDULE'!K13),"",'_SCHEDULE'!K13)</x:f>
        <x:v>90</x:v>
      </x:c>
      <x:c r="L45" s="530" t="n">
        <x:f>IF(ISBLANK('_SCHEDULE'!L13),"",'_SCHEDULE'!L13)</x:f>
        <x:v>863</x:v>
      </x:c>
      <x:c r="M45" s="530" t="n">
        <x:f>IF(ISBLANK('_SCHEDULE'!M13),"",'_SCHEDULE'!M13)</x:f>
        <x:v>0</x:v>
      </x:c>
      <x:c r="N45" s="530" t="n">
        <x:f>IF(ISBLANK('_SCHEDULE'!N13),"",'_SCHEDULE'!N13)</x:f>
        <x:v>60</x:v>
      </x:c>
      <x:c r="O45" s="530" t="n">
        <x:f>IF(ISBLANK('_SCHEDULE'!O13),"",'_SCHEDULE'!O13)</x:f>
        <x:v>100</x:v>
      </x:c>
      <x:c r="P45" s="530" t="n">
        <x:f>IF(ISBLANK('_SCHEDULE'!P13),"",'_SCHEDULE'!P13)</x:f>
        <x:v>0</x:v>
      </x:c>
      <x:c r="Q45" s="530" t="n">
        <x:f>IF(ISBLANK('_SCHEDULE'!Q13),"",'_SCHEDULE'!Q13)</x:f>
        <x:v>0</x:v>
      </x:c>
      <x:c r="R45" s="530" t="n">
        <x:f>IF(ISBLANK('_SCHEDULE'!R13),"",'_SCHEDULE'!R13)</x:f>
        <x:v>160</x:v>
      </x:c>
      <x:c r="S45" s="523" t="b">
        <x:f>IF(ISBLANK('_SCHEDULE'!S13),"",'_SCHEDULE'!S13)</x:f>
        <x:v>1</x:v>
      </x:c>
      <x:c r="T45" s="38"/>
      <x:c r="U45" s="38"/>
      <x:c r="V45" s="38"/>
      <x:c r="W45" s="38"/>
      <x:c r="X45" s="38"/>
      <x:c r="Y45" s="38"/>
      <x:c r="Z45" s="38"/>
      <x:c r="AA45" s="38"/>
      <x:c r="AB45" s="38"/>
      <x:c r="AC45" s="38"/>
      <x:c r="AD45" s="38"/>
      <x:c r="AE45" s="38"/>
      <x:c r="AF45" s="38"/>
      <x:c r="AG45" s="38"/>
      <x:c r="AH45" s="38"/>
      <x:c r="AI45" s="38"/>
      <x:c r="AJ45" s="38"/>
      <x:c r="AK45" s="38"/>
      <x:c r="AL45" s="38"/>
      <x:c r="AM45" s="38"/>
    </x:row>
    <x:row r="46">
      <x:c r="A46" s="523" t="n">
        <x:f>IF(ISBLANK('_SCHEDULE'!A14),"",'_SCHEDULE'!A14)</x:f>
        <x:v>13</x:v>
      </x:c>
      <x:c r="B46" s="523" t="str">
        <x:f>IF(ISBLANK('_SCHEDULE'!B14),"",IF('_CONFIG'!$B$2="pt-BR",IF('_SCHEDULE'!B14="scheduled","programado",IF('_SCHEDULE'!B14="rejected","rejeitado",'_SCHEDULE'!B14)),'_SCHEDULE'!B14))</x:f>
        <x:v>scheduled</x:v>
      </x:c>
      <x:c r="C46" s="523" t="n">
        <x:f>IF(ISBLANK('_SCHEDULE'!C14),"",'_SCHEDULE'!C14)</x:f>
        <x:v>56</x:v>
      </x:c>
      <x:c r="D46" s="523" t="n">
        <x:f>IF(ISBLANK('_SCHEDULE'!D14),"",'_SCHEDULE'!D14)</x:f>
        <x:v>2</x:v>
      </x:c>
      <x:c r="E46" s="530" t="n">
        <x:f>IF(ISBLANK('_SCHEDULE'!E14),"",'_SCHEDULE'!E14)</x:f>
        <x:v>0</x:v>
      </x:c>
      <x:c r="F46" s="530" t="n">
        <x:f>IF(ISBLANK('_SCHEDULE'!F14),"",'_SCHEDULE'!F14)</x:f>
        <x:v>1900</x:v>
      </x:c>
      <x:c r="G46" s="530" t="n">
        <x:f>IF(ISBLANK('_SCHEDULE'!G14),"",'_SCHEDULE'!G14)</x:f>
        <x:v>20000</x:v>
      </x:c>
      <x:c r="H46" s="530" t="n">
        <x:f>IF(ISBLANK('_SCHEDULE'!H14),"",'_SCHEDULE'!H14)</x:f>
        <x:v>863</x:v>
      </x:c>
      <x:c r="I46" s="530" t="n">
        <x:f>IF(ISBLANK('_SCHEDULE'!I14),"",'_SCHEDULE'!I14)</x:f>
        <x:v>0</x:v>
      </x:c>
      <x:c r="J46" s="530" t="n">
        <x:f>IF(ISBLANK('_SCHEDULE'!J14),"",'_SCHEDULE'!J14)</x:f>
        <x:v>863</x:v>
      </x:c>
      <x:c r="K46" s="530" t="n">
        <x:f>IF(ISBLANK('_SCHEDULE'!K14),"",'_SCHEDULE'!K14)</x:f>
        <x:v>90</x:v>
      </x:c>
      <x:c r="L46" s="530" t="n">
        <x:f>IF(ISBLANK('_SCHEDULE'!L14),"",'_SCHEDULE'!L14)</x:f>
        <x:v>953</x:v>
      </x:c>
      <x:c r="M46" s="530" t="n">
        <x:f>IF(ISBLANK('_SCHEDULE'!M14),"",'_SCHEDULE'!M14)</x:f>
        <x:v>0</x:v>
      </x:c>
      <x:c r="N46" s="530" t="n">
        <x:f>IF(ISBLANK('_SCHEDULE'!N14),"",'_SCHEDULE'!N14)</x:f>
        <x:v>0</x:v>
      </x:c>
      <x:c r="O46" s="530" t="n">
        <x:f>IF(ISBLANK('_SCHEDULE'!O14),"",'_SCHEDULE'!O14)</x:f>
        <x:v>100</x:v>
      </x:c>
      <x:c r="P46" s="530" t="n">
        <x:f>IF(ISBLANK('_SCHEDULE'!P14),"",'_SCHEDULE'!P14)</x:f>
        <x:v>0</x:v>
      </x:c>
      <x:c r="Q46" s="530" t="n">
        <x:f>IF(ISBLANK('_SCHEDULE'!Q14),"",'_SCHEDULE'!Q14)</x:f>
        <x:v>0</x:v>
      </x:c>
      <x:c r="R46" s="530" t="n">
        <x:f>IF(ISBLANK('_SCHEDULE'!R14),"",'_SCHEDULE'!R14)</x:f>
        <x:v>100</x:v>
      </x:c>
      <x:c r="S46" s="523" t="b">
        <x:f>IF(ISBLANK('_SCHEDULE'!S14),"",'_SCHEDULE'!S14)</x:f>
        <x:v>1</x:v>
      </x:c>
      <x:c r="T46" s="38"/>
      <x:c r="U46" s="38"/>
      <x:c r="V46" s="38"/>
      <x:c r="W46" s="38"/>
      <x:c r="X46" s="38"/>
      <x:c r="Y46" s="38"/>
      <x:c r="Z46" s="38"/>
      <x:c r="AA46" s="38"/>
      <x:c r="AB46" s="38"/>
      <x:c r="AC46" s="38"/>
      <x:c r="AD46" s="38"/>
      <x:c r="AE46" s="38"/>
      <x:c r="AF46" s="38"/>
      <x:c r="AG46" s="38"/>
      <x:c r="AH46" s="38"/>
      <x:c r="AI46" s="38"/>
      <x:c r="AJ46" s="38"/>
      <x:c r="AK46" s="38"/>
      <x:c r="AL46" s="38"/>
      <x:c r="AM46" s="38"/>
    </x:row>
    <x:row r="47">
      <x:c r="A47" s="523" t="n">
        <x:f>IF(ISBLANK('_SCHEDULE'!A15),"",'_SCHEDULE'!A15)</x:f>
        <x:v>14</x:v>
      </x:c>
      <x:c r="B47" s="523" t="str">
        <x:f>IF(ISBLANK('_SCHEDULE'!B15),"",IF('_CONFIG'!$B$2="pt-BR",IF('_SCHEDULE'!B15="scheduled","programado",IF('_SCHEDULE'!B15="rejected","rejeitado",'_SCHEDULE'!B15)),'_SCHEDULE'!B15))</x:f>
        <x:v>scheduled</x:v>
      </x:c>
      <x:c r="C47" s="523" t="n">
        <x:f>IF(ISBLANK('_SCHEDULE'!C15),"",'_SCHEDULE'!C15)</x:f>
        <x:v>57</x:v>
      </x:c>
      <x:c r="D47" s="523" t="n">
        <x:f>IF(ISBLANK('_SCHEDULE'!D15),"",'_SCHEDULE'!D15)</x:f>
        <x:v>2</x:v>
      </x:c>
      <x:c r="E47" s="530" t="n">
        <x:f>IF(ISBLANK('_SCHEDULE'!E15),"",'_SCHEDULE'!E15)</x:f>
        <x:v>0</x:v>
      </x:c>
      <x:c r="F47" s="530" t="n">
        <x:f>IF(ISBLANK('_SCHEDULE'!F15),"",'_SCHEDULE'!F15)</x:f>
        <x:v>1900</x:v>
      </x:c>
      <x:c r="G47" s="530" t="n">
        <x:f>IF(ISBLANK('_SCHEDULE'!G15),"",'_SCHEDULE'!G15)</x:f>
        <x:v>20000</x:v>
      </x:c>
      <x:c r="H47" s="530" t="n">
        <x:f>IF(ISBLANK('_SCHEDULE'!H15),"",'_SCHEDULE'!H15)</x:f>
        <x:v>953</x:v>
      </x:c>
      <x:c r="I47" s="530" t="n">
        <x:f>IF(ISBLANK('_SCHEDULE'!I15),"",'_SCHEDULE'!I15)</x:f>
        <x:v>0</x:v>
      </x:c>
      <x:c r="J47" s="530" t="n">
        <x:f>IF(ISBLANK('_SCHEDULE'!J15),"",'_SCHEDULE'!J15)</x:f>
        <x:v>953</x:v>
      </x:c>
      <x:c r="K47" s="530" t="n">
        <x:f>IF(ISBLANK('_SCHEDULE'!K15),"",'_SCHEDULE'!K15)</x:f>
        <x:v>90</x:v>
      </x:c>
      <x:c r="L47" s="530" t="n">
        <x:f>IF(ISBLANK('_SCHEDULE'!L15),"",'_SCHEDULE'!L15)</x:f>
        <x:v>1043</x:v>
      </x:c>
      <x:c r="M47" s="530" t="n">
        <x:f>IF(ISBLANK('_SCHEDULE'!M15),"",'_SCHEDULE'!M15)</x:f>
        <x:v>0</x:v>
      </x:c>
      <x:c r="N47" s="530" t="n">
        <x:f>IF(ISBLANK('_SCHEDULE'!N15),"",'_SCHEDULE'!N15)</x:f>
        <x:v>0</x:v>
      </x:c>
      <x:c r="O47" s="530" t="n">
        <x:f>IF(ISBLANK('_SCHEDULE'!O15),"",'_SCHEDULE'!O15)</x:f>
        <x:v>100</x:v>
      </x:c>
      <x:c r="P47" s="530" t="n">
        <x:f>IF(ISBLANK('_SCHEDULE'!P15),"",'_SCHEDULE'!P15)</x:f>
        <x:v>0</x:v>
      </x:c>
      <x:c r="Q47" s="530" t="n">
        <x:f>IF(ISBLANK('_SCHEDULE'!Q15),"",'_SCHEDULE'!Q15)</x:f>
        <x:v>0</x:v>
      </x:c>
      <x:c r="R47" s="530" t="n">
        <x:f>IF(ISBLANK('_SCHEDULE'!R15),"",'_SCHEDULE'!R15)</x:f>
        <x:v>100</x:v>
      </x:c>
      <x:c r="S47" s="523" t="b">
        <x:f>IF(ISBLANK('_SCHEDULE'!S15),"",'_SCHEDULE'!S15)</x:f>
        <x:v>1</x:v>
      </x:c>
      <x:c r="T47" s="38"/>
      <x:c r="U47" s="38"/>
      <x:c r="V47" s="38"/>
      <x:c r="W47" s="38"/>
      <x:c r="X47" s="38"/>
      <x:c r="Y47" s="38"/>
      <x:c r="Z47" s="38"/>
      <x:c r="AA47" s="38"/>
      <x:c r="AB47" s="38"/>
      <x:c r="AC47" s="38"/>
      <x:c r="AD47" s="38"/>
      <x:c r="AE47" s="38"/>
      <x:c r="AF47" s="38"/>
      <x:c r="AG47" s="38"/>
      <x:c r="AH47" s="38"/>
      <x:c r="AI47" s="38"/>
      <x:c r="AJ47" s="38"/>
      <x:c r="AK47" s="38"/>
      <x:c r="AL47" s="38"/>
      <x:c r="AM47" s="38"/>
    </x:row>
    <x:row r="48">
      <x:c r="A48" s="523" t="n">
        <x:f>IF(ISBLANK('_SCHEDULE'!A16),"",'_SCHEDULE'!A16)</x:f>
        <x:v>15</x:v>
      </x:c>
      <x:c r="B48" s="523" t="str">
        <x:f>IF(ISBLANK('_SCHEDULE'!B16),"",IF('_CONFIG'!$B$2="pt-BR",IF('_SCHEDULE'!B16="scheduled","programado",IF('_SCHEDULE'!B16="rejected","rejeitado",'_SCHEDULE'!B16)),'_SCHEDULE'!B16))</x:f>
        <x:v>scheduled</x:v>
      </x:c>
      <x:c r="C48" s="523" t="n">
        <x:f>IF(ISBLANK('_SCHEDULE'!C16),"",'_SCHEDULE'!C16)</x:f>
        <x:v>63</x:v>
      </x:c>
      <x:c r="D48" s="523" t="n">
        <x:f>IF(ISBLANK('_SCHEDULE'!D16),"",'_SCHEDULE'!D16)</x:f>
        <x:v>2</x:v>
      </x:c>
      <x:c r="E48" s="530" t="n">
        <x:f>IF(ISBLANK('_SCHEDULE'!E16),"",'_SCHEDULE'!E16)</x:f>
        <x:v>0</x:v>
      </x:c>
      <x:c r="F48" s="530" t="n">
        <x:f>IF(ISBLANK('_SCHEDULE'!F16),"",'_SCHEDULE'!F16)</x:f>
        <x:v>2000</x:v>
      </x:c>
      <x:c r="G48" s="530" t="n">
        <x:f>IF(ISBLANK('_SCHEDULE'!G16),"",'_SCHEDULE'!G16)</x:f>
        <x:v>20000</x:v>
      </x:c>
      <x:c r="H48" s="530" t="n">
        <x:f>IF(ISBLANK('_SCHEDULE'!H16),"",'_SCHEDULE'!H16)</x:f>
        <x:v>1043</x:v>
      </x:c>
      <x:c r="I48" s="530" t="n">
        <x:f>IF(ISBLANK('_SCHEDULE'!I16),"",'_SCHEDULE'!I16)</x:f>
        <x:v>0</x:v>
      </x:c>
      <x:c r="J48" s="530" t="n">
        <x:f>IF(ISBLANK('_SCHEDULE'!J16),"",'_SCHEDULE'!J16)</x:f>
        <x:v>1043</x:v>
      </x:c>
      <x:c r="K48" s="530" t="n">
        <x:f>IF(ISBLANK('_SCHEDULE'!K16),"",'_SCHEDULE'!K16)</x:f>
        <x:v>90</x:v>
      </x:c>
      <x:c r="L48" s="530" t="n">
        <x:f>IF(ISBLANK('_SCHEDULE'!L16),"",'_SCHEDULE'!L16)</x:f>
        <x:v>1133</x:v>
      </x:c>
      <x:c r="M48" s="530" t="n">
        <x:f>IF(ISBLANK('_SCHEDULE'!M16),"",'_SCHEDULE'!M16)</x:f>
        <x:v>0</x:v>
      </x:c>
      <x:c r="N48" s="530" t="n">
        <x:f>IF(ISBLANK('_SCHEDULE'!N16),"",'_SCHEDULE'!N16)</x:f>
        <x:v>0</x:v>
      </x:c>
      <x:c r="O48" s="530" t="n">
        <x:f>IF(ISBLANK('_SCHEDULE'!O16),"",'_SCHEDULE'!O16)</x:f>
        <x:v>100</x:v>
      </x:c>
      <x:c r="P48" s="530" t="n">
        <x:f>IF(ISBLANK('_SCHEDULE'!P16),"",'_SCHEDULE'!P16)</x:f>
        <x:v>0</x:v>
      </x:c>
      <x:c r="Q48" s="530" t="n">
        <x:f>IF(ISBLANK('_SCHEDULE'!Q16),"",'_SCHEDULE'!Q16)</x:f>
        <x:v>0</x:v>
      </x:c>
      <x:c r="R48" s="530" t="n">
        <x:f>IF(ISBLANK('_SCHEDULE'!R16),"",'_SCHEDULE'!R16)</x:f>
        <x:v>100</x:v>
      </x:c>
      <x:c r="S48" s="523" t="b">
        <x:f>IF(ISBLANK('_SCHEDULE'!S16),"",'_SCHEDULE'!S16)</x:f>
        <x:v>1</x:v>
      </x:c>
      <x:c r="T48" s="38"/>
      <x:c r="U48" s="38"/>
      <x:c r="V48" s="38"/>
      <x:c r="W48" s="38"/>
      <x:c r="X48" s="38"/>
      <x:c r="Y48" s="38"/>
      <x:c r="Z48" s="38"/>
      <x:c r="AA48" s="38"/>
      <x:c r="AB48" s="38"/>
      <x:c r="AC48" s="38"/>
      <x:c r="AD48" s="38"/>
      <x:c r="AE48" s="38"/>
      <x:c r="AF48" s="38"/>
      <x:c r="AG48" s="38"/>
      <x:c r="AH48" s="38"/>
      <x:c r="AI48" s="38"/>
      <x:c r="AJ48" s="38"/>
      <x:c r="AK48" s="38"/>
      <x:c r="AL48" s="38"/>
      <x:c r="AM48" s="38"/>
    </x:row>
    <x:row r="49">
      <x:c r="A49" s="523" t="n">
        <x:f>IF(ISBLANK('_SCHEDULE'!A17),"",'_SCHEDULE'!A17)</x:f>
        <x:v>16</x:v>
      </x:c>
      <x:c r="B49" s="523" t="str">
        <x:f>IF(ISBLANK('_SCHEDULE'!B17),"",IF('_CONFIG'!$B$2="pt-BR",IF('_SCHEDULE'!B17="scheduled","programado",IF('_SCHEDULE'!B17="rejected","rejeitado",'_SCHEDULE'!B17)),'_SCHEDULE'!B17))</x:f>
        <x:v>scheduled</x:v>
      </x:c>
      <x:c r="C49" s="523" t="n">
        <x:f>IF(ISBLANK('_SCHEDULE'!C17),"",'_SCHEDULE'!C17)</x:f>
        <x:v>61</x:v>
      </x:c>
      <x:c r="D49" s="523" t="n">
        <x:f>IF(ISBLANK('_SCHEDULE'!D17),"",'_SCHEDULE'!D17)</x:f>
        <x:v>2</x:v>
      </x:c>
      <x:c r="E49" s="530" t="n">
        <x:f>IF(ISBLANK('_SCHEDULE'!E17),"",'_SCHEDULE'!E17)</x:f>
        <x:v>0</x:v>
      </x:c>
      <x:c r="F49" s="530" t="n">
        <x:f>IF(ISBLANK('_SCHEDULE'!F17),"",'_SCHEDULE'!F17)</x:f>
        <x:v>2000</x:v>
      </x:c>
      <x:c r="G49" s="530" t="n">
        <x:f>IF(ISBLANK('_SCHEDULE'!G17),"",'_SCHEDULE'!G17)</x:f>
        <x:v>20000</x:v>
      </x:c>
      <x:c r="H49" s="530" t="n">
        <x:f>IF(ISBLANK('_SCHEDULE'!H17),"",'_SCHEDULE'!H17)</x:f>
        <x:v>1133</x:v>
      </x:c>
      <x:c r="I49" s="530" t="n">
        <x:f>IF(ISBLANK('_SCHEDULE'!I17),"",'_SCHEDULE'!I17)</x:f>
        <x:v>0</x:v>
      </x:c>
      <x:c r="J49" s="530" t="n">
        <x:f>IF(ISBLANK('_SCHEDULE'!J17),"",'_SCHEDULE'!J17)</x:f>
        <x:v>1133</x:v>
      </x:c>
      <x:c r="K49" s="530" t="n">
        <x:f>IF(ISBLANK('_SCHEDULE'!K17),"",'_SCHEDULE'!K17)</x:f>
        <x:v>90</x:v>
      </x:c>
      <x:c r="L49" s="530" t="n">
        <x:f>IF(ISBLANK('_SCHEDULE'!L17),"",'_SCHEDULE'!L17)</x:f>
        <x:v>1223</x:v>
      </x:c>
      <x:c r="M49" s="530" t="n">
        <x:f>IF(ISBLANK('_SCHEDULE'!M17),"",'_SCHEDULE'!M17)</x:f>
        <x:v>0</x:v>
      </x:c>
      <x:c r="N49" s="530" t="n">
        <x:f>IF(ISBLANK('_SCHEDULE'!N17),"",'_SCHEDULE'!N17)</x:f>
        <x:v>0</x:v>
      </x:c>
      <x:c r="O49" s="530" t="n">
        <x:f>IF(ISBLANK('_SCHEDULE'!O17),"",'_SCHEDULE'!O17)</x:f>
        <x:v>100</x:v>
      </x:c>
      <x:c r="P49" s="530" t="n">
        <x:f>IF(ISBLANK('_SCHEDULE'!P17),"",'_SCHEDULE'!P17)</x:f>
        <x:v>0</x:v>
      </x:c>
      <x:c r="Q49" s="530" t="n">
        <x:f>IF(ISBLANK('_SCHEDULE'!Q17),"",'_SCHEDULE'!Q17)</x:f>
        <x:v>0</x:v>
      </x:c>
      <x:c r="R49" s="530" t="n">
        <x:f>IF(ISBLANK('_SCHEDULE'!R17),"",'_SCHEDULE'!R17)</x:f>
        <x:v>100</x:v>
      </x:c>
      <x:c r="S49" s="523" t="b">
        <x:f>IF(ISBLANK('_SCHEDULE'!S17),"",'_SCHEDULE'!S17)</x:f>
        <x:v>1</x:v>
      </x:c>
      <x:c r="T49" s="38"/>
      <x:c r="U49" s="38"/>
      <x:c r="V49" s="38"/>
      <x:c r="W49" s="38"/>
      <x:c r="X49" s="38"/>
      <x:c r="Y49" s="38"/>
      <x:c r="Z49" s="38"/>
      <x:c r="AA49" s="38"/>
      <x:c r="AB49" s="38"/>
      <x:c r="AC49" s="38"/>
      <x:c r="AD49" s="38"/>
      <x:c r="AE49" s="38"/>
      <x:c r="AF49" s="38"/>
      <x:c r="AG49" s="38"/>
      <x:c r="AH49" s="38"/>
      <x:c r="AI49" s="38"/>
      <x:c r="AJ49" s="38"/>
      <x:c r="AK49" s="38"/>
      <x:c r="AL49" s="38"/>
      <x:c r="AM49" s="38"/>
    </x:row>
    <x:row r="50">
      <x:c r="A50" s="523" t="n">
        <x:f>IF(ISBLANK('_SCHEDULE'!A18),"",'_SCHEDULE'!A18)</x:f>
        <x:v>17</x:v>
      </x:c>
      <x:c r="B50" s="523" t="str">
        <x:f>IF(ISBLANK('_SCHEDULE'!B18),"",IF('_CONFIG'!$B$2="pt-BR",IF('_SCHEDULE'!B18="scheduled","programado",IF('_SCHEDULE'!B18="rejected","rejeitado",'_SCHEDULE'!B18)),'_SCHEDULE'!B18))</x:f>
        <x:v>scheduled</x:v>
      </x:c>
      <x:c r="C50" s="523" t="n">
        <x:f>IF(ISBLANK('_SCHEDULE'!C18),"",'_SCHEDULE'!C18)</x:f>
        <x:v>58</x:v>
      </x:c>
      <x:c r="D50" s="523" t="n">
        <x:f>IF(ISBLANK('_SCHEDULE'!D18),"",'_SCHEDULE'!D18)</x:f>
        <x:v>2</x:v>
      </x:c>
      <x:c r="E50" s="530" t="n">
        <x:f>IF(ISBLANK('_SCHEDULE'!E18),"",'_SCHEDULE'!E18)</x:f>
        <x:v>0</x:v>
      </x:c>
      <x:c r="F50" s="530" t="n">
        <x:f>IF(ISBLANK('_SCHEDULE'!F18),"",'_SCHEDULE'!F18)</x:f>
        <x:v>1900</x:v>
      </x:c>
      <x:c r="G50" s="530" t="n">
        <x:f>IF(ISBLANK('_SCHEDULE'!G18),"",'_SCHEDULE'!G18)</x:f>
        <x:v>20000</x:v>
      </x:c>
      <x:c r="H50" s="530" t="n">
        <x:f>IF(ISBLANK('_SCHEDULE'!H18),"",'_SCHEDULE'!H18)</x:f>
        <x:v>1223</x:v>
      </x:c>
      <x:c r="I50" s="530" t="n">
        <x:f>IF(ISBLANK('_SCHEDULE'!I18),"",'_SCHEDULE'!I18)</x:f>
        <x:v>0</x:v>
      </x:c>
      <x:c r="J50" s="530" t="n">
        <x:f>IF(ISBLANK('_SCHEDULE'!J18),"",'_SCHEDULE'!J18)</x:f>
        <x:v>1223</x:v>
      </x:c>
      <x:c r="K50" s="530" t="n">
        <x:f>IF(ISBLANK('_SCHEDULE'!K18),"",'_SCHEDULE'!K18)</x:f>
        <x:v>90</x:v>
      </x:c>
      <x:c r="L50" s="530" t="n">
        <x:f>IF(ISBLANK('_SCHEDULE'!L18),"",'_SCHEDULE'!L18)</x:f>
        <x:v>1313</x:v>
      </x:c>
      <x:c r="M50" s="530" t="n">
        <x:f>IF(ISBLANK('_SCHEDULE'!M18),"",'_SCHEDULE'!M18)</x:f>
        <x:v>0</x:v>
      </x:c>
      <x:c r="N50" s="530" t="n">
        <x:f>IF(ISBLANK('_SCHEDULE'!N18),"",'_SCHEDULE'!N18)</x:f>
        <x:v>0</x:v>
      </x:c>
      <x:c r="O50" s="530" t="n">
        <x:f>IF(ISBLANK('_SCHEDULE'!O18),"",'_SCHEDULE'!O18)</x:f>
        <x:v>100</x:v>
      </x:c>
      <x:c r="P50" s="530" t="n">
        <x:f>IF(ISBLANK('_SCHEDULE'!P18),"",'_SCHEDULE'!P18)</x:f>
        <x:v>0</x:v>
      </x:c>
      <x:c r="Q50" s="530" t="n">
        <x:f>IF(ISBLANK('_SCHEDULE'!Q18),"",'_SCHEDULE'!Q18)</x:f>
        <x:v>0</x:v>
      </x:c>
      <x:c r="R50" s="530" t="n">
        <x:f>IF(ISBLANK('_SCHEDULE'!R18),"",'_SCHEDULE'!R18)</x:f>
        <x:v>100</x:v>
      </x:c>
      <x:c r="S50" s="523" t="b">
        <x:f>IF(ISBLANK('_SCHEDULE'!S18),"",'_SCHEDULE'!S18)</x:f>
        <x:v>1</x:v>
      </x:c>
      <x:c r="T50" s="38"/>
      <x:c r="U50" s="38"/>
      <x:c r="V50" s="38"/>
      <x:c r="W50" s="38"/>
      <x:c r="X50" s="38"/>
      <x:c r="Y50" s="38"/>
      <x:c r="Z50" s="38"/>
      <x:c r="AA50" s="38"/>
      <x:c r="AB50" s="38"/>
      <x:c r="AC50" s="38"/>
      <x:c r="AD50" s="38"/>
      <x:c r="AE50" s="38"/>
      <x:c r="AF50" s="38"/>
      <x:c r="AG50" s="38"/>
      <x:c r="AH50" s="38"/>
      <x:c r="AI50" s="38"/>
      <x:c r="AJ50" s="38"/>
      <x:c r="AK50" s="38"/>
      <x:c r="AL50" s="38"/>
      <x:c r="AM50" s="38"/>
    </x:row>
    <x:row r="51">
      <x:c r="A51" s="523" t="n">
        <x:f>IF(ISBLANK('_SCHEDULE'!A19),"",'_SCHEDULE'!A19)</x:f>
        <x:v>18</x:v>
      </x:c>
      <x:c r="B51" s="523" t="str">
        <x:f>IF(ISBLANK('_SCHEDULE'!B19),"",IF('_CONFIG'!$B$2="pt-BR",IF('_SCHEDULE'!B19="scheduled","programado",IF('_SCHEDULE'!B19="rejected","rejeitado",'_SCHEDULE'!B19)),'_SCHEDULE'!B19))</x:f>
        <x:v>scheduled</x:v>
      </x:c>
      <x:c r="C51" s="523" t="n">
        <x:f>IF(ISBLANK('_SCHEDULE'!C19),"",'_SCHEDULE'!C19)</x:f>
        <x:v>64</x:v>
      </x:c>
      <x:c r="D51" s="523" t="n">
        <x:f>IF(ISBLANK('_SCHEDULE'!D19),"",'_SCHEDULE'!D19)</x:f>
        <x:v>2</x:v>
      </x:c>
      <x:c r="E51" s="530" t="n">
        <x:f>IF(ISBLANK('_SCHEDULE'!E19),"",'_SCHEDULE'!E19)</x:f>
        <x:v>0</x:v>
      </x:c>
      <x:c r="F51" s="530" t="n">
        <x:f>IF(ISBLANK('_SCHEDULE'!F19),"",'_SCHEDULE'!F19)</x:f>
        <x:v>2000</x:v>
      </x:c>
      <x:c r="G51" s="530" t="n">
        <x:f>IF(ISBLANK('_SCHEDULE'!G19),"",'_SCHEDULE'!G19)</x:f>
        <x:v>20000</x:v>
      </x:c>
      <x:c r="H51" s="530" t="n">
        <x:f>IF(ISBLANK('_SCHEDULE'!H19),"",'_SCHEDULE'!H19)</x:f>
        <x:v>1313</x:v>
      </x:c>
      <x:c r="I51" s="530" t="n">
        <x:f>IF(ISBLANK('_SCHEDULE'!I19),"",'_SCHEDULE'!I19)</x:f>
        <x:v>0</x:v>
      </x:c>
      <x:c r="J51" s="530" t="n">
        <x:f>IF(ISBLANK('_SCHEDULE'!J19),"",'_SCHEDULE'!J19)</x:f>
        <x:v>1313</x:v>
      </x:c>
      <x:c r="K51" s="530" t="n">
        <x:f>IF(ISBLANK('_SCHEDULE'!K19),"",'_SCHEDULE'!K19)</x:f>
        <x:v>90</x:v>
      </x:c>
      <x:c r="L51" s="530" t="n">
        <x:f>IF(ISBLANK('_SCHEDULE'!L19),"",'_SCHEDULE'!L19)</x:f>
        <x:v>1403</x:v>
      </x:c>
      <x:c r="M51" s="530" t="n">
        <x:f>IF(ISBLANK('_SCHEDULE'!M19),"",'_SCHEDULE'!M19)</x:f>
        <x:v>0</x:v>
      </x:c>
      <x:c r="N51" s="530" t="n">
        <x:f>IF(ISBLANK('_SCHEDULE'!N19),"",'_SCHEDULE'!N19)</x:f>
        <x:v>0</x:v>
      </x:c>
      <x:c r="O51" s="530" t="n">
        <x:f>IF(ISBLANK('_SCHEDULE'!O19),"",'_SCHEDULE'!O19)</x:f>
        <x:v>100</x:v>
      </x:c>
      <x:c r="P51" s="530" t="n">
        <x:f>IF(ISBLANK('_SCHEDULE'!P19),"",'_SCHEDULE'!P19)</x:f>
        <x:v>0</x:v>
      </x:c>
      <x:c r="Q51" s="530" t="n">
        <x:f>IF(ISBLANK('_SCHEDULE'!Q19),"",'_SCHEDULE'!Q19)</x:f>
        <x:v>0</x:v>
      </x:c>
      <x:c r="R51" s="530" t="n">
        <x:f>IF(ISBLANK('_SCHEDULE'!R19),"",'_SCHEDULE'!R19)</x:f>
        <x:v>100</x:v>
      </x:c>
      <x:c r="S51" s="523" t="b">
        <x:f>IF(ISBLANK('_SCHEDULE'!S19),"",'_SCHEDULE'!S19)</x:f>
        <x:v>1</x:v>
      </x:c>
      <x:c r="T51" s="38"/>
      <x:c r="U51" s="38"/>
      <x:c r="V51" s="38"/>
      <x:c r="W51" s="38"/>
      <x:c r="X51" s="38"/>
      <x:c r="Y51" s="38"/>
      <x:c r="Z51" s="38"/>
      <x:c r="AA51" s="38"/>
      <x:c r="AB51" s="38"/>
      <x:c r="AC51" s="38"/>
      <x:c r="AD51" s="38"/>
      <x:c r="AE51" s="38"/>
      <x:c r="AF51" s="38"/>
      <x:c r="AG51" s="38"/>
      <x:c r="AH51" s="38"/>
      <x:c r="AI51" s="38"/>
      <x:c r="AJ51" s="38"/>
      <x:c r="AK51" s="38"/>
      <x:c r="AL51" s="38"/>
      <x:c r="AM51" s="38"/>
    </x:row>
    <x:row r="52">
      <x:c r="A52" s="523" t="n">
        <x:f>IF(ISBLANK('_SCHEDULE'!A20),"",'_SCHEDULE'!A20)</x:f>
        <x:v>19</x:v>
      </x:c>
      <x:c r="B52" s="523" t="str">
        <x:f>IF(ISBLANK('_SCHEDULE'!B20),"",IF('_CONFIG'!$B$2="pt-BR",IF('_SCHEDULE'!B20="scheduled","programado",IF('_SCHEDULE'!B20="rejected","rejeitado",'_SCHEDULE'!B20)),'_SCHEDULE'!B20))</x:f>
        <x:v>scheduled</x:v>
      </x:c>
      <x:c r="C52" s="523" t="n">
        <x:f>IF(ISBLANK('_SCHEDULE'!C20),"",'_SCHEDULE'!C20)</x:f>
        <x:v>68</x:v>
      </x:c>
      <x:c r="D52" s="523" t="n">
        <x:f>IF(ISBLANK('_SCHEDULE'!D20),"",'_SCHEDULE'!D20)</x:f>
        <x:v>2</x:v>
      </x:c>
      <x:c r="E52" s="530" t="n">
        <x:f>IF(ISBLANK('_SCHEDULE'!E20),"",'_SCHEDULE'!E20)</x:f>
        <x:v>0</x:v>
      </x:c>
      <x:c r="F52" s="530" t="n">
        <x:f>IF(ISBLANK('_SCHEDULE'!F20),"",'_SCHEDULE'!F20)</x:f>
        <x:v>2000</x:v>
      </x:c>
      <x:c r="G52" s="530" t="n">
        <x:f>IF(ISBLANK('_SCHEDULE'!G20),"",'_SCHEDULE'!G20)</x:f>
        <x:v>20000</x:v>
      </x:c>
      <x:c r="H52" s="530" t="n">
        <x:f>IF(ISBLANK('_SCHEDULE'!H20),"",'_SCHEDULE'!H20)</x:f>
        <x:v>1403</x:v>
      </x:c>
      <x:c r="I52" s="530" t="n">
        <x:f>IF(ISBLANK('_SCHEDULE'!I20),"",'_SCHEDULE'!I20)</x:f>
        <x:v>0</x:v>
      </x:c>
      <x:c r="J52" s="530" t="n">
        <x:f>IF(ISBLANK('_SCHEDULE'!J20),"",'_SCHEDULE'!J20)</x:f>
        <x:v>1403</x:v>
      </x:c>
      <x:c r="K52" s="530" t="n">
        <x:f>IF(ISBLANK('_SCHEDULE'!K20),"",'_SCHEDULE'!K20)</x:f>
        <x:v>90</x:v>
      </x:c>
      <x:c r="L52" s="530" t="n">
        <x:f>IF(ISBLANK('_SCHEDULE'!L20),"",'_SCHEDULE'!L20)</x:f>
        <x:v>1493</x:v>
      </x:c>
      <x:c r="M52" s="530" t="n">
        <x:f>IF(ISBLANK('_SCHEDULE'!M20),"",'_SCHEDULE'!M20)</x:f>
        <x:v>0</x:v>
      </x:c>
      <x:c r="N52" s="530" t="n">
        <x:f>IF(ISBLANK('_SCHEDULE'!N20),"",'_SCHEDULE'!N20)</x:f>
        <x:v>0</x:v>
      </x:c>
      <x:c r="O52" s="530" t="n">
        <x:f>IF(ISBLANK('_SCHEDULE'!O20),"",'_SCHEDULE'!O20)</x:f>
        <x:v>100</x:v>
      </x:c>
      <x:c r="P52" s="530" t="n">
        <x:f>IF(ISBLANK('_SCHEDULE'!P20),"",'_SCHEDULE'!P20)</x:f>
        <x:v>0</x:v>
      </x:c>
      <x:c r="Q52" s="530" t="n">
        <x:f>IF(ISBLANK('_SCHEDULE'!Q20),"",'_SCHEDULE'!Q20)</x:f>
        <x:v>0</x:v>
      </x:c>
      <x:c r="R52" s="530" t="n">
        <x:f>IF(ISBLANK('_SCHEDULE'!R20),"",'_SCHEDULE'!R20)</x:f>
        <x:v>100</x:v>
      </x:c>
      <x:c r="S52" s="523" t="b">
        <x:f>IF(ISBLANK('_SCHEDULE'!S20),"",'_SCHEDULE'!S20)</x:f>
        <x:v>1</x:v>
      </x:c>
      <x:c r="T52" s="38"/>
      <x:c r="U52" s="38"/>
      <x:c r="V52" s="38"/>
      <x:c r="W52" s="38"/>
      <x:c r="X52" s="38"/>
      <x:c r="Y52" s="38"/>
      <x:c r="Z52" s="38"/>
      <x:c r="AA52" s="38"/>
      <x:c r="AB52" s="38"/>
      <x:c r="AC52" s="38"/>
      <x:c r="AD52" s="38"/>
      <x:c r="AE52" s="38"/>
      <x:c r="AF52" s="38"/>
      <x:c r="AG52" s="38"/>
      <x:c r="AH52" s="38"/>
      <x:c r="AI52" s="38"/>
      <x:c r="AJ52" s="38"/>
      <x:c r="AK52" s="38"/>
      <x:c r="AL52" s="38"/>
      <x:c r="AM52" s="38"/>
    </x:row>
    <x:row r="53">
      <x:c r="A53" s="523" t="n">
        <x:f>IF(ISBLANK('_SCHEDULE'!A21),"",'_SCHEDULE'!A21)</x:f>
        <x:v>20</x:v>
      </x:c>
      <x:c r="B53" s="523" t="str">
        <x:f>IF(ISBLANK('_SCHEDULE'!B21),"",IF('_CONFIG'!$B$2="pt-BR",IF('_SCHEDULE'!B21="scheduled","programado",IF('_SCHEDULE'!B21="rejected","rejeitado",'_SCHEDULE'!B21)),'_SCHEDULE'!B21))</x:f>
        <x:v>scheduled</x:v>
      </x:c>
      <x:c r="C53" s="523" t="n">
        <x:f>IF(ISBLANK('_SCHEDULE'!C21),"",'_SCHEDULE'!C21)</x:f>
        <x:v>59</x:v>
      </x:c>
      <x:c r="D53" s="523" t="n">
        <x:f>IF(ISBLANK('_SCHEDULE'!D21),"",'_SCHEDULE'!D21)</x:f>
        <x:v>2</x:v>
      </x:c>
      <x:c r="E53" s="530" t="n">
        <x:f>IF(ISBLANK('_SCHEDULE'!E21),"",'_SCHEDULE'!E21)</x:f>
        <x:v>0</x:v>
      </x:c>
      <x:c r="F53" s="530" t="n">
        <x:f>IF(ISBLANK('_SCHEDULE'!F21),"",'_SCHEDULE'!F21)</x:f>
        <x:v>1900</x:v>
      </x:c>
      <x:c r="G53" s="530" t="n">
        <x:f>IF(ISBLANK('_SCHEDULE'!G21),"",'_SCHEDULE'!G21)</x:f>
        <x:v>20000</x:v>
      </x:c>
      <x:c r="H53" s="530" t="n">
        <x:f>IF(ISBLANK('_SCHEDULE'!H21),"",'_SCHEDULE'!H21)</x:f>
        <x:v>1493</x:v>
      </x:c>
      <x:c r="I53" s="530" t="n">
        <x:f>IF(ISBLANK('_SCHEDULE'!I21),"",'_SCHEDULE'!I21)</x:f>
        <x:v>0</x:v>
      </x:c>
      <x:c r="J53" s="530" t="n">
        <x:f>IF(ISBLANK('_SCHEDULE'!J21),"",'_SCHEDULE'!J21)</x:f>
        <x:v>1493</x:v>
      </x:c>
      <x:c r="K53" s="530" t="n">
        <x:f>IF(ISBLANK('_SCHEDULE'!K21),"",'_SCHEDULE'!K21)</x:f>
        <x:v>90</x:v>
      </x:c>
      <x:c r="L53" s="530" t="n">
        <x:f>IF(ISBLANK('_SCHEDULE'!L21),"",'_SCHEDULE'!L21)</x:f>
        <x:v>1583</x:v>
      </x:c>
      <x:c r="M53" s="530" t="n">
        <x:f>IF(ISBLANK('_SCHEDULE'!M21),"",'_SCHEDULE'!M21)</x:f>
        <x:v>0</x:v>
      </x:c>
      <x:c r="N53" s="530" t="n">
        <x:f>IF(ISBLANK('_SCHEDULE'!N21),"",'_SCHEDULE'!N21)</x:f>
        <x:v>0</x:v>
      </x:c>
      <x:c r="O53" s="530" t="n">
        <x:f>IF(ISBLANK('_SCHEDULE'!O21),"",'_SCHEDULE'!O21)</x:f>
        <x:v>100</x:v>
      </x:c>
      <x:c r="P53" s="530" t="n">
        <x:f>IF(ISBLANK('_SCHEDULE'!P21),"",'_SCHEDULE'!P21)</x:f>
        <x:v>0</x:v>
      </x:c>
      <x:c r="Q53" s="530" t="n">
        <x:f>IF(ISBLANK('_SCHEDULE'!Q21),"",'_SCHEDULE'!Q21)</x:f>
        <x:v>0</x:v>
      </x:c>
      <x:c r="R53" s="530" t="n">
        <x:f>IF(ISBLANK('_SCHEDULE'!R21),"",'_SCHEDULE'!R21)</x:f>
        <x:v>100</x:v>
      </x:c>
      <x:c r="S53" s="523" t="b">
        <x:f>IF(ISBLANK('_SCHEDULE'!S21),"",'_SCHEDULE'!S21)</x:f>
        <x:v>1</x:v>
      </x:c>
      <x:c r="T53" s="38"/>
      <x:c r="U53" s="38"/>
      <x:c r="V53" s="38"/>
      <x:c r="W53" s="38"/>
      <x:c r="X53" s="38"/>
      <x:c r="Y53" s="38"/>
      <x:c r="Z53" s="38"/>
      <x:c r="AA53" s="38"/>
      <x:c r="AB53" s="38"/>
      <x:c r="AC53" s="38"/>
      <x:c r="AD53" s="38"/>
      <x:c r="AE53" s="38"/>
      <x:c r="AF53" s="38"/>
      <x:c r="AG53" s="38"/>
      <x:c r="AH53" s="38"/>
      <x:c r="AI53" s="38"/>
      <x:c r="AJ53" s="38"/>
      <x:c r="AK53" s="38"/>
      <x:c r="AL53" s="38"/>
      <x:c r="AM53" s="38"/>
    </x:row>
    <x:row r="54">
      <x:c r="A54" s="523" t="n">
        <x:f>IF(ISBLANK('_SCHEDULE'!A22),"",'_SCHEDULE'!A22)</x:f>
        <x:v>21</x:v>
      </x:c>
      <x:c r="B54" s="523" t="str">
        <x:f>IF(ISBLANK('_SCHEDULE'!B22),"",IF('_CONFIG'!$B$2="pt-BR",IF('_SCHEDULE'!B22="scheduled","programado",IF('_SCHEDULE'!B22="rejected","rejeitado",'_SCHEDULE'!B22)),'_SCHEDULE'!B22))</x:f>
        <x:v>scheduled</x:v>
      </x:c>
      <x:c r="C54" s="523" t="n">
        <x:f>IF(ISBLANK('_SCHEDULE'!C22),"",'_SCHEDULE'!C22)</x:f>
        <x:v>71</x:v>
      </x:c>
      <x:c r="D54" s="523" t="n">
        <x:f>IF(ISBLANK('_SCHEDULE'!D22),"",'_SCHEDULE'!D22)</x:f>
        <x:v>2</x:v>
      </x:c>
      <x:c r="E54" s="530" t="n">
        <x:f>IF(ISBLANK('_SCHEDULE'!E22),"",'_SCHEDULE'!E22)</x:f>
        <x:v>0</x:v>
      </x:c>
      <x:c r="F54" s="530" t="n">
        <x:f>IF(ISBLANK('_SCHEDULE'!F22),"",'_SCHEDULE'!F22)</x:f>
        <x:v>2000</x:v>
      </x:c>
      <x:c r="G54" s="530" t="n">
        <x:f>IF(ISBLANK('_SCHEDULE'!G22),"",'_SCHEDULE'!G22)</x:f>
        <x:v>20000</x:v>
      </x:c>
      <x:c r="H54" s="530" t="n">
        <x:f>IF(ISBLANK('_SCHEDULE'!H22),"",'_SCHEDULE'!H22)</x:f>
        <x:v>1583</x:v>
      </x:c>
      <x:c r="I54" s="530" t="n">
        <x:f>IF(ISBLANK('_SCHEDULE'!I22),"",'_SCHEDULE'!I22)</x:f>
        <x:v>0</x:v>
      </x:c>
      <x:c r="J54" s="530" t="n">
        <x:f>IF(ISBLANK('_SCHEDULE'!J22),"",'_SCHEDULE'!J22)</x:f>
        <x:v>1583</x:v>
      </x:c>
      <x:c r="K54" s="530" t="n">
        <x:f>IF(ISBLANK('_SCHEDULE'!K22),"",'_SCHEDULE'!K22)</x:f>
        <x:v>90</x:v>
      </x:c>
      <x:c r="L54" s="530" t="n">
        <x:f>IF(ISBLANK('_SCHEDULE'!L22),"",'_SCHEDULE'!L22)</x:f>
        <x:v>1673</x:v>
      </x:c>
      <x:c r="M54" s="530" t="n">
        <x:f>IF(ISBLANK('_SCHEDULE'!M22),"",'_SCHEDULE'!M22)</x:f>
        <x:v>0</x:v>
      </x:c>
      <x:c r="N54" s="530" t="n">
        <x:f>IF(ISBLANK('_SCHEDULE'!N22),"",'_SCHEDULE'!N22)</x:f>
        <x:v>0</x:v>
      </x:c>
      <x:c r="O54" s="530" t="n">
        <x:f>IF(ISBLANK('_SCHEDULE'!O22),"",'_SCHEDULE'!O22)</x:f>
        <x:v>100</x:v>
      </x:c>
      <x:c r="P54" s="530" t="n">
        <x:f>IF(ISBLANK('_SCHEDULE'!P22),"",'_SCHEDULE'!P22)</x:f>
        <x:v>0</x:v>
      </x:c>
      <x:c r="Q54" s="530" t="n">
        <x:f>IF(ISBLANK('_SCHEDULE'!Q22),"",'_SCHEDULE'!Q22)</x:f>
        <x:v>0</x:v>
      </x:c>
      <x:c r="R54" s="530" t="n">
        <x:f>IF(ISBLANK('_SCHEDULE'!R22),"",'_SCHEDULE'!R22)</x:f>
        <x:v>100</x:v>
      </x:c>
      <x:c r="S54" s="523" t="b">
        <x:f>IF(ISBLANK('_SCHEDULE'!S22),"",'_SCHEDULE'!S22)</x:f>
        <x:v>1</x:v>
      </x:c>
      <x:c r="T54" s="38"/>
      <x:c r="U54" s="38"/>
      <x:c r="V54" s="38"/>
      <x:c r="W54" s="38"/>
      <x:c r="X54" s="38"/>
      <x:c r="Y54" s="38"/>
      <x:c r="Z54" s="38"/>
      <x:c r="AA54" s="38"/>
      <x:c r="AB54" s="38"/>
      <x:c r="AC54" s="38"/>
      <x:c r="AD54" s="38"/>
      <x:c r="AE54" s="38"/>
      <x:c r="AF54" s="38"/>
      <x:c r="AG54" s="38"/>
      <x:c r="AH54" s="38"/>
      <x:c r="AI54" s="38"/>
      <x:c r="AJ54" s="38"/>
      <x:c r="AK54" s="38"/>
      <x:c r="AL54" s="38"/>
      <x:c r="AM54" s="38"/>
    </x:row>
    <x:row r="55">
      <x:c r="A55" s="523" t="n">
        <x:f>IF(ISBLANK('_SCHEDULE'!A23),"",'_SCHEDULE'!A23)</x:f>
        <x:v>22</x:v>
      </x:c>
      <x:c r="B55" s="523" t="str">
        <x:f>IF(ISBLANK('_SCHEDULE'!B23),"",IF('_CONFIG'!$B$2="pt-BR",IF('_SCHEDULE'!B23="scheduled","programado",IF('_SCHEDULE'!B23="rejected","rejeitado",'_SCHEDULE'!B23)),'_SCHEDULE'!B23))</x:f>
        <x:v>scheduled</x:v>
      </x:c>
      <x:c r="C55" s="523" t="n">
        <x:f>IF(ISBLANK('_SCHEDULE'!C23),"",'_SCHEDULE'!C23)</x:f>
        <x:v>70</x:v>
      </x:c>
      <x:c r="D55" s="523" t="n">
        <x:f>IF(ISBLANK('_SCHEDULE'!D23),"",'_SCHEDULE'!D23)</x:f>
        <x:v>2</x:v>
      </x:c>
      <x:c r="E55" s="530" t="n">
        <x:f>IF(ISBLANK('_SCHEDULE'!E23),"",'_SCHEDULE'!E23)</x:f>
        <x:v>0</x:v>
      </x:c>
      <x:c r="F55" s="530" t="n">
        <x:f>IF(ISBLANK('_SCHEDULE'!F23),"",'_SCHEDULE'!F23)</x:f>
        <x:v>2000</x:v>
      </x:c>
      <x:c r="G55" s="530" t="n">
        <x:f>IF(ISBLANK('_SCHEDULE'!G23),"",'_SCHEDULE'!G23)</x:f>
        <x:v>20000</x:v>
      </x:c>
      <x:c r="H55" s="530" t="n">
        <x:f>IF(ISBLANK('_SCHEDULE'!H23),"",'_SCHEDULE'!H23)</x:f>
        <x:v>1673</x:v>
      </x:c>
      <x:c r="I55" s="530" t="n">
        <x:f>IF(ISBLANK('_SCHEDULE'!I23),"",'_SCHEDULE'!I23)</x:f>
        <x:v>0</x:v>
      </x:c>
      <x:c r="J55" s="530" t="n">
        <x:f>IF(ISBLANK('_SCHEDULE'!J23),"",'_SCHEDULE'!J23)</x:f>
        <x:v>1673</x:v>
      </x:c>
      <x:c r="K55" s="530" t="n">
        <x:f>IF(ISBLANK('_SCHEDULE'!K23),"",'_SCHEDULE'!K23)</x:f>
        <x:v>90</x:v>
      </x:c>
      <x:c r="L55" s="530" t="n">
        <x:f>IF(ISBLANK('_SCHEDULE'!L23),"",'_SCHEDULE'!L23)</x:f>
        <x:v>1763</x:v>
      </x:c>
      <x:c r="M55" s="530" t="n">
        <x:f>IF(ISBLANK('_SCHEDULE'!M23),"",'_SCHEDULE'!M23)</x:f>
        <x:v>0</x:v>
      </x:c>
      <x:c r="N55" s="530" t="n">
        <x:f>IF(ISBLANK('_SCHEDULE'!N23),"",'_SCHEDULE'!N23)</x:f>
        <x:v>0</x:v>
      </x:c>
      <x:c r="O55" s="530" t="n">
        <x:f>IF(ISBLANK('_SCHEDULE'!O23),"",'_SCHEDULE'!O23)</x:f>
        <x:v>100</x:v>
      </x:c>
      <x:c r="P55" s="530" t="n">
        <x:f>IF(ISBLANK('_SCHEDULE'!P23),"",'_SCHEDULE'!P23)</x:f>
        <x:v>0</x:v>
      </x:c>
      <x:c r="Q55" s="530" t="n">
        <x:f>IF(ISBLANK('_SCHEDULE'!Q23),"",'_SCHEDULE'!Q23)</x:f>
        <x:v>0</x:v>
      </x:c>
      <x:c r="R55" s="530" t="n">
        <x:f>IF(ISBLANK('_SCHEDULE'!R23),"",'_SCHEDULE'!R23)</x:f>
        <x:v>100</x:v>
      </x:c>
      <x:c r="S55" s="523" t="b">
        <x:f>IF(ISBLANK('_SCHEDULE'!S23),"",'_SCHEDULE'!S23)</x:f>
        <x:v>1</x:v>
      </x:c>
      <x:c r="T55" s="38"/>
      <x:c r="U55" s="38"/>
      <x:c r="V55" s="38"/>
      <x:c r="W55" s="38"/>
      <x:c r="X55" s="38"/>
      <x:c r="Y55" s="38"/>
      <x:c r="Z55" s="38"/>
      <x:c r="AA55" s="38"/>
      <x:c r="AB55" s="38"/>
      <x:c r="AC55" s="38"/>
      <x:c r="AD55" s="38"/>
      <x:c r="AE55" s="38"/>
      <x:c r="AF55" s="38"/>
      <x:c r="AG55" s="38"/>
      <x:c r="AH55" s="38"/>
      <x:c r="AI55" s="38"/>
      <x:c r="AJ55" s="38"/>
      <x:c r="AK55" s="38"/>
      <x:c r="AL55" s="38"/>
      <x:c r="AM55" s="38"/>
    </x:row>
    <x:row r="56">
      <x:c r="A56" s="523" t="n">
        <x:f>IF(ISBLANK('_SCHEDULE'!A24),"",'_SCHEDULE'!A24)</x:f>
        <x:v>23</x:v>
      </x:c>
      <x:c r="B56" s="523" t="str">
        <x:f>IF(ISBLANK('_SCHEDULE'!B24),"",IF('_CONFIG'!$B$2="pt-BR",IF('_SCHEDULE'!B24="scheduled","programado",IF('_SCHEDULE'!B24="rejected","rejeitado",'_SCHEDULE'!B24)),'_SCHEDULE'!B24))</x:f>
        <x:v>scheduled</x:v>
      </x:c>
      <x:c r="C56" s="523" t="n">
        <x:f>IF(ISBLANK('_SCHEDULE'!C24),"",'_SCHEDULE'!C24)</x:f>
        <x:v>60</x:v>
      </x:c>
      <x:c r="D56" s="523" t="n">
        <x:f>IF(ISBLANK('_SCHEDULE'!D24),"",'_SCHEDULE'!D24)</x:f>
        <x:v>2</x:v>
      </x:c>
      <x:c r="E56" s="530" t="n">
        <x:f>IF(ISBLANK('_SCHEDULE'!E24),"",'_SCHEDULE'!E24)</x:f>
        <x:v>0</x:v>
      </x:c>
      <x:c r="F56" s="530" t="n">
        <x:f>IF(ISBLANK('_SCHEDULE'!F24),"",'_SCHEDULE'!F24)</x:f>
        <x:v>2000</x:v>
      </x:c>
      <x:c r="G56" s="530" t="n">
        <x:f>IF(ISBLANK('_SCHEDULE'!G24),"",'_SCHEDULE'!G24)</x:f>
        <x:v>20000</x:v>
      </x:c>
      <x:c r="H56" s="530" t="n">
        <x:f>IF(ISBLANK('_SCHEDULE'!H24),"",'_SCHEDULE'!H24)</x:f>
        <x:v>1763</x:v>
      </x:c>
      <x:c r="I56" s="530" t="n">
        <x:f>IF(ISBLANK('_SCHEDULE'!I24),"",'_SCHEDULE'!I24)</x:f>
        <x:v>0</x:v>
      </x:c>
      <x:c r="J56" s="530" t="n">
        <x:f>IF(ISBLANK('_SCHEDULE'!J24),"",'_SCHEDULE'!J24)</x:f>
        <x:v>1763</x:v>
      </x:c>
      <x:c r="K56" s="530" t="n">
        <x:f>IF(ISBLANK('_SCHEDULE'!K24),"",'_SCHEDULE'!K24)</x:f>
        <x:v>90</x:v>
      </x:c>
      <x:c r="L56" s="530" t="n">
        <x:f>IF(ISBLANK('_SCHEDULE'!L24),"",'_SCHEDULE'!L24)</x:f>
        <x:v>1853</x:v>
      </x:c>
      <x:c r="M56" s="530" t="n">
        <x:f>IF(ISBLANK('_SCHEDULE'!M24),"",'_SCHEDULE'!M24)</x:f>
        <x:v>0</x:v>
      </x:c>
      <x:c r="N56" s="530" t="n">
        <x:f>IF(ISBLANK('_SCHEDULE'!N24),"",'_SCHEDULE'!N24)</x:f>
        <x:v>0</x:v>
      </x:c>
      <x:c r="O56" s="530" t="n">
        <x:f>IF(ISBLANK('_SCHEDULE'!O24),"",'_SCHEDULE'!O24)</x:f>
        <x:v>100</x:v>
      </x:c>
      <x:c r="P56" s="530" t="n">
        <x:f>IF(ISBLANK('_SCHEDULE'!P24),"",'_SCHEDULE'!P24)</x:f>
        <x:v>0</x:v>
      </x:c>
      <x:c r="Q56" s="530" t="n">
        <x:f>IF(ISBLANK('_SCHEDULE'!Q24),"",'_SCHEDULE'!Q24)</x:f>
        <x:v>0</x:v>
      </x:c>
      <x:c r="R56" s="530" t="n">
        <x:f>IF(ISBLANK('_SCHEDULE'!R24),"",'_SCHEDULE'!R24)</x:f>
        <x:v>100</x:v>
      </x:c>
      <x:c r="S56" s="523" t="b">
        <x:f>IF(ISBLANK('_SCHEDULE'!S24),"",'_SCHEDULE'!S24)</x:f>
        <x:v>1</x:v>
      </x:c>
      <x:c r="T56" s="38"/>
      <x:c r="U56" s="38"/>
      <x:c r="V56" s="38"/>
      <x:c r="W56" s="38"/>
      <x:c r="X56" s="38"/>
      <x:c r="Y56" s="38"/>
      <x:c r="Z56" s="38"/>
      <x:c r="AA56" s="38"/>
      <x:c r="AB56" s="38"/>
      <x:c r="AC56" s="38"/>
      <x:c r="AD56" s="38"/>
      <x:c r="AE56" s="38"/>
      <x:c r="AF56" s="38"/>
      <x:c r="AG56" s="38"/>
      <x:c r="AH56" s="38"/>
      <x:c r="AI56" s="38"/>
      <x:c r="AJ56" s="38"/>
      <x:c r="AK56" s="38"/>
      <x:c r="AL56" s="38"/>
      <x:c r="AM56" s="38"/>
    </x:row>
    <x:row r="57">
      <x:c r="A57" s="523" t="n">
        <x:f>IF(ISBLANK('_SCHEDULE'!A25),"",'_SCHEDULE'!A25)</x:f>
        <x:v>24</x:v>
      </x:c>
      <x:c r="B57" s="523" t="str">
        <x:f>IF(ISBLANK('_SCHEDULE'!B25),"",IF('_CONFIG'!$B$2="pt-BR",IF('_SCHEDULE'!B25="scheduled","programado",IF('_SCHEDULE'!B25="rejected","rejeitado",'_SCHEDULE'!B25)),'_SCHEDULE'!B25))</x:f>
        <x:v>scheduled</x:v>
      </x:c>
      <x:c r="C57" s="523" t="n">
        <x:f>IF(ISBLANK('_SCHEDULE'!C25),"",'_SCHEDULE'!C25)</x:f>
        <x:v>65</x:v>
      </x:c>
      <x:c r="D57" s="523" t="n">
        <x:f>IF(ISBLANK('_SCHEDULE'!D25),"",'_SCHEDULE'!D25)</x:f>
        <x:v>2</x:v>
      </x:c>
      <x:c r="E57" s="530" t="n">
        <x:f>IF(ISBLANK('_SCHEDULE'!E25),"",'_SCHEDULE'!E25)</x:f>
        <x:v>0</x:v>
      </x:c>
      <x:c r="F57" s="530" t="n">
        <x:f>IF(ISBLANK('_SCHEDULE'!F25),"",'_SCHEDULE'!F25)</x:f>
        <x:v>2000</x:v>
      </x:c>
      <x:c r="G57" s="530" t="n">
        <x:f>IF(ISBLANK('_SCHEDULE'!G25),"",'_SCHEDULE'!G25)</x:f>
        <x:v>20000</x:v>
      </x:c>
      <x:c r="H57" s="530" t="n">
        <x:f>IF(ISBLANK('_SCHEDULE'!H25),"",'_SCHEDULE'!H25)</x:f>
        <x:v>1853</x:v>
      </x:c>
      <x:c r="I57" s="530" t="n">
        <x:f>IF(ISBLANK('_SCHEDULE'!I25),"",'_SCHEDULE'!I25)</x:f>
        <x:v>0</x:v>
      </x:c>
      <x:c r="J57" s="530" t="n">
        <x:f>IF(ISBLANK('_SCHEDULE'!J25),"",'_SCHEDULE'!J25)</x:f>
        <x:v>1853</x:v>
      </x:c>
      <x:c r="K57" s="530" t="n">
        <x:f>IF(ISBLANK('_SCHEDULE'!K25),"",'_SCHEDULE'!K25)</x:f>
        <x:v>90</x:v>
      </x:c>
      <x:c r="L57" s="530" t="n">
        <x:f>IF(ISBLANK('_SCHEDULE'!L25),"",'_SCHEDULE'!L25)</x:f>
        <x:v>1943</x:v>
      </x:c>
      <x:c r="M57" s="530" t="n">
        <x:f>IF(ISBLANK('_SCHEDULE'!M25),"",'_SCHEDULE'!M25)</x:f>
        <x:v>0</x:v>
      </x:c>
      <x:c r="N57" s="530" t="n">
        <x:f>IF(ISBLANK('_SCHEDULE'!N25),"",'_SCHEDULE'!N25)</x:f>
        <x:v>0</x:v>
      </x:c>
      <x:c r="O57" s="530" t="n">
        <x:f>IF(ISBLANK('_SCHEDULE'!O25),"",'_SCHEDULE'!O25)</x:f>
        <x:v>100</x:v>
      </x:c>
      <x:c r="P57" s="530" t="n">
        <x:f>IF(ISBLANK('_SCHEDULE'!P25),"",'_SCHEDULE'!P25)</x:f>
        <x:v>0</x:v>
      </x:c>
      <x:c r="Q57" s="530" t="n">
        <x:f>IF(ISBLANK('_SCHEDULE'!Q25),"",'_SCHEDULE'!Q25)</x:f>
        <x:v>0</x:v>
      </x:c>
      <x:c r="R57" s="530" t="n">
        <x:f>IF(ISBLANK('_SCHEDULE'!R25),"",'_SCHEDULE'!R25)</x:f>
        <x:v>100</x:v>
      </x:c>
      <x:c r="S57" s="523" t="b">
        <x:f>IF(ISBLANK('_SCHEDULE'!S25),"",'_SCHEDULE'!S25)</x:f>
        <x:v>1</x:v>
      </x:c>
      <x:c r="T57" s="38"/>
      <x:c r="U57" s="38"/>
      <x:c r="V57" s="38"/>
      <x:c r="W57" s="38"/>
      <x:c r="X57" s="38"/>
      <x:c r="Y57" s="38"/>
      <x:c r="Z57" s="38"/>
      <x:c r="AA57" s="38"/>
      <x:c r="AB57" s="38"/>
      <x:c r="AC57" s="38"/>
      <x:c r="AD57" s="38"/>
      <x:c r="AE57" s="38"/>
      <x:c r="AF57" s="38"/>
      <x:c r="AG57" s="38"/>
      <x:c r="AH57" s="38"/>
      <x:c r="AI57" s="38"/>
      <x:c r="AJ57" s="38"/>
      <x:c r="AK57" s="38"/>
      <x:c r="AL57" s="38"/>
      <x:c r="AM57" s="38"/>
    </x:row>
    <x:row r="58">
      <x:c r="A58" s="523" t="n">
        <x:f>IF(ISBLANK('_SCHEDULE'!A26),"",'_SCHEDULE'!A26)</x:f>
        <x:v>25</x:v>
      </x:c>
      <x:c r="B58" s="523" t="str">
        <x:f>IF(ISBLANK('_SCHEDULE'!B26),"",IF('_CONFIG'!$B$2="pt-BR",IF('_SCHEDULE'!B26="scheduled","programado",IF('_SCHEDULE'!B26="rejected","rejeitado",'_SCHEDULE'!B26)),'_SCHEDULE'!B26))</x:f>
        <x:v>scheduled</x:v>
      </x:c>
      <x:c r="C58" s="523" t="n">
        <x:f>IF(ISBLANK('_SCHEDULE'!C26),"",'_SCHEDULE'!C26)</x:f>
        <x:v>67</x:v>
      </x:c>
      <x:c r="D58" s="523" t="n">
        <x:f>IF(ISBLANK('_SCHEDULE'!D26),"",'_SCHEDULE'!D26)</x:f>
        <x:v>2</x:v>
      </x:c>
      <x:c r="E58" s="530" t="n">
        <x:f>IF(ISBLANK('_SCHEDULE'!E26),"",'_SCHEDULE'!E26)</x:f>
        <x:v>0</x:v>
      </x:c>
      <x:c r="F58" s="530" t="n">
        <x:f>IF(ISBLANK('_SCHEDULE'!F26),"",'_SCHEDULE'!F26)</x:f>
        <x:v>2000</x:v>
      </x:c>
      <x:c r="G58" s="530" t="n">
        <x:f>IF(ISBLANK('_SCHEDULE'!G26),"",'_SCHEDULE'!G26)</x:f>
        <x:v>20000</x:v>
      </x:c>
      <x:c r="H58" s="530" t="n">
        <x:f>IF(ISBLANK('_SCHEDULE'!H26),"",'_SCHEDULE'!H26)</x:f>
        <x:v>1943</x:v>
      </x:c>
      <x:c r="I58" s="530" t="n">
        <x:f>IF(ISBLANK('_SCHEDULE'!I26),"",'_SCHEDULE'!I26)</x:f>
        <x:v>0</x:v>
      </x:c>
      <x:c r="J58" s="530" t="n">
        <x:f>IF(ISBLANK('_SCHEDULE'!J26),"",'_SCHEDULE'!J26)</x:f>
        <x:v>1943</x:v>
      </x:c>
      <x:c r="K58" s="530" t="n">
        <x:f>IF(ISBLANK('_SCHEDULE'!K26),"",'_SCHEDULE'!K26)</x:f>
        <x:v>90</x:v>
      </x:c>
      <x:c r="L58" s="530" t="n">
        <x:f>IF(ISBLANK('_SCHEDULE'!L26),"",'_SCHEDULE'!L26)</x:f>
        <x:v>2033</x:v>
      </x:c>
      <x:c r="M58" s="530" t="n">
        <x:f>IF(ISBLANK('_SCHEDULE'!M26),"",'_SCHEDULE'!M26)</x:f>
        <x:v>33</x:v>
      </x:c>
      <x:c r="N58" s="530" t="n">
        <x:f>IF(ISBLANK('_SCHEDULE'!N26),"",'_SCHEDULE'!N26)</x:f>
        <x:v>0</x:v>
      </x:c>
      <x:c r="O58" s="530" t="n">
        <x:f>IF(ISBLANK('_SCHEDULE'!O26),"",'_SCHEDULE'!O26)</x:f>
        <x:v>100</x:v>
      </x:c>
      <x:c r="P58" s="530" t="n">
        <x:f>IF(ISBLANK('_SCHEDULE'!P26),"",'_SCHEDULE'!P26)</x:f>
        <x:v>132</x:v>
      </x:c>
      <x:c r="Q58" s="530" t="n">
        <x:f>IF(ISBLANK('_SCHEDULE'!Q26),"",'_SCHEDULE'!Q26)</x:f>
        <x:v>0</x:v>
      </x:c>
      <x:c r="R58" s="530" t="n">
        <x:f>IF(ISBLANK('_SCHEDULE'!R26),"",'_SCHEDULE'!R26)</x:f>
        <x:v>232</x:v>
      </x:c>
      <x:c r="S58" s="523" t="b">
        <x:f>IF(ISBLANK('_SCHEDULE'!S26),"",'_SCHEDULE'!S26)</x:f>
        <x:v>1</x:v>
      </x:c>
      <x:c r="T58" s="38"/>
      <x:c r="U58" s="38"/>
      <x:c r="V58" s="38"/>
      <x:c r="W58" s="38"/>
      <x:c r="X58" s="38"/>
      <x:c r="Y58" s="38"/>
      <x:c r="Z58" s="38"/>
      <x:c r="AA58" s="38"/>
      <x:c r="AB58" s="38"/>
      <x:c r="AC58" s="38"/>
      <x:c r="AD58" s="38"/>
      <x:c r="AE58" s="38"/>
      <x:c r="AF58" s="38"/>
      <x:c r="AG58" s="38"/>
      <x:c r="AH58" s="38"/>
      <x:c r="AI58" s="38"/>
      <x:c r="AJ58" s="38"/>
      <x:c r="AK58" s="38"/>
      <x:c r="AL58" s="38"/>
      <x:c r="AM58" s="38"/>
    </x:row>
    <x:row r="59">
      <x:c r="A59" s="523" t="n">
        <x:f>IF(ISBLANK('_SCHEDULE'!A27),"",'_SCHEDULE'!A27)</x:f>
        <x:v>26</x:v>
      </x:c>
      <x:c r="B59" s="523" t="str">
        <x:f>IF(ISBLANK('_SCHEDULE'!B27),"",IF('_CONFIG'!$B$2="pt-BR",IF('_SCHEDULE'!B27="scheduled","programado",IF('_SCHEDULE'!B27="rejected","rejeitado",'_SCHEDULE'!B27)),'_SCHEDULE'!B27))</x:f>
        <x:v>scheduled</x:v>
      </x:c>
      <x:c r="C59" s="523" t="n">
        <x:f>IF(ISBLANK('_SCHEDULE'!C27),"",'_SCHEDULE'!C27)</x:f>
        <x:v>72</x:v>
      </x:c>
      <x:c r="D59" s="523" t="n">
        <x:f>IF(ISBLANK('_SCHEDULE'!D27),"",'_SCHEDULE'!D27)</x:f>
        <x:v>2</x:v>
      </x:c>
      <x:c r="E59" s="530" t="n">
        <x:f>IF(ISBLANK('_SCHEDULE'!E27),"",'_SCHEDULE'!E27)</x:f>
        <x:v>0</x:v>
      </x:c>
      <x:c r="F59" s="530" t="n">
        <x:f>IF(ISBLANK('_SCHEDULE'!F27),"",'_SCHEDULE'!F27)</x:f>
        <x:v>2000</x:v>
      </x:c>
      <x:c r="G59" s="530" t="n">
        <x:f>IF(ISBLANK('_SCHEDULE'!G27),"",'_SCHEDULE'!G27)</x:f>
        <x:v>20000</x:v>
      </x:c>
      <x:c r="H59" s="530" t="n">
        <x:f>IF(ISBLANK('_SCHEDULE'!H27),"",'_SCHEDULE'!H27)</x:f>
        <x:v>2033</x:v>
      </x:c>
      <x:c r="I59" s="530" t="n">
        <x:f>IF(ISBLANK('_SCHEDULE'!I27),"",'_SCHEDULE'!I27)</x:f>
        <x:v>0</x:v>
      </x:c>
      <x:c r="J59" s="530" t="n">
        <x:f>IF(ISBLANK('_SCHEDULE'!J27),"",'_SCHEDULE'!J27)</x:f>
        <x:v>2033</x:v>
      </x:c>
      <x:c r="K59" s="530" t="n">
        <x:f>IF(ISBLANK('_SCHEDULE'!K27),"",'_SCHEDULE'!K27)</x:f>
        <x:v>90</x:v>
      </x:c>
      <x:c r="L59" s="530" t="n">
        <x:f>IF(ISBLANK('_SCHEDULE'!L27),"",'_SCHEDULE'!L27)</x:f>
        <x:v>2123</x:v>
      </x:c>
      <x:c r="M59" s="530" t="n">
        <x:f>IF(ISBLANK('_SCHEDULE'!M27),"",'_SCHEDULE'!M27)</x:f>
        <x:v>123</x:v>
      </x:c>
      <x:c r="N59" s="530" t="n">
        <x:f>IF(ISBLANK('_SCHEDULE'!N27),"",'_SCHEDULE'!N27)</x:f>
        <x:v>0</x:v>
      </x:c>
      <x:c r="O59" s="530" t="n">
        <x:f>IF(ISBLANK('_SCHEDULE'!O27),"",'_SCHEDULE'!O27)</x:f>
        <x:v>100</x:v>
      </x:c>
      <x:c r="P59" s="530" t="n">
        <x:f>IF(ISBLANK('_SCHEDULE'!P27),"",'_SCHEDULE'!P27)</x:f>
        <x:v>492</x:v>
      </x:c>
      <x:c r="Q59" s="530" t="n">
        <x:f>IF(ISBLANK('_SCHEDULE'!Q27),"",'_SCHEDULE'!Q27)</x:f>
        <x:v>0</x:v>
      </x:c>
      <x:c r="R59" s="530" t="n">
        <x:f>IF(ISBLANK('_SCHEDULE'!R27),"",'_SCHEDULE'!R27)</x:f>
        <x:v>592</x:v>
      </x:c>
      <x:c r="S59" s="523" t="b">
        <x:f>IF(ISBLANK('_SCHEDULE'!S27),"",'_SCHEDULE'!S27)</x:f>
        <x:v>1</x:v>
      </x:c>
      <x:c r="T59" s="38"/>
      <x:c r="U59" s="38"/>
      <x:c r="V59" s="38"/>
      <x:c r="W59" s="38"/>
      <x:c r="X59" s="38"/>
      <x:c r="Y59" s="38"/>
      <x:c r="Z59" s="38"/>
      <x:c r="AA59" s="38"/>
      <x:c r="AB59" s="38"/>
      <x:c r="AC59" s="38"/>
      <x:c r="AD59" s="38"/>
      <x:c r="AE59" s="38"/>
      <x:c r="AF59" s="38"/>
      <x:c r="AG59" s="38"/>
      <x:c r="AH59" s="38"/>
      <x:c r="AI59" s="38"/>
      <x:c r="AJ59" s="38"/>
      <x:c r="AK59" s="38"/>
      <x:c r="AL59" s="38"/>
      <x:c r="AM59" s="38"/>
    </x:row>
    <x:row r="60">
      <x:c r="A60" s="523" t="n">
        <x:f>IF(ISBLANK('_SCHEDULE'!A28),"",'_SCHEDULE'!A28)</x:f>
        <x:v>27</x:v>
      </x:c>
      <x:c r="B60" s="523" t="str">
        <x:f>IF(ISBLANK('_SCHEDULE'!B28),"",IF('_CONFIG'!$B$2="pt-BR",IF('_SCHEDULE'!B28="scheduled","programado",IF('_SCHEDULE'!B28="rejected","rejeitado",'_SCHEDULE'!B28)),'_SCHEDULE'!B28))</x:f>
        <x:v>scheduled</x:v>
      </x:c>
      <x:c r="C60" s="523" t="n">
        <x:f>IF(ISBLANK('_SCHEDULE'!C28),"",'_SCHEDULE'!C28)</x:f>
        <x:v>69</x:v>
      </x:c>
      <x:c r="D60" s="523" t="n">
        <x:f>IF(ISBLANK('_SCHEDULE'!D28),"",'_SCHEDULE'!D28)</x:f>
        <x:v>2</x:v>
      </x:c>
      <x:c r="E60" s="530" t="n">
        <x:f>IF(ISBLANK('_SCHEDULE'!E28),"",'_SCHEDULE'!E28)</x:f>
        <x:v>0</x:v>
      </x:c>
      <x:c r="F60" s="530" t="n">
        <x:f>IF(ISBLANK('_SCHEDULE'!F28),"",'_SCHEDULE'!F28)</x:f>
        <x:v>2000</x:v>
      </x:c>
      <x:c r="G60" s="530" t="n">
        <x:f>IF(ISBLANK('_SCHEDULE'!G28),"",'_SCHEDULE'!G28)</x:f>
        <x:v>20000</x:v>
      </x:c>
      <x:c r="H60" s="530" t="n">
        <x:f>IF(ISBLANK('_SCHEDULE'!H28),"",'_SCHEDULE'!H28)</x:f>
        <x:v>2123</x:v>
      </x:c>
      <x:c r="I60" s="530" t="n">
        <x:f>IF(ISBLANK('_SCHEDULE'!I28),"",'_SCHEDULE'!I28)</x:f>
        <x:v>0</x:v>
      </x:c>
      <x:c r="J60" s="530" t="n">
        <x:f>IF(ISBLANK('_SCHEDULE'!J28),"",'_SCHEDULE'!J28)</x:f>
        <x:v>2123</x:v>
      </x:c>
      <x:c r="K60" s="530" t="n">
        <x:f>IF(ISBLANK('_SCHEDULE'!K28),"",'_SCHEDULE'!K28)</x:f>
        <x:v>90</x:v>
      </x:c>
      <x:c r="L60" s="530" t="n">
        <x:f>IF(ISBLANK('_SCHEDULE'!L28),"",'_SCHEDULE'!L28)</x:f>
        <x:v>2213</x:v>
      </x:c>
      <x:c r="M60" s="530" t="n">
        <x:f>IF(ISBLANK('_SCHEDULE'!M28),"",'_SCHEDULE'!M28)</x:f>
        <x:v>213</x:v>
      </x:c>
      <x:c r="N60" s="530" t="n">
        <x:f>IF(ISBLANK('_SCHEDULE'!N28),"",'_SCHEDULE'!N28)</x:f>
        <x:v>0</x:v>
      </x:c>
      <x:c r="O60" s="530" t="n">
        <x:f>IF(ISBLANK('_SCHEDULE'!O28),"",'_SCHEDULE'!O28)</x:f>
        <x:v>100</x:v>
      </x:c>
      <x:c r="P60" s="530" t="n">
        <x:f>IF(ISBLANK('_SCHEDULE'!P28),"",'_SCHEDULE'!P28)</x:f>
        <x:v>852</x:v>
      </x:c>
      <x:c r="Q60" s="530" t="n">
        <x:f>IF(ISBLANK('_SCHEDULE'!Q28),"",'_SCHEDULE'!Q28)</x:f>
        <x:v>0</x:v>
      </x:c>
      <x:c r="R60" s="530" t="n">
        <x:f>IF(ISBLANK('_SCHEDULE'!R28),"",'_SCHEDULE'!R28)</x:f>
        <x:v>952</x:v>
      </x:c>
      <x:c r="S60" s="523" t="b">
        <x:f>IF(ISBLANK('_SCHEDULE'!S28),"",'_SCHEDULE'!S28)</x:f>
        <x:v>1</x:v>
      </x:c>
      <x:c r="T60" s="38"/>
      <x:c r="U60" s="38"/>
      <x:c r="V60" s="38"/>
      <x:c r="W60" s="38"/>
      <x:c r="X60" s="38"/>
      <x:c r="Y60" s="38"/>
      <x:c r="Z60" s="38"/>
      <x:c r="AA60" s="38"/>
      <x:c r="AB60" s="38"/>
      <x:c r="AC60" s="38"/>
      <x:c r="AD60" s="38"/>
      <x:c r="AE60" s="38"/>
      <x:c r="AF60" s="38"/>
      <x:c r="AG60" s="38"/>
      <x:c r="AH60" s="38"/>
      <x:c r="AI60" s="38"/>
      <x:c r="AJ60" s="38"/>
      <x:c r="AK60" s="38"/>
      <x:c r="AL60" s="38"/>
      <x:c r="AM60" s="38"/>
    </x:row>
    <x:row r="61">
      <x:c r="A61" s="523" t="n">
        <x:f>IF(ISBLANK('_SCHEDULE'!A29),"",'_SCHEDULE'!A29)</x:f>
        <x:v>28</x:v>
      </x:c>
      <x:c r="B61" s="523" t="str">
        <x:f>IF(ISBLANK('_SCHEDULE'!B29),"",IF('_CONFIG'!$B$2="pt-BR",IF('_SCHEDULE'!B29="scheduled","programado",IF('_SCHEDULE'!B29="rejected","rejeitado",'_SCHEDULE'!B29)),'_SCHEDULE'!B29))</x:f>
        <x:v>scheduled</x:v>
      </x:c>
      <x:c r="C61" s="523" t="n">
        <x:f>IF(ISBLANK('_SCHEDULE'!C29),"",'_SCHEDULE'!C29)</x:f>
        <x:v>66</x:v>
      </x:c>
      <x:c r="D61" s="523" t="n">
        <x:f>IF(ISBLANK('_SCHEDULE'!D29),"",'_SCHEDULE'!D29)</x:f>
        <x:v>2</x:v>
      </x:c>
      <x:c r="E61" s="530" t="n">
        <x:f>IF(ISBLANK('_SCHEDULE'!E29),"",'_SCHEDULE'!E29)</x:f>
        <x:v>0</x:v>
      </x:c>
      <x:c r="F61" s="530" t="n">
        <x:f>IF(ISBLANK('_SCHEDULE'!F29),"",'_SCHEDULE'!F29)</x:f>
        <x:v>2000</x:v>
      </x:c>
      <x:c r="G61" s="530" t="n">
        <x:f>IF(ISBLANK('_SCHEDULE'!G29),"",'_SCHEDULE'!G29)</x:f>
        <x:v>20000</x:v>
      </x:c>
      <x:c r="H61" s="530" t="n">
        <x:f>IF(ISBLANK('_SCHEDULE'!H29),"",'_SCHEDULE'!H29)</x:f>
        <x:v>2213</x:v>
      </x:c>
      <x:c r="I61" s="530" t="n">
        <x:f>IF(ISBLANK('_SCHEDULE'!I29),"",'_SCHEDULE'!I29)</x:f>
        <x:v>0</x:v>
      </x:c>
      <x:c r="J61" s="530" t="n">
        <x:f>IF(ISBLANK('_SCHEDULE'!J29),"",'_SCHEDULE'!J29)</x:f>
        <x:v>2213</x:v>
      </x:c>
      <x:c r="K61" s="530" t="n">
        <x:f>IF(ISBLANK('_SCHEDULE'!K29),"",'_SCHEDULE'!K29)</x:f>
        <x:v>90</x:v>
      </x:c>
      <x:c r="L61" s="530" t="n">
        <x:f>IF(ISBLANK('_SCHEDULE'!L29),"",'_SCHEDULE'!L29)</x:f>
        <x:v>2303</x:v>
      </x:c>
      <x:c r="M61" s="530" t="n">
        <x:f>IF(ISBLANK('_SCHEDULE'!M29),"",'_SCHEDULE'!M29)</x:f>
        <x:v>303</x:v>
      </x:c>
      <x:c r="N61" s="530" t="n">
        <x:f>IF(ISBLANK('_SCHEDULE'!N29),"",'_SCHEDULE'!N29)</x:f>
        <x:v>0</x:v>
      </x:c>
      <x:c r="O61" s="530" t="n">
        <x:f>IF(ISBLANK('_SCHEDULE'!O29),"",'_SCHEDULE'!O29)</x:f>
        <x:v>100</x:v>
      </x:c>
      <x:c r="P61" s="530" t="n">
        <x:f>IF(ISBLANK('_SCHEDULE'!P29),"",'_SCHEDULE'!P29)</x:f>
        <x:v>1212</x:v>
      </x:c>
      <x:c r="Q61" s="530" t="n">
        <x:f>IF(ISBLANK('_SCHEDULE'!Q29),"",'_SCHEDULE'!Q29)</x:f>
        <x:v>0</x:v>
      </x:c>
      <x:c r="R61" s="530" t="n">
        <x:f>IF(ISBLANK('_SCHEDULE'!R29),"",'_SCHEDULE'!R29)</x:f>
        <x:v>1312</x:v>
      </x:c>
      <x:c r="S61" s="523" t="b">
        <x:f>IF(ISBLANK('_SCHEDULE'!S29),"",'_SCHEDULE'!S29)</x:f>
        <x:v>1</x:v>
      </x:c>
      <x:c r="T61" s="38"/>
      <x:c r="U61" s="38"/>
      <x:c r="V61" s="38"/>
      <x:c r="W61" s="38"/>
      <x:c r="X61" s="38"/>
      <x:c r="Y61" s="38"/>
      <x:c r="Z61" s="38"/>
      <x:c r="AA61" s="38"/>
      <x:c r="AB61" s="38"/>
      <x:c r="AC61" s="38"/>
      <x:c r="AD61" s="38"/>
      <x:c r="AE61" s="38"/>
      <x:c r="AF61" s="38"/>
      <x:c r="AG61" s="38"/>
      <x:c r="AH61" s="38"/>
      <x:c r="AI61" s="38"/>
      <x:c r="AJ61" s="38"/>
      <x:c r="AK61" s="38"/>
      <x:c r="AL61" s="38"/>
      <x:c r="AM61" s="38"/>
    </x:row>
    <x:row r="62">
      <x:c r="A62" s="523" t="n">
        <x:f>IF(ISBLANK('_SCHEDULE'!A30),"",'_SCHEDULE'!A30)</x:f>
        <x:v>29</x:v>
      </x:c>
      <x:c r="B62" s="523" t="str">
        <x:f>IF(ISBLANK('_SCHEDULE'!B30),"",IF('_CONFIG'!$B$2="pt-BR",IF('_SCHEDULE'!B30="scheduled","programado",IF('_SCHEDULE'!B30="rejected","rejeitado",'_SCHEDULE'!B30)),'_SCHEDULE'!B30))</x:f>
        <x:v>scheduled</x:v>
      </x:c>
      <x:c r="C62" s="523" t="n">
        <x:f>IF(ISBLANK('_SCHEDULE'!C30),"",'_SCHEDULE'!C30)</x:f>
        <x:v>73</x:v>
      </x:c>
      <x:c r="D62" s="523" t="n">
        <x:f>IF(ISBLANK('_SCHEDULE'!D30),"",'_SCHEDULE'!D30)</x:f>
        <x:v>0</x:v>
      </x:c>
      <x:c r="E62" s="530" t="n">
        <x:f>IF(ISBLANK('_SCHEDULE'!E30),"",'_SCHEDULE'!E30)</x:f>
        <x:v>0</x:v>
      </x:c>
      <x:c r="F62" s="530" t="n">
        <x:f>IF(ISBLANK('_SCHEDULE'!F30),"",'_SCHEDULE'!F30)</x:f>
        <x:v>2500</x:v>
      </x:c>
      <x:c r="G62" s="530" t="n">
        <x:f>IF(ISBLANK('_SCHEDULE'!G30),"",'_SCHEDULE'!G30)</x:f>
        <x:v>20000</x:v>
      </x:c>
      <x:c r="H62" s="530" t="n">
        <x:f>IF(ISBLANK('_SCHEDULE'!H30),"",'_SCHEDULE'!H30)</x:f>
        <x:v>2303</x:v>
      </x:c>
      <x:c r="I62" s="530" t="n">
        <x:f>IF(ISBLANK('_SCHEDULE'!I30),"",'_SCHEDULE'!I30)</x:f>
        <x:v>10</x:v>
      </x:c>
      <x:c r="J62" s="530" t="n">
        <x:f>IF(ISBLANK('_SCHEDULE'!J30),"",'_SCHEDULE'!J30)</x:f>
        <x:v>2313</x:v>
      </x:c>
      <x:c r="K62" s="530" t="n">
        <x:f>IF(ISBLANK('_SCHEDULE'!K30),"",'_SCHEDULE'!K30)</x:f>
        <x:v>70</x:v>
      </x:c>
      <x:c r="L62" s="530" t="n">
        <x:f>IF(ISBLANK('_SCHEDULE'!L30),"",'_SCHEDULE'!L30)</x:f>
        <x:v>2383</x:v>
      </x:c>
      <x:c r="M62" s="530" t="n">
        <x:f>IF(ISBLANK('_SCHEDULE'!M30),"",'_SCHEDULE'!M30)</x:f>
        <x:v>0</x:v>
      </x:c>
      <x:c r="N62" s="530" t="n">
        <x:f>IF(ISBLANK('_SCHEDULE'!N30),"",'_SCHEDULE'!N30)</x:f>
        <x:v>200</x:v>
      </x:c>
      <x:c r="O62" s="530" t="n">
        <x:f>IF(ISBLANK('_SCHEDULE'!O30),"",'_SCHEDULE'!O30)</x:f>
        <x:v>100</x:v>
      </x:c>
      <x:c r="P62" s="530" t="n">
        <x:f>IF(ISBLANK('_SCHEDULE'!P30),"",'_SCHEDULE'!P30)</x:f>
        <x:v>0</x:v>
      </x:c>
      <x:c r="Q62" s="530" t="n">
        <x:f>IF(ISBLANK('_SCHEDULE'!Q30),"",'_SCHEDULE'!Q30)</x:f>
        <x:v>0</x:v>
      </x:c>
      <x:c r="R62" s="530" t="n">
        <x:f>IF(ISBLANK('_SCHEDULE'!R30),"",'_SCHEDULE'!R30)</x:f>
        <x:v>300</x:v>
      </x:c>
      <x:c r="S62" s="523" t="b">
        <x:f>IF(ISBLANK('_SCHEDULE'!S30),"",'_SCHEDULE'!S30)</x:f>
        <x:v>1</x:v>
      </x:c>
      <x:c r="T62" s="38"/>
      <x:c r="U62" s="38"/>
      <x:c r="V62" s="38"/>
      <x:c r="W62" s="38"/>
      <x:c r="X62" s="38"/>
      <x:c r="Y62" s="38"/>
      <x:c r="Z62" s="38"/>
      <x:c r="AA62" s="38"/>
      <x:c r="AB62" s="38"/>
      <x:c r="AC62" s="38"/>
      <x:c r="AD62" s="38"/>
      <x:c r="AE62" s="38"/>
      <x:c r="AF62" s="38"/>
      <x:c r="AG62" s="38"/>
      <x:c r="AH62" s="38"/>
      <x:c r="AI62" s="38"/>
      <x:c r="AJ62" s="38"/>
      <x:c r="AK62" s="38"/>
      <x:c r="AL62" s="38"/>
      <x:c r="AM62" s="38"/>
    </x:row>
    <x:row r="63">
      <x:c r="A63" s="523" t="n">
        <x:f>IF(ISBLANK('_SCHEDULE'!A31),"",'_SCHEDULE'!A31)</x:f>
        <x:v>30</x:v>
      </x:c>
      <x:c r="B63" s="523" t="str">
        <x:f>IF(ISBLANK('_SCHEDULE'!B31),"",IF('_CONFIG'!$B$2="pt-BR",IF('_SCHEDULE'!B31="scheduled","programado",IF('_SCHEDULE'!B31="rejected","rejeitado",'_SCHEDULE'!B31)),'_SCHEDULE'!B31))</x:f>
        <x:v>scheduled</x:v>
      </x:c>
      <x:c r="C63" s="523" t="n">
        <x:f>IF(ISBLANK('_SCHEDULE'!C31),"",'_SCHEDULE'!C31)</x:f>
        <x:v>74</x:v>
      </x:c>
      <x:c r="D63" s="523" t="n">
        <x:f>IF(ISBLANK('_SCHEDULE'!D31),"",'_SCHEDULE'!D31)</x:f>
        <x:v>0</x:v>
      </x:c>
      <x:c r="E63" s="530" t="n">
        <x:f>IF(ISBLANK('_SCHEDULE'!E31),"",'_SCHEDULE'!E31)</x:f>
        <x:v>0</x:v>
      </x:c>
      <x:c r="F63" s="530" t="n">
        <x:f>IF(ISBLANK('_SCHEDULE'!F31),"",'_SCHEDULE'!F31)</x:f>
        <x:v>2500</x:v>
      </x:c>
      <x:c r="G63" s="530" t="n">
        <x:f>IF(ISBLANK('_SCHEDULE'!G31),"",'_SCHEDULE'!G31)</x:f>
        <x:v>20000</x:v>
      </x:c>
      <x:c r="H63" s="530" t="n">
        <x:f>IF(ISBLANK('_SCHEDULE'!H31),"",'_SCHEDULE'!H31)</x:f>
        <x:v>2383</x:v>
      </x:c>
      <x:c r="I63" s="530" t="n">
        <x:f>IF(ISBLANK('_SCHEDULE'!I31),"",'_SCHEDULE'!I31)</x:f>
        <x:v>0</x:v>
      </x:c>
      <x:c r="J63" s="530" t="n">
        <x:f>IF(ISBLANK('_SCHEDULE'!J31),"",'_SCHEDULE'!J31)</x:f>
        <x:v>2383</x:v>
      </x:c>
      <x:c r="K63" s="530" t="n">
        <x:f>IF(ISBLANK('_SCHEDULE'!K31),"",'_SCHEDULE'!K31)</x:f>
        <x:v>70</x:v>
      </x:c>
      <x:c r="L63" s="530" t="n">
        <x:f>IF(ISBLANK('_SCHEDULE'!L31),"",'_SCHEDULE'!L31)</x:f>
        <x:v>2453</x:v>
      </x:c>
      <x:c r="M63" s="530" t="n">
        <x:f>IF(ISBLANK('_SCHEDULE'!M31),"",'_SCHEDULE'!M31)</x:f>
        <x:v>0</x:v>
      </x:c>
      <x:c r="N63" s="530" t="n">
        <x:f>IF(ISBLANK('_SCHEDULE'!N31),"",'_SCHEDULE'!N31)</x:f>
        <x:v>0</x:v>
      </x:c>
      <x:c r="O63" s="530" t="n">
        <x:f>IF(ISBLANK('_SCHEDULE'!O31),"",'_SCHEDULE'!O31)</x:f>
        <x:v>100</x:v>
      </x:c>
      <x:c r="P63" s="530" t="n">
        <x:f>IF(ISBLANK('_SCHEDULE'!P31),"",'_SCHEDULE'!P31)</x:f>
        <x:v>0</x:v>
      </x:c>
      <x:c r="Q63" s="530" t="n">
        <x:f>IF(ISBLANK('_SCHEDULE'!Q31),"",'_SCHEDULE'!Q31)</x:f>
        <x:v>0</x:v>
      </x:c>
      <x:c r="R63" s="530" t="n">
        <x:f>IF(ISBLANK('_SCHEDULE'!R31),"",'_SCHEDULE'!R31)</x:f>
        <x:v>100</x:v>
      </x:c>
      <x:c r="S63" s="523" t="b">
        <x:f>IF(ISBLANK('_SCHEDULE'!S31),"",'_SCHEDULE'!S31)</x:f>
        <x:v>1</x:v>
      </x:c>
      <x:c r="T63" s="38"/>
      <x:c r="U63" s="38"/>
      <x:c r="V63" s="38"/>
      <x:c r="W63" s="38"/>
      <x:c r="X63" s="38"/>
      <x:c r="Y63" s="38"/>
      <x:c r="Z63" s="38"/>
      <x:c r="AA63" s="38"/>
      <x:c r="AB63" s="38"/>
      <x:c r="AC63" s="38"/>
      <x:c r="AD63" s="38"/>
      <x:c r="AE63" s="38"/>
      <x:c r="AF63" s="38"/>
      <x:c r="AG63" s="38"/>
      <x:c r="AH63" s="38"/>
      <x:c r="AI63" s="38"/>
      <x:c r="AJ63" s="38"/>
      <x:c r="AK63" s="38"/>
      <x:c r="AL63" s="38"/>
      <x:c r="AM63" s="38"/>
    </x:row>
    <x:row r="64">
      <x:c r="A64" s="523" t="n">
        <x:f>IF(ISBLANK('_SCHEDULE'!A32),"",'_SCHEDULE'!A32)</x:f>
        <x:v>31</x:v>
      </x:c>
      <x:c r="B64" s="523" t="str">
        <x:f>IF(ISBLANK('_SCHEDULE'!B32),"",IF('_CONFIG'!$B$2="pt-BR",IF('_SCHEDULE'!B32="scheduled","programado",IF('_SCHEDULE'!B32="rejected","rejeitado",'_SCHEDULE'!B32)),'_SCHEDULE'!B32))</x:f>
        <x:v>scheduled</x:v>
      </x:c>
      <x:c r="C64" s="523" t="n">
        <x:f>IF(ISBLANK('_SCHEDULE'!C32),"",'_SCHEDULE'!C32)</x:f>
        <x:v>9</x:v>
      </x:c>
      <x:c r="D64" s="523" t="n">
        <x:f>IF(ISBLANK('_SCHEDULE'!D32),"",'_SCHEDULE'!D32)</x:f>
        <x:v>0</x:v>
      </x:c>
      <x:c r="E64" s="530" t="n">
        <x:f>IF(ISBLANK('_SCHEDULE'!E32),"",'_SCHEDULE'!E32)</x:f>
        <x:v>0</x:v>
      </x:c>
      <x:c r="F64" s="530" t="n">
        <x:f>IF(ISBLANK('_SCHEDULE'!F32),"",'_SCHEDULE'!F32)</x:f>
        <x:v>5300</x:v>
      </x:c>
      <x:c r="G64" s="530" t="n">
        <x:f>IF(ISBLANK('_SCHEDULE'!G32),"",'_SCHEDULE'!G32)</x:f>
        <x:v>20000</x:v>
      </x:c>
      <x:c r="H64" s="530" t="n">
        <x:f>IF(ISBLANK('_SCHEDULE'!H32),"",'_SCHEDULE'!H32)</x:f>
        <x:v>2453</x:v>
      </x:c>
      <x:c r="I64" s="530" t="n">
        <x:f>IF(ISBLANK('_SCHEDULE'!I32),"",'_SCHEDULE'!I32)</x:f>
        <x:v>0</x:v>
      </x:c>
      <x:c r="J64" s="530" t="n">
        <x:f>IF(ISBLANK('_SCHEDULE'!J32),"",'_SCHEDULE'!J32)</x:f>
        <x:v>2453</x:v>
      </x:c>
      <x:c r="K64" s="530" t="n">
        <x:f>IF(ISBLANK('_SCHEDULE'!K32),"",'_SCHEDULE'!K32)</x:f>
        <x:v>70</x:v>
      </x:c>
      <x:c r="L64" s="530" t="n">
        <x:f>IF(ISBLANK('_SCHEDULE'!L32),"",'_SCHEDULE'!L32)</x:f>
        <x:v>2523</x:v>
      </x:c>
      <x:c r="M64" s="530" t="n">
        <x:f>IF(ISBLANK('_SCHEDULE'!M32),"",'_SCHEDULE'!M32)</x:f>
        <x:v>0</x:v>
      </x:c>
      <x:c r="N64" s="530" t="n">
        <x:f>IF(ISBLANK('_SCHEDULE'!N32),"",'_SCHEDULE'!N32)</x:f>
        <x:v>0</x:v>
      </x:c>
      <x:c r="O64" s="530" t="n">
        <x:f>IF(ISBLANK('_SCHEDULE'!O32),"",'_SCHEDULE'!O32)</x:f>
        <x:v>100</x:v>
      </x:c>
      <x:c r="P64" s="530" t="n">
        <x:f>IF(ISBLANK('_SCHEDULE'!P32),"",'_SCHEDULE'!P32)</x:f>
        <x:v>0</x:v>
      </x:c>
      <x:c r="Q64" s="530" t="n">
        <x:f>IF(ISBLANK('_SCHEDULE'!Q32),"",'_SCHEDULE'!Q32)</x:f>
        <x:v>0</x:v>
      </x:c>
      <x:c r="R64" s="530" t="n">
        <x:f>IF(ISBLANK('_SCHEDULE'!R32),"",'_SCHEDULE'!R32)</x:f>
        <x:v>100</x:v>
      </x:c>
      <x:c r="S64" s="523" t="b">
        <x:f>IF(ISBLANK('_SCHEDULE'!S32),"",'_SCHEDULE'!S32)</x:f>
        <x:v>1</x:v>
      </x:c>
      <x:c r="T64" s="38"/>
      <x:c r="U64" s="38"/>
      <x:c r="V64" s="38"/>
      <x:c r="W64" s="38"/>
      <x:c r="X64" s="38"/>
      <x:c r="Y64" s="38"/>
      <x:c r="Z64" s="38"/>
      <x:c r="AA64" s="38"/>
      <x:c r="AB64" s="38"/>
      <x:c r="AC64" s="38"/>
      <x:c r="AD64" s="38"/>
      <x:c r="AE64" s="38"/>
      <x:c r="AF64" s="38"/>
      <x:c r="AG64" s="38"/>
      <x:c r="AH64" s="38"/>
      <x:c r="AI64" s="38"/>
      <x:c r="AJ64" s="38"/>
      <x:c r="AK64" s="38"/>
      <x:c r="AL64" s="38"/>
      <x:c r="AM64" s="38"/>
    </x:row>
    <x:row r="65">
      <x:c r="A65" s="523" t="n">
        <x:f>IF(ISBLANK('_SCHEDULE'!A33),"",'_SCHEDULE'!A33)</x:f>
        <x:v>32</x:v>
      </x:c>
      <x:c r="B65" s="523" t="str">
        <x:f>IF(ISBLANK('_SCHEDULE'!B33),"",IF('_CONFIG'!$B$2="pt-BR",IF('_SCHEDULE'!B33="scheduled","programado",IF('_SCHEDULE'!B33="rejected","rejeitado",'_SCHEDULE'!B33)),'_SCHEDULE'!B33))</x:f>
        <x:v>scheduled</x:v>
      </x:c>
      <x:c r="C65" s="523" t="n">
        <x:f>IF(ISBLANK('_SCHEDULE'!C33),"",'_SCHEDULE'!C33)</x:f>
        <x:v>23</x:v>
      </x:c>
      <x:c r="D65" s="523" t="n">
        <x:f>IF(ISBLANK('_SCHEDULE'!D33),"",'_SCHEDULE'!D33)</x:f>
        <x:v>1</x:v>
      </x:c>
      <x:c r="E65" s="530" t="n">
        <x:f>IF(ISBLANK('_SCHEDULE'!E33),"",'_SCHEDULE'!E33)</x:f>
        <x:v>0</x:v>
      </x:c>
      <x:c r="F65" s="530" t="n">
        <x:f>IF(ISBLANK('_SCHEDULE'!F33),"",'_SCHEDULE'!F33)</x:f>
        <x:v>4300</x:v>
      </x:c>
      <x:c r="G65" s="530" t="n">
        <x:f>IF(ISBLANK('_SCHEDULE'!G33),"",'_SCHEDULE'!G33)</x:f>
        <x:v>20000</x:v>
      </x:c>
      <x:c r="H65" s="530" t="n">
        <x:f>IF(ISBLANK('_SCHEDULE'!H33),"",'_SCHEDULE'!H33)</x:f>
        <x:v>2523</x:v>
      </x:c>
      <x:c r="I65" s="530" t="n">
        <x:f>IF(ISBLANK('_SCHEDULE'!I33),"",'_SCHEDULE'!I33)</x:f>
        <x:v>10</x:v>
      </x:c>
      <x:c r="J65" s="530" t="n">
        <x:f>IF(ISBLANK('_SCHEDULE'!J33),"",'_SCHEDULE'!J33)</x:f>
        <x:v>2533</x:v>
      </x:c>
      <x:c r="K65" s="530" t="n">
        <x:f>IF(ISBLANK('_SCHEDULE'!K33),"",'_SCHEDULE'!K33)</x:f>
        <x:v>90</x:v>
      </x:c>
      <x:c r="L65" s="530" t="n">
        <x:f>IF(ISBLANK('_SCHEDULE'!L33),"",'_SCHEDULE'!L33)</x:f>
        <x:v>2623</x:v>
      </x:c>
      <x:c r="M65" s="530" t="n">
        <x:f>IF(ISBLANK('_SCHEDULE'!M33),"",'_SCHEDULE'!M33)</x:f>
        <x:v>0</x:v>
      </x:c>
      <x:c r="N65" s="530" t="n">
        <x:f>IF(ISBLANK('_SCHEDULE'!N33),"",'_SCHEDULE'!N33)</x:f>
        <x:v>200</x:v>
      </x:c>
      <x:c r="O65" s="530" t="n">
        <x:f>IF(ISBLANK('_SCHEDULE'!O33),"",'_SCHEDULE'!O33)</x:f>
        <x:v>100</x:v>
      </x:c>
      <x:c r="P65" s="530" t="n">
        <x:f>IF(ISBLANK('_SCHEDULE'!P33),"",'_SCHEDULE'!P33)</x:f>
        <x:v>0</x:v>
      </x:c>
      <x:c r="Q65" s="530" t="n">
        <x:f>IF(ISBLANK('_SCHEDULE'!Q33),"",'_SCHEDULE'!Q33)</x:f>
        <x:v>0</x:v>
      </x:c>
      <x:c r="R65" s="530" t="n">
        <x:f>IF(ISBLANK('_SCHEDULE'!R33),"",'_SCHEDULE'!R33)</x:f>
        <x:v>300</x:v>
      </x:c>
      <x:c r="S65" s="523" t="b">
        <x:f>IF(ISBLANK('_SCHEDULE'!S33),"",'_SCHEDULE'!S33)</x:f>
        <x:v>1</x:v>
      </x:c>
      <x:c r="T65" s="38"/>
      <x:c r="U65" s="38"/>
      <x:c r="V65" s="38"/>
      <x:c r="W65" s="38"/>
      <x:c r="X65" s="38"/>
      <x:c r="Y65" s="38"/>
      <x:c r="Z65" s="38"/>
      <x:c r="AA65" s="38"/>
      <x:c r="AB65" s="38"/>
      <x:c r="AC65" s="38"/>
      <x:c r="AD65" s="38"/>
      <x:c r="AE65" s="38"/>
      <x:c r="AF65" s="38"/>
      <x:c r="AG65" s="38"/>
      <x:c r="AH65" s="38"/>
      <x:c r="AI65" s="38"/>
      <x:c r="AJ65" s="38"/>
      <x:c r="AK65" s="38"/>
      <x:c r="AL65" s="38"/>
      <x:c r="AM65" s="38"/>
    </x:row>
    <x:row r="66">
      <x:c r="A66" s="523" t="n">
        <x:f>IF(ISBLANK('_SCHEDULE'!A34),"",'_SCHEDULE'!A34)</x:f>
        <x:v>33</x:v>
      </x:c>
      <x:c r="B66" s="523" t="str">
        <x:f>IF(ISBLANK('_SCHEDULE'!B34),"",IF('_CONFIG'!$B$2="pt-BR",IF('_SCHEDULE'!B34="scheduled","programado",IF('_SCHEDULE'!B34="rejected","rejeitado",'_SCHEDULE'!B34)),'_SCHEDULE'!B34))</x:f>
        <x:v>scheduled</x:v>
      </x:c>
      <x:c r="C66" s="523" t="n">
        <x:f>IF(ISBLANK('_SCHEDULE'!C34),"",'_SCHEDULE'!C34)</x:f>
        <x:v>25</x:v>
      </x:c>
      <x:c r="D66" s="523" t="n">
        <x:f>IF(ISBLANK('_SCHEDULE'!D34),"",'_SCHEDULE'!D34)</x:f>
        <x:v>1</x:v>
      </x:c>
      <x:c r="E66" s="530" t="n">
        <x:f>IF(ISBLANK('_SCHEDULE'!E34),"",'_SCHEDULE'!E34)</x:f>
        <x:v>0</x:v>
      </x:c>
      <x:c r="F66" s="530" t="n">
        <x:f>IF(ISBLANK('_SCHEDULE'!F34),"",'_SCHEDULE'!F34)</x:f>
        <x:v>4300</x:v>
      </x:c>
      <x:c r="G66" s="530" t="n">
        <x:f>IF(ISBLANK('_SCHEDULE'!G34),"",'_SCHEDULE'!G34)</x:f>
        <x:v>20000</x:v>
      </x:c>
      <x:c r="H66" s="530" t="n">
        <x:f>IF(ISBLANK('_SCHEDULE'!H34),"",'_SCHEDULE'!H34)</x:f>
        <x:v>2623</x:v>
      </x:c>
      <x:c r="I66" s="530" t="n">
        <x:f>IF(ISBLANK('_SCHEDULE'!I34),"",'_SCHEDULE'!I34)</x:f>
        <x:v>0</x:v>
      </x:c>
      <x:c r="J66" s="530" t="n">
        <x:f>IF(ISBLANK('_SCHEDULE'!J34),"",'_SCHEDULE'!J34)</x:f>
        <x:v>2623</x:v>
      </x:c>
      <x:c r="K66" s="530" t="n">
        <x:f>IF(ISBLANK('_SCHEDULE'!K34),"",'_SCHEDULE'!K34)</x:f>
        <x:v>90</x:v>
      </x:c>
      <x:c r="L66" s="530" t="n">
        <x:f>IF(ISBLANK('_SCHEDULE'!L34),"",'_SCHEDULE'!L34)</x:f>
        <x:v>2713</x:v>
      </x:c>
      <x:c r="M66" s="530" t="n">
        <x:f>IF(ISBLANK('_SCHEDULE'!M34),"",'_SCHEDULE'!M34)</x:f>
        <x:v>0</x:v>
      </x:c>
      <x:c r="N66" s="530" t="n">
        <x:f>IF(ISBLANK('_SCHEDULE'!N34),"",'_SCHEDULE'!N34)</x:f>
        <x:v>0</x:v>
      </x:c>
      <x:c r="O66" s="530" t="n">
        <x:f>IF(ISBLANK('_SCHEDULE'!O34),"",'_SCHEDULE'!O34)</x:f>
        <x:v>100</x:v>
      </x:c>
      <x:c r="P66" s="530" t="n">
        <x:f>IF(ISBLANK('_SCHEDULE'!P34),"",'_SCHEDULE'!P34)</x:f>
        <x:v>0</x:v>
      </x:c>
      <x:c r="Q66" s="530" t="n">
        <x:f>IF(ISBLANK('_SCHEDULE'!Q34),"",'_SCHEDULE'!Q34)</x:f>
        <x:v>0</x:v>
      </x:c>
      <x:c r="R66" s="530" t="n">
        <x:f>IF(ISBLANK('_SCHEDULE'!R34),"",'_SCHEDULE'!R34)</x:f>
        <x:v>100</x:v>
      </x:c>
      <x:c r="S66" s="523" t="b">
        <x:f>IF(ISBLANK('_SCHEDULE'!S34),"",'_SCHEDULE'!S34)</x:f>
        <x:v>1</x:v>
      </x:c>
      <x:c r="T66" s="38"/>
      <x:c r="U66" s="38"/>
      <x:c r="V66" s="38"/>
      <x:c r="W66" s="38"/>
      <x:c r="X66" s="38"/>
      <x:c r="Y66" s="38"/>
      <x:c r="Z66" s="38"/>
      <x:c r="AA66" s="38"/>
      <x:c r="AB66" s="38"/>
      <x:c r="AC66" s="38"/>
      <x:c r="AD66" s="38"/>
      <x:c r="AE66" s="38"/>
      <x:c r="AF66" s="38"/>
      <x:c r="AG66" s="38"/>
      <x:c r="AH66" s="38"/>
      <x:c r="AI66" s="38"/>
      <x:c r="AJ66" s="38"/>
      <x:c r="AK66" s="38"/>
      <x:c r="AL66" s="38"/>
      <x:c r="AM66" s="38"/>
    </x:row>
    <x:row r="67">
      <x:c r="A67" s="523" t="n">
        <x:f>IF(ISBLANK('_SCHEDULE'!A35),"",'_SCHEDULE'!A35)</x:f>
        <x:v>34</x:v>
      </x:c>
      <x:c r="B67" s="523" t="str">
        <x:f>IF(ISBLANK('_SCHEDULE'!B35),"",IF('_CONFIG'!$B$2="pt-BR",IF('_SCHEDULE'!B35="scheduled","programado",IF('_SCHEDULE'!B35="rejected","rejeitado",'_SCHEDULE'!B35)),'_SCHEDULE'!B35))</x:f>
        <x:v>scheduled</x:v>
      </x:c>
      <x:c r="C67" s="523" t="n">
        <x:f>IF(ISBLANK('_SCHEDULE'!C35),"",'_SCHEDULE'!C35)</x:f>
        <x:v>31</x:v>
      </x:c>
      <x:c r="D67" s="523" t="n">
        <x:f>IF(ISBLANK('_SCHEDULE'!D35),"",'_SCHEDULE'!D35)</x:f>
        <x:v>1</x:v>
      </x:c>
      <x:c r="E67" s="530" t="n">
        <x:f>IF(ISBLANK('_SCHEDULE'!E35),"",'_SCHEDULE'!E35)</x:f>
        <x:v>0</x:v>
      </x:c>
      <x:c r="F67" s="530" t="n">
        <x:f>IF(ISBLANK('_SCHEDULE'!F35),"",'_SCHEDULE'!F35)</x:f>
        <x:v>5900</x:v>
      </x:c>
      <x:c r="G67" s="530" t="n">
        <x:f>IF(ISBLANK('_SCHEDULE'!G35),"",'_SCHEDULE'!G35)</x:f>
        <x:v>20000</x:v>
      </x:c>
      <x:c r="H67" s="530" t="n">
        <x:f>IF(ISBLANK('_SCHEDULE'!H35),"",'_SCHEDULE'!H35)</x:f>
        <x:v>2713</x:v>
      </x:c>
      <x:c r="I67" s="530" t="n">
        <x:f>IF(ISBLANK('_SCHEDULE'!I35),"",'_SCHEDULE'!I35)</x:f>
        <x:v>0</x:v>
      </x:c>
      <x:c r="J67" s="530" t="n">
        <x:f>IF(ISBLANK('_SCHEDULE'!J35),"",'_SCHEDULE'!J35)</x:f>
        <x:v>2713</x:v>
      </x:c>
      <x:c r="K67" s="530" t="n">
        <x:f>IF(ISBLANK('_SCHEDULE'!K35),"",'_SCHEDULE'!K35)</x:f>
        <x:v>90</x:v>
      </x:c>
      <x:c r="L67" s="530" t="n">
        <x:f>IF(ISBLANK('_SCHEDULE'!L35),"",'_SCHEDULE'!L35)</x:f>
        <x:v>2803</x:v>
      </x:c>
      <x:c r="M67" s="530" t="n">
        <x:f>IF(ISBLANK('_SCHEDULE'!M35),"",'_SCHEDULE'!M35)</x:f>
        <x:v>0</x:v>
      </x:c>
      <x:c r="N67" s="530" t="n">
        <x:f>IF(ISBLANK('_SCHEDULE'!N35),"",'_SCHEDULE'!N35)</x:f>
        <x:v>0</x:v>
      </x:c>
      <x:c r="O67" s="530" t="n">
        <x:f>IF(ISBLANK('_SCHEDULE'!O35),"",'_SCHEDULE'!O35)</x:f>
        <x:v>100</x:v>
      </x:c>
      <x:c r="P67" s="530" t="n">
        <x:f>IF(ISBLANK('_SCHEDULE'!P35),"",'_SCHEDULE'!P35)</x:f>
        <x:v>0</x:v>
      </x:c>
      <x:c r="Q67" s="530" t="n">
        <x:f>IF(ISBLANK('_SCHEDULE'!Q35),"",'_SCHEDULE'!Q35)</x:f>
        <x:v>0</x:v>
      </x:c>
      <x:c r="R67" s="530" t="n">
        <x:f>IF(ISBLANK('_SCHEDULE'!R35),"",'_SCHEDULE'!R35)</x:f>
        <x:v>100</x:v>
      </x:c>
      <x:c r="S67" s="523" t="b">
        <x:f>IF(ISBLANK('_SCHEDULE'!S35),"",'_SCHEDULE'!S35)</x:f>
        <x:v>1</x:v>
      </x:c>
      <x:c r="T67" s="38"/>
      <x:c r="U67" s="38"/>
      <x:c r="V67" s="38"/>
      <x:c r="W67" s="38"/>
      <x:c r="X67" s="38"/>
      <x:c r="Y67" s="38"/>
      <x:c r="Z67" s="38"/>
      <x:c r="AA67" s="38"/>
      <x:c r="AB67" s="38"/>
      <x:c r="AC67" s="38"/>
      <x:c r="AD67" s="38"/>
      <x:c r="AE67" s="38"/>
      <x:c r="AF67" s="38"/>
      <x:c r="AG67" s="38"/>
      <x:c r="AH67" s="38"/>
      <x:c r="AI67" s="38"/>
      <x:c r="AJ67" s="38"/>
      <x:c r="AK67" s="38"/>
      <x:c r="AL67" s="38"/>
      <x:c r="AM67" s="38"/>
    </x:row>
    <x:row r="68">
      <x:c r="A68" s="523" t="n">
        <x:f>IF(ISBLANK('_SCHEDULE'!A36),"",'_SCHEDULE'!A36)</x:f>
        <x:v>35</x:v>
      </x:c>
      <x:c r="B68" s="523" t="str">
        <x:f>IF(ISBLANK('_SCHEDULE'!B36),"",IF('_CONFIG'!$B$2="pt-BR",IF('_SCHEDULE'!B36="scheduled","programado",IF('_SCHEDULE'!B36="rejected","rejeitado",'_SCHEDULE'!B36)),'_SCHEDULE'!B36))</x:f>
        <x:v>scheduled</x:v>
      </x:c>
      <x:c r="C68" s="523" t="n">
        <x:f>IF(ISBLANK('_SCHEDULE'!C36),"",'_SCHEDULE'!C36)</x:f>
        <x:v>21</x:v>
      </x:c>
      <x:c r="D68" s="523" t="n">
        <x:f>IF(ISBLANK('_SCHEDULE'!D36),"",'_SCHEDULE'!D36)</x:f>
        <x:v>1</x:v>
      </x:c>
      <x:c r="E68" s="530" t="n">
        <x:f>IF(ISBLANK('_SCHEDULE'!E36),"",'_SCHEDULE'!E36)</x:f>
        <x:v>0</x:v>
      </x:c>
      <x:c r="F68" s="530" t="n">
        <x:f>IF(ISBLANK('_SCHEDULE'!F36),"",'_SCHEDULE'!F36)</x:f>
        <x:v>3700</x:v>
      </x:c>
      <x:c r="G68" s="530" t="n">
        <x:f>IF(ISBLANK('_SCHEDULE'!G36),"",'_SCHEDULE'!G36)</x:f>
        <x:v>20000</x:v>
      </x:c>
      <x:c r="H68" s="530" t="n">
        <x:f>IF(ISBLANK('_SCHEDULE'!H36),"",'_SCHEDULE'!H36)</x:f>
        <x:v>2803</x:v>
      </x:c>
      <x:c r="I68" s="530" t="n">
        <x:f>IF(ISBLANK('_SCHEDULE'!I36),"",'_SCHEDULE'!I36)</x:f>
        <x:v>0</x:v>
      </x:c>
      <x:c r="J68" s="530" t="n">
        <x:f>IF(ISBLANK('_SCHEDULE'!J36),"",'_SCHEDULE'!J36)</x:f>
        <x:v>2803</x:v>
      </x:c>
      <x:c r="K68" s="530" t="n">
        <x:f>IF(ISBLANK('_SCHEDULE'!K36),"",'_SCHEDULE'!K36)</x:f>
        <x:v>90</x:v>
      </x:c>
      <x:c r="L68" s="530" t="n">
        <x:f>IF(ISBLANK('_SCHEDULE'!L36),"",'_SCHEDULE'!L36)</x:f>
        <x:v>2893</x:v>
      </x:c>
      <x:c r="M68" s="530" t="n">
        <x:f>IF(ISBLANK('_SCHEDULE'!M36),"",'_SCHEDULE'!M36)</x:f>
        <x:v>0</x:v>
      </x:c>
      <x:c r="N68" s="530" t="n">
        <x:f>IF(ISBLANK('_SCHEDULE'!N36),"",'_SCHEDULE'!N36)</x:f>
        <x:v>0</x:v>
      </x:c>
      <x:c r="O68" s="530" t="n">
        <x:f>IF(ISBLANK('_SCHEDULE'!O36),"",'_SCHEDULE'!O36)</x:f>
        <x:v>100</x:v>
      </x:c>
      <x:c r="P68" s="530" t="n">
        <x:f>IF(ISBLANK('_SCHEDULE'!P36),"",'_SCHEDULE'!P36)</x:f>
        <x:v>0</x:v>
      </x:c>
      <x:c r="Q68" s="530" t="n">
        <x:f>IF(ISBLANK('_SCHEDULE'!Q36),"",'_SCHEDULE'!Q36)</x:f>
        <x:v>0</x:v>
      </x:c>
      <x:c r="R68" s="530" t="n">
        <x:f>IF(ISBLANK('_SCHEDULE'!R36),"",'_SCHEDULE'!R36)</x:f>
        <x:v>100</x:v>
      </x:c>
      <x:c r="S68" s="523" t="b">
        <x:f>IF(ISBLANK('_SCHEDULE'!S36),"",'_SCHEDULE'!S36)</x:f>
        <x:v>1</x:v>
      </x:c>
      <x:c r="T68" s="38"/>
      <x:c r="U68" s="38"/>
      <x:c r="V68" s="38"/>
      <x:c r="W68" s="38"/>
      <x:c r="X68" s="38"/>
      <x:c r="Y68" s="38"/>
      <x:c r="Z68" s="38"/>
      <x:c r="AA68" s="38"/>
      <x:c r="AB68" s="38"/>
      <x:c r="AC68" s="38"/>
      <x:c r="AD68" s="38"/>
      <x:c r="AE68" s="38"/>
      <x:c r="AF68" s="38"/>
      <x:c r="AG68" s="38"/>
      <x:c r="AH68" s="38"/>
      <x:c r="AI68" s="38"/>
      <x:c r="AJ68" s="38"/>
      <x:c r="AK68" s="38"/>
      <x:c r="AL68" s="38"/>
      <x:c r="AM68" s="38"/>
    </x:row>
    <x:row r="69">
      <x:c r="A69" s="523" t="n">
        <x:f>IF(ISBLANK('_SCHEDULE'!A37),"",'_SCHEDULE'!A37)</x:f>
        <x:v>36</x:v>
      </x:c>
      <x:c r="B69" s="523" t="str">
        <x:f>IF(ISBLANK('_SCHEDULE'!B37),"",IF('_CONFIG'!$B$2="pt-BR",IF('_SCHEDULE'!B37="scheduled","programado",IF('_SCHEDULE'!B37="rejected","rejeitado",'_SCHEDULE'!B37)),'_SCHEDULE'!B37))</x:f>
        <x:v>scheduled</x:v>
      </x:c>
      <x:c r="C69" s="523" t="n">
        <x:f>IF(ISBLANK('_SCHEDULE'!C37),"",'_SCHEDULE'!C37)</x:f>
        <x:v>11</x:v>
      </x:c>
      <x:c r="D69" s="523" t="n">
        <x:f>IF(ISBLANK('_SCHEDULE'!D37),"",'_SCHEDULE'!D37)</x:f>
        <x:v>1</x:v>
      </x:c>
      <x:c r="E69" s="530" t="n">
        <x:f>IF(ISBLANK('_SCHEDULE'!E37),"",'_SCHEDULE'!E37)</x:f>
        <x:v>0</x:v>
      </x:c>
      <x:c r="F69" s="530" t="n">
        <x:f>IF(ISBLANK('_SCHEDULE'!F37),"",'_SCHEDULE'!F37)</x:f>
        <x:v>3700</x:v>
      </x:c>
      <x:c r="G69" s="530" t="n">
        <x:f>IF(ISBLANK('_SCHEDULE'!G37),"",'_SCHEDULE'!G37)</x:f>
        <x:v>20000</x:v>
      </x:c>
      <x:c r="H69" s="530" t="n">
        <x:f>IF(ISBLANK('_SCHEDULE'!H37),"",'_SCHEDULE'!H37)</x:f>
        <x:v>2893</x:v>
      </x:c>
      <x:c r="I69" s="530" t="n">
        <x:f>IF(ISBLANK('_SCHEDULE'!I37),"",'_SCHEDULE'!I37)</x:f>
        <x:v>0</x:v>
      </x:c>
      <x:c r="J69" s="530" t="n">
        <x:f>IF(ISBLANK('_SCHEDULE'!J37),"",'_SCHEDULE'!J37)</x:f>
        <x:v>2893</x:v>
      </x:c>
      <x:c r="K69" s="530" t="n">
        <x:f>IF(ISBLANK('_SCHEDULE'!K37),"",'_SCHEDULE'!K37)</x:f>
        <x:v>90</x:v>
      </x:c>
      <x:c r="L69" s="530" t="n">
        <x:f>IF(ISBLANK('_SCHEDULE'!L37),"",'_SCHEDULE'!L37)</x:f>
        <x:v>2983</x:v>
      </x:c>
      <x:c r="M69" s="530" t="n">
        <x:f>IF(ISBLANK('_SCHEDULE'!M37),"",'_SCHEDULE'!M37)</x:f>
        <x:v>0</x:v>
      </x:c>
      <x:c r="N69" s="530" t="n">
        <x:f>IF(ISBLANK('_SCHEDULE'!N37),"",'_SCHEDULE'!N37)</x:f>
        <x:v>0</x:v>
      </x:c>
      <x:c r="O69" s="530" t="n">
        <x:f>IF(ISBLANK('_SCHEDULE'!O37),"",'_SCHEDULE'!O37)</x:f>
        <x:v>100</x:v>
      </x:c>
      <x:c r="P69" s="530" t="n">
        <x:f>IF(ISBLANK('_SCHEDULE'!P37),"",'_SCHEDULE'!P37)</x:f>
        <x:v>0</x:v>
      </x:c>
      <x:c r="Q69" s="530" t="n">
        <x:f>IF(ISBLANK('_SCHEDULE'!Q37),"",'_SCHEDULE'!Q37)</x:f>
        <x:v>0</x:v>
      </x:c>
      <x:c r="R69" s="530" t="n">
        <x:f>IF(ISBLANK('_SCHEDULE'!R37),"",'_SCHEDULE'!R37)</x:f>
        <x:v>100</x:v>
      </x:c>
      <x:c r="S69" s="523" t="b">
        <x:f>IF(ISBLANK('_SCHEDULE'!S37),"",'_SCHEDULE'!S37)</x:f>
        <x:v>1</x:v>
      </x:c>
      <x:c r="T69" s="38"/>
      <x:c r="U69" s="38"/>
      <x:c r="V69" s="38"/>
      <x:c r="W69" s="38"/>
      <x:c r="X69" s="38"/>
      <x:c r="Y69" s="38"/>
      <x:c r="Z69" s="38"/>
      <x:c r="AA69" s="38"/>
      <x:c r="AB69" s="38"/>
      <x:c r="AC69" s="38"/>
      <x:c r="AD69" s="38"/>
      <x:c r="AE69" s="38"/>
      <x:c r="AF69" s="38"/>
      <x:c r="AG69" s="38"/>
      <x:c r="AH69" s="38"/>
      <x:c r="AI69" s="38"/>
      <x:c r="AJ69" s="38"/>
      <x:c r="AK69" s="38"/>
      <x:c r="AL69" s="38"/>
      <x:c r="AM69" s="38"/>
    </x:row>
    <x:row r="70">
      <x:c r="A70" s="523" t="n">
        <x:f>IF(ISBLANK('_SCHEDULE'!A38),"",'_SCHEDULE'!A38)</x:f>
        <x:v>37</x:v>
      </x:c>
      <x:c r="B70" s="523" t="str">
        <x:f>IF(ISBLANK('_SCHEDULE'!B38),"",IF('_CONFIG'!$B$2="pt-BR",IF('_SCHEDULE'!B38="scheduled","programado",IF('_SCHEDULE'!B38="rejected","rejeitado",'_SCHEDULE'!B38)),'_SCHEDULE'!B38))</x:f>
        <x:v>scheduled</x:v>
      </x:c>
      <x:c r="C70" s="523" t="n">
        <x:f>IF(ISBLANK('_SCHEDULE'!C38),"",'_SCHEDULE'!C38)</x:f>
        <x:v>15</x:v>
      </x:c>
      <x:c r="D70" s="523" t="n">
        <x:f>IF(ISBLANK('_SCHEDULE'!D38),"",'_SCHEDULE'!D38)</x:f>
        <x:v>1</x:v>
      </x:c>
      <x:c r="E70" s="530" t="n">
        <x:f>IF(ISBLANK('_SCHEDULE'!E38),"",'_SCHEDULE'!E38)</x:f>
        <x:v>0</x:v>
      </x:c>
      <x:c r="F70" s="530" t="n">
        <x:f>IF(ISBLANK('_SCHEDULE'!F38),"",'_SCHEDULE'!F38)</x:f>
        <x:v>3700</x:v>
      </x:c>
      <x:c r="G70" s="530" t="n">
        <x:f>IF(ISBLANK('_SCHEDULE'!G38),"",'_SCHEDULE'!G38)</x:f>
        <x:v>20000</x:v>
      </x:c>
      <x:c r="H70" s="530" t="n">
        <x:f>IF(ISBLANK('_SCHEDULE'!H38),"",'_SCHEDULE'!H38)</x:f>
        <x:v>2983</x:v>
      </x:c>
      <x:c r="I70" s="530" t="n">
        <x:f>IF(ISBLANK('_SCHEDULE'!I38),"",'_SCHEDULE'!I38)</x:f>
        <x:v>0</x:v>
      </x:c>
      <x:c r="J70" s="530" t="n">
        <x:f>IF(ISBLANK('_SCHEDULE'!J38),"",'_SCHEDULE'!J38)</x:f>
        <x:v>2983</x:v>
      </x:c>
      <x:c r="K70" s="530" t="n">
        <x:f>IF(ISBLANK('_SCHEDULE'!K38),"",'_SCHEDULE'!K38)</x:f>
        <x:v>90</x:v>
      </x:c>
      <x:c r="L70" s="530" t="n">
        <x:f>IF(ISBLANK('_SCHEDULE'!L38),"",'_SCHEDULE'!L38)</x:f>
        <x:v>3073</x:v>
      </x:c>
      <x:c r="M70" s="530" t="n">
        <x:f>IF(ISBLANK('_SCHEDULE'!M38),"",'_SCHEDULE'!M38)</x:f>
        <x:v>0</x:v>
      </x:c>
      <x:c r="N70" s="530" t="n">
        <x:f>IF(ISBLANK('_SCHEDULE'!N38),"",'_SCHEDULE'!N38)</x:f>
        <x:v>0</x:v>
      </x:c>
      <x:c r="O70" s="530" t="n">
        <x:f>IF(ISBLANK('_SCHEDULE'!O38),"",'_SCHEDULE'!O38)</x:f>
        <x:v>100</x:v>
      </x:c>
      <x:c r="P70" s="530" t="n">
        <x:f>IF(ISBLANK('_SCHEDULE'!P38),"",'_SCHEDULE'!P38)</x:f>
        <x:v>0</x:v>
      </x:c>
      <x:c r="Q70" s="530" t="n">
        <x:f>IF(ISBLANK('_SCHEDULE'!Q38),"",'_SCHEDULE'!Q38)</x:f>
        <x:v>0</x:v>
      </x:c>
      <x:c r="R70" s="530" t="n">
        <x:f>IF(ISBLANK('_SCHEDULE'!R38),"",'_SCHEDULE'!R38)</x:f>
        <x:v>100</x:v>
      </x:c>
      <x:c r="S70" s="523" t="b">
        <x:f>IF(ISBLANK('_SCHEDULE'!S38),"",'_SCHEDULE'!S38)</x:f>
        <x:v>1</x:v>
      </x:c>
      <x:c r="T70" s="38"/>
      <x:c r="U70" s="38"/>
      <x:c r="V70" s="38"/>
      <x:c r="W70" s="38"/>
      <x:c r="X70" s="38"/>
      <x:c r="Y70" s="38"/>
      <x:c r="Z70" s="38"/>
      <x:c r="AA70" s="38"/>
      <x:c r="AB70" s="38"/>
      <x:c r="AC70" s="38"/>
      <x:c r="AD70" s="38"/>
      <x:c r="AE70" s="38"/>
      <x:c r="AF70" s="38"/>
      <x:c r="AG70" s="38"/>
      <x:c r="AH70" s="38"/>
      <x:c r="AI70" s="38"/>
      <x:c r="AJ70" s="38"/>
      <x:c r="AK70" s="38"/>
      <x:c r="AL70" s="38"/>
      <x:c r="AM70" s="38"/>
    </x:row>
    <x:row r="71">
      <x:c r="A71" s="523" t="n">
        <x:f>IF(ISBLANK('_SCHEDULE'!A39),"",'_SCHEDULE'!A39)</x:f>
        <x:v>38</x:v>
      </x:c>
      <x:c r="B71" s="523" t="str">
        <x:f>IF(ISBLANK('_SCHEDULE'!B39),"",IF('_CONFIG'!$B$2="pt-BR",IF('_SCHEDULE'!B39="scheduled","programado",IF('_SCHEDULE'!B39="rejected","rejeitado",'_SCHEDULE'!B39)),'_SCHEDULE'!B39))</x:f>
        <x:v>scheduled</x:v>
      </x:c>
      <x:c r="C71" s="523" t="n">
        <x:f>IF(ISBLANK('_SCHEDULE'!C39),"",'_SCHEDULE'!C39)</x:f>
        <x:v>19</x:v>
      </x:c>
      <x:c r="D71" s="523" t="n">
        <x:f>IF(ISBLANK('_SCHEDULE'!D39),"",'_SCHEDULE'!D39)</x:f>
        <x:v>1</x:v>
      </x:c>
      <x:c r="E71" s="530" t="n">
        <x:f>IF(ISBLANK('_SCHEDULE'!E39),"",'_SCHEDULE'!E39)</x:f>
        <x:v>0</x:v>
      </x:c>
      <x:c r="F71" s="530" t="n">
        <x:f>IF(ISBLANK('_SCHEDULE'!F39),"",'_SCHEDULE'!F39)</x:f>
        <x:v>4900</x:v>
      </x:c>
      <x:c r="G71" s="530" t="n">
        <x:f>IF(ISBLANK('_SCHEDULE'!G39),"",'_SCHEDULE'!G39)</x:f>
        <x:v>20000</x:v>
      </x:c>
      <x:c r="H71" s="530" t="n">
        <x:f>IF(ISBLANK('_SCHEDULE'!H39),"",'_SCHEDULE'!H39)</x:f>
        <x:v>3073</x:v>
      </x:c>
      <x:c r="I71" s="530" t="n">
        <x:f>IF(ISBLANK('_SCHEDULE'!I39),"",'_SCHEDULE'!I39)</x:f>
        <x:v>0</x:v>
      </x:c>
      <x:c r="J71" s="530" t="n">
        <x:f>IF(ISBLANK('_SCHEDULE'!J39),"",'_SCHEDULE'!J39)</x:f>
        <x:v>3073</x:v>
      </x:c>
      <x:c r="K71" s="530" t="n">
        <x:f>IF(ISBLANK('_SCHEDULE'!K39),"",'_SCHEDULE'!K39)</x:f>
        <x:v>90</x:v>
      </x:c>
      <x:c r="L71" s="530" t="n">
        <x:f>IF(ISBLANK('_SCHEDULE'!L39),"",'_SCHEDULE'!L39)</x:f>
        <x:v>3163</x:v>
      </x:c>
      <x:c r="M71" s="530" t="n">
        <x:f>IF(ISBLANK('_SCHEDULE'!M39),"",'_SCHEDULE'!M39)</x:f>
        <x:v>0</x:v>
      </x:c>
      <x:c r="N71" s="530" t="n">
        <x:f>IF(ISBLANK('_SCHEDULE'!N39),"",'_SCHEDULE'!N39)</x:f>
        <x:v>0</x:v>
      </x:c>
      <x:c r="O71" s="530" t="n">
        <x:f>IF(ISBLANK('_SCHEDULE'!O39),"",'_SCHEDULE'!O39)</x:f>
        <x:v>100</x:v>
      </x:c>
      <x:c r="P71" s="530" t="n">
        <x:f>IF(ISBLANK('_SCHEDULE'!P39),"",'_SCHEDULE'!P39)</x:f>
        <x:v>0</x:v>
      </x:c>
      <x:c r="Q71" s="530" t="n">
        <x:f>IF(ISBLANK('_SCHEDULE'!Q39),"",'_SCHEDULE'!Q39)</x:f>
        <x:v>0</x:v>
      </x:c>
      <x:c r="R71" s="530" t="n">
        <x:f>IF(ISBLANK('_SCHEDULE'!R39),"",'_SCHEDULE'!R39)</x:f>
        <x:v>100</x:v>
      </x:c>
      <x:c r="S71" s="523" t="b">
        <x:f>IF(ISBLANK('_SCHEDULE'!S39),"",'_SCHEDULE'!S39)</x:f>
        <x:v>1</x:v>
      </x:c>
      <x:c r="T71" s="38"/>
      <x:c r="U71" s="38"/>
      <x:c r="V71" s="38"/>
      <x:c r="W71" s="38"/>
      <x:c r="X71" s="38"/>
      <x:c r="Y71" s="38"/>
      <x:c r="Z71" s="38"/>
      <x:c r="AA71" s="38"/>
      <x:c r="AB71" s="38"/>
      <x:c r="AC71" s="38"/>
      <x:c r="AD71" s="38"/>
      <x:c r="AE71" s="38"/>
      <x:c r="AF71" s="38"/>
      <x:c r="AG71" s="38"/>
      <x:c r="AH71" s="38"/>
      <x:c r="AI71" s="38"/>
      <x:c r="AJ71" s="38"/>
      <x:c r="AK71" s="38"/>
      <x:c r="AL71" s="38"/>
      <x:c r="AM71" s="38"/>
    </x:row>
    <x:row r="72">
      <x:c r="A72" s="523" t="n">
        <x:f>IF(ISBLANK('_SCHEDULE'!A40),"",'_SCHEDULE'!A40)</x:f>
        <x:v>39</x:v>
      </x:c>
      <x:c r="B72" s="523" t="str">
        <x:f>IF(ISBLANK('_SCHEDULE'!B40),"",IF('_CONFIG'!$B$2="pt-BR",IF('_SCHEDULE'!B40="scheduled","programado",IF('_SCHEDULE'!B40="rejected","rejeitado",'_SCHEDULE'!B40)),'_SCHEDULE'!B40))</x:f>
        <x:v>scheduled</x:v>
      </x:c>
      <x:c r="C72" s="523" t="n">
        <x:f>IF(ISBLANK('_SCHEDULE'!C40),"",'_SCHEDULE'!C40)</x:f>
        <x:v>16</x:v>
      </x:c>
      <x:c r="D72" s="523" t="n">
        <x:f>IF(ISBLANK('_SCHEDULE'!D40),"",'_SCHEDULE'!D40)</x:f>
        <x:v>1</x:v>
      </x:c>
      <x:c r="E72" s="530" t="n">
        <x:f>IF(ISBLANK('_SCHEDULE'!E40),"",'_SCHEDULE'!E40)</x:f>
        <x:v>0</x:v>
      </x:c>
      <x:c r="F72" s="530" t="n">
        <x:f>IF(ISBLANK('_SCHEDULE'!F40),"",'_SCHEDULE'!F40)</x:f>
        <x:v>4300</x:v>
      </x:c>
      <x:c r="G72" s="530" t="n">
        <x:f>IF(ISBLANK('_SCHEDULE'!G40),"",'_SCHEDULE'!G40)</x:f>
        <x:v>20000</x:v>
      </x:c>
      <x:c r="H72" s="530" t="n">
        <x:f>IF(ISBLANK('_SCHEDULE'!H40),"",'_SCHEDULE'!H40)</x:f>
        <x:v>3163</x:v>
      </x:c>
      <x:c r="I72" s="530" t="n">
        <x:f>IF(ISBLANK('_SCHEDULE'!I40),"",'_SCHEDULE'!I40)</x:f>
        <x:v>0</x:v>
      </x:c>
      <x:c r="J72" s="530" t="n">
        <x:f>IF(ISBLANK('_SCHEDULE'!J40),"",'_SCHEDULE'!J40)</x:f>
        <x:v>3163</x:v>
      </x:c>
      <x:c r="K72" s="530" t="n">
        <x:f>IF(ISBLANK('_SCHEDULE'!K40),"",'_SCHEDULE'!K40)</x:f>
        <x:v>90</x:v>
      </x:c>
      <x:c r="L72" s="530" t="n">
        <x:f>IF(ISBLANK('_SCHEDULE'!L40),"",'_SCHEDULE'!L40)</x:f>
        <x:v>3253</x:v>
      </x:c>
      <x:c r="M72" s="530" t="n">
        <x:f>IF(ISBLANK('_SCHEDULE'!M40),"",'_SCHEDULE'!M40)</x:f>
        <x:v>0</x:v>
      </x:c>
      <x:c r="N72" s="530" t="n">
        <x:f>IF(ISBLANK('_SCHEDULE'!N40),"",'_SCHEDULE'!N40)</x:f>
        <x:v>0</x:v>
      </x:c>
      <x:c r="O72" s="530" t="n">
        <x:f>IF(ISBLANK('_SCHEDULE'!O40),"",'_SCHEDULE'!O40)</x:f>
        <x:v>100</x:v>
      </x:c>
      <x:c r="P72" s="530" t="n">
        <x:f>IF(ISBLANK('_SCHEDULE'!P40),"",'_SCHEDULE'!P40)</x:f>
        <x:v>0</x:v>
      </x:c>
      <x:c r="Q72" s="530" t="n">
        <x:f>IF(ISBLANK('_SCHEDULE'!Q40),"",'_SCHEDULE'!Q40)</x:f>
        <x:v>0</x:v>
      </x:c>
      <x:c r="R72" s="530" t="n">
        <x:f>IF(ISBLANK('_SCHEDULE'!R40),"",'_SCHEDULE'!R40)</x:f>
        <x:v>100</x:v>
      </x:c>
      <x:c r="S72" s="523" t="b">
        <x:f>IF(ISBLANK('_SCHEDULE'!S40),"",'_SCHEDULE'!S40)</x:f>
        <x:v>1</x:v>
      </x:c>
      <x:c r="T72" s="38"/>
      <x:c r="U72" s="38"/>
      <x:c r="V72" s="38"/>
      <x:c r="W72" s="38"/>
      <x:c r="X72" s="38"/>
      <x:c r="Y72" s="38"/>
      <x:c r="Z72" s="38"/>
      <x:c r="AA72" s="38"/>
      <x:c r="AB72" s="38"/>
      <x:c r="AC72" s="38"/>
      <x:c r="AD72" s="38"/>
      <x:c r="AE72" s="38"/>
      <x:c r="AF72" s="38"/>
      <x:c r="AG72" s="38"/>
      <x:c r="AH72" s="38"/>
      <x:c r="AI72" s="38"/>
      <x:c r="AJ72" s="38"/>
      <x:c r="AK72" s="38"/>
      <x:c r="AL72" s="38"/>
      <x:c r="AM72" s="38"/>
    </x:row>
    <x:row r="73">
      <x:c r="A73" s="523" t="n">
        <x:f>IF(ISBLANK('_SCHEDULE'!A41),"",'_SCHEDULE'!A41)</x:f>
        <x:v>40</x:v>
      </x:c>
      <x:c r="B73" s="523" t="str">
        <x:f>IF(ISBLANK('_SCHEDULE'!B41),"",IF('_CONFIG'!$B$2="pt-BR",IF('_SCHEDULE'!B41="scheduled","programado",IF('_SCHEDULE'!B41="rejected","rejeitado",'_SCHEDULE'!B41)),'_SCHEDULE'!B41))</x:f>
        <x:v>scheduled</x:v>
      </x:c>
      <x:c r="C73" s="523" t="n">
        <x:f>IF(ISBLANK('_SCHEDULE'!C41),"",'_SCHEDULE'!C41)</x:f>
        <x:v>14</x:v>
      </x:c>
      <x:c r="D73" s="523" t="n">
        <x:f>IF(ISBLANK('_SCHEDULE'!D41),"",'_SCHEDULE'!D41)</x:f>
        <x:v>1</x:v>
      </x:c>
      <x:c r="E73" s="530" t="n">
        <x:f>IF(ISBLANK('_SCHEDULE'!E41),"",'_SCHEDULE'!E41)</x:f>
        <x:v>0</x:v>
      </x:c>
      <x:c r="F73" s="530" t="n">
        <x:f>IF(ISBLANK('_SCHEDULE'!F41),"",'_SCHEDULE'!F41)</x:f>
        <x:v>4300</x:v>
      </x:c>
      <x:c r="G73" s="530" t="n">
        <x:f>IF(ISBLANK('_SCHEDULE'!G41),"",'_SCHEDULE'!G41)</x:f>
        <x:v>20000</x:v>
      </x:c>
      <x:c r="H73" s="530" t="n">
        <x:f>IF(ISBLANK('_SCHEDULE'!H41),"",'_SCHEDULE'!H41)</x:f>
        <x:v>3253</x:v>
      </x:c>
      <x:c r="I73" s="530" t="n">
        <x:f>IF(ISBLANK('_SCHEDULE'!I41),"",'_SCHEDULE'!I41)</x:f>
        <x:v>0</x:v>
      </x:c>
      <x:c r="J73" s="530" t="n">
        <x:f>IF(ISBLANK('_SCHEDULE'!J41),"",'_SCHEDULE'!J41)</x:f>
        <x:v>3253</x:v>
      </x:c>
      <x:c r="K73" s="530" t="n">
        <x:f>IF(ISBLANK('_SCHEDULE'!K41),"",'_SCHEDULE'!K41)</x:f>
        <x:v>90</x:v>
      </x:c>
      <x:c r="L73" s="530" t="n">
        <x:f>IF(ISBLANK('_SCHEDULE'!L41),"",'_SCHEDULE'!L41)</x:f>
        <x:v>3343</x:v>
      </x:c>
      <x:c r="M73" s="530" t="n">
        <x:f>IF(ISBLANK('_SCHEDULE'!M41),"",'_SCHEDULE'!M41)</x:f>
        <x:v>0</x:v>
      </x:c>
      <x:c r="N73" s="530" t="n">
        <x:f>IF(ISBLANK('_SCHEDULE'!N41),"",'_SCHEDULE'!N41)</x:f>
        <x:v>0</x:v>
      </x:c>
      <x:c r="O73" s="530" t="n">
        <x:f>IF(ISBLANK('_SCHEDULE'!O41),"",'_SCHEDULE'!O41)</x:f>
        <x:v>100</x:v>
      </x:c>
      <x:c r="P73" s="530" t="n">
        <x:f>IF(ISBLANK('_SCHEDULE'!P41),"",'_SCHEDULE'!P41)</x:f>
        <x:v>0</x:v>
      </x:c>
      <x:c r="Q73" s="530" t="n">
        <x:f>IF(ISBLANK('_SCHEDULE'!Q41),"",'_SCHEDULE'!Q41)</x:f>
        <x:v>0</x:v>
      </x:c>
      <x:c r="R73" s="530" t="n">
        <x:f>IF(ISBLANK('_SCHEDULE'!R41),"",'_SCHEDULE'!R41)</x:f>
        <x:v>100</x:v>
      </x:c>
      <x:c r="S73" s="523" t="b">
        <x:f>IF(ISBLANK('_SCHEDULE'!S41),"",'_SCHEDULE'!S41)</x:f>
        <x:v>1</x:v>
      </x:c>
      <x:c r="T73" s="38"/>
      <x:c r="U73" s="38"/>
      <x:c r="V73" s="38"/>
      <x:c r="W73" s="38"/>
      <x:c r="X73" s="38"/>
      <x:c r="Y73" s="38"/>
      <x:c r="Z73" s="38"/>
      <x:c r="AA73" s="38"/>
      <x:c r="AB73" s="38"/>
      <x:c r="AC73" s="38"/>
      <x:c r="AD73" s="38"/>
      <x:c r="AE73" s="38"/>
      <x:c r="AF73" s="38"/>
      <x:c r="AG73" s="38"/>
      <x:c r="AH73" s="38"/>
      <x:c r="AI73" s="38"/>
      <x:c r="AJ73" s="38"/>
      <x:c r="AK73" s="38"/>
      <x:c r="AL73" s="38"/>
      <x:c r="AM73" s="38"/>
    </x:row>
    <x:row r="74">
      <x:c r="A74" s="523" t="n">
        <x:f>IF(ISBLANK('_SCHEDULE'!A42),"",'_SCHEDULE'!A42)</x:f>
        <x:v>41</x:v>
      </x:c>
      <x:c r="B74" s="523" t="str">
        <x:f>IF(ISBLANK('_SCHEDULE'!B42),"",IF('_CONFIG'!$B$2="pt-BR",IF('_SCHEDULE'!B42="scheduled","programado",IF('_SCHEDULE'!B42="rejected","rejeitado",'_SCHEDULE'!B42)),'_SCHEDULE'!B42))</x:f>
        <x:v>scheduled</x:v>
      </x:c>
      <x:c r="C74" s="523" t="n">
        <x:f>IF(ISBLANK('_SCHEDULE'!C42),"",'_SCHEDULE'!C42)</x:f>
        <x:v>22</x:v>
      </x:c>
      <x:c r="D74" s="523" t="n">
        <x:f>IF(ISBLANK('_SCHEDULE'!D42),"",'_SCHEDULE'!D42)</x:f>
        <x:v>1</x:v>
      </x:c>
      <x:c r="E74" s="530" t="n">
        <x:f>IF(ISBLANK('_SCHEDULE'!E42),"",'_SCHEDULE'!E42)</x:f>
        <x:v>0</x:v>
      </x:c>
      <x:c r="F74" s="530" t="n">
        <x:f>IF(ISBLANK('_SCHEDULE'!F42),"",'_SCHEDULE'!F42)</x:f>
        <x:v>5900</x:v>
      </x:c>
      <x:c r="G74" s="530" t="n">
        <x:f>IF(ISBLANK('_SCHEDULE'!G42),"",'_SCHEDULE'!G42)</x:f>
        <x:v>20000</x:v>
      </x:c>
      <x:c r="H74" s="530" t="n">
        <x:f>IF(ISBLANK('_SCHEDULE'!H42),"",'_SCHEDULE'!H42)</x:f>
        <x:v>3343</x:v>
      </x:c>
      <x:c r="I74" s="530" t="n">
        <x:f>IF(ISBLANK('_SCHEDULE'!I42),"",'_SCHEDULE'!I42)</x:f>
        <x:v>0</x:v>
      </x:c>
      <x:c r="J74" s="530" t="n">
        <x:f>IF(ISBLANK('_SCHEDULE'!J42),"",'_SCHEDULE'!J42)</x:f>
        <x:v>3343</x:v>
      </x:c>
      <x:c r="K74" s="530" t="n">
        <x:f>IF(ISBLANK('_SCHEDULE'!K42),"",'_SCHEDULE'!K42)</x:f>
        <x:v>90</x:v>
      </x:c>
      <x:c r="L74" s="530" t="n">
        <x:f>IF(ISBLANK('_SCHEDULE'!L42),"",'_SCHEDULE'!L42)</x:f>
        <x:v>3433</x:v>
      </x:c>
      <x:c r="M74" s="530" t="n">
        <x:f>IF(ISBLANK('_SCHEDULE'!M42),"",'_SCHEDULE'!M42)</x:f>
        <x:v>0</x:v>
      </x:c>
      <x:c r="N74" s="530" t="n">
        <x:f>IF(ISBLANK('_SCHEDULE'!N42),"",'_SCHEDULE'!N42)</x:f>
        <x:v>0</x:v>
      </x:c>
      <x:c r="O74" s="530" t="n">
        <x:f>IF(ISBLANK('_SCHEDULE'!O42),"",'_SCHEDULE'!O42)</x:f>
        <x:v>100</x:v>
      </x:c>
      <x:c r="P74" s="530" t="n">
        <x:f>IF(ISBLANK('_SCHEDULE'!P42),"",'_SCHEDULE'!P42)</x:f>
        <x:v>0</x:v>
      </x:c>
      <x:c r="Q74" s="530" t="n">
        <x:f>IF(ISBLANK('_SCHEDULE'!Q42),"",'_SCHEDULE'!Q42)</x:f>
        <x:v>0</x:v>
      </x:c>
      <x:c r="R74" s="530" t="n">
        <x:f>IF(ISBLANK('_SCHEDULE'!R42),"",'_SCHEDULE'!R42)</x:f>
        <x:v>100</x:v>
      </x:c>
      <x:c r="S74" s="523" t="b">
        <x:f>IF(ISBLANK('_SCHEDULE'!S42),"",'_SCHEDULE'!S42)</x:f>
        <x:v>1</x:v>
      </x:c>
      <x:c r="T74" s="38"/>
      <x:c r="U74" s="38"/>
      <x:c r="V74" s="38"/>
      <x:c r="W74" s="38"/>
      <x:c r="X74" s="38"/>
      <x:c r="Y74" s="38"/>
      <x:c r="Z74" s="38"/>
      <x:c r="AA74" s="38"/>
      <x:c r="AB74" s="38"/>
      <x:c r="AC74" s="38"/>
      <x:c r="AD74" s="38"/>
      <x:c r="AE74" s="38"/>
      <x:c r="AF74" s="38"/>
      <x:c r="AG74" s="38"/>
      <x:c r="AH74" s="38"/>
      <x:c r="AI74" s="38"/>
      <x:c r="AJ74" s="38"/>
      <x:c r="AK74" s="38"/>
      <x:c r="AL74" s="38"/>
      <x:c r="AM74" s="38"/>
    </x:row>
    <x:row r="75">
      <x:c r="A75" s="523" t="n">
        <x:f>IF(ISBLANK('_SCHEDULE'!A43),"",'_SCHEDULE'!A43)</x:f>
        <x:v>42</x:v>
      </x:c>
      <x:c r="B75" s="523" t="str">
        <x:f>IF(ISBLANK('_SCHEDULE'!B43),"",IF('_CONFIG'!$B$2="pt-BR",IF('_SCHEDULE'!B43="scheduled","programado",IF('_SCHEDULE'!B43="rejected","rejeitado",'_SCHEDULE'!B43)),'_SCHEDULE'!B43))</x:f>
        <x:v>scheduled</x:v>
      </x:c>
      <x:c r="C75" s="523" t="n">
        <x:f>IF(ISBLANK('_SCHEDULE'!C43),"",'_SCHEDULE'!C43)</x:f>
        <x:v>20</x:v>
      </x:c>
      <x:c r="D75" s="523" t="n">
        <x:f>IF(ISBLANK('_SCHEDULE'!D43),"",'_SCHEDULE'!D43)</x:f>
        <x:v>1</x:v>
      </x:c>
      <x:c r="E75" s="530" t="n">
        <x:f>IF(ISBLANK('_SCHEDULE'!E43),"",'_SCHEDULE'!E43)</x:f>
        <x:v>0</x:v>
      </x:c>
      <x:c r="F75" s="530" t="n">
        <x:f>IF(ISBLANK('_SCHEDULE'!F43),"",'_SCHEDULE'!F43)</x:f>
        <x:v>4300</x:v>
      </x:c>
      <x:c r="G75" s="530" t="n">
        <x:f>IF(ISBLANK('_SCHEDULE'!G43),"",'_SCHEDULE'!G43)</x:f>
        <x:v>20000</x:v>
      </x:c>
      <x:c r="H75" s="530" t="n">
        <x:f>IF(ISBLANK('_SCHEDULE'!H43),"",'_SCHEDULE'!H43)</x:f>
        <x:v>3433</x:v>
      </x:c>
      <x:c r="I75" s="530" t="n">
        <x:f>IF(ISBLANK('_SCHEDULE'!I43),"",'_SCHEDULE'!I43)</x:f>
        <x:v>0</x:v>
      </x:c>
      <x:c r="J75" s="530" t="n">
        <x:f>IF(ISBLANK('_SCHEDULE'!J43),"",'_SCHEDULE'!J43)</x:f>
        <x:v>3433</x:v>
      </x:c>
      <x:c r="K75" s="530" t="n">
        <x:f>IF(ISBLANK('_SCHEDULE'!K43),"",'_SCHEDULE'!K43)</x:f>
        <x:v>90</x:v>
      </x:c>
      <x:c r="L75" s="530" t="n">
        <x:f>IF(ISBLANK('_SCHEDULE'!L43),"",'_SCHEDULE'!L43)</x:f>
        <x:v>3523</x:v>
      </x:c>
      <x:c r="M75" s="530" t="n">
        <x:f>IF(ISBLANK('_SCHEDULE'!M43),"",'_SCHEDULE'!M43)</x:f>
        <x:v>0</x:v>
      </x:c>
      <x:c r="N75" s="530" t="n">
        <x:f>IF(ISBLANK('_SCHEDULE'!N43),"",'_SCHEDULE'!N43)</x:f>
        <x:v>0</x:v>
      </x:c>
      <x:c r="O75" s="530" t="n">
        <x:f>IF(ISBLANK('_SCHEDULE'!O43),"",'_SCHEDULE'!O43)</x:f>
        <x:v>100</x:v>
      </x:c>
      <x:c r="P75" s="530" t="n">
        <x:f>IF(ISBLANK('_SCHEDULE'!P43),"",'_SCHEDULE'!P43)</x:f>
        <x:v>0</x:v>
      </x:c>
      <x:c r="Q75" s="530" t="n">
        <x:f>IF(ISBLANK('_SCHEDULE'!Q43),"",'_SCHEDULE'!Q43)</x:f>
        <x:v>0</x:v>
      </x:c>
      <x:c r="R75" s="530" t="n">
        <x:f>IF(ISBLANK('_SCHEDULE'!R43),"",'_SCHEDULE'!R43)</x:f>
        <x:v>100</x:v>
      </x:c>
      <x:c r="S75" s="523" t="b">
        <x:f>IF(ISBLANK('_SCHEDULE'!S43),"",'_SCHEDULE'!S43)</x:f>
        <x:v>1</x:v>
      </x:c>
      <x:c r="T75" s="38"/>
      <x:c r="U75" s="38"/>
      <x:c r="V75" s="38"/>
      <x:c r="W75" s="38"/>
      <x:c r="X75" s="38"/>
      <x:c r="Y75" s="38"/>
      <x:c r="Z75" s="38"/>
      <x:c r="AA75" s="38"/>
      <x:c r="AB75" s="38"/>
      <x:c r="AC75" s="38"/>
      <x:c r="AD75" s="38"/>
      <x:c r="AE75" s="38"/>
      <x:c r="AF75" s="38"/>
      <x:c r="AG75" s="38"/>
      <x:c r="AH75" s="38"/>
      <x:c r="AI75" s="38"/>
      <x:c r="AJ75" s="38"/>
      <x:c r="AK75" s="38"/>
      <x:c r="AL75" s="38"/>
      <x:c r="AM75" s="38"/>
    </x:row>
    <x:row r="76">
      <x:c r="A76" s="523" t="n">
        <x:f>IF(ISBLANK('_SCHEDULE'!A44),"",'_SCHEDULE'!A44)</x:f>
        <x:v>43</x:v>
      </x:c>
      <x:c r="B76" s="523" t="str">
        <x:f>IF(ISBLANK('_SCHEDULE'!B44),"",IF('_CONFIG'!$B$2="pt-BR",IF('_SCHEDULE'!B44="scheduled","programado",IF('_SCHEDULE'!B44="rejected","rejeitado",'_SCHEDULE'!B44)),'_SCHEDULE'!B44))</x:f>
        <x:v>scheduled</x:v>
      </x:c>
      <x:c r="C76" s="523" t="n">
        <x:f>IF(ISBLANK('_SCHEDULE'!C44),"",'_SCHEDULE'!C44)</x:f>
        <x:v>13</x:v>
      </x:c>
      <x:c r="D76" s="523" t="n">
        <x:f>IF(ISBLANK('_SCHEDULE'!D44),"",'_SCHEDULE'!D44)</x:f>
        <x:v>1</x:v>
      </x:c>
      <x:c r="E76" s="530" t="n">
        <x:f>IF(ISBLANK('_SCHEDULE'!E44),"",'_SCHEDULE'!E44)</x:f>
        <x:v>0</x:v>
      </x:c>
      <x:c r="F76" s="530" t="n">
        <x:f>IF(ISBLANK('_SCHEDULE'!F44),"",'_SCHEDULE'!F44)</x:f>
        <x:v>3700</x:v>
      </x:c>
      <x:c r="G76" s="530" t="n">
        <x:f>IF(ISBLANK('_SCHEDULE'!G44),"",'_SCHEDULE'!G44)</x:f>
        <x:v>20000</x:v>
      </x:c>
      <x:c r="H76" s="530" t="n">
        <x:f>IF(ISBLANK('_SCHEDULE'!H44),"",'_SCHEDULE'!H44)</x:f>
        <x:v>3523</x:v>
      </x:c>
      <x:c r="I76" s="530" t="n">
        <x:f>IF(ISBLANK('_SCHEDULE'!I44),"",'_SCHEDULE'!I44)</x:f>
        <x:v>0</x:v>
      </x:c>
      <x:c r="J76" s="530" t="n">
        <x:f>IF(ISBLANK('_SCHEDULE'!J44),"",'_SCHEDULE'!J44)</x:f>
        <x:v>3523</x:v>
      </x:c>
      <x:c r="K76" s="530" t="n">
        <x:f>IF(ISBLANK('_SCHEDULE'!K44),"",'_SCHEDULE'!K44)</x:f>
        <x:v>90</x:v>
      </x:c>
      <x:c r="L76" s="530" t="n">
        <x:f>IF(ISBLANK('_SCHEDULE'!L44),"",'_SCHEDULE'!L44)</x:f>
        <x:v>3613</x:v>
      </x:c>
      <x:c r="M76" s="530" t="n">
        <x:f>IF(ISBLANK('_SCHEDULE'!M44),"",'_SCHEDULE'!M44)</x:f>
        <x:v>0</x:v>
      </x:c>
      <x:c r="N76" s="530" t="n">
        <x:f>IF(ISBLANK('_SCHEDULE'!N44),"",'_SCHEDULE'!N44)</x:f>
        <x:v>0</x:v>
      </x:c>
      <x:c r="O76" s="530" t="n">
        <x:f>IF(ISBLANK('_SCHEDULE'!O44),"",'_SCHEDULE'!O44)</x:f>
        <x:v>100</x:v>
      </x:c>
      <x:c r="P76" s="530" t="n">
        <x:f>IF(ISBLANK('_SCHEDULE'!P44),"",'_SCHEDULE'!P44)</x:f>
        <x:v>0</x:v>
      </x:c>
      <x:c r="Q76" s="530" t="n">
        <x:f>IF(ISBLANK('_SCHEDULE'!Q44),"",'_SCHEDULE'!Q44)</x:f>
        <x:v>0</x:v>
      </x:c>
      <x:c r="R76" s="530" t="n">
        <x:f>IF(ISBLANK('_SCHEDULE'!R44),"",'_SCHEDULE'!R44)</x:f>
        <x:v>100</x:v>
      </x:c>
      <x:c r="S76" s="523" t="b">
        <x:f>IF(ISBLANK('_SCHEDULE'!S44),"",'_SCHEDULE'!S44)</x:f>
        <x:v>1</x:v>
      </x:c>
      <x:c r="T76" s="38"/>
      <x:c r="U76" s="38"/>
      <x:c r="V76" s="38"/>
      <x:c r="W76" s="38"/>
      <x:c r="X76" s="38"/>
      <x:c r="Y76" s="38"/>
      <x:c r="Z76" s="38"/>
      <x:c r="AA76" s="38"/>
      <x:c r="AB76" s="38"/>
      <x:c r="AC76" s="38"/>
      <x:c r="AD76" s="38"/>
      <x:c r="AE76" s="38"/>
      <x:c r="AF76" s="38"/>
      <x:c r="AG76" s="38"/>
      <x:c r="AH76" s="38"/>
      <x:c r="AI76" s="38"/>
      <x:c r="AJ76" s="38"/>
      <x:c r="AK76" s="38"/>
      <x:c r="AL76" s="38"/>
      <x:c r="AM76" s="38"/>
    </x:row>
    <x:row r="77">
      <x:c r="A77" s="523" t="n">
        <x:f>IF(ISBLANK('_SCHEDULE'!A45),"",'_SCHEDULE'!A45)</x:f>
        <x:v>44</x:v>
      </x:c>
      <x:c r="B77" s="523" t="str">
        <x:f>IF(ISBLANK('_SCHEDULE'!B45),"",IF('_CONFIG'!$B$2="pt-BR",IF('_SCHEDULE'!B45="scheduled","programado",IF('_SCHEDULE'!B45="rejected","rejeitado",'_SCHEDULE'!B45)),'_SCHEDULE'!B45))</x:f>
        <x:v>scheduled</x:v>
      </x:c>
      <x:c r="C77" s="523" t="n">
        <x:f>IF(ISBLANK('_SCHEDULE'!C45),"",'_SCHEDULE'!C45)</x:f>
        <x:v>28</x:v>
      </x:c>
      <x:c r="D77" s="523" t="n">
        <x:f>IF(ISBLANK('_SCHEDULE'!D45),"",'_SCHEDULE'!D45)</x:f>
        <x:v>1</x:v>
      </x:c>
      <x:c r="E77" s="530" t="n">
        <x:f>IF(ISBLANK('_SCHEDULE'!E45),"",'_SCHEDULE'!E45)</x:f>
        <x:v>0</x:v>
      </x:c>
      <x:c r="F77" s="530" t="n">
        <x:f>IF(ISBLANK('_SCHEDULE'!F45),"",'_SCHEDULE'!F45)</x:f>
        <x:v>4900</x:v>
      </x:c>
      <x:c r="G77" s="530" t="n">
        <x:f>IF(ISBLANK('_SCHEDULE'!G45),"",'_SCHEDULE'!G45)</x:f>
        <x:v>20000</x:v>
      </x:c>
      <x:c r="H77" s="530" t="n">
        <x:f>IF(ISBLANK('_SCHEDULE'!H45),"",'_SCHEDULE'!H45)</x:f>
        <x:v>3613</x:v>
      </x:c>
      <x:c r="I77" s="530" t="n">
        <x:f>IF(ISBLANK('_SCHEDULE'!I45),"",'_SCHEDULE'!I45)</x:f>
        <x:v>0</x:v>
      </x:c>
      <x:c r="J77" s="530" t="n">
        <x:f>IF(ISBLANK('_SCHEDULE'!J45),"",'_SCHEDULE'!J45)</x:f>
        <x:v>3613</x:v>
      </x:c>
      <x:c r="K77" s="530" t="n">
        <x:f>IF(ISBLANK('_SCHEDULE'!K45),"",'_SCHEDULE'!K45)</x:f>
        <x:v>90</x:v>
      </x:c>
      <x:c r="L77" s="530" t="n">
        <x:f>IF(ISBLANK('_SCHEDULE'!L45),"",'_SCHEDULE'!L45)</x:f>
        <x:v>3703</x:v>
      </x:c>
      <x:c r="M77" s="530" t="n">
        <x:f>IF(ISBLANK('_SCHEDULE'!M45),"",'_SCHEDULE'!M45)</x:f>
        <x:v>0</x:v>
      </x:c>
      <x:c r="N77" s="530" t="n">
        <x:f>IF(ISBLANK('_SCHEDULE'!N45),"",'_SCHEDULE'!N45)</x:f>
        <x:v>0</x:v>
      </x:c>
      <x:c r="O77" s="530" t="n">
        <x:f>IF(ISBLANK('_SCHEDULE'!O45),"",'_SCHEDULE'!O45)</x:f>
        <x:v>100</x:v>
      </x:c>
      <x:c r="P77" s="530" t="n">
        <x:f>IF(ISBLANK('_SCHEDULE'!P45),"",'_SCHEDULE'!P45)</x:f>
        <x:v>0</x:v>
      </x:c>
      <x:c r="Q77" s="530" t="n">
        <x:f>IF(ISBLANK('_SCHEDULE'!Q45),"",'_SCHEDULE'!Q45)</x:f>
        <x:v>0</x:v>
      </x:c>
      <x:c r="R77" s="530" t="n">
        <x:f>IF(ISBLANK('_SCHEDULE'!R45),"",'_SCHEDULE'!R45)</x:f>
        <x:v>100</x:v>
      </x:c>
      <x:c r="S77" s="523" t="b">
        <x:f>IF(ISBLANK('_SCHEDULE'!S45),"",'_SCHEDULE'!S45)</x:f>
        <x:v>1</x:v>
      </x:c>
      <x:c r="T77" s="38"/>
      <x:c r="U77" s="38"/>
      <x:c r="V77" s="38"/>
      <x:c r="W77" s="38"/>
      <x:c r="X77" s="38"/>
      <x:c r="Y77" s="38"/>
      <x:c r="Z77" s="38"/>
      <x:c r="AA77" s="38"/>
      <x:c r="AB77" s="38"/>
      <x:c r="AC77" s="38"/>
      <x:c r="AD77" s="38"/>
      <x:c r="AE77" s="38"/>
      <x:c r="AF77" s="38"/>
      <x:c r="AG77" s="38"/>
      <x:c r="AH77" s="38"/>
      <x:c r="AI77" s="38"/>
      <x:c r="AJ77" s="38"/>
      <x:c r="AK77" s="38"/>
      <x:c r="AL77" s="38"/>
      <x:c r="AM77" s="38"/>
    </x:row>
    <x:row r="78">
      <x:c r="A78" s="523" t="n">
        <x:f>IF(ISBLANK('_SCHEDULE'!A46),"",'_SCHEDULE'!A46)</x:f>
        <x:v>45</x:v>
      </x:c>
      <x:c r="B78" s="523" t="str">
        <x:f>IF(ISBLANK('_SCHEDULE'!B46),"",IF('_CONFIG'!$B$2="pt-BR",IF('_SCHEDULE'!B46="scheduled","programado",IF('_SCHEDULE'!B46="rejected","rejeitado",'_SCHEDULE'!B46)),'_SCHEDULE'!B46))</x:f>
        <x:v>scheduled</x:v>
      </x:c>
      <x:c r="C78" s="523" t="n">
        <x:f>IF(ISBLANK('_SCHEDULE'!C46),"",'_SCHEDULE'!C46)</x:f>
        <x:v>18</x:v>
      </x:c>
      <x:c r="D78" s="523" t="n">
        <x:f>IF(ISBLANK('_SCHEDULE'!D46),"",'_SCHEDULE'!D46)</x:f>
        <x:v>1</x:v>
      </x:c>
      <x:c r="E78" s="530" t="n">
        <x:f>IF(ISBLANK('_SCHEDULE'!E46),"",'_SCHEDULE'!E46)</x:f>
        <x:v>0</x:v>
      </x:c>
      <x:c r="F78" s="530" t="n">
        <x:f>IF(ISBLANK('_SCHEDULE'!F46),"",'_SCHEDULE'!F46)</x:f>
        <x:v>4300</x:v>
      </x:c>
      <x:c r="G78" s="530" t="n">
        <x:f>IF(ISBLANK('_SCHEDULE'!G46),"",'_SCHEDULE'!G46)</x:f>
        <x:v>20000</x:v>
      </x:c>
      <x:c r="H78" s="530" t="n">
        <x:f>IF(ISBLANK('_SCHEDULE'!H46),"",'_SCHEDULE'!H46)</x:f>
        <x:v>3703</x:v>
      </x:c>
      <x:c r="I78" s="530" t="n">
        <x:f>IF(ISBLANK('_SCHEDULE'!I46),"",'_SCHEDULE'!I46)</x:f>
        <x:v>0</x:v>
      </x:c>
      <x:c r="J78" s="530" t="n">
        <x:f>IF(ISBLANK('_SCHEDULE'!J46),"",'_SCHEDULE'!J46)</x:f>
        <x:v>3703</x:v>
      </x:c>
      <x:c r="K78" s="530" t="n">
        <x:f>IF(ISBLANK('_SCHEDULE'!K46),"",'_SCHEDULE'!K46)</x:f>
        <x:v>90</x:v>
      </x:c>
      <x:c r="L78" s="530" t="n">
        <x:f>IF(ISBLANK('_SCHEDULE'!L46),"",'_SCHEDULE'!L46)</x:f>
        <x:v>3793</x:v>
      </x:c>
      <x:c r="M78" s="530" t="n">
        <x:f>IF(ISBLANK('_SCHEDULE'!M46),"",'_SCHEDULE'!M46)</x:f>
        <x:v>0</x:v>
      </x:c>
      <x:c r="N78" s="530" t="n">
        <x:f>IF(ISBLANK('_SCHEDULE'!N46),"",'_SCHEDULE'!N46)</x:f>
        <x:v>0</x:v>
      </x:c>
      <x:c r="O78" s="530" t="n">
        <x:f>IF(ISBLANK('_SCHEDULE'!O46),"",'_SCHEDULE'!O46)</x:f>
        <x:v>100</x:v>
      </x:c>
      <x:c r="P78" s="530" t="n">
        <x:f>IF(ISBLANK('_SCHEDULE'!P46),"",'_SCHEDULE'!P46)</x:f>
        <x:v>0</x:v>
      </x:c>
      <x:c r="Q78" s="530" t="n">
        <x:f>IF(ISBLANK('_SCHEDULE'!Q46),"",'_SCHEDULE'!Q46)</x:f>
        <x:v>0</x:v>
      </x:c>
      <x:c r="R78" s="530" t="n">
        <x:f>IF(ISBLANK('_SCHEDULE'!R46),"",'_SCHEDULE'!R46)</x:f>
        <x:v>100</x:v>
      </x:c>
      <x:c r="S78" s="523" t="b">
        <x:f>IF(ISBLANK('_SCHEDULE'!S46),"",'_SCHEDULE'!S46)</x:f>
        <x:v>1</x:v>
      </x:c>
      <x:c r="T78" s="38"/>
      <x:c r="U78" s="38"/>
      <x:c r="V78" s="38"/>
      <x:c r="W78" s="38"/>
      <x:c r="X78" s="38"/>
      <x:c r="Y78" s="38"/>
      <x:c r="Z78" s="38"/>
      <x:c r="AA78" s="38"/>
      <x:c r="AB78" s="38"/>
      <x:c r="AC78" s="38"/>
      <x:c r="AD78" s="38"/>
      <x:c r="AE78" s="38"/>
      <x:c r="AF78" s="38"/>
      <x:c r="AG78" s="38"/>
      <x:c r="AH78" s="38"/>
      <x:c r="AI78" s="38"/>
      <x:c r="AJ78" s="38"/>
      <x:c r="AK78" s="38"/>
      <x:c r="AL78" s="38"/>
      <x:c r="AM78" s="38"/>
    </x:row>
    <x:row r="79">
      <x:c r="A79" s="523" t="n">
        <x:f>IF(ISBLANK('_SCHEDULE'!A47),"",'_SCHEDULE'!A47)</x:f>
        <x:v>46</x:v>
      </x:c>
      <x:c r="B79" s="523" t="str">
        <x:f>IF(ISBLANK('_SCHEDULE'!B47),"",IF('_CONFIG'!$B$2="pt-BR",IF('_SCHEDULE'!B47="scheduled","programado",IF('_SCHEDULE'!B47="rejected","rejeitado",'_SCHEDULE'!B47)),'_SCHEDULE'!B47))</x:f>
        <x:v>scheduled</x:v>
      </x:c>
      <x:c r="C79" s="523" t="n">
        <x:f>IF(ISBLANK('_SCHEDULE'!C47),"",'_SCHEDULE'!C47)</x:f>
        <x:v>34</x:v>
      </x:c>
      <x:c r="D79" s="523" t="n">
        <x:f>IF(ISBLANK('_SCHEDULE'!D47),"",'_SCHEDULE'!D47)</x:f>
        <x:v>1</x:v>
      </x:c>
      <x:c r="E79" s="530" t="n">
        <x:f>IF(ISBLANK('_SCHEDULE'!E47),"",'_SCHEDULE'!E47)</x:f>
        <x:v>0</x:v>
      </x:c>
      <x:c r="F79" s="530" t="n">
        <x:f>IF(ISBLANK('_SCHEDULE'!F47),"",'_SCHEDULE'!F47)</x:f>
        <x:v>6300</x:v>
      </x:c>
      <x:c r="G79" s="530" t="n">
        <x:f>IF(ISBLANK('_SCHEDULE'!G47),"",'_SCHEDULE'!G47)</x:f>
        <x:v>20000</x:v>
      </x:c>
      <x:c r="H79" s="530" t="n">
        <x:f>IF(ISBLANK('_SCHEDULE'!H47),"",'_SCHEDULE'!H47)</x:f>
        <x:v>3793</x:v>
      </x:c>
      <x:c r="I79" s="530" t="n">
        <x:f>IF(ISBLANK('_SCHEDULE'!I47),"",'_SCHEDULE'!I47)</x:f>
        <x:v>0</x:v>
      </x:c>
      <x:c r="J79" s="530" t="n">
        <x:f>IF(ISBLANK('_SCHEDULE'!J47),"",'_SCHEDULE'!J47)</x:f>
        <x:v>3793</x:v>
      </x:c>
      <x:c r="K79" s="530" t="n">
        <x:f>IF(ISBLANK('_SCHEDULE'!K47),"",'_SCHEDULE'!K47)</x:f>
        <x:v>90</x:v>
      </x:c>
      <x:c r="L79" s="530" t="n">
        <x:f>IF(ISBLANK('_SCHEDULE'!L47),"",'_SCHEDULE'!L47)</x:f>
        <x:v>3883</x:v>
      </x:c>
      <x:c r="M79" s="530" t="n">
        <x:f>IF(ISBLANK('_SCHEDULE'!M47),"",'_SCHEDULE'!M47)</x:f>
        <x:v>0</x:v>
      </x:c>
      <x:c r="N79" s="530" t="n">
        <x:f>IF(ISBLANK('_SCHEDULE'!N47),"",'_SCHEDULE'!N47)</x:f>
        <x:v>0</x:v>
      </x:c>
      <x:c r="O79" s="530" t="n">
        <x:f>IF(ISBLANK('_SCHEDULE'!O47),"",'_SCHEDULE'!O47)</x:f>
        <x:v>100</x:v>
      </x:c>
      <x:c r="P79" s="530" t="n">
        <x:f>IF(ISBLANK('_SCHEDULE'!P47),"",'_SCHEDULE'!P47)</x:f>
        <x:v>0</x:v>
      </x:c>
      <x:c r="Q79" s="530" t="n">
        <x:f>IF(ISBLANK('_SCHEDULE'!Q47),"",'_SCHEDULE'!Q47)</x:f>
        <x:v>0</x:v>
      </x:c>
      <x:c r="R79" s="530" t="n">
        <x:f>IF(ISBLANK('_SCHEDULE'!R47),"",'_SCHEDULE'!R47)</x:f>
        <x:v>100</x:v>
      </x:c>
      <x:c r="S79" s="523" t="b">
        <x:f>IF(ISBLANK('_SCHEDULE'!S47),"",'_SCHEDULE'!S47)</x:f>
        <x:v>1</x:v>
      </x:c>
      <x:c r="T79" s="38"/>
      <x:c r="U79" s="38"/>
      <x:c r="V79" s="38"/>
      <x:c r="W79" s="38"/>
      <x:c r="X79" s="38"/>
      <x:c r="Y79" s="38"/>
      <x:c r="Z79" s="38"/>
      <x:c r="AA79" s="38"/>
      <x:c r="AB79" s="38"/>
      <x:c r="AC79" s="38"/>
      <x:c r="AD79" s="38"/>
      <x:c r="AE79" s="38"/>
      <x:c r="AF79" s="38"/>
      <x:c r="AG79" s="38"/>
      <x:c r="AH79" s="38"/>
      <x:c r="AI79" s="38"/>
      <x:c r="AJ79" s="38"/>
      <x:c r="AK79" s="38"/>
      <x:c r="AL79" s="38"/>
      <x:c r="AM79" s="38"/>
    </x:row>
    <x:row r="80">
      <x:c r="A80" s="523" t="n">
        <x:f>IF(ISBLANK('_SCHEDULE'!A48),"",'_SCHEDULE'!A48)</x:f>
        <x:v>47</x:v>
      </x:c>
      <x:c r="B80" s="523" t="str">
        <x:f>IF(ISBLANK('_SCHEDULE'!B48),"",IF('_CONFIG'!$B$2="pt-BR",IF('_SCHEDULE'!B48="scheduled","programado",IF('_SCHEDULE'!B48="rejected","rejeitado",'_SCHEDULE'!B48)),'_SCHEDULE'!B48))</x:f>
        <x:v>scheduled</x:v>
      </x:c>
      <x:c r="C80" s="523" t="n">
        <x:f>IF(ISBLANK('_SCHEDULE'!C48),"",'_SCHEDULE'!C48)</x:f>
        <x:v>24</x:v>
      </x:c>
      <x:c r="D80" s="523" t="n">
        <x:f>IF(ISBLANK('_SCHEDULE'!D48),"",'_SCHEDULE'!D48)</x:f>
        <x:v>1</x:v>
      </x:c>
      <x:c r="E80" s="530" t="n">
        <x:f>IF(ISBLANK('_SCHEDULE'!E48),"",'_SCHEDULE'!E48)</x:f>
        <x:v>0</x:v>
      </x:c>
      <x:c r="F80" s="530" t="n">
        <x:f>IF(ISBLANK('_SCHEDULE'!F48),"",'_SCHEDULE'!F48)</x:f>
        <x:v>4300</x:v>
      </x:c>
      <x:c r="G80" s="530" t="n">
        <x:f>IF(ISBLANK('_SCHEDULE'!G48),"",'_SCHEDULE'!G48)</x:f>
        <x:v>20000</x:v>
      </x:c>
      <x:c r="H80" s="530" t="n">
        <x:f>IF(ISBLANK('_SCHEDULE'!H48),"",'_SCHEDULE'!H48)</x:f>
        <x:v>3883</x:v>
      </x:c>
      <x:c r="I80" s="530" t="n">
        <x:f>IF(ISBLANK('_SCHEDULE'!I48),"",'_SCHEDULE'!I48)</x:f>
        <x:v>0</x:v>
      </x:c>
      <x:c r="J80" s="530" t="n">
        <x:f>IF(ISBLANK('_SCHEDULE'!J48),"",'_SCHEDULE'!J48)</x:f>
        <x:v>3883</x:v>
      </x:c>
      <x:c r="K80" s="530" t="n">
        <x:f>IF(ISBLANK('_SCHEDULE'!K48),"",'_SCHEDULE'!K48)</x:f>
        <x:v>90</x:v>
      </x:c>
      <x:c r="L80" s="530" t="n">
        <x:f>IF(ISBLANK('_SCHEDULE'!L48),"",'_SCHEDULE'!L48)</x:f>
        <x:v>3973</x:v>
      </x:c>
      <x:c r="M80" s="530" t="n">
        <x:f>IF(ISBLANK('_SCHEDULE'!M48),"",'_SCHEDULE'!M48)</x:f>
        <x:v>0</x:v>
      </x:c>
      <x:c r="N80" s="530" t="n">
        <x:f>IF(ISBLANK('_SCHEDULE'!N48),"",'_SCHEDULE'!N48)</x:f>
        <x:v>0</x:v>
      </x:c>
      <x:c r="O80" s="530" t="n">
        <x:f>IF(ISBLANK('_SCHEDULE'!O48),"",'_SCHEDULE'!O48)</x:f>
        <x:v>100</x:v>
      </x:c>
      <x:c r="P80" s="530" t="n">
        <x:f>IF(ISBLANK('_SCHEDULE'!P48),"",'_SCHEDULE'!P48)</x:f>
        <x:v>0</x:v>
      </x:c>
      <x:c r="Q80" s="530" t="n">
        <x:f>IF(ISBLANK('_SCHEDULE'!Q48),"",'_SCHEDULE'!Q48)</x:f>
        <x:v>0</x:v>
      </x:c>
      <x:c r="R80" s="530" t="n">
        <x:f>IF(ISBLANK('_SCHEDULE'!R48),"",'_SCHEDULE'!R48)</x:f>
        <x:v>100</x:v>
      </x:c>
      <x:c r="S80" s="523" t="b">
        <x:f>IF(ISBLANK('_SCHEDULE'!S48),"",'_SCHEDULE'!S48)</x:f>
        <x:v>1</x:v>
      </x:c>
      <x:c r="T80" s="38"/>
      <x:c r="U80" s="38"/>
      <x:c r="V80" s="38"/>
      <x:c r="W80" s="38"/>
      <x:c r="X80" s="38"/>
      <x:c r="Y80" s="38"/>
      <x:c r="Z80" s="38"/>
      <x:c r="AA80" s="38"/>
      <x:c r="AB80" s="38"/>
      <x:c r="AC80" s="38"/>
      <x:c r="AD80" s="38"/>
      <x:c r="AE80" s="38"/>
      <x:c r="AF80" s="38"/>
      <x:c r="AG80" s="38"/>
      <x:c r="AH80" s="38"/>
      <x:c r="AI80" s="38"/>
      <x:c r="AJ80" s="38"/>
      <x:c r="AK80" s="38"/>
      <x:c r="AL80" s="38"/>
      <x:c r="AM80" s="38"/>
    </x:row>
    <x:row r="81">
      <x:c r="A81" s="523" t="n">
        <x:f>IF(ISBLANK('_SCHEDULE'!A49),"",'_SCHEDULE'!A49)</x:f>
        <x:v>48</x:v>
      </x:c>
      <x:c r="B81" s="523" t="str">
        <x:f>IF(ISBLANK('_SCHEDULE'!B49),"",IF('_CONFIG'!$B$2="pt-BR",IF('_SCHEDULE'!B49="scheduled","programado",IF('_SCHEDULE'!B49="rejected","rejeitado",'_SCHEDULE'!B49)),'_SCHEDULE'!B49))</x:f>
        <x:v>scheduled</x:v>
      </x:c>
      <x:c r="C81" s="523" t="n">
        <x:f>IF(ISBLANK('_SCHEDULE'!C49),"",'_SCHEDULE'!C49)</x:f>
        <x:v>29</x:v>
      </x:c>
      <x:c r="D81" s="523" t="n">
        <x:f>IF(ISBLANK('_SCHEDULE'!D49),"",'_SCHEDULE'!D49)</x:f>
        <x:v>1</x:v>
      </x:c>
      <x:c r="E81" s="530" t="n">
        <x:f>IF(ISBLANK('_SCHEDULE'!E49),"",'_SCHEDULE'!E49)</x:f>
        <x:v>0</x:v>
      </x:c>
      <x:c r="F81" s="530" t="n">
        <x:f>IF(ISBLANK('_SCHEDULE'!F49),"",'_SCHEDULE'!F49)</x:f>
        <x:v>5900</x:v>
      </x:c>
      <x:c r="G81" s="530" t="n">
        <x:f>IF(ISBLANK('_SCHEDULE'!G49),"",'_SCHEDULE'!G49)</x:f>
        <x:v>20000</x:v>
      </x:c>
      <x:c r="H81" s="530" t="n">
        <x:f>IF(ISBLANK('_SCHEDULE'!H49),"",'_SCHEDULE'!H49)</x:f>
        <x:v>3973</x:v>
      </x:c>
      <x:c r="I81" s="530" t="n">
        <x:f>IF(ISBLANK('_SCHEDULE'!I49),"",'_SCHEDULE'!I49)</x:f>
        <x:v>0</x:v>
      </x:c>
      <x:c r="J81" s="530" t="n">
        <x:f>IF(ISBLANK('_SCHEDULE'!J49),"",'_SCHEDULE'!J49)</x:f>
        <x:v>3973</x:v>
      </x:c>
      <x:c r="K81" s="530" t="n">
        <x:f>IF(ISBLANK('_SCHEDULE'!K49),"",'_SCHEDULE'!K49)</x:f>
        <x:v>90</x:v>
      </x:c>
      <x:c r="L81" s="530" t="n">
        <x:f>IF(ISBLANK('_SCHEDULE'!L49),"",'_SCHEDULE'!L49)</x:f>
        <x:v>4063</x:v>
      </x:c>
      <x:c r="M81" s="530" t="n">
        <x:f>IF(ISBLANK('_SCHEDULE'!M49),"",'_SCHEDULE'!M49)</x:f>
        <x:v>0</x:v>
      </x:c>
      <x:c r="N81" s="530" t="n">
        <x:f>IF(ISBLANK('_SCHEDULE'!N49),"",'_SCHEDULE'!N49)</x:f>
        <x:v>0</x:v>
      </x:c>
      <x:c r="O81" s="530" t="n">
        <x:f>IF(ISBLANK('_SCHEDULE'!O49),"",'_SCHEDULE'!O49)</x:f>
        <x:v>100</x:v>
      </x:c>
      <x:c r="P81" s="530" t="n">
        <x:f>IF(ISBLANK('_SCHEDULE'!P49),"",'_SCHEDULE'!P49)</x:f>
        <x:v>0</x:v>
      </x:c>
      <x:c r="Q81" s="530" t="n">
        <x:f>IF(ISBLANK('_SCHEDULE'!Q49),"",'_SCHEDULE'!Q49)</x:f>
        <x:v>0</x:v>
      </x:c>
      <x:c r="R81" s="530" t="n">
        <x:f>IF(ISBLANK('_SCHEDULE'!R49),"",'_SCHEDULE'!R49)</x:f>
        <x:v>100</x:v>
      </x:c>
      <x:c r="S81" s="523" t="b">
        <x:f>IF(ISBLANK('_SCHEDULE'!S49),"",'_SCHEDULE'!S49)</x:f>
        <x:v>1</x:v>
      </x:c>
      <x:c r="T81" s="38"/>
      <x:c r="U81" s="38"/>
      <x:c r="V81" s="38"/>
      <x:c r="W81" s="38"/>
      <x:c r="X81" s="38"/>
      <x:c r="Y81" s="38"/>
      <x:c r="Z81" s="38"/>
      <x:c r="AA81" s="38"/>
      <x:c r="AB81" s="38"/>
      <x:c r="AC81" s="38"/>
      <x:c r="AD81" s="38"/>
      <x:c r="AE81" s="38"/>
      <x:c r="AF81" s="38"/>
      <x:c r="AG81" s="38"/>
      <x:c r="AH81" s="38"/>
      <x:c r="AI81" s="38"/>
      <x:c r="AJ81" s="38"/>
      <x:c r="AK81" s="38"/>
      <x:c r="AL81" s="38"/>
      <x:c r="AM81" s="38"/>
    </x:row>
    <x:row r="82">
      <x:c r="A82" s="523" t="n">
        <x:f>IF(ISBLANK('_SCHEDULE'!A50),"",'_SCHEDULE'!A50)</x:f>
        <x:v>49</x:v>
      </x:c>
      <x:c r="B82" s="523" t="str">
        <x:f>IF(ISBLANK('_SCHEDULE'!B50),"",IF('_CONFIG'!$B$2="pt-BR",IF('_SCHEDULE'!B50="scheduled","programado",IF('_SCHEDULE'!B50="rejected","rejeitado",'_SCHEDULE'!B50)),'_SCHEDULE'!B50))</x:f>
        <x:v>scheduled</x:v>
      </x:c>
      <x:c r="C82" s="523" t="n">
        <x:f>IF(ISBLANK('_SCHEDULE'!C50),"",'_SCHEDULE'!C50)</x:f>
        <x:v>36</x:v>
      </x:c>
      <x:c r="D82" s="523" t="n">
        <x:f>IF(ISBLANK('_SCHEDULE'!D50),"",'_SCHEDULE'!D50)</x:f>
        <x:v>1</x:v>
      </x:c>
      <x:c r="E82" s="530" t="n">
        <x:f>IF(ISBLANK('_SCHEDULE'!E50),"",'_SCHEDULE'!E50)</x:f>
        <x:v>0</x:v>
      </x:c>
      <x:c r="F82" s="530" t="n">
        <x:f>IF(ISBLANK('_SCHEDULE'!F50),"",'_SCHEDULE'!F50)</x:f>
        <x:v>5900</x:v>
      </x:c>
      <x:c r="G82" s="530" t="n">
        <x:f>IF(ISBLANK('_SCHEDULE'!G50),"",'_SCHEDULE'!G50)</x:f>
        <x:v>20000</x:v>
      </x:c>
      <x:c r="H82" s="530" t="n">
        <x:f>IF(ISBLANK('_SCHEDULE'!H50),"",'_SCHEDULE'!H50)</x:f>
        <x:v>4063</x:v>
      </x:c>
      <x:c r="I82" s="530" t="n">
        <x:f>IF(ISBLANK('_SCHEDULE'!I50),"",'_SCHEDULE'!I50)</x:f>
        <x:v>0</x:v>
      </x:c>
      <x:c r="J82" s="530" t="n">
        <x:f>IF(ISBLANK('_SCHEDULE'!J50),"",'_SCHEDULE'!J50)</x:f>
        <x:v>4063</x:v>
      </x:c>
      <x:c r="K82" s="530" t="n">
        <x:f>IF(ISBLANK('_SCHEDULE'!K50),"",'_SCHEDULE'!K50)</x:f>
        <x:v>90</x:v>
      </x:c>
      <x:c r="L82" s="530" t="n">
        <x:f>IF(ISBLANK('_SCHEDULE'!L50),"",'_SCHEDULE'!L50)</x:f>
        <x:v>4153</x:v>
      </x:c>
      <x:c r="M82" s="530" t="n">
        <x:f>IF(ISBLANK('_SCHEDULE'!M50),"",'_SCHEDULE'!M50)</x:f>
        <x:v>0</x:v>
      </x:c>
      <x:c r="N82" s="530" t="n">
        <x:f>IF(ISBLANK('_SCHEDULE'!N50),"",'_SCHEDULE'!N50)</x:f>
        <x:v>0</x:v>
      </x:c>
      <x:c r="O82" s="530" t="n">
        <x:f>IF(ISBLANK('_SCHEDULE'!O50),"",'_SCHEDULE'!O50)</x:f>
        <x:v>100</x:v>
      </x:c>
      <x:c r="P82" s="530" t="n">
        <x:f>IF(ISBLANK('_SCHEDULE'!P50),"",'_SCHEDULE'!P50)</x:f>
        <x:v>0</x:v>
      </x:c>
      <x:c r="Q82" s="530" t="n">
        <x:f>IF(ISBLANK('_SCHEDULE'!Q50),"",'_SCHEDULE'!Q50)</x:f>
        <x:v>0</x:v>
      </x:c>
      <x:c r="R82" s="530" t="n">
        <x:f>IF(ISBLANK('_SCHEDULE'!R50),"",'_SCHEDULE'!R50)</x:f>
        <x:v>100</x:v>
      </x:c>
      <x:c r="S82" s="523" t="b">
        <x:f>IF(ISBLANK('_SCHEDULE'!S50),"",'_SCHEDULE'!S50)</x:f>
        <x:v>1</x:v>
      </x:c>
      <x:c r="T82" s="38"/>
      <x:c r="U82" s="38"/>
      <x:c r="V82" s="38"/>
      <x:c r="W82" s="38"/>
      <x:c r="X82" s="38"/>
      <x:c r="Y82" s="38"/>
      <x:c r="Z82" s="38"/>
      <x:c r="AA82" s="38"/>
      <x:c r="AB82" s="38"/>
      <x:c r="AC82" s="38"/>
      <x:c r="AD82" s="38"/>
      <x:c r="AE82" s="38"/>
      <x:c r="AF82" s="38"/>
      <x:c r="AG82" s="38"/>
      <x:c r="AH82" s="38"/>
      <x:c r="AI82" s="38"/>
      <x:c r="AJ82" s="38"/>
      <x:c r="AK82" s="38"/>
      <x:c r="AL82" s="38"/>
      <x:c r="AM82" s="38"/>
    </x:row>
    <x:row r="83">
      <x:c r="A83" s="523" t="n">
        <x:f>IF(ISBLANK('_SCHEDULE'!A51),"",'_SCHEDULE'!A51)</x:f>
        <x:v>50</x:v>
      </x:c>
      <x:c r="B83" s="523" t="str">
        <x:f>IF(ISBLANK('_SCHEDULE'!B51),"",IF('_CONFIG'!$B$2="pt-BR",IF('_SCHEDULE'!B51="scheduled","programado",IF('_SCHEDULE'!B51="rejected","rejeitado",'_SCHEDULE'!B51)),'_SCHEDULE'!B51))</x:f>
        <x:v>scheduled</x:v>
      </x:c>
      <x:c r="C83" s="523" t="n">
        <x:f>IF(ISBLANK('_SCHEDULE'!C51),"",'_SCHEDULE'!C51)</x:f>
        <x:v>17</x:v>
      </x:c>
      <x:c r="D83" s="523" t="n">
        <x:f>IF(ISBLANK('_SCHEDULE'!D51),"",'_SCHEDULE'!D51)</x:f>
        <x:v>1</x:v>
      </x:c>
      <x:c r="E83" s="530" t="n">
        <x:f>IF(ISBLANK('_SCHEDULE'!E51),"",'_SCHEDULE'!E51)</x:f>
        <x:v>0</x:v>
      </x:c>
      <x:c r="F83" s="530" t="n">
        <x:f>IF(ISBLANK('_SCHEDULE'!F51),"",'_SCHEDULE'!F51)</x:f>
        <x:v>4300</x:v>
      </x:c>
      <x:c r="G83" s="530" t="n">
        <x:f>IF(ISBLANK('_SCHEDULE'!G51),"",'_SCHEDULE'!G51)</x:f>
        <x:v>20000</x:v>
      </x:c>
      <x:c r="H83" s="530" t="n">
        <x:f>IF(ISBLANK('_SCHEDULE'!H51),"",'_SCHEDULE'!H51)</x:f>
        <x:v>4153</x:v>
      </x:c>
      <x:c r="I83" s="530" t="n">
        <x:f>IF(ISBLANK('_SCHEDULE'!I51),"",'_SCHEDULE'!I51)</x:f>
        <x:v>0</x:v>
      </x:c>
      <x:c r="J83" s="530" t="n">
        <x:f>IF(ISBLANK('_SCHEDULE'!J51),"",'_SCHEDULE'!J51)</x:f>
        <x:v>4153</x:v>
      </x:c>
      <x:c r="K83" s="530" t="n">
        <x:f>IF(ISBLANK('_SCHEDULE'!K51),"",'_SCHEDULE'!K51)</x:f>
        <x:v>90</x:v>
      </x:c>
      <x:c r="L83" s="530" t="n">
        <x:f>IF(ISBLANK('_SCHEDULE'!L51),"",'_SCHEDULE'!L51)</x:f>
        <x:v>4243</x:v>
      </x:c>
      <x:c r="M83" s="530" t="n">
        <x:f>IF(ISBLANK('_SCHEDULE'!M51),"",'_SCHEDULE'!M51)</x:f>
        <x:v>0</x:v>
      </x:c>
      <x:c r="N83" s="530" t="n">
        <x:f>IF(ISBLANK('_SCHEDULE'!N51),"",'_SCHEDULE'!N51)</x:f>
        <x:v>0</x:v>
      </x:c>
      <x:c r="O83" s="530" t="n">
        <x:f>IF(ISBLANK('_SCHEDULE'!O51),"",'_SCHEDULE'!O51)</x:f>
        <x:v>100</x:v>
      </x:c>
      <x:c r="P83" s="530" t="n">
        <x:f>IF(ISBLANK('_SCHEDULE'!P51),"",'_SCHEDULE'!P51)</x:f>
        <x:v>0</x:v>
      </x:c>
      <x:c r="Q83" s="530" t="n">
        <x:f>IF(ISBLANK('_SCHEDULE'!Q51),"",'_SCHEDULE'!Q51)</x:f>
        <x:v>0</x:v>
      </x:c>
      <x:c r="R83" s="530" t="n">
        <x:f>IF(ISBLANK('_SCHEDULE'!R51),"",'_SCHEDULE'!R51)</x:f>
        <x:v>100</x:v>
      </x:c>
      <x:c r="S83" s="523" t="b">
        <x:f>IF(ISBLANK('_SCHEDULE'!S51),"",'_SCHEDULE'!S51)</x:f>
        <x:v>1</x:v>
      </x:c>
      <x:c r="T83" s="38"/>
      <x:c r="U83" s="38"/>
      <x:c r="V83" s="38"/>
      <x:c r="W83" s="38"/>
      <x:c r="X83" s="38"/>
      <x:c r="Y83" s="38"/>
      <x:c r="Z83" s="38"/>
      <x:c r="AA83" s="38"/>
      <x:c r="AB83" s="38"/>
      <x:c r="AC83" s="38"/>
      <x:c r="AD83" s="38"/>
      <x:c r="AE83" s="38"/>
      <x:c r="AF83" s="38"/>
      <x:c r="AG83" s="38"/>
      <x:c r="AH83" s="38"/>
      <x:c r="AI83" s="38"/>
      <x:c r="AJ83" s="38"/>
      <x:c r="AK83" s="38"/>
      <x:c r="AL83" s="38"/>
      <x:c r="AM83" s="38"/>
    </x:row>
    <x:row r="84">
      <x:c r="A84" s="523" t="n">
        <x:f>IF(ISBLANK('_SCHEDULE'!A52),"",'_SCHEDULE'!A52)</x:f>
        <x:v>51</x:v>
      </x:c>
      <x:c r="B84" s="523" t="str">
        <x:f>IF(ISBLANK('_SCHEDULE'!B52),"",IF('_CONFIG'!$B$2="pt-BR",IF('_SCHEDULE'!B52="scheduled","programado",IF('_SCHEDULE'!B52="rejected","rejeitado",'_SCHEDULE'!B52)),'_SCHEDULE'!B52))</x:f>
        <x:v>scheduled</x:v>
      </x:c>
      <x:c r="C84" s="523" t="n">
        <x:f>IF(ISBLANK('_SCHEDULE'!C52),"",'_SCHEDULE'!C52)</x:f>
        <x:v>12</x:v>
      </x:c>
      <x:c r="D84" s="523" t="n">
        <x:f>IF(ISBLANK('_SCHEDULE'!D52),"",'_SCHEDULE'!D52)</x:f>
        <x:v>1</x:v>
      </x:c>
      <x:c r="E84" s="530" t="n">
        <x:f>IF(ISBLANK('_SCHEDULE'!E52),"",'_SCHEDULE'!E52)</x:f>
        <x:v>0</x:v>
      </x:c>
      <x:c r="F84" s="530" t="n">
        <x:f>IF(ISBLANK('_SCHEDULE'!F52),"",'_SCHEDULE'!F52)</x:f>
        <x:v>4900</x:v>
      </x:c>
      <x:c r="G84" s="530" t="n">
        <x:f>IF(ISBLANK('_SCHEDULE'!G52),"",'_SCHEDULE'!G52)</x:f>
        <x:v>20000</x:v>
      </x:c>
      <x:c r="H84" s="530" t="n">
        <x:f>IF(ISBLANK('_SCHEDULE'!H52),"",'_SCHEDULE'!H52)</x:f>
        <x:v>4243</x:v>
      </x:c>
      <x:c r="I84" s="530" t="n">
        <x:f>IF(ISBLANK('_SCHEDULE'!I52),"",'_SCHEDULE'!I52)</x:f>
        <x:v>0</x:v>
      </x:c>
      <x:c r="J84" s="530" t="n">
        <x:f>IF(ISBLANK('_SCHEDULE'!J52),"",'_SCHEDULE'!J52)</x:f>
        <x:v>4243</x:v>
      </x:c>
      <x:c r="K84" s="530" t="n">
        <x:f>IF(ISBLANK('_SCHEDULE'!K52),"",'_SCHEDULE'!K52)</x:f>
        <x:v>90</x:v>
      </x:c>
      <x:c r="L84" s="530" t="n">
        <x:f>IF(ISBLANK('_SCHEDULE'!L52),"",'_SCHEDULE'!L52)</x:f>
        <x:v>4333</x:v>
      </x:c>
      <x:c r="M84" s="530" t="n">
        <x:f>IF(ISBLANK('_SCHEDULE'!M52),"",'_SCHEDULE'!M52)</x:f>
        <x:v>0</x:v>
      </x:c>
      <x:c r="N84" s="530" t="n">
        <x:f>IF(ISBLANK('_SCHEDULE'!N52),"",'_SCHEDULE'!N52)</x:f>
        <x:v>0</x:v>
      </x:c>
      <x:c r="O84" s="530" t="n">
        <x:f>IF(ISBLANK('_SCHEDULE'!O52),"",'_SCHEDULE'!O52)</x:f>
        <x:v>100</x:v>
      </x:c>
      <x:c r="P84" s="530" t="n">
        <x:f>IF(ISBLANK('_SCHEDULE'!P52),"",'_SCHEDULE'!P52)</x:f>
        <x:v>0</x:v>
      </x:c>
      <x:c r="Q84" s="530" t="n">
        <x:f>IF(ISBLANK('_SCHEDULE'!Q52),"",'_SCHEDULE'!Q52)</x:f>
        <x:v>0</x:v>
      </x:c>
      <x:c r="R84" s="530" t="n">
        <x:f>IF(ISBLANK('_SCHEDULE'!R52),"",'_SCHEDULE'!R52)</x:f>
        <x:v>100</x:v>
      </x:c>
      <x:c r="S84" s="523" t="b">
        <x:f>IF(ISBLANK('_SCHEDULE'!S52),"",'_SCHEDULE'!S52)</x:f>
        <x:v>1</x:v>
      </x:c>
      <x:c r="T84" s="38"/>
      <x:c r="U84" s="38"/>
      <x:c r="V84" s="38"/>
      <x:c r="W84" s="38"/>
      <x:c r="X84" s="38"/>
      <x:c r="Y84" s="38"/>
      <x:c r="Z84" s="38"/>
      <x:c r="AA84" s="38"/>
      <x:c r="AB84" s="38"/>
      <x:c r="AC84" s="38"/>
      <x:c r="AD84" s="38"/>
      <x:c r="AE84" s="38"/>
      <x:c r="AF84" s="38"/>
      <x:c r="AG84" s="38"/>
      <x:c r="AH84" s="38"/>
      <x:c r="AI84" s="38"/>
      <x:c r="AJ84" s="38"/>
      <x:c r="AK84" s="38"/>
      <x:c r="AL84" s="38"/>
      <x:c r="AM84" s="38"/>
    </x:row>
    <x:row r="85">
      <x:c r="A85" s="523" t="n">
        <x:f>IF(ISBLANK('_SCHEDULE'!A53),"",'_SCHEDULE'!A53)</x:f>
        <x:v>52</x:v>
      </x:c>
      <x:c r="B85" s="523" t="str">
        <x:f>IF(ISBLANK('_SCHEDULE'!B53),"",IF('_CONFIG'!$B$2="pt-BR",IF('_SCHEDULE'!B53="scheduled","programado",IF('_SCHEDULE'!B53="rejected","rejeitado",'_SCHEDULE'!B53)),'_SCHEDULE'!B53))</x:f>
        <x:v>scheduled</x:v>
      </x:c>
      <x:c r="C85" s="523" t="n">
        <x:f>IF(ISBLANK('_SCHEDULE'!C53),"",'_SCHEDULE'!C53)</x:f>
        <x:v>33</x:v>
      </x:c>
      <x:c r="D85" s="523" t="n">
        <x:f>IF(ISBLANK('_SCHEDULE'!D53),"",'_SCHEDULE'!D53)</x:f>
        <x:v>1</x:v>
      </x:c>
      <x:c r="E85" s="530" t="n">
        <x:f>IF(ISBLANK('_SCHEDULE'!E53),"",'_SCHEDULE'!E53)</x:f>
        <x:v>0</x:v>
      </x:c>
      <x:c r="F85" s="530" t="n">
        <x:f>IF(ISBLANK('_SCHEDULE'!F53),"",'_SCHEDULE'!F53)</x:f>
        <x:v>6300</x:v>
      </x:c>
      <x:c r="G85" s="530" t="n">
        <x:f>IF(ISBLANK('_SCHEDULE'!G53),"",'_SCHEDULE'!G53)</x:f>
        <x:v>20000</x:v>
      </x:c>
      <x:c r="H85" s="530" t="n">
        <x:f>IF(ISBLANK('_SCHEDULE'!H53),"",'_SCHEDULE'!H53)</x:f>
        <x:v>4333</x:v>
      </x:c>
      <x:c r="I85" s="530" t="n">
        <x:f>IF(ISBLANK('_SCHEDULE'!I53),"",'_SCHEDULE'!I53)</x:f>
        <x:v>0</x:v>
      </x:c>
      <x:c r="J85" s="530" t="n">
        <x:f>IF(ISBLANK('_SCHEDULE'!J53),"",'_SCHEDULE'!J53)</x:f>
        <x:v>4333</x:v>
      </x:c>
      <x:c r="K85" s="530" t="n">
        <x:f>IF(ISBLANK('_SCHEDULE'!K53),"",'_SCHEDULE'!K53)</x:f>
        <x:v>90</x:v>
      </x:c>
      <x:c r="L85" s="530" t="n">
        <x:f>IF(ISBLANK('_SCHEDULE'!L53),"",'_SCHEDULE'!L53)</x:f>
        <x:v>4423</x:v>
      </x:c>
      <x:c r="M85" s="530" t="n">
        <x:f>IF(ISBLANK('_SCHEDULE'!M53),"",'_SCHEDULE'!M53)</x:f>
        <x:v>0</x:v>
      </x:c>
      <x:c r="N85" s="530" t="n">
        <x:f>IF(ISBLANK('_SCHEDULE'!N53),"",'_SCHEDULE'!N53)</x:f>
        <x:v>0</x:v>
      </x:c>
      <x:c r="O85" s="530" t="n">
        <x:f>IF(ISBLANK('_SCHEDULE'!O53),"",'_SCHEDULE'!O53)</x:f>
        <x:v>100</x:v>
      </x:c>
      <x:c r="P85" s="530" t="n">
        <x:f>IF(ISBLANK('_SCHEDULE'!P53),"",'_SCHEDULE'!P53)</x:f>
        <x:v>0</x:v>
      </x:c>
      <x:c r="Q85" s="530" t="n">
        <x:f>IF(ISBLANK('_SCHEDULE'!Q53),"",'_SCHEDULE'!Q53)</x:f>
        <x:v>0</x:v>
      </x:c>
      <x:c r="R85" s="530" t="n">
        <x:f>IF(ISBLANK('_SCHEDULE'!R53),"",'_SCHEDULE'!R53)</x:f>
        <x:v>100</x:v>
      </x:c>
      <x:c r="S85" s="523" t="b">
        <x:f>IF(ISBLANK('_SCHEDULE'!S53),"",'_SCHEDULE'!S53)</x:f>
        <x:v>1</x:v>
      </x:c>
      <x:c r="T85" s="38"/>
      <x:c r="U85" s="38"/>
      <x:c r="V85" s="38"/>
      <x:c r="W85" s="38"/>
      <x:c r="X85" s="38"/>
      <x:c r="Y85" s="38"/>
      <x:c r="Z85" s="38"/>
      <x:c r="AA85" s="38"/>
      <x:c r="AB85" s="38"/>
      <x:c r="AC85" s="38"/>
      <x:c r="AD85" s="38"/>
      <x:c r="AE85" s="38"/>
      <x:c r="AF85" s="38"/>
      <x:c r="AG85" s="38"/>
      <x:c r="AH85" s="38"/>
      <x:c r="AI85" s="38"/>
      <x:c r="AJ85" s="38"/>
      <x:c r="AK85" s="38"/>
      <x:c r="AL85" s="38"/>
      <x:c r="AM85" s="38"/>
    </x:row>
    <x:row r="86">
      <x:c r="A86" s="523" t="n">
        <x:f>IF(ISBLANK('_SCHEDULE'!A54),"",'_SCHEDULE'!A54)</x:f>
        <x:v>53</x:v>
      </x:c>
      <x:c r="B86" s="523" t="str">
        <x:f>IF(ISBLANK('_SCHEDULE'!B54),"",IF('_CONFIG'!$B$2="pt-BR",IF('_SCHEDULE'!B54="scheduled","programado",IF('_SCHEDULE'!B54="rejected","rejeitado",'_SCHEDULE'!B54)),'_SCHEDULE'!B54))</x:f>
        <x:v>scheduled</x:v>
      </x:c>
      <x:c r="C86" s="523" t="n">
        <x:f>IF(ISBLANK('_SCHEDULE'!C54),"",'_SCHEDULE'!C54)</x:f>
        <x:v>26</x:v>
      </x:c>
      <x:c r="D86" s="523" t="n">
        <x:f>IF(ISBLANK('_SCHEDULE'!D54),"",'_SCHEDULE'!D54)</x:f>
        <x:v>1</x:v>
      </x:c>
      <x:c r="E86" s="530" t="n">
        <x:f>IF(ISBLANK('_SCHEDULE'!E54),"",'_SCHEDULE'!E54)</x:f>
        <x:v>0</x:v>
      </x:c>
      <x:c r="F86" s="530" t="n">
        <x:f>IF(ISBLANK('_SCHEDULE'!F54),"",'_SCHEDULE'!F54)</x:f>
        <x:v>4900</x:v>
      </x:c>
      <x:c r="G86" s="530" t="n">
        <x:f>IF(ISBLANK('_SCHEDULE'!G54),"",'_SCHEDULE'!G54)</x:f>
        <x:v>20000</x:v>
      </x:c>
      <x:c r="H86" s="530" t="n">
        <x:f>IF(ISBLANK('_SCHEDULE'!H54),"",'_SCHEDULE'!H54)</x:f>
        <x:v>4423</x:v>
      </x:c>
      <x:c r="I86" s="530" t="n">
        <x:f>IF(ISBLANK('_SCHEDULE'!I54),"",'_SCHEDULE'!I54)</x:f>
        <x:v>0</x:v>
      </x:c>
      <x:c r="J86" s="530" t="n">
        <x:f>IF(ISBLANK('_SCHEDULE'!J54),"",'_SCHEDULE'!J54)</x:f>
        <x:v>4423</x:v>
      </x:c>
      <x:c r="K86" s="530" t="n">
        <x:f>IF(ISBLANK('_SCHEDULE'!K54),"",'_SCHEDULE'!K54)</x:f>
        <x:v>90</x:v>
      </x:c>
      <x:c r="L86" s="530" t="n">
        <x:f>IF(ISBLANK('_SCHEDULE'!L54),"",'_SCHEDULE'!L54)</x:f>
        <x:v>4513</x:v>
      </x:c>
      <x:c r="M86" s="530" t="n">
        <x:f>IF(ISBLANK('_SCHEDULE'!M54),"",'_SCHEDULE'!M54)</x:f>
        <x:v>0</x:v>
      </x:c>
      <x:c r="N86" s="530" t="n">
        <x:f>IF(ISBLANK('_SCHEDULE'!N54),"",'_SCHEDULE'!N54)</x:f>
        <x:v>0</x:v>
      </x:c>
      <x:c r="O86" s="530" t="n">
        <x:f>IF(ISBLANK('_SCHEDULE'!O54),"",'_SCHEDULE'!O54)</x:f>
        <x:v>100</x:v>
      </x:c>
      <x:c r="P86" s="530" t="n">
        <x:f>IF(ISBLANK('_SCHEDULE'!P54),"",'_SCHEDULE'!P54)</x:f>
        <x:v>0</x:v>
      </x:c>
      <x:c r="Q86" s="530" t="n">
        <x:f>IF(ISBLANK('_SCHEDULE'!Q54),"",'_SCHEDULE'!Q54)</x:f>
        <x:v>0</x:v>
      </x:c>
      <x:c r="R86" s="530" t="n">
        <x:f>IF(ISBLANK('_SCHEDULE'!R54),"",'_SCHEDULE'!R54)</x:f>
        <x:v>100</x:v>
      </x:c>
      <x:c r="S86" s="523" t="b">
        <x:f>IF(ISBLANK('_SCHEDULE'!S54),"",'_SCHEDULE'!S54)</x:f>
        <x:v>1</x:v>
      </x:c>
      <x:c r="T86" s="38"/>
      <x:c r="U86" s="38"/>
      <x:c r="V86" s="38"/>
      <x:c r="W86" s="38"/>
      <x:c r="X86" s="38"/>
      <x:c r="Y86" s="38"/>
      <x:c r="Z86" s="38"/>
      <x:c r="AA86" s="38"/>
      <x:c r="AB86" s="38"/>
      <x:c r="AC86" s="38"/>
      <x:c r="AD86" s="38"/>
      <x:c r="AE86" s="38"/>
      <x:c r="AF86" s="38"/>
      <x:c r="AG86" s="38"/>
      <x:c r="AH86" s="38"/>
      <x:c r="AI86" s="38"/>
      <x:c r="AJ86" s="38"/>
      <x:c r="AK86" s="38"/>
      <x:c r="AL86" s="38"/>
      <x:c r="AM86" s="38"/>
    </x:row>
    <x:row r="87">
      <x:c r="A87" s="523" t="n">
        <x:f>IF(ISBLANK('_SCHEDULE'!A55),"",'_SCHEDULE'!A55)</x:f>
        <x:v>54</x:v>
      </x:c>
      <x:c r="B87" s="523" t="str">
        <x:f>IF(ISBLANK('_SCHEDULE'!B55),"",IF('_CONFIG'!$B$2="pt-BR",IF('_SCHEDULE'!B55="scheduled","programado",IF('_SCHEDULE'!B55="rejected","rejeitado",'_SCHEDULE'!B55)),'_SCHEDULE'!B55))</x:f>
        <x:v>scheduled</x:v>
      </x:c>
      <x:c r="C87" s="523" t="n">
        <x:f>IF(ISBLANK('_SCHEDULE'!C55),"",'_SCHEDULE'!C55)</x:f>
        <x:v>35</x:v>
      </x:c>
      <x:c r="D87" s="523" t="n">
        <x:f>IF(ISBLANK('_SCHEDULE'!D55),"",'_SCHEDULE'!D55)</x:f>
        <x:v>1</x:v>
      </x:c>
      <x:c r="E87" s="530" t="n">
        <x:f>IF(ISBLANK('_SCHEDULE'!E55),"",'_SCHEDULE'!E55)</x:f>
        <x:v>0</x:v>
      </x:c>
      <x:c r="F87" s="530" t="n">
        <x:f>IF(ISBLANK('_SCHEDULE'!F55),"",'_SCHEDULE'!F55)</x:f>
        <x:v>5900</x:v>
      </x:c>
      <x:c r="G87" s="530" t="n">
        <x:f>IF(ISBLANK('_SCHEDULE'!G55),"",'_SCHEDULE'!G55)</x:f>
        <x:v>20000</x:v>
      </x:c>
      <x:c r="H87" s="530" t="n">
        <x:f>IF(ISBLANK('_SCHEDULE'!H55),"",'_SCHEDULE'!H55)</x:f>
        <x:v>4513</x:v>
      </x:c>
      <x:c r="I87" s="530" t="n">
        <x:f>IF(ISBLANK('_SCHEDULE'!I55),"",'_SCHEDULE'!I55)</x:f>
        <x:v>0</x:v>
      </x:c>
      <x:c r="J87" s="530" t="n">
        <x:f>IF(ISBLANK('_SCHEDULE'!J55),"",'_SCHEDULE'!J55)</x:f>
        <x:v>4513</x:v>
      </x:c>
      <x:c r="K87" s="530" t="n">
        <x:f>IF(ISBLANK('_SCHEDULE'!K55),"",'_SCHEDULE'!K55)</x:f>
        <x:v>90</x:v>
      </x:c>
      <x:c r="L87" s="530" t="n">
        <x:f>IF(ISBLANK('_SCHEDULE'!L55),"",'_SCHEDULE'!L55)</x:f>
        <x:v>4603</x:v>
      </x:c>
      <x:c r="M87" s="530" t="n">
        <x:f>IF(ISBLANK('_SCHEDULE'!M55),"",'_SCHEDULE'!M55)</x:f>
        <x:v>0</x:v>
      </x:c>
      <x:c r="N87" s="530" t="n">
        <x:f>IF(ISBLANK('_SCHEDULE'!N55),"",'_SCHEDULE'!N55)</x:f>
        <x:v>0</x:v>
      </x:c>
      <x:c r="O87" s="530" t="n">
        <x:f>IF(ISBLANK('_SCHEDULE'!O55),"",'_SCHEDULE'!O55)</x:f>
        <x:v>100</x:v>
      </x:c>
      <x:c r="P87" s="530" t="n">
        <x:f>IF(ISBLANK('_SCHEDULE'!P55),"",'_SCHEDULE'!P55)</x:f>
        <x:v>0</x:v>
      </x:c>
      <x:c r="Q87" s="530" t="n">
        <x:f>IF(ISBLANK('_SCHEDULE'!Q55),"",'_SCHEDULE'!Q55)</x:f>
        <x:v>0</x:v>
      </x:c>
      <x:c r="R87" s="530" t="n">
        <x:f>IF(ISBLANK('_SCHEDULE'!R55),"",'_SCHEDULE'!R55)</x:f>
        <x:v>100</x:v>
      </x:c>
      <x:c r="S87" s="523" t="b">
        <x:f>IF(ISBLANK('_SCHEDULE'!S55),"",'_SCHEDULE'!S55)</x:f>
        <x:v>1</x:v>
      </x:c>
      <x:c r="T87" s="38"/>
      <x:c r="U87" s="38"/>
      <x:c r="V87" s="38"/>
      <x:c r="W87" s="38"/>
      <x:c r="X87" s="38"/>
      <x:c r="Y87" s="38"/>
      <x:c r="Z87" s="38"/>
      <x:c r="AA87" s="38"/>
      <x:c r="AB87" s="38"/>
      <x:c r="AC87" s="38"/>
      <x:c r="AD87" s="38"/>
      <x:c r="AE87" s="38"/>
      <x:c r="AF87" s="38"/>
      <x:c r="AG87" s="38"/>
      <x:c r="AH87" s="38"/>
      <x:c r="AI87" s="38"/>
      <x:c r="AJ87" s="38"/>
      <x:c r="AK87" s="38"/>
      <x:c r="AL87" s="38"/>
      <x:c r="AM87" s="38"/>
    </x:row>
    <x:row r="88">
      <x:c r="A88" s="523" t="n">
        <x:f>IF(ISBLANK('_SCHEDULE'!A56),"",'_SCHEDULE'!A56)</x:f>
        <x:v>55</x:v>
      </x:c>
      <x:c r="B88" s="523" t="str">
        <x:f>IF(ISBLANK('_SCHEDULE'!B56),"",IF('_CONFIG'!$B$2="pt-BR",IF('_SCHEDULE'!B56="scheduled","programado",IF('_SCHEDULE'!B56="rejected","rejeitado",'_SCHEDULE'!B56)),'_SCHEDULE'!B56))</x:f>
        <x:v>scheduled</x:v>
      </x:c>
      <x:c r="C88" s="523" t="n">
        <x:f>IF(ISBLANK('_SCHEDULE'!C56),"",'_SCHEDULE'!C56)</x:f>
        <x:v>30</x:v>
      </x:c>
      <x:c r="D88" s="523" t="n">
        <x:f>IF(ISBLANK('_SCHEDULE'!D56),"",'_SCHEDULE'!D56)</x:f>
        <x:v>1</x:v>
      </x:c>
      <x:c r="E88" s="530" t="n">
        <x:f>IF(ISBLANK('_SCHEDULE'!E56),"",'_SCHEDULE'!E56)</x:f>
        <x:v>0</x:v>
      </x:c>
      <x:c r="F88" s="530" t="n">
        <x:f>IF(ISBLANK('_SCHEDULE'!F56),"",'_SCHEDULE'!F56)</x:f>
        <x:v>5900</x:v>
      </x:c>
      <x:c r="G88" s="530" t="n">
        <x:f>IF(ISBLANK('_SCHEDULE'!G56),"",'_SCHEDULE'!G56)</x:f>
        <x:v>20000</x:v>
      </x:c>
      <x:c r="H88" s="530" t="n">
        <x:f>IF(ISBLANK('_SCHEDULE'!H56),"",'_SCHEDULE'!H56)</x:f>
        <x:v>4603</x:v>
      </x:c>
      <x:c r="I88" s="530" t="n">
        <x:f>IF(ISBLANK('_SCHEDULE'!I56),"",'_SCHEDULE'!I56)</x:f>
        <x:v>0</x:v>
      </x:c>
      <x:c r="J88" s="530" t="n">
        <x:f>IF(ISBLANK('_SCHEDULE'!J56),"",'_SCHEDULE'!J56)</x:f>
        <x:v>4603</x:v>
      </x:c>
      <x:c r="K88" s="530" t="n">
        <x:f>IF(ISBLANK('_SCHEDULE'!K56),"",'_SCHEDULE'!K56)</x:f>
        <x:v>90</x:v>
      </x:c>
      <x:c r="L88" s="530" t="n">
        <x:f>IF(ISBLANK('_SCHEDULE'!L56),"",'_SCHEDULE'!L56)</x:f>
        <x:v>4693</x:v>
      </x:c>
      <x:c r="M88" s="530" t="n">
        <x:f>IF(ISBLANK('_SCHEDULE'!M56),"",'_SCHEDULE'!M56)</x:f>
        <x:v>0</x:v>
      </x:c>
      <x:c r="N88" s="530" t="n">
        <x:f>IF(ISBLANK('_SCHEDULE'!N56),"",'_SCHEDULE'!N56)</x:f>
        <x:v>0</x:v>
      </x:c>
      <x:c r="O88" s="530" t="n">
        <x:f>IF(ISBLANK('_SCHEDULE'!O56),"",'_SCHEDULE'!O56)</x:f>
        <x:v>100</x:v>
      </x:c>
      <x:c r="P88" s="530" t="n">
        <x:f>IF(ISBLANK('_SCHEDULE'!P56),"",'_SCHEDULE'!P56)</x:f>
        <x:v>0</x:v>
      </x:c>
      <x:c r="Q88" s="530" t="n">
        <x:f>IF(ISBLANK('_SCHEDULE'!Q56),"",'_SCHEDULE'!Q56)</x:f>
        <x:v>0</x:v>
      </x:c>
      <x:c r="R88" s="530" t="n">
        <x:f>IF(ISBLANK('_SCHEDULE'!R56),"",'_SCHEDULE'!R56)</x:f>
        <x:v>100</x:v>
      </x:c>
      <x:c r="S88" s="523" t="b">
        <x:f>IF(ISBLANK('_SCHEDULE'!S56),"",'_SCHEDULE'!S56)</x:f>
        <x:v>1</x:v>
      </x:c>
      <x:c r="T88" s="38"/>
      <x:c r="U88" s="38"/>
      <x:c r="V88" s="38"/>
      <x:c r="W88" s="38"/>
      <x:c r="X88" s="38"/>
      <x:c r="Y88" s="38"/>
      <x:c r="Z88" s="38"/>
      <x:c r="AA88" s="38"/>
      <x:c r="AB88" s="38"/>
      <x:c r="AC88" s="38"/>
      <x:c r="AD88" s="38"/>
      <x:c r="AE88" s="38"/>
      <x:c r="AF88" s="38"/>
      <x:c r="AG88" s="38"/>
      <x:c r="AH88" s="38"/>
      <x:c r="AI88" s="38"/>
      <x:c r="AJ88" s="38"/>
      <x:c r="AK88" s="38"/>
      <x:c r="AL88" s="38"/>
      <x:c r="AM88" s="38"/>
    </x:row>
    <x:row r="89">
      <x:c r="A89" s="523" t="n">
        <x:f>IF(ISBLANK('_SCHEDULE'!A57),"",'_SCHEDULE'!A57)</x:f>
        <x:v>56</x:v>
      </x:c>
      <x:c r="B89" s="523" t="str">
        <x:f>IF(ISBLANK('_SCHEDULE'!B57),"",IF('_CONFIG'!$B$2="pt-BR",IF('_SCHEDULE'!B57="scheduled","programado",IF('_SCHEDULE'!B57="rejected","rejeitado",'_SCHEDULE'!B57)),'_SCHEDULE'!B57))</x:f>
        <x:v>scheduled</x:v>
      </x:c>
      <x:c r="C89" s="523" t="n">
        <x:f>IF(ISBLANK('_SCHEDULE'!C57),"",'_SCHEDULE'!C57)</x:f>
        <x:v>27</x:v>
      </x:c>
      <x:c r="D89" s="523" t="n">
        <x:f>IF(ISBLANK('_SCHEDULE'!D57),"",'_SCHEDULE'!D57)</x:f>
        <x:v>1</x:v>
      </x:c>
      <x:c r="E89" s="530" t="n">
        <x:f>IF(ISBLANK('_SCHEDULE'!E57),"",'_SCHEDULE'!E57)</x:f>
        <x:v>0</x:v>
      </x:c>
      <x:c r="F89" s="530" t="n">
        <x:f>IF(ISBLANK('_SCHEDULE'!F57),"",'_SCHEDULE'!F57)</x:f>
        <x:v>4900</x:v>
      </x:c>
      <x:c r="G89" s="530" t="n">
        <x:f>IF(ISBLANK('_SCHEDULE'!G57),"",'_SCHEDULE'!G57)</x:f>
        <x:v>20000</x:v>
      </x:c>
      <x:c r="H89" s="530" t="n">
        <x:f>IF(ISBLANK('_SCHEDULE'!H57),"",'_SCHEDULE'!H57)</x:f>
        <x:v>4693</x:v>
      </x:c>
      <x:c r="I89" s="530" t="n">
        <x:f>IF(ISBLANK('_SCHEDULE'!I57),"",'_SCHEDULE'!I57)</x:f>
        <x:v>0</x:v>
      </x:c>
      <x:c r="J89" s="530" t="n">
        <x:f>IF(ISBLANK('_SCHEDULE'!J57),"",'_SCHEDULE'!J57)</x:f>
        <x:v>4693</x:v>
      </x:c>
      <x:c r="K89" s="530" t="n">
        <x:f>IF(ISBLANK('_SCHEDULE'!K57),"",'_SCHEDULE'!K57)</x:f>
        <x:v>90</x:v>
      </x:c>
      <x:c r="L89" s="530" t="n">
        <x:f>IF(ISBLANK('_SCHEDULE'!L57),"",'_SCHEDULE'!L57)</x:f>
        <x:v>4783</x:v>
      </x:c>
      <x:c r="M89" s="530" t="n">
        <x:f>IF(ISBLANK('_SCHEDULE'!M57),"",'_SCHEDULE'!M57)</x:f>
        <x:v>0</x:v>
      </x:c>
      <x:c r="N89" s="530" t="n">
        <x:f>IF(ISBLANK('_SCHEDULE'!N57),"",'_SCHEDULE'!N57)</x:f>
        <x:v>0</x:v>
      </x:c>
      <x:c r="O89" s="530" t="n">
        <x:f>IF(ISBLANK('_SCHEDULE'!O57),"",'_SCHEDULE'!O57)</x:f>
        <x:v>100</x:v>
      </x:c>
      <x:c r="P89" s="530" t="n">
        <x:f>IF(ISBLANK('_SCHEDULE'!P57),"",'_SCHEDULE'!P57)</x:f>
        <x:v>0</x:v>
      </x:c>
      <x:c r="Q89" s="530" t="n">
        <x:f>IF(ISBLANK('_SCHEDULE'!Q57),"",'_SCHEDULE'!Q57)</x:f>
        <x:v>0</x:v>
      </x:c>
      <x:c r="R89" s="530" t="n">
        <x:f>IF(ISBLANK('_SCHEDULE'!R57),"",'_SCHEDULE'!R57)</x:f>
        <x:v>100</x:v>
      </x:c>
      <x:c r="S89" s="523" t="b">
        <x:f>IF(ISBLANK('_SCHEDULE'!S57),"",'_SCHEDULE'!S57)</x:f>
        <x:v>1</x:v>
      </x:c>
      <x:c r="T89" s="38"/>
      <x:c r="U89" s="38"/>
      <x:c r="V89" s="38"/>
      <x:c r="W89" s="38"/>
      <x:c r="X89" s="38"/>
      <x:c r="Y89" s="38"/>
      <x:c r="Z89" s="38"/>
      <x:c r="AA89" s="38"/>
      <x:c r="AB89" s="38"/>
      <x:c r="AC89" s="38"/>
      <x:c r="AD89" s="38"/>
      <x:c r="AE89" s="38"/>
      <x:c r="AF89" s="38"/>
      <x:c r="AG89" s="38"/>
      <x:c r="AH89" s="38"/>
      <x:c r="AI89" s="38"/>
      <x:c r="AJ89" s="38"/>
      <x:c r="AK89" s="38"/>
      <x:c r="AL89" s="38"/>
      <x:c r="AM89" s="38"/>
    </x:row>
    <x:row r="90">
      <x:c r="A90" s="523" t="n">
        <x:f>IF(ISBLANK('_SCHEDULE'!A58),"",'_SCHEDULE'!A58)</x:f>
        <x:v>57</x:v>
      </x:c>
      <x:c r="B90" s="523" t="str">
        <x:f>IF(ISBLANK('_SCHEDULE'!B58),"",IF('_CONFIG'!$B$2="pt-BR",IF('_SCHEDULE'!B58="scheduled","programado",IF('_SCHEDULE'!B58="rejected","rejeitado",'_SCHEDULE'!B58)),'_SCHEDULE'!B58))</x:f>
        <x:v>scheduled</x:v>
      </x:c>
      <x:c r="C90" s="523" t="n">
        <x:f>IF(ISBLANK('_SCHEDULE'!C58),"",'_SCHEDULE'!C58)</x:f>
        <x:v>32</x:v>
      </x:c>
      <x:c r="D90" s="523" t="n">
        <x:f>IF(ISBLANK('_SCHEDULE'!D58),"",'_SCHEDULE'!D58)</x:f>
        <x:v>1</x:v>
      </x:c>
      <x:c r="E90" s="530" t="n">
        <x:f>IF(ISBLANK('_SCHEDULE'!E58),"",'_SCHEDULE'!E58)</x:f>
        <x:v>0</x:v>
      </x:c>
      <x:c r="F90" s="530" t="n">
        <x:f>IF(ISBLANK('_SCHEDULE'!F58),"",'_SCHEDULE'!F58)</x:f>
        <x:v>6300</x:v>
      </x:c>
      <x:c r="G90" s="530" t="n">
        <x:f>IF(ISBLANK('_SCHEDULE'!G58),"",'_SCHEDULE'!G58)</x:f>
        <x:v>20000</x:v>
      </x:c>
      <x:c r="H90" s="530" t="n">
        <x:f>IF(ISBLANK('_SCHEDULE'!H58),"",'_SCHEDULE'!H58)</x:f>
        <x:v>4783</x:v>
      </x:c>
      <x:c r="I90" s="530" t="n">
        <x:f>IF(ISBLANK('_SCHEDULE'!I58),"",'_SCHEDULE'!I58)</x:f>
        <x:v>0</x:v>
      </x:c>
      <x:c r="J90" s="530" t="n">
        <x:f>IF(ISBLANK('_SCHEDULE'!J58),"",'_SCHEDULE'!J58)</x:f>
        <x:v>4783</x:v>
      </x:c>
      <x:c r="K90" s="530" t="n">
        <x:f>IF(ISBLANK('_SCHEDULE'!K58),"",'_SCHEDULE'!K58)</x:f>
        <x:v>90</x:v>
      </x:c>
      <x:c r="L90" s="530" t="n">
        <x:f>IF(ISBLANK('_SCHEDULE'!L58),"",'_SCHEDULE'!L58)</x:f>
        <x:v>4873</x:v>
      </x:c>
      <x:c r="M90" s="530" t="n">
        <x:f>IF(ISBLANK('_SCHEDULE'!M58),"",'_SCHEDULE'!M58)</x:f>
        <x:v>0</x:v>
      </x:c>
      <x:c r="N90" s="530" t="n">
        <x:f>IF(ISBLANK('_SCHEDULE'!N58),"",'_SCHEDULE'!N58)</x:f>
        <x:v>0</x:v>
      </x:c>
      <x:c r="O90" s="530" t="n">
        <x:f>IF(ISBLANK('_SCHEDULE'!O58),"",'_SCHEDULE'!O58)</x:f>
        <x:v>100</x:v>
      </x:c>
      <x:c r="P90" s="530" t="n">
        <x:f>IF(ISBLANK('_SCHEDULE'!P58),"",'_SCHEDULE'!P58)</x:f>
        <x:v>0</x:v>
      </x:c>
      <x:c r="Q90" s="530" t="n">
        <x:f>IF(ISBLANK('_SCHEDULE'!Q58),"",'_SCHEDULE'!Q58)</x:f>
        <x:v>0</x:v>
      </x:c>
      <x:c r="R90" s="530" t="n">
        <x:f>IF(ISBLANK('_SCHEDULE'!R58),"",'_SCHEDULE'!R58)</x:f>
        <x:v>100</x:v>
      </x:c>
      <x:c r="S90" s="523" t="b">
        <x:f>IF(ISBLANK('_SCHEDULE'!S58),"",'_SCHEDULE'!S58)</x:f>
        <x:v>1</x:v>
      </x:c>
      <x:c r="T90" s="38"/>
      <x:c r="U90" s="38"/>
      <x:c r="V90" s="38"/>
      <x:c r="W90" s="38"/>
      <x:c r="X90" s="38"/>
      <x:c r="Y90" s="38"/>
      <x:c r="Z90" s="38"/>
      <x:c r="AA90" s="38"/>
      <x:c r="AB90" s="38"/>
      <x:c r="AC90" s="38"/>
      <x:c r="AD90" s="38"/>
      <x:c r="AE90" s="38"/>
      <x:c r="AF90" s="38"/>
      <x:c r="AG90" s="38"/>
      <x:c r="AH90" s="38"/>
      <x:c r="AI90" s="38"/>
      <x:c r="AJ90" s="38"/>
      <x:c r="AK90" s="38"/>
      <x:c r="AL90" s="38"/>
      <x:c r="AM90" s="38"/>
    </x:row>
    <x:row r="91">
      <x:c r="A91" s="523" t="n">
        <x:f>IF(ISBLANK('_SCHEDULE'!A59),"",'_SCHEDULE'!A59)</x:f>
        <x:v>58</x:v>
      </x:c>
      <x:c r="B91" s="523" t="str">
        <x:f>IF(ISBLANK('_SCHEDULE'!B59),"",IF('_CONFIG'!$B$2="pt-BR",IF('_SCHEDULE'!B59="scheduled","programado",IF('_SCHEDULE'!B59="rejected","rejeitado",'_SCHEDULE'!B59)),'_SCHEDULE'!B59))</x:f>
        <x:v>scheduled</x:v>
      </x:c>
      <x:c r="C91" s="523" t="n">
        <x:f>IF(ISBLANK('_SCHEDULE'!C59),"",'_SCHEDULE'!C59)</x:f>
        <x:v>8</x:v>
      </x:c>
      <x:c r="D91" s="523" t="n">
        <x:f>IF(ISBLANK('_SCHEDULE'!D59),"",'_SCHEDULE'!D59)</x:f>
        <x:v>0</x:v>
      </x:c>
      <x:c r="E91" s="530" t="n">
        <x:f>IF(ISBLANK('_SCHEDULE'!E59),"",'_SCHEDULE'!E59)</x:f>
        <x:v>0</x:v>
      </x:c>
      <x:c r="F91" s="530" t="n">
        <x:f>IF(ISBLANK('_SCHEDULE'!F59),"",'_SCHEDULE'!F59)</x:f>
        <x:v>5300</x:v>
      </x:c>
      <x:c r="G91" s="530" t="n">
        <x:f>IF(ISBLANK('_SCHEDULE'!G59),"",'_SCHEDULE'!G59)</x:f>
        <x:v>20000</x:v>
      </x:c>
      <x:c r="H91" s="530" t="n">
        <x:f>IF(ISBLANK('_SCHEDULE'!H59),"",'_SCHEDULE'!H59)</x:f>
        <x:v>4873</x:v>
      </x:c>
      <x:c r="I91" s="530" t="n">
        <x:f>IF(ISBLANK('_SCHEDULE'!I59),"",'_SCHEDULE'!I59)</x:f>
        <x:v>10</x:v>
      </x:c>
      <x:c r="J91" s="530" t="n">
        <x:f>IF(ISBLANK('_SCHEDULE'!J59),"",'_SCHEDULE'!J59)</x:f>
        <x:v>4883</x:v>
      </x:c>
      <x:c r="K91" s="530" t="n">
        <x:f>IF(ISBLANK('_SCHEDULE'!K59),"",'_SCHEDULE'!K59)</x:f>
        <x:v>70</x:v>
      </x:c>
      <x:c r="L91" s="530" t="n">
        <x:f>IF(ISBLANK('_SCHEDULE'!L59),"",'_SCHEDULE'!L59)</x:f>
        <x:v>4953</x:v>
      </x:c>
      <x:c r="M91" s="530" t="n">
        <x:f>IF(ISBLANK('_SCHEDULE'!M59),"",'_SCHEDULE'!M59)</x:f>
        <x:v>0</x:v>
      </x:c>
      <x:c r="N91" s="530" t="n">
        <x:f>IF(ISBLANK('_SCHEDULE'!N59),"",'_SCHEDULE'!N59)</x:f>
        <x:v>200</x:v>
      </x:c>
      <x:c r="O91" s="530" t="n">
        <x:f>IF(ISBLANK('_SCHEDULE'!O59),"",'_SCHEDULE'!O59)</x:f>
        <x:v>100</x:v>
      </x:c>
      <x:c r="P91" s="530" t="n">
        <x:f>IF(ISBLANK('_SCHEDULE'!P59),"",'_SCHEDULE'!P59)</x:f>
        <x:v>0</x:v>
      </x:c>
      <x:c r="Q91" s="530" t="n">
        <x:f>IF(ISBLANK('_SCHEDULE'!Q59),"",'_SCHEDULE'!Q59)</x:f>
        <x:v>0</x:v>
      </x:c>
      <x:c r="R91" s="530" t="n">
        <x:f>IF(ISBLANK('_SCHEDULE'!R59),"",'_SCHEDULE'!R59)</x:f>
        <x:v>300</x:v>
      </x:c>
      <x:c r="S91" s="523" t="b">
        <x:f>IF(ISBLANK('_SCHEDULE'!S59),"",'_SCHEDULE'!S59)</x:f>
        <x:v>1</x:v>
      </x:c>
      <x:c r="T91" s="38"/>
      <x:c r="U91" s="38"/>
      <x:c r="V91" s="38"/>
      <x:c r="W91" s="38"/>
      <x:c r="X91" s="38"/>
      <x:c r="Y91" s="38"/>
      <x:c r="Z91" s="38"/>
      <x:c r="AA91" s="38"/>
      <x:c r="AB91" s="38"/>
      <x:c r="AC91" s="38"/>
      <x:c r="AD91" s="38"/>
      <x:c r="AE91" s="38"/>
      <x:c r="AF91" s="38"/>
      <x:c r="AG91" s="38"/>
      <x:c r="AH91" s="38"/>
      <x:c r="AI91" s="38"/>
      <x:c r="AJ91" s="38"/>
      <x:c r="AK91" s="38"/>
      <x:c r="AL91" s="38"/>
      <x:c r="AM91" s="38"/>
    </x:row>
    <x:row r="92">
      <x:c r="A92" s="523" t="n">
        <x:f>IF(ISBLANK('_SCHEDULE'!A60),"",'_SCHEDULE'!A60)</x:f>
        <x:v>59</x:v>
      </x:c>
      <x:c r="B92" s="523" t="str">
        <x:f>IF(ISBLANK('_SCHEDULE'!B60),"",IF('_CONFIG'!$B$2="pt-BR",IF('_SCHEDULE'!B60="scheduled","programado",IF('_SCHEDULE'!B60="rejected","rejeitado",'_SCHEDULE'!B60)),'_SCHEDULE'!B60))</x:f>
        <x:v>scheduled</x:v>
      </x:c>
      <x:c r="C92" s="523" t="n">
        <x:f>IF(ISBLANK('_SCHEDULE'!C60),"",'_SCHEDULE'!C60)</x:f>
        <x:v>0</x:v>
      </x:c>
      <x:c r="D92" s="523" t="n">
        <x:f>IF(ISBLANK('_SCHEDULE'!D60),"",'_SCHEDULE'!D60)</x:f>
        <x:v>0</x:v>
      </x:c>
      <x:c r="E92" s="530" t="n">
        <x:f>IF(ISBLANK('_SCHEDULE'!E60),"",'_SCHEDULE'!E60)</x:f>
        <x:v>0</x:v>
      </x:c>
      <x:c r="F92" s="530" t="n">
        <x:f>IF(ISBLANK('_SCHEDULE'!F60),"",'_SCHEDULE'!F60)</x:f>
        <x:v>5100</x:v>
      </x:c>
      <x:c r="G92" s="530" t="n">
        <x:f>IF(ISBLANK('_SCHEDULE'!G60),"",'_SCHEDULE'!G60)</x:f>
        <x:v>20000</x:v>
      </x:c>
      <x:c r="H92" s="530" t="n">
        <x:f>IF(ISBLANK('_SCHEDULE'!H60),"",'_SCHEDULE'!H60)</x:f>
        <x:v>4953</x:v>
      </x:c>
      <x:c r="I92" s="530" t="n">
        <x:f>IF(ISBLANK('_SCHEDULE'!I60),"",'_SCHEDULE'!I60)</x:f>
        <x:v>0</x:v>
      </x:c>
      <x:c r="J92" s="530" t="n">
        <x:f>IF(ISBLANK('_SCHEDULE'!J60),"",'_SCHEDULE'!J60)</x:f>
        <x:v>4953</x:v>
      </x:c>
      <x:c r="K92" s="530" t="n">
        <x:f>IF(ISBLANK('_SCHEDULE'!K60),"",'_SCHEDULE'!K60)</x:f>
        <x:v>70</x:v>
      </x:c>
      <x:c r="L92" s="530" t="n">
        <x:f>IF(ISBLANK('_SCHEDULE'!L60),"",'_SCHEDULE'!L60)</x:f>
        <x:v>5023</x:v>
      </x:c>
      <x:c r="M92" s="530" t="n">
        <x:f>IF(ISBLANK('_SCHEDULE'!M60),"",'_SCHEDULE'!M60)</x:f>
        <x:v>0</x:v>
      </x:c>
      <x:c r="N92" s="530" t="n">
        <x:f>IF(ISBLANK('_SCHEDULE'!N60),"",'_SCHEDULE'!N60)</x:f>
        <x:v>0</x:v>
      </x:c>
      <x:c r="O92" s="530" t="n">
        <x:f>IF(ISBLANK('_SCHEDULE'!O60),"",'_SCHEDULE'!O60)</x:f>
        <x:v>100</x:v>
      </x:c>
      <x:c r="P92" s="530" t="n">
        <x:f>IF(ISBLANK('_SCHEDULE'!P60),"",'_SCHEDULE'!P60)</x:f>
        <x:v>0</x:v>
      </x:c>
      <x:c r="Q92" s="530" t="n">
        <x:f>IF(ISBLANK('_SCHEDULE'!Q60),"",'_SCHEDULE'!Q60)</x:f>
        <x:v>0</x:v>
      </x:c>
      <x:c r="R92" s="530" t="n">
        <x:f>IF(ISBLANK('_SCHEDULE'!R60),"",'_SCHEDULE'!R60)</x:f>
        <x:v>100</x:v>
      </x:c>
      <x:c r="S92" s="523" t="b">
        <x:f>IF(ISBLANK('_SCHEDULE'!S60),"",'_SCHEDULE'!S60)</x:f>
        <x:v>1</x:v>
      </x:c>
      <x:c r="T92" s="38"/>
      <x:c r="U92" s="38"/>
      <x:c r="V92" s="38"/>
      <x:c r="W92" s="38"/>
      <x:c r="X92" s="38"/>
      <x:c r="Y92" s="38"/>
      <x:c r="Z92" s="38"/>
      <x:c r="AA92" s="38"/>
      <x:c r="AB92" s="38"/>
      <x:c r="AC92" s="38"/>
      <x:c r="AD92" s="38"/>
      <x:c r="AE92" s="38"/>
      <x:c r="AF92" s="38"/>
      <x:c r="AG92" s="38"/>
      <x:c r="AH92" s="38"/>
      <x:c r="AI92" s="38"/>
      <x:c r="AJ92" s="38"/>
      <x:c r="AK92" s="38"/>
      <x:c r="AL92" s="38"/>
      <x:c r="AM92" s="38"/>
    </x:row>
    <x:row r="93">
      <x:c r="A93" s="523" t="n">
        <x:f>IF(ISBLANK('_SCHEDULE'!A61),"",'_SCHEDULE'!A61)</x:f>
        <x:v>60</x:v>
      </x:c>
      <x:c r="B93" s="523" t="str">
        <x:f>IF(ISBLANK('_SCHEDULE'!B61),"",IF('_CONFIG'!$B$2="pt-BR",IF('_SCHEDULE'!B61="scheduled","programado",IF('_SCHEDULE'!B61="rejected","rejeitado",'_SCHEDULE'!B61)),'_SCHEDULE'!B61))</x:f>
        <x:v>scheduled</x:v>
      </x:c>
      <x:c r="C93" s="523" t="n">
        <x:f>IF(ISBLANK('_SCHEDULE'!C61),"",'_SCHEDULE'!C61)</x:f>
        <x:v>6</x:v>
      </x:c>
      <x:c r="D93" s="523" t="n">
        <x:f>IF(ISBLANK('_SCHEDULE'!D61),"",'_SCHEDULE'!D61)</x:f>
        <x:v>0</x:v>
      </x:c>
      <x:c r="E93" s="530" t="n">
        <x:f>IF(ISBLANK('_SCHEDULE'!E61),"",'_SCHEDULE'!E61)</x:f>
        <x:v>0</x:v>
      </x:c>
      <x:c r="F93" s="530" t="n">
        <x:f>IF(ISBLANK('_SCHEDULE'!F61),"",'_SCHEDULE'!F61)</x:f>
        <x:v>5300</x:v>
      </x:c>
      <x:c r="G93" s="530" t="n">
        <x:f>IF(ISBLANK('_SCHEDULE'!G61),"",'_SCHEDULE'!G61)</x:f>
        <x:v>20000</x:v>
      </x:c>
      <x:c r="H93" s="530" t="n">
        <x:f>IF(ISBLANK('_SCHEDULE'!H61),"",'_SCHEDULE'!H61)</x:f>
        <x:v>5023</x:v>
      </x:c>
      <x:c r="I93" s="530" t="n">
        <x:f>IF(ISBLANK('_SCHEDULE'!I61),"",'_SCHEDULE'!I61)</x:f>
        <x:v>0</x:v>
      </x:c>
      <x:c r="J93" s="530" t="n">
        <x:f>IF(ISBLANK('_SCHEDULE'!J61),"",'_SCHEDULE'!J61)</x:f>
        <x:v>5023</x:v>
      </x:c>
      <x:c r="K93" s="530" t="n">
        <x:f>IF(ISBLANK('_SCHEDULE'!K61),"",'_SCHEDULE'!K61)</x:f>
        <x:v>70</x:v>
      </x:c>
      <x:c r="L93" s="530" t="n">
        <x:f>IF(ISBLANK('_SCHEDULE'!L61),"",'_SCHEDULE'!L61)</x:f>
        <x:v>5093</x:v>
      </x:c>
      <x:c r="M93" s="530" t="n">
        <x:f>IF(ISBLANK('_SCHEDULE'!M61),"",'_SCHEDULE'!M61)</x:f>
        <x:v>0</x:v>
      </x:c>
      <x:c r="N93" s="530" t="n">
        <x:f>IF(ISBLANK('_SCHEDULE'!N61),"",'_SCHEDULE'!N61)</x:f>
        <x:v>0</x:v>
      </x:c>
      <x:c r="O93" s="530" t="n">
        <x:f>IF(ISBLANK('_SCHEDULE'!O61),"",'_SCHEDULE'!O61)</x:f>
        <x:v>100</x:v>
      </x:c>
      <x:c r="P93" s="530" t="n">
        <x:f>IF(ISBLANK('_SCHEDULE'!P61),"",'_SCHEDULE'!P61)</x:f>
        <x:v>0</x:v>
      </x:c>
      <x:c r="Q93" s="530" t="n">
        <x:f>IF(ISBLANK('_SCHEDULE'!Q61),"",'_SCHEDULE'!Q61)</x:f>
        <x:v>0</x:v>
      </x:c>
      <x:c r="R93" s="530" t="n">
        <x:f>IF(ISBLANK('_SCHEDULE'!R61),"",'_SCHEDULE'!R61)</x:f>
        <x:v>100</x:v>
      </x:c>
      <x:c r="S93" s="523" t="b">
        <x:f>IF(ISBLANK('_SCHEDULE'!S61),"",'_SCHEDULE'!S61)</x:f>
        <x:v>1</x:v>
      </x:c>
      <x:c r="T93" s="38"/>
      <x:c r="U93" s="38"/>
      <x:c r="V93" s="38"/>
      <x:c r="W93" s="38"/>
      <x:c r="X93" s="38"/>
      <x:c r="Y93" s="38"/>
      <x:c r="Z93" s="38"/>
      <x:c r="AA93" s="38"/>
      <x:c r="AB93" s="38"/>
      <x:c r="AC93" s="38"/>
      <x:c r="AD93" s="38"/>
      <x:c r="AE93" s="38"/>
      <x:c r="AF93" s="38"/>
      <x:c r="AG93" s="38"/>
      <x:c r="AH93" s="38"/>
      <x:c r="AI93" s="38"/>
      <x:c r="AJ93" s="38"/>
      <x:c r="AK93" s="38"/>
      <x:c r="AL93" s="38"/>
      <x:c r="AM93" s="38"/>
    </x:row>
    <x:row r="94">
      <x:c r="A94" s="523" t="n">
        <x:f>IF(ISBLANK('_SCHEDULE'!A62),"",'_SCHEDULE'!A62)</x:f>
        <x:v>61</x:v>
      </x:c>
      <x:c r="B94" s="523" t="str">
        <x:f>IF(ISBLANK('_SCHEDULE'!B62),"",IF('_CONFIG'!$B$2="pt-BR",IF('_SCHEDULE'!B62="scheduled","programado",IF('_SCHEDULE'!B62="rejected","rejeitado",'_SCHEDULE'!B62)),'_SCHEDULE'!B62))</x:f>
        <x:v>scheduled</x:v>
      </x:c>
      <x:c r="C94" s="523" t="n">
        <x:f>IF(ISBLANK('_SCHEDULE'!C62),"",'_SCHEDULE'!C62)</x:f>
        <x:v>7</x:v>
      </x:c>
      <x:c r="D94" s="523" t="n">
        <x:f>IF(ISBLANK('_SCHEDULE'!D62),"",'_SCHEDULE'!D62)</x:f>
        <x:v>0</x:v>
      </x:c>
      <x:c r="E94" s="530" t="n">
        <x:f>IF(ISBLANK('_SCHEDULE'!E62),"",'_SCHEDULE'!E62)</x:f>
        <x:v>0</x:v>
      </x:c>
      <x:c r="F94" s="530" t="n">
        <x:f>IF(ISBLANK('_SCHEDULE'!F62),"",'_SCHEDULE'!F62)</x:f>
        <x:v>5300</x:v>
      </x:c>
      <x:c r="G94" s="530" t="n">
        <x:f>IF(ISBLANK('_SCHEDULE'!G62),"",'_SCHEDULE'!G62)</x:f>
        <x:v>20000</x:v>
      </x:c>
      <x:c r="H94" s="530" t="n">
        <x:f>IF(ISBLANK('_SCHEDULE'!H62),"",'_SCHEDULE'!H62)</x:f>
        <x:v>5093</x:v>
      </x:c>
      <x:c r="I94" s="530" t="n">
        <x:f>IF(ISBLANK('_SCHEDULE'!I62),"",'_SCHEDULE'!I62)</x:f>
        <x:v>0</x:v>
      </x:c>
      <x:c r="J94" s="530" t="n">
        <x:f>IF(ISBLANK('_SCHEDULE'!J62),"",'_SCHEDULE'!J62)</x:f>
        <x:v>5093</x:v>
      </x:c>
      <x:c r="K94" s="530" t="n">
        <x:f>IF(ISBLANK('_SCHEDULE'!K62),"",'_SCHEDULE'!K62)</x:f>
        <x:v>70</x:v>
      </x:c>
      <x:c r="L94" s="530" t="n">
        <x:f>IF(ISBLANK('_SCHEDULE'!L62),"",'_SCHEDULE'!L62)</x:f>
        <x:v>5163</x:v>
      </x:c>
      <x:c r="M94" s="530" t="n">
        <x:f>IF(ISBLANK('_SCHEDULE'!M62),"",'_SCHEDULE'!M62)</x:f>
        <x:v>0</x:v>
      </x:c>
      <x:c r="N94" s="530" t="n">
        <x:f>IF(ISBLANK('_SCHEDULE'!N62),"",'_SCHEDULE'!N62)</x:f>
        <x:v>0</x:v>
      </x:c>
      <x:c r="O94" s="530" t="n">
        <x:f>IF(ISBLANK('_SCHEDULE'!O62),"",'_SCHEDULE'!O62)</x:f>
        <x:v>100</x:v>
      </x:c>
      <x:c r="P94" s="530" t="n">
        <x:f>IF(ISBLANK('_SCHEDULE'!P62),"",'_SCHEDULE'!P62)</x:f>
        <x:v>0</x:v>
      </x:c>
      <x:c r="Q94" s="530" t="n">
        <x:f>IF(ISBLANK('_SCHEDULE'!Q62),"",'_SCHEDULE'!Q62)</x:f>
        <x:v>0</x:v>
      </x:c>
      <x:c r="R94" s="530" t="n">
        <x:f>IF(ISBLANK('_SCHEDULE'!R62),"",'_SCHEDULE'!R62)</x:f>
        <x:v>100</x:v>
      </x:c>
      <x:c r="S94" s="523" t="b">
        <x:f>IF(ISBLANK('_SCHEDULE'!S62),"",'_SCHEDULE'!S62)</x:f>
        <x:v>1</x:v>
      </x:c>
      <x:c r="T94" s="38"/>
      <x:c r="U94" s="38"/>
      <x:c r="V94" s="38"/>
      <x:c r="W94" s="38"/>
      <x:c r="X94" s="38"/>
      <x:c r="Y94" s="38"/>
      <x:c r="Z94" s="38"/>
      <x:c r="AA94" s="38"/>
      <x:c r="AB94" s="38"/>
      <x:c r="AC94" s="38"/>
      <x:c r="AD94" s="38"/>
      <x:c r="AE94" s="38"/>
      <x:c r="AF94" s="38"/>
      <x:c r="AG94" s="38"/>
      <x:c r="AH94" s="38"/>
      <x:c r="AI94" s="38"/>
      <x:c r="AJ94" s="38"/>
      <x:c r="AK94" s="38"/>
      <x:c r="AL94" s="38"/>
      <x:c r="AM94" s="38"/>
    </x:row>
    <x:row r="95">
      <x:c r="A95" s="523" t="n">
        <x:f>IF(ISBLANK('_SCHEDULE'!A63),"",'_SCHEDULE'!A63)</x:f>
        <x:v>62</x:v>
      </x:c>
      <x:c r="B95" s="523" t="str">
        <x:f>IF(ISBLANK('_SCHEDULE'!B63),"",IF('_CONFIG'!$B$2="pt-BR",IF('_SCHEDULE'!B63="scheduled","programado",IF('_SCHEDULE'!B63="rejected","rejeitado",'_SCHEDULE'!B63)),'_SCHEDULE'!B63))</x:f>
        <x:v>scheduled</x:v>
      </x:c>
      <x:c r="C95" s="523" t="n">
        <x:f>IF(ISBLANK('_SCHEDULE'!C63),"",'_SCHEDULE'!C63)</x:f>
        <x:v>5</x:v>
      </x:c>
      <x:c r="D95" s="523" t="n">
        <x:f>IF(ISBLANK('_SCHEDULE'!D63),"",'_SCHEDULE'!D63)</x:f>
        <x:v>0</x:v>
      </x:c>
      <x:c r="E95" s="530" t="n">
        <x:f>IF(ISBLANK('_SCHEDULE'!E63),"",'_SCHEDULE'!E63)</x:f>
        <x:v>0</x:v>
      </x:c>
      <x:c r="F95" s="530" t="n">
        <x:f>IF(ISBLANK('_SCHEDULE'!F63),"",'_SCHEDULE'!F63)</x:f>
        <x:v>5300</x:v>
      </x:c>
      <x:c r="G95" s="530" t="n">
        <x:f>IF(ISBLANK('_SCHEDULE'!G63),"",'_SCHEDULE'!G63)</x:f>
        <x:v>20000</x:v>
      </x:c>
      <x:c r="H95" s="530" t="n">
        <x:f>IF(ISBLANK('_SCHEDULE'!H63),"",'_SCHEDULE'!H63)</x:f>
        <x:v>5163</x:v>
      </x:c>
      <x:c r="I95" s="530" t="n">
        <x:f>IF(ISBLANK('_SCHEDULE'!I63),"",'_SCHEDULE'!I63)</x:f>
        <x:v>0</x:v>
      </x:c>
      <x:c r="J95" s="530" t="n">
        <x:f>IF(ISBLANK('_SCHEDULE'!J63),"",'_SCHEDULE'!J63)</x:f>
        <x:v>5163</x:v>
      </x:c>
      <x:c r="K95" s="530" t="n">
        <x:f>IF(ISBLANK('_SCHEDULE'!K63),"",'_SCHEDULE'!K63)</x:f>
        <x:v>70</x:v>
      </x:c>
      <x:c r="L95" s="530" t="n">
        <x:f>IF(ISBLANK('_SCHEDULE'!L63),"",'_SCHEDULE'!L63)</x:f>
        <x:v>5233</x:v>
      </x:c>
      <x:c r="M95" s="530" t="n">
        <x:f>IF(ISBLANK('_SCHEDULE'!M63),"",'_SCHEDULE'!M63)</x:f>
        <x:v>0</x:v>
      </x:c>
      <x:c r="N95" s="530" t="n">
        <x:f>IF(ISBLANK('_SCHEDULE'!N63),"",'_SCHEDULE'!N63)</x:f>
        <x:v>0</x:v>
      </x:c>
      <x:c r="O95" s="530" t="n">
        <x:f>IF(ISBLANK('_SCHEDULE'!O63),"",'_SCHEDULE'!O63)</x:f>
        <x:v>100</x:v>
      </x:c>
      <x:c r="P95" s="530" t="n">
        <x:f>IF(ISBLANK('_SCHEDULE'!P63),"",'_SCHEDULE'!P63)</x:f>
        <x:v>0</x:v>
      </x:c>
      <x:c r="Q95" s="530" t="n">
        <x:f>IF(ISBLANK('_SCHEDULE'!Q63),"",'_SCHEDULE'!Q63)</x:f>
        <x:v>0</x:v>
      </x:c>
      <x:c r="R95" s="530" t="n">
        <x:f>IF(ISBLANK('_SCHEDULE'!R63),"",'_SCHEDULE'!R63)</x:f>
        <x:v>100</x:v>
      </x:c>
      <x:c r="S95" s="523" t="b">
        <x:f>IF(ISBLANK('_SCHEDULE'!S63),"",'_SCHEDULE'!S63)</x:f>
        <x:v>1</x:v>
      </x:c>
      <x:c r="T95" s="38"/>
      <x:c r="U95" s="38"/>
      <x:c r="V95" s="38"/>
      <x:c r="W95" s="38"/>
      <x:c r="X95" s="38"/>
      <x:c r="Y95" s="38"/>
      <x:c r="Z95" s="38"/>
      <x:c r="AA95" s="38"/>
      <x:c r="AB95" s="38"/>
      <x:c r="AC95" s="38"/>
      <x:c r="AD95" s="38"/>
      <x:c r="AE95" s="38"/>
      <x:c r="AF95" s="38"/>
      <x:c r="AG95" s="38"/>
      <x:c r="AH95" s="38"/>
      <x:c r="AI95" s="38"/>
      <x:c r="AJ95" s="38"/>
      <x:c r="AK95" s="38"/>
      <x:c r="AL95" s="38"/>
      <x:c r="AM95" s="38"/>
    </x:row>
    <x:row r="96">
      <x:c r="A96" s="523" t="n">
        <x:f>IF(ISBLANK('_SCHEDULE'!A64),"",'_SCHEDULE'!A64)</x:f>
        <x:v>63</x:v>
      </x:c>
      <x:c r="B96" s="523" t="str">
        <x:f>IF(ISBLANK('_SCHEDULE'!B64),"",IF('_CONFIG'!$B$2="pt-BR",IF('_SCHEDULE'!B64="scheduled","programado",IF('_SCHEDULE'!B64="rejected","rejeitado",'_SCHEDULE'!B64)),'_SCHEDULE'!B64))</x:f>
        <x:v>scheduled</x:v>
      </x:c>
      <x:c r="C96" s="523" t="n">
        <x:f>IF(ISBLANK('_SCHEDULE'!C64),"",'_SCHEDULE'!C64)</x:f>
        <x:v>10</x:v>
      </x:c>
      <x:c r="D96" s="523" t="n">
        <x:f>IF(ISBLANK('_SCHEDULE'!D64),"",'_SCHEDULE'!D64)</x:f>
        <x:v>0</x:v>
      </x:c>
      <x:c r="E96" s="530" t="n">
        <x:f>IF(ISBLANK('_SCHEDULE'!E64),"",'_SCHEDULE'!E64)</x:f>
        <x:v>0</x:v>
      </x:c>
      <x:c r="F96" s="530" t="n">
        <x:f>IF(ISBLANK('_SCHEDULE'!F64),"",'_SCHEDULE'!F64)</x:f>
        <x:v>5700</x:v>
      </x:c>
      <x:c r="G96" s="530" t="n">
        <x:f>IF(ISBLANK('_SCHEDULE'!G64),"",'_SCHEDULE'!G64)</x:f>
        <x:v>20000</x:v>
      </x:c>
      <x:c r="H96" s="530" t="n">
        <x:f>IF(ISBLANK('_SCHEDULE'!H64),"",'_SCHEDULE'!H64)</x:f>
        <x:v>5233</x:v>
      </x:c>
      <x:c r="I96" s="530" t="n">
        <x:f>IF(ISBLANK('_SCHEDULE'!I64),"",'_SCHEDULE'!I64)</x:f>
        <x:v>0</x:v>
      </x:c>
      <x:c r="J96" s="530" t="n">
        <x:f>IF(ISBLANK('_SCHEDULE'!J64),"",'_SCHEDULE'!J64)</x:f>
        <x:v>5233</x:v>
      </x:c>
      <x:c r="K96" s="530" t="n">
        <x:f>IF(ISBLANK('_SCHEDULE'!K64),"",'_SCHEDULE'!K64)</x:f>
        <x:v>70</x:v>
      </x:c>
      <x:c r="L96" s="530" t="n">
        <x:f>IF(ISBLANK('_SCHEDULE'!L64),"",'_SCHEDULE'!L64)</x:f>
        <x:v>5303</x:v>
      </x:c>
      <x:c r="M96" s="530" t="n">
        <x:f>IF(ISBLANK('_SCHEDULE'!M64),"",'_SCHEDULE'!M64)</x:f>
        <x:v>0</x:v>
      </x:c>
      <x:c r="N96" s="530" t="n">
        <x:f>IF(ISBLANK('_SCHEDULE'!N64),"",'_SCHEDULE'!N64)</x:f>
        <x:v>0</x:v>
      </x:c>
      <x:c r="O96" s="530" t="n">
        <x:f>IF(ISBLANK('_SCHEDULE'!O64),"",'_SCHEDULE'!O64)</x:f>
        <x:v>100</x:v>
      </x:c>
      <x:c r="P96" s="530" t="n">
        <x:f>IF(ISBLANK('_SCHEDULE'!P64),"",'_SCHEDULE'!P64)</x:f>
        <x:v>0</x:v>
      </x:c>
      <x:c r="Q96" s="530" t="n">
        <x:f>IF(ISBLANK('_SCHEDULE'!Q64),"",'_SCHEDULE'!Q64)</x:f>
        <x:v>0</x:v>
      </x:c>
      <x:c r="R96" s="530" t="n">
        <x:f>IF(ISBLANK('_SCHEDULE'!R64),"",'_SCHEDULE'!R64)</x:f>
        <x:v>100</x:v>
      </x:c>
      <x:c r="S96" s="523" t="b">
        <x:f>IF(ISBLANK('_SCHEDULE'!S64),"",'_SCHEDULE'!S64)</x:f>
        <x:v>1</x:v>
      </x:c>
      <x:c r="T96" s="38"/>
      <x:c r="U96" s="38"/>
      <x:c r="V96" s="38"/>
      <x:c r="W96" s="38"/>
      <x:c r="X96" s="38"/>
      <x:c r="Y96" s="38"/>
      <x:c r="Z96" s="38"/>
      <x:c r="AA96" s="38"/>
      <x:c r="AB96" s="38"/>
      <x:c r="AC96" s="38"/>
      <x:c r="AD96" s="38"/>
      <x:c r="AE96" s="38"/>
      <x:c r="AF96" s="38"/>
      <x:c r="AG96" s="38"/>
      <x:c r="AH96" s="38"/>
      <x:c r="AI96" s="38"/>
      <x:c r="AJ96" s="38"/>
      <x:c r="AK96" s="38"/>
      <x:c r="AL96" s="38"/>
      <x:c r="AM96" s="38"/>
    </x:row>
    <x:row r="97">
      <x:c r="A97" s="523" t="n">
        <x:f>IF(ISBLANK('_SCHEDULE'!A65),"",'_SCHEDULE'!A65)</x:f>
        <x:v>64</x:v>
      </x:c>
      <x:c r="B97" s="523" t="str">
        <x:f>IF(ISBLANK('_SCHEDULE'!B65),"",IF('_CONFIG'!$B$2="pt-BR",IF('_SCHEDULE'!B65="scheduled","programado",IF('_SCHEDULE'!B65="rejected","rejeitado",'_SCHEDULE'!B65)),'_SCHEDULE'!B65))</x:f>
        <x:v>scheduled</x:v>
      </x:c>
      <x:c r="C97" s="523" t="n">
        <x:f>IF(ISBLANK('_SCHEDULE'!C65),"",'_SCHEDULE'!C65)</x:f>
        <x:v>4</x:v>
      </x:c>
      <x:c r="D97" s="523" t="n">
        <x:f>IF(ISBLANK('_SCHEDULE'!D65),"",'_SCHEDULE'!D65)</x:f>
        <x:v>0</x:v>
      </x:c>
      <x:c r="E97" s="530" t="n">
        <x:f>IF(ISBLANK('_SCHEDULE'!E65),"",'_SCHEDULE'!E65)</x:f>
        <x:v>0</x:v>
      </x:c>
      <x:c r="F97" s="530" t="n">
        <x:f>IF(ISBLANK('_SCHEDULE'!F65),"",'_SCHEDULE'!F65)</x:f>
        <x:v>5700</x:v>
      </x:c>
      <x:c r="G97" s="530" t="n">
        <x:f>IF(ISBLANK('_SCHEDULE'!G65),"",'_SCHEDULE'!G65)</x:f>
        <x:v>20000</x:v>
      </x:c>
      <x:c r="H97" s="530" t="n">
        <x:f>IF(ISBLANK('_SCHEDULE'!H65),"",'_SCHEDULE'!H65)</x:f>
        <x:v>5303</x:v>
      </x:c>
      <x:c r="I97" s="530" t="n">
        <x:f>IF(ISBLANK('_SCHEDULE'!I65),"",'_SCHEDULE'!I65)</x:f>
        <x:v>0</x:v>
      </x:c>
      <x:c r="J97" s="530" t="n">
        <x:f>IF(ISBLANK('_SCHEDULE'!J65),"",'_SCHEDULE'!J65)</x:f>
        <x:v>5303</x:v>
      </x:c>
      <x:c r="K97" s="530" t="n">
        <x:f>IF(ISBLANK('_SCHEDULE'!K65),"",'_SCHEDULE'!K65)</x:f>
        <x:v>70</x:v>
      </x:c>
      <x:c r="L97" s="530" t="n">
        <x:f>IF(ISBLANK('_SCHEDULE'!L65),"",'_SCHEDULE'!L65)</x:f>
        <x:v>5373</x:v>
      </x:c>
      <x:c r="M97" s="530" t="n">
        <x:f>IF(ISBLANK('_SCHEDULE'!M65),"",'_SCHEDULE'!M65)</x:f>
        <x:v>0</x:v>
      </x:c>
      <x:c r="N97" s="530" t="n">
        <x:f>IF(ISBLANK('_SCHEDULE'!N65),"",'_SCHEDULE'!N65)</x:f>
        <x:v>0</x:v>
      </x:c>
      <x:c r="O97" s="530" t="n">
        <x:f>IF(ISBLANK('_SCHEDULE'!O65),"",'_SCHEDULE'!O65)</x:f>
        <x:v>100</x:v>
      </x:c>
      <x:c r="P97" s="530" t="n">
        <x:f>IF(ISBLANK('_SCHEDULE'!P65),"",'_SCHEDULE'!P65)</x:f>
        <x:v>0</x:v>
      </x:c>
      <x:c r="Q97" s="530" t="n">
        <x:f>IF(ISBLANK('_SCHEDULE'!Q65),"",'_SCHEDULE'!Q65)</x:f>
        <x:v>0</x:v>
      </x:c>
      <x:c r="R97" s="530" t="n">
        <x:f>IF(ISBLANK('_SCHEDULE'!R65),"",'_SCHEDULE'!R65)</x:f>
        <x:v>100</x:v>
      </x:c>
      <x:c r="S97" s="523" t="b">
        <x:f>IF(ISBLANK('_SCHEDULE'!S65),"",'_SCHEDULE'!S65)</x:f>
        <x:v>1</x:v>
      </x:c>
      <x:c r="T97" s="38"/>
      <x:c r="U97" s="38"/>
      <x:c r="V97" s="38"/>
      <x:c r="W97" s="38"/>
      <x:c r="X97" s="38"/>
      <x:c r="Y97" s="38"/>
      <x:c r="Z97" s="38"/>
      <x:c r="AA97" s="38"/>
      <x:c r="AB97" s="38"/>
      <x:c r="AC97" s="38"/>
      <x:c r="AD97" s="38"/>
      <x:c r="AE97" s="38"/>
      <x:c r="AF97" s="38"/>
      <x:c r="AG97" s="38"/>
      <x:c r="AH97" s="38"/>
      <x:c r="AI97" s="38"/>
      <x:c r="AJ97" s="38"/>
      <x:c r="AK97" s="38"/>
      <x:c r="AL97" s="38"/>
      <x:c r="AM97" s="38"/>
    </x:row>
    <x:row r="98">
      <x:c r="A98" s="523" t="n">
        <x:f>IF(ISBLANK('_SCHEDULE'!A66),"",'_SCHEDULE'!A66)</x:f>
        <x:v>65</x:v>
      </x:c>
      <x:c r="B98" s="523" t="str">
        <x:f>IF(ISBLANK('_SCHEDULE'!B66),"",IF('_CONFIG'!$B$2="pt-BR",IF('_SCHEDULE'!B66="scheduled","programado",IF('_SCHEDULE'!B66="rejected","rejeitado",'_SCHEDULE'!B66)),'_SCHEDULE'!B66))</x:f>
        <x:v>scheduled</x:v>
      </x:c>
      <x:c r="C98" s="523" t="n">
        <x:f>IF(ISBLANK('_SCHEDULE'!C66),"",'_SCHEDULE'!C66)</x:f>
        <x:v>2</x:v>
      </x:c>
      <x:c r="D98" s="523" t="n">
        <x:f>IF(ISBLANK('_SCHEDULE'!D66),"",'_SCHEDULE'!D66)</x:f>
        <x:v>0</x:v>
      </x:c>
      <x:c r="E98" s="530" t="n">
        <x:f>IF(ISBLANK('_SCHEDULE'!E66),"",'_SCHEDULE'!E66)</x:f>
        <x:v>0</x:v>
      </x:c>
      <x:c r="F98" s="530" t="n">
        <x:f>IF(ISBLANK('_SCHEDULE'!F66),"",'_SCHEDULE'!F66)</x:f>
        <x:v>5700</x:v>
      </x:c>
      <x:c r="G98" s="530" t="n">
        <x:f>IF(ISBLANK('_SCHEDULE'!G66),"",'_SCHEDULE'!G66)</x:f>
        <x:v>20000</x:v>
      </x:c>
      <x:c r="H98" s="530" t="n">
        <x:f>IF(ISBLANK('_SCHEDULE'!H66),"",'_SCHEDULE'!H66)</x:f>
        <x:v>5373</x:v>
      </x:c>
      <x:c r="I98" s="530" t="n">
        <x:f>IF(ISBLANK('_SCHEDULE'!I66),"",'_SCHEDULE'!I66)</x:f>
        <x:v>0</x:v>
      </x:c>
      <x:c r="J98" s="530" t="n">
        <x:f>IF(ISBLANK('_SCHEDULE'!J66),"",'_SCHEDULE'!J66)</x:f>
        <x:v>5373</x:v>
      </x:c>
      <x:c r="K98" s="530" t="n">
        <x:f>IF(ISBLANK('_SCHEDULE'!K66),"",'_SCHEDULE'!K66)</x:f>
        <x:v>70</x:v>
      </x:c>
      <x:c r="L98" s="530" t="n">
        <x:f>IF(ISBLANK('_SCHEDULE'!L66),"",'_SCHEDULE'!L66)</x:f>
        <x:v>5443</x:v>
      </x:c>
      <x:c r="M98" s="530" t="n">
        <x:f>IF(ISBLANK('_SCHEDULE'!M66),"",'_SCHEDULE'!M66)</x:f>
        <x:v>0</x:v>
      </x:c>
      <x:c r="N98" s="530" t="n">
        <x:f>IF(ISBLANK('_SCHEDULE'!N66),"",'_SCHEDULE'!N66)</x:f>
        <x:v>0</x:v>
      </x:c>
      <x:c r="O98" s="530" t="n">
        <x:f>IF(ISBLANK('_SCHEDULE'!O66),"",'_SCHEDULE'!O66)</x:f>
        <x:v>100</x:v>
      </x:c>
      <x:c r="P98" s="530" t="n">
        <x:f>IF(ISBLANK('_SCHEDULE'!P66),"",'_SCHEDULE'!P66)</x:f>
        <x:v>0</x:v>
      </x:c>
      <x:c r="Q98" s="530" t="n">
        <x:f>IF(ISBLANK('_SCHEDULE'!Q66),"",'_SCHEDULE'!Q66)</x:f>
        <x:v>0</x:v>
      </x:c>
      <x:c r="R98" s="530" t="n">
        <x:f>IF(ISBLANK('_SCHEDULE'!R66),"",'_SCHEDULE'!R66)</x:f>
        <x:v>100</x:v>
      </x:c>
      <x:c r="S98" s="523" t="b">
        <x:f>IF(ISBLANK('_SCHEDULE'!S66),"",'_SCHEDULE'!S66)</x:f>
        <x:v>1</x:v>
      </x:c>
      <x:c r="T98" s="38"/>
      <x:c r="U98" s="38"/>
      <x:c r="V98" s="38"/>
      <x:c r="W98" s="38"/>
      <x:c r="X98" s="38"/>
      <x:c r="Y98" s="38"/>
      <x:c r="Z98" s="38"/>
      <x:c r="AA98" s="38"/>
      <x:c r="AB98" s="38"/>
      <x:c r="AC98" s="38"/>
      <x:c r="AD98" s="38"/>
      <x:c r="AE98" s="38"/>
      <x:c r="AF98" s="38"/>
      <x:c r="AG98" s="38"/>
      <x:c r="AH98" s="38"/>
      <x:c r="AI98" s="38"/>
      <x:c r="AJ98" s="38"/>
      <x:c r="AK98" s="38"/>
      <x:c r="AL98" s="38"/>
      <x:c r="AM98" s="38"/>
    </x:row>
    <x:row r="99">
      <x:c r="A99" s="523" t="n">
        <x:f>IF(ISBLANK('_SCHEDULE'!A67),"",'_SCHEDULE'!A67)</x:f>
        <x:v>66</x:v>
      </x:c>
      <x:c r="B99" s="523" t="str">
        <x:f>IF(ISBLANK('_SCHEDULE'!B67),"",IF('_CONFIG'!$B$2="pt-BR",IF('_SCHEDULE'!B67="scheduled","programado",IF('_SCHEDULE'!B67="rejected","rejeitado",'_SCHEDULE'!B67)),'_SCHEDULE'!B67))</x:f>
        <x:v>scheduled</x:v>
      </x:c>
      <x:c r="C99" s="523" t="n">
        <x:f>IF(ISBLANK('_SCHEDULE'!C67),"",'_SCHEDULE'!C67)</x:f>
        <x:v>1</x:v>
      </x:c>
      <x:c r="D99" s="523" t="n">
        <x:f>IF(ISBLANK('_SCHEDULE'!D67),"",'_SCHEDULE'!D67)</x:f>
        <x:v>0</x:v>
      </x:c>
      <x:c r="E99" s="530" t="n">
        <x:f>IF(ISBLANK('_SCHEDULE'!E67),"",'_SCHEDULE'!E67)</x:f>
        <x:v>0</x:v>
      </x:c>
      <x:c r="F99" s="530" t="n">
        <x:f>IF(ISBLANK('_SCHEDULE'!F67),"",'_SCHEDULE'!F67)</x:f>
        <x:v>5700</x:v>
      </x:c>
      <x:c r="G99" s="530" t="n">
        <x:f>IF(ISBLANK('_SCHEDULE'!G67),"",'_SCHEDULE'!G67)</x:f>
        <x:v>20000</x:v>
      </x:c>
      <x:c r="H99" s="530" t="n">
        <x:f>IF(ISBLANK('_SCHEDULE'!H67),"",'_SCHEDULE'!H67)</x:f>
        <x:v>5443</x:v>
      </x:c>
      <x:c r="I99" s="530" t="n">
        <x:f>IF(ISBLANK('_SCHEDULE'!I67),"",'_SCHEDULE'!I67)</x:f>
        <x:v>0</x:v>
      </x:c>
      <x:c r="J99" s="530" t="n">
        <x:f>IF(ISBLANK('_SCHEDULE'!J67),"",'_SCHEDULE'!J67)</x:f>
        <x:v>5443</x:v>
      </x:c>
      <x:c r="K99" s="530" t="n">
        <x:f>IF(ISBLANK('_SCHEDULE'!K67),"",'_SCHEDULE'!K67)</x:f>
        <x:v>70</x:v>
      </x:c>
      <x:c r="L99" s="530" t="n">
        <x:f>IF(ISBLANK('_SCHEDULE'!L67),"",'_SCHEDULE'!L67)</x:f>
        <x:v>5513</x:v>
      </x:c>
      <x:c r="M99" s="530" t="n">
        <x:f>IF(ISBLANK('_SCHEDULE'!M67),"",'_SCHEDULE'!M67)</x:f>
        <x:v>0</x:v>
      </x:c>
      <x:c r="N99" s="530" t="n">
        <x:f>IF(ISBLANK('_SCHEDULE'!N67),"",'_SCHEDULE'!N67)</x:f>
        <x:v>0</x:v>
      </x:c>
      <x:c r="O99" s="530" t="n">
        <x:f>IF(ISBLANK('_SCHEDULE'!O67),"",'_SCHEDULE'!O67)</x:f>
        <x:v>100</x:v>
      </x:c>
      <x:c r="P99" s="530" t="n">
        <x:f>IF(ISBLANK('_SCHEDULE'!P67),"",'_SCHEDULE'!P67)</x:f>
        <x:v>0</x:v>
      </x:c>
      <x:c r="Q99" s="530" t="n">
        <x:f>IF(ISBLANK('_SCHEDULE'!Q67),"",'_SCHEDULE'!Q67)</x:f>
        <x:v>0</x:v>
      </x:c>
      <x:c r="R99" s="530" t="n">
        <x:f>IF(ISBLANK('_SCHEDULE'!R67),"",'_SCHEDULE'!R67)</x:f>
        <x:v>100</x:v>
      </x:c>
      <x:c r="S99" s="523" t="b">
        <x:f>IF(ISBLANK('_SCHEDULE'!S67),"",'_SCHEDULE'!S67)</x:f>
        <x:v>1</x:v>
      </x:c>
      <x:c r="T99" s="38"/>
      <x:c r="U99" s="38"/>
      <x:c r="V99" s="38"/>
      <x:c r="W99" s="38"/>
      <x:c r="X99" s="38"/>
      <x:c r="Y99" s="38"/>
      <x:c r="Z99" s="38"/>
      <x:c r="AA99" s="38"/>
      <x:c r="AB99" s="38"/>
      <x:c r="AC99" s="38"/>
      <x:c r="AD99" s="38"/>
      <x:c r="AE99" s="38"/>
      <x:c r="AF99" s="38"/>
      <x:c r="AG99" s="38"/>
      <x:c r="AH99" s="38"/>
      <x:c r="AI99" s="38"/>
      <x:c r="AJ99" s="38"/>
      <x:c r="AK99" s="38"/>
      <x:c r="AL99" s="38"/>
      <x:c r="AM99" s="38"/>
    </x:row>
    <x:row r="100">
      <x:c r="A100" s="523" t="n">
        <x:f>IF(ISBLANK('_SCHEDULE'!A68),"",'_SCHEDULE'!A68)</x:f>
        <x:v>67</x:v>
      </x:c>
      <x:c r="B100" s="523" t="str">
        <x:f>IF(ISBLANK('_SCHEDULE'!B68),"",IF('_CONFIG'!$B$2="pt-BR",IF('_SCHEDULE'!B68="scheduled","programado",IF('_SCHEDULE'!B68="rejected","rejeitado",'_SCHEDULE'!B68)),'_SCHEDULE'!B68))</x:f>
        <x:v>scheduled</x:v>
      </x:c>
      <x:c r="C100" s="523" t="n">
        <x:f>IF(ISBLANK('_SCHEDULE'!C68),"",'_SCHEDULE'!C68)</x:f>
        <x:v>3</x:v>
      </x:c>
      <x:c r="D100" s="523" t="n">
        <x:f>IF(ISBLANK('_SCHEDULE'!D68),"",'_SCHEDULE'!D68)</x:f>
        <x:v>0</x:v>
      </x:c>
      <x:c r="E100" s="530" t="n">
        <x:f>IF(ISBLANK('_SCHEDULE'!E68),"",'_SCHEDULE'!E68)</x:f>
        <x:v>0</x:v>
      </x:c>
      <x:c r="F100" s="530" t="n">
        <x:f>IF(ISBLANK('_SCHEDULE'!F68),"",'_SCHEDULE'!F68)</x:f>
        <x:v>5700</x:v>
      </x:c>
      <x:c r="G100" s="530" t="n">
        <x:f>IF(ISBLANK('_SCHEDULE'!G68),"",'_SCHEDULE'!G68)</x:f>
        <x:v>20000</x:v>
      </x:c>
      <x:c r="H100" s="530" t="n">
        <x:f>IF(ISBLANK('_SCHEDULE'!H68),"",'_SCHEDULE'!H68)</x:f>
        <x:v>5513</x:v>
      </x:c>
      <x:c r="I100" s="530" t="n">
        <x:f>IF(ISBLANK('_SCHEDULE'!I68),"",'_SCHEDULE'!I68)</x:f>
        <x:v>0</x:v>
      </x:c>
      <x:c r="J100" s="530" t="n">
        <x:f>IF(ISBLANK('_SCHEDULE'!J68),"",'_SCHEDULE'!J68)</x:f>
        <x:v>5513</x:v>
      </x:c>
      <x:c r="K100" s="530" t="n">
        <x:f>IF(ISBLANK('_SCHEDULE'!K68),"",'_SCHEDULE'!K68)</x:f>
        <x:v>70</x:v>
      </x:c>
      <x:c r="L100" s="530" t="n">
        <x:f>IF(ISBLANK('_SCHEDULE'!L68),"",'_SCHEDULE'!L68)</x:f>
        <x:v>5583</x:v>
      </x:c>
      <x:c r="M100" s="530" t="n">
        <x:f>IF(ISBLANK('_SCHEDULE'!M68),"",'_SCHEDULE'!M68)</x:f>
        <x:v>0</x:v>
      </x:c>
      <x:c r="N100" s="530" t="n">
        <x:f>IF(ISBLANK('_SCHEDULE'!N68),"",'_SCHEDULE'!N68)</x:f>
        <x:v>0</x:v>
      </x:c>
      <x:c r="O100" s="530" t="n">
        <x:f>IF(ISBLANK('_SCHEDULE'!O68),"",'_SCHEDULE'!O68)</x:f>
        <x:v>100</x:v>
      </x:c>
      <x:c r="P100" s="530" t="n">
        <x:f>IF(ISBLANK('_SCHEDULE'!P68),"",'_SCHEDULE'!P68)</x:f>
        <x:v>0</x:v>
      </x:c>
      <x:c r="Q100" s="530" t="n">
        <x:f>IF(ISBLANK('_SCHEDULE'!Q68),"",'_SCHEDULE'!Q68)</x:f>
        <x:v>0</x:v>
      </x:c>
      <x:c r="R100" s="530" t="n">
        <x:f>IF(ISBLANK('_SCHEDULE'!R68),"",'_SCHEDULE'!R68)</x:f>
        <x:v>100</x:v>
      </x:c>
      <x:c r="S100" s="523" t="b">
        <x:f>IF(ISBLANK('_SCHEDULE'!S68),"",'_SCHEDULE'!S68)</x:f>
        <x:v>1</x:v>
      </x:c>
      <x:c r="T100" s="38"/>
      <x:c r="U100" s="38"/>
      <x:c r="V100" s="38"/>
      <x:c r="W100" s="38"/>
      <x:c r="X100" s="38"/>
      <x:c r="Y100" s="38"/>
      <x:c r="Z100" s="38"/>
      <x:c r="AA100" s="38"/>
      <x:c r="AB100" s="38"/>
      <x:c r="AC100" s="38"/>
      <x:c r="AD100" s="38"/>
      <x:c r="AE100" s="38"/>
      <x:c r="AF100" s="38"/>
      <x:c r="AG100" s="38"/>
      <x:c r="AH100" s="38"/>
      <x:c r="AI100" s="38"/>
      <x:c r="AJ100" s="38"/>
      <x:c r="AK100" s="38"/>
      <x:c r="AL100" s="38"/>
      <x:c r="AM100" s="38"/>
    </x:row>
    <x:row r="101">
      <x:c r="A101" s="523" t="str">
        <x:f>IF(ISBLANK('_SCHEDULE'!A69),"",'_SCHEDULE'!A69)</x:f>
      </x:c>
      <x:c r="B101" s="523" t="str">
        <x:f>IF(ISBLANK('_SCHEDULE'!B69),"",IF('_CONFIG'!$B$2="pt-BR",IF('_SCHEDULE'!B69="scheduled","programado",IF('_SCHEDULE'!B69="rejected","rejeitado",'_SCHEDULE'!B69)),'_SCHEDULE'!B69))</x:f>
        <x:v>rejected</x:v>
      </x:c>
      <x:c r="C101" s="523" t="n">
        <x:f>IF(ISBLANK('_SCHEDULE'!C69),"",'_SCHEDULE'!C69)</x:f>
        <x:v>48</x:v>
      </x:c>
      <x:c r="D101" s="523" t="n">
        <x:f>IF(ISBLANK('_SCHEDULE'!D69),"",'_SCHEDULE'!D69)</x:f>
        <x:v>2</x:v>
      </x:c>
      <x:c r="E101" s="530" t="n">
        <x:f>IF(ISBLANK('_SCHEDULE'!E69),"",'_SCHEDULE'!E69)</x:f>
        <x:v>0</x:v>
      </x:c>
      <x:c r="F101" s="530" t="n">
        <x:f>IF(ISBLANK('_SCHEDULE'!F69),"",'_SCHEDULE'!F69)</x:f>
        <x:v>700</x:v>
      </x:c>
      <x:c r="G101" s="530" t="n">
        <x:f>IF(ISBLANK('_SCHEDULE'!G69),"",'_SCHEDULE'!G69)</x:f>
        <x:v>20000</x:v>
      </x:c>
      <x:c r="H101" s="530" t="str">
        <x:f>IF(ISBLANK('_SCHEDULE'!H69),"",'_SCHEDULE'!H69)</x:f>
      </x:c>
      <x:c r="I101" s="530" t="str">
        <x:f>IF(ISBLANK('_SCHEDULE'!I69),"",'_SCHEDULE'!I69)</x:f>
      </x:c>
      <x:c r="J101" s="530" t="str">
        <x:f>IF(ISBLANK('_SCHEDULE'!J69),"",'_SCHEDULE'!J69)</x:f>
      </x:c>
      <x:c r="K101" s="530" t="n">
        <x:f>IF(ISBLANK('_SCHEDULE'!K69),"",'_SCHEDULE'!K69)</x:f>
        <x:v>90</x:v>
      </x:c>
      <x:c r="L101" s="530" t="str">
        <x:f>IF(ISBLANK('_SCHEDULE'!L69),"",'_SCHEDULE'!L69)</x:f>
      </x:c>
      <x:c r="M101" s="530" t="str">
        <x:f>IF(ISBLANK('_SCHEDULE'!M69),"",'_SCHEDULE'!M69)</x:f>
      </x:c>
      <x:c r="N101" s="530" t="n">
        <x:f>IF(ISBLANK('_SCHEDULE'!N69),"",'_SCHEDULE'!N69)</x:f>
        <x:v>0</x:v>
      </x:c>
      <x:c r="O101" s="530" t="n">
        <x:f>IF(ISBLANK('_SCHEDULE'!O69),"",'_SCHEDULE'!O69)</x:f>
        <x:v>0</x:v>
      </x:c>
      <x:c r="P101" s="530" t="n">
        <x:f>IF(ISBLANK('_SCHEDULE'!P69),"",'_SCHEDULE'!P69)</x:f>
        <x:v>0</x:v>
      </x:c>
      <x:c r="Q101" s="530" t="n">
        <x:f>IF(ISBLANK('_SCHEDULE'!Q69),"",'_SCHEDULE'!Q69)</x:f>
        <x:v>1750</x:v>
      </x:c>
      <x:c r="R101" s="530" t="n">
        <x:f>IF(ISBLANK('_SCHEDULE'!R69),"",'_SCHEDULE'!R69)</x:f>
        <x:v>1750</x:v>
      </x:c>
      <x:c r="S101" s="523" t="str">
        <x:f>IF(ISBLANK('_SCHEDULE'!S69),"",'_SCHEDULE'!S69)</x:f>
      </x:c>
      <x:c r="T101" s="38"/>
      <x:c r="U101" s="38"/>
      <x:c r="V101" s="38"/>
      <x:c r="W101" s="38"/>
      <x:c r="X101" s="38"/>
      <x:c r="Y101" s="38"/>
      <x:c r="Z101" s="38"/>
      <x:c r="AA101" s="38"/>
      <x:c r="AB101" s="38"/>
      <x:c r="AC101" s="38"/>
      <x:c r="AD101" s="38"/>
      <x:c r="AE101" s="38"/>
      <x:c r="AF101" s="38"/>
      <x:c r="AG101" s="38"/>
      <x:c r="AH101" s="38"/>
      <x:c r="AI101" s="38"/>
      <x:c r="AJ101" s="38"/>
      <x:c r="AK101" s="38"/>
      <x:c r="AL101" s="38"/>
      <x:c r="AM101" s="38"/>
    </x:row>
    <x:row r="102">
      <x:c r="A102" s="523" t="str">
        <x:f>IF(ISBLANK('_SCHEDULE'!A70),"",'_SCHEDULE'!A70)</x:f>
      </x:c>
      <x:c r="B102" s="523" t="str">
        <x:f>IF(ISBLANK('_SCHEDULE'!B70),"",IF('_CONFIG'!$B$2="pt-BR",IF('_SCHEDULE'!B70="scheduled","programado",IF('_SCHEDULE'!B70="rejected","rejeitado",'_SCHEDULE'!B70)),'_SCHEDULE'!B70))</x:f>
        <x:v>rejected</x:v>
      </x:c>
      <x:c r="C102" s="523" t="n">
        <x:f>IF(ISBLANK('_SCHEDULE'!C70),"",'_SCHEDULE'!C70)</x:f>
        <x:v>49</x:v>
      </x:c>
      <x:c r="D102" s="523" t="n">
        <x:f>IF(ISBLANK('_SCHEDULE'!D70),"",'_SCHEDULE'!D70)</x:f>
        <x:v>2</x:v>
      </x:c>
      <x:c r="E102" s="530" t="n">
        <x:f>IF(ISBLANK('_SCHEDULE'!E70),"",'_SCHEDULE'!E70)</x:f>
        <x:v>0</x:v>
      </x:c>
      <x:c r="F102" s="530" t="n">
        <x:f>IF(ISBLANK('_SCHEDULE'!F70),"",'_SCHEDULE'!F70)</x:f>
        <x:v>700</x:v>
      </x:c>
      <x:c r="G102" s="530" t="n">
        <x:f>IF(ISBLANK('_SCHEDULE'!G70),"",'_SCHEDULE'!G70)</x:f>
        <x:v>20000</x:v>
      </x:c>
      <x:c r="H102" s="530" t="str">
        <x:f>IF(ISBLANK('_SCHEDULE'!H70),"",'_SCHEDULE'!H70)</x:f>
      </x:c>
      <x:c r="I102" s="530" t="str">
        <x:f>IF(ISBLANK('_SCHEDULE'!I70),"",'_SCHEDULE'!I70)</x:f>
      </x:c>
      <x:c r="J102" s="530" t="str">
        <x:f>IF(ISBLANK('_SCHEDULE'!J70),"",'_SCHEDULE'!J70)</x:f>
      </x:c>
      <x:c r="K102" s="530" t="n">
        <x:f>IF(ISBLANK('_SCHEDULE'!K70),"",'_SCHEDULE'!K70)</x:f>
        <x:v>90</x:v>
      </x:c>
      <x:c r="L102" s="530" t="str">
        <x:f>IF(ISBLANK('_SCHEDULE'!L70),"",'_SCHEDULE'!L70)</x:f>
      </x:c>
      <x:c r="M102" s="530" t="str">
        <x:f>IF(ISBLANK('_SCHEDULE'!M70),"",'_SCHEDULE'!M70)</x:f>
      </x:c>
      <x:c r="N102" s="530" t="n">
        <x:f>IF(ISBLANK('_SCHEDULE'!N70),"",'_SCHEDULE'!N70)</x:f>
        <x:v>0</x:v>
      </x:c>
      <x:c r="O102" s="530" t="n">
        <x:f>IF(ISBLANK('_SCHEDULE'!O70),"",'_SCHEDULE'!O70)</x:f>
        <x:v>0</x:v>
      </x:c>
      <x:c r="P102" s="530" t="n">
        <x:f>IF(ISBLANK('_SCHEDULE'!P70),"",'_SCHEDULE'!P70)</x:f>
        <x:v>0</x:v>
      </x:c>
      <x:c r="Q102" s="530" t="n">
        <x:f>IF(ISBLANK('_SCHEDULE'!Q70),"",'_SCHEDULE'!Q70)</x:f>
        <x:v>1750</x:v>
      </x:c>
      <x:c r="R102" s="530" t="n">
        <x:f>IF(ISBLANK('_SCHEDULE'!R70),"",'_SCHEDULE'!R70)</x:f>
        <x:v>1750</x:v>
      </x:c>
      <x:c r="S102" s="523" t="str">
        <x:f>IF(ISBLANK('_SCHEDULE'!S70),"",'_SCHEDULE'!S70)</x:f>
      </x:c>
      <x:c r="T102" s="38"/>
      <x:c r="U102" s="38"/>
      <x:c r="V102" s="38"/>
      <x:c r="W102" s="38"/>
      <x:c r="X102" s="38"/>
      <x:c r="Y102" s="38"/>
      <x:c r="Z102" s="38"/>
      <x:c r="AA102" s="38"/>
      <x:c r="AB102" s="38"/>
      <x:c r="AC102" s="38"/>
      <x:c r="AD102" s="38"/>
      <x:c r="AE102" s="38"/>
      <x:c r="AF102" s="38"/>
      <x:c r="AG102" s="38"/>
      <x:c r="AH102" s="38"/>
      <x:c r="AI102" s="38"/>
      <x:c r="AJ102" s="38"/>
      <x:c r="AK102" s="38"/>
      <x:c r="AL102" s="38"/>
      <x:c r="AM102" s="38"/>
    </x:row>
    <x:row r="103">
      <x:c r="A103" s="523" t="str">
        <x:f>IF(ISBLANK('_SCHEDULE'!A71),"",'_SCHEDULE'!A71)</x:f>
      </x:c>
      <x:c r="B103" s="523" t="str">
        <x:f>IF(ISBLANK('_SCHEDULE'!B71),"",IF('_CONFIG'!$B$2="pt-BR",IF('_SCHEDULE'!B71="scheduled","programado",IF('_SCHEDULE'!B71="rejected","rejeitado",'_SCHEDULE'!B71)),'_SCHEDULE'!B71))</x:f>
        <x:v>rejected</x:v>
      </x:c>
      <x:c r="C103" s="523" t="n">
        <x:f>IF(ISBLANK('_SCHEDULE'!C71),"",'_SCHEDULE'!C71)</x:f>
        <x:v>50</x:v>
      </x:c>
      <x:c r="D103" s="523" t="n">
        <x:f>IF(ISBLANK('_SCHEDULE'!D71),"",'_SCHEDULE'!D71)</x:f>
        <x:v>2</x:v>
      </x:c>
      <x:c r="E103" s="530" t="n">
        <x:f>IF(ISBLANK('_SCHEDULE'!E71),"",'_SCHEDULE'!E71)</x:f>
        <x:v>0</x:v>
      </x:c>
      <x:c r="F103" s="530" t="n">
        <x:f>IF(ISBLANK('_SCHEDULE'!F71),"",'_SCHEDULE'!F71)</x:f>
        <x:v>700</x:v>
      </x:c>
      <x:c r="G103" s="530" t="n">
        <x:f>IF(ISBLANK('_SCHEDULE'!G71),"",'_SCHEDULE'!G71)</x:f>
        <x:v>20000</x:v>
      </x:c>
      <x:c r="H103" s="530" t="str">
        <x:f>IF(ISBLANK('_SCHEDULE'!H71),"",'_SCHEDULE'!H71)</x:f>
      </x:c>
      <x:c r="I103" s="530" t="str">
        <x:f>IF(ISBLANK('_SCHEDULE'!I71),"",'_SCHEDULE'!I71)</x:f>
      </x:c>
      <x:c r="J103" s="530" t="str">
        <x:f>IF(ISBLANK('_SCHEDULE'!J71),"",'_SCHEDULE'!J71)</x:f>
      </x:c>
      <x:c r="K103" s="530" t="n">
        <x:f>IF(ISBLANK('_SCHEDULE'!K71),"",'_SCHEDULE'!K71)</x:f>
        <x:v>90</x:v>
      </x:c>
      <x:c r="L103" s="530" t="str">
        <x:f>IF(ISBLANK('_SCHEDULE'!L71),"",'_SCHEDULE'!L71)</x:f>
      </x:c>
      <x:c r="M103" s="530" t="str">
        <x:f>IF(ISBLANK('_SCHEDULE'!M71),"",'_SCHEDULE'!M71)</x:f>
      </x:c>
      <x:c r="N103" s="530" t="n">
        <x:f>IF(ISBLANK('_SCHEDULE'!N71),"",'_SCHEDULE'!N71)</x:f>
        <x:v>0</x:v>
      </x:c>
      <x:c r="O103" s="530" t="n">
        <x:f>IF(ISBLANK('_SCHEDULE'!O71),"",'_SCHEDULE'!O71)</x:f>
        <x:v>0</x:v>
      </x:c>
      <x:c r="P103" s="530" t="n">
        <x:f>IF(ISBLANK('_SCHEDULE'!P71),"",'_SCHEDULE'!P71)</x:f>
        <x:v>0</x:v>
      </x:c>
      <x:c r="Q103" s="530" t="n">
        <x:f>IF(ISBLANK('_SCHEDULE'!Q71),"",'_SCHEDULE'!Q71)</x:f>
        <x:v>1750</x:v>
      </x:c>
      <x:c r="R103" s="530" t="n">
        <x:f>IF(ISBLANK('_SCHEDULE'!R71),"",'_SCHEDULE'!R71)</x:f>
        <x:v>1750</x:v>
      </x:c>
      <x:c r="S103" s="523" t="str">
        <x:f>IF(ISBLANK('_SCHEDULE'!S71),"",'_SCHEDULE'!S71)</x:f>
      </x:c>
      <x:c r="T103" s="38"/>
      <x:c r="U103" s="38"/>
      <x:c r="V103" s="38"/>
      <x:c r="W103" s="38"/>
      <x:c r="X103" s="38"/>
      <x:c r="Y103" s="38"/>
      <x:c r="Z103" s="38"/>
      <x:c r="AA103" s="38"/>
      <x:c r="AB103" s="38"/>
      <x:c r="AC103" s="38"/>
      <x:c r="AD103" s="38"/>
      <x:c r="AE103" s="38"/>
      <x:c r="AF103" s="38"/>
      <x:c r="AG103" s="38"/>
      <x:c r="AH103" s="38"/>
      <x:c r="AI103" s="38"/>
      <x:c r="AJ103" s="38"/>
      <x:c r="AK103" s="38"/>
      <x:c r="AL103" s="38"/>
      <x:c r="AM103" s="38"/>
    </x:row>
    <x:row r="104">
      <x:c r="A104" s="523" t="str">
        <x:f>IF(ISBLANK('_SCHEDULE'!A72),"",'_SCHEDULE'!A72)</x:f>
      </x:c>
      <x:c r="B104" s="523" t="str">
        <x:f>IF(ISBLANK('_SCHEDULE'!B72),"",IF('_CONFIG'!$B$2="pt-BR",IF('_SCHEDULE'!B72="scheduled","programado",IF('_SCHEDULE'!B72="rejected","rejeitado",'_SCHEDULE'!B72)),'_SCHEDULE'!B72))</x:f>
        <x:v>rejected</x:v>
      </x:c>
      <x:c r="C104" s="523" t="n">
        <x:f>IF(ISBLANK('_SCHEDULE'!C72),"",'_SCHEDULE'!C72)</x:f>
        <x:v>51</x:v>
      </x:c>
      <x:c r="D104" s="523" t="n">
        <x:f>IF(ISBLANK('_SCHEDULE'!D72),"",'_SCHEDULE'!D72)</x:f>
        <x:v>2</x:v>
      </x:c>
      <x:c r="E104" s="530" t="n">
        <x:f>IF(ISBLANK('_SCHEDULE'!E72),"",'_SCHEDULE'!E72)</x:f>
        <x:v>0</x:v>
      </x:c>
      <x:c r="F104" s="530" t="n">
        <x:f>IF(ISBLANK('_SCHEDULE'!F72),"",'_SCHEDULE'!F72)</x:f>
        <x:v>700</x:v>
      </x:c>
      <x:c r="G104" s="530" t="n">
        <x:f>IF(ISBLANK('_SCHEDULE'!G72),"",'_SCHEDULE'!G72)</x:f>
        <x:v>20000</x:v>
      </x:c>
      <x:c r="H104" s="530" t="str">
        <x:f>IF(ISBLANK('_SCHEDULE'!H72),"",'_SCHEDULE'!H72)</x:f>
      </x:c>
      <x:c r="I104" s="530" t="str">
        <x:f>IF(ISBLANK('_SCHEDULE'!I72),"",'_SCHEDULE'!I72)</x:f>
      </x:c>
      <x:c r="J104" s="530" t="str">
        <x:f>IF(ISBLANK('_SCHEDULE'!J72),"",'_SCHEDULE'!J72)</x:f>
      </x:c>
      <x:c r="K104" s="530" t="n">
        <x:f>IF(ISBLANK('_SCHEDULE'!K72),"",'_SCHEDULE'!K72)</x:f>
        <x:v>90</x:v>
      </x:c>
      <x:c r="L104" s="530" t="str">
        <x:f>IF(ISBLANK('_SCHEDULE'!L72),"",'_SCHEDULE'!L72)</x:f>
      </x:c>
      <x:c r="M104" s="530" t="str">
        <x:f>IF(ISBLANK('_SCHEDULE'!M72),"",'_SCHEDULE'!M72)</x:f>
      </x:c>
      <x:c r="N104" s="530" t="n">
        <x:f>IF(ISBLANK('_SCHEDULE'!N72),"",'_SCHEDULE'!N72)</x:f>
        <x:v>0</x:v>
      </x:c>
      <x:c r="O104" s="530" t="n">
        <x:f>IF(ISBLANK('_SCHEDULE'!O72),"",'_SCHEDULE'!O72)</x:f>
        <x:v>0</x:v>
      </x:c>
      <x:c r="P104" s="530" t="n">
        <x:f>IF(ISBLANK('_SCHEDULE'!P72),"",'_SCHEDULE'!P72)</x:f>
        <x:v>0</x:v>
      </x:c>
      <x:c r="Q104" s="530" t="n">
        <x:f>IF(ISBLANK('_SCHEDULE'!Q72),"",'_SCHEDULE'!Q72)</x:f>
        <x:v>1750</x:v>
      </x:c>
      <x:c r="R104" s="530" t="n">
        <x:f>IF(ISBLANK('_SCHEDULE'!R72),"",'_SCHEDULE'!R72)</x:f>
        <x:v>1750</x:v>
      </x:c>
      <x:c r="S104" s="523" t="str">
        <x:f>IF(ISBLANK('_SCHEDULE'!S72),"",'_SCHEDULE'!S72)</x:f>
      </x:c>
      <x:c r="T104" s="38"/>
      <x:c r="U104" s="38"/>
      <x:c r="V104" s="38"/>
      <x:c r="W104" s="38"/>
      <x:c r="X104" s="38"/>
      <x:c r="Y104" s="38"/>
      <x:c r="Z104" s="38"/>
      <x:c r="AA104" s="38"/>
      <x:c r="AB104" s="38"/>
      <x:c r="AC104" s="38"/>
      <x:c r="AD104" s="38"/>
      <x:c r="AE104" s="38"/>
      <x:c r="AF104" s="38"/>
      <x:c r="AG104" s="38"/>
      <x:c r="AH104" s="38"/>
      <x:c r="AI104" s="38"/>
      <x:c r="AJ104" s="38"/>
      <x:c r="AK104" s="38"/>
      <x:c r="AL104" s="38"/>
      <x:c r="AM104" s="38"/>
    </x:row>
    <x:row r="105">
      <x:c r="A105" s="523" t="str">
        <x:f>IF(ISBLANK('_SCHEDULE'!A73),"",'_SCHEDULE'!A73)</x:f>
      </x:c>
      <x:c r="B105" s="523" t="str">
        <x:f>IF(ISBLANK('_SCHEDULE'!B73),"",IF('_CONFIG'!$B$2="pt-BR",IF('_SCHEDULE'!B73="scheduled","programado",IF('_SCHEDULE'!B73="rejected","rejeitado",'_SCHEDULE'!B73)),'_SCHEDULE'!B73))</x:f>
        <x:v>rejected</x:v>
      </x:c>
      <x:c r="C105" s="523" t="n">
        <x:f>IF(ISBLANK('_SCHEDULE'!C73),"",'_SCHEDULE'!C73)</x:f>
        <x:v>52</x:v>
      </x:c>
      <x:c r="D105" s="523" t="n">
        <x:f>IF(ISBLANK('_SCHEDULE'!D73),"",'_SCHEDULE'!D73)</x:f>
        <x:v>2</x:v>
      </x:c>
      <x:c r="E105" s="530" t="n">
        <x:f>IF(ISBLANK('_SCHEDULE'!E73),"",'_SCHEDULE'!E73)</x:f>
        <x:v>0</x:v>
      </x:c>
      <x:c r="F105" s="530" t="n">
        <x:f>IF(ISBLANK('_SCHEDULE'!F73),"",'_SCHEDULE'!F73)</x:f>
        <x:v>800</x:v>
      </x:c>
      <x:c r="G105" s="530" t="n">
        <x:f>IF(ISBLANK('_SCHEDULE'!G73),"",'_SCHEDULE'!G73)</x:f>
        <x:v>20000</x:v>
      </x:c>
      <x:c r="H105" s="530" t="str">
        <x:f>IF(ISBLANK('_SCHEDULE'!H73),"",'_SCHEDULE'!H73)</x:f>
      </x:c>
      <x:c r="I105" s="530" t="str">
        <x:f>IF(ISBLANK('_SCHEDULE'!I73),"",'_SCHEDULE'!I73)</x:f>
      </x:c>
      <x:c r="J105" s="530" t="str">
        <x:f>IF(ISBLANK('_SCHEDULE'!J73),"",'_SCHEDULE'!J73)</x:f>
      </x:c>
      <x:c r="K105" s="530" t="n">
        <x:f>IF(ISBLANK('_SCHEDULE'!K73),"",'_SCHEDULE'!K73)</x:f>
        <x:v>90</x:v>
      </x:c>
      <x:c r="L105" s="530" t="str">
        <x:f>IF(ISBLANK('_SCHEDULE'!L73),"",'_SCHEDULE'!L73)</x:f>
      </x:c>
      <x:c r="M105" s="530" t="str">
        <x:f>IF(ISBLANK('_SCHEDULE'!M73),"",'_SCHEDULE'!M73)</x:f>
      </x:c>
      <x:c r="N105" s="530" t="n">
        <x:f>IF(ISBLANK('_SCHEDULE'!N73),"",'_SCHEDULE'!N73)</x:f>
        <x:v>0</x:v>
      </x:c>
      <x:c r="O105" s="530" t="n">
        <x:f>IF(ISBLANK('_SCHEDULE'!O73),"",'_SCHEDULE'!O73)</x:f>
        <x:v>0</x:v>
      </x:c>
      <x:c r="P105" s="530" t="n">
        <x:f>IF(ISBLANK('_SCHEDULE'!P73),"",'_SCHEDULE'!P73)</x:f>
        <x:v>0</x:v>
      </x:c>
      <x:c r="Q105" s="530" t="n">
        <x:f>IF(ISBLANK('_SCHEDULE'!Q73),"",'_SCHEDULE'!Q73)</x:f>
        <x:v>1750</x:v>
      </x:c>
      <x:c r="R105" s="530" t="n">
        <x:f>IF(ISBLANK('_SCHEDULE'!R73),"",'_SCHEDULE'!R73)</x:f>
        <x:v>1750</x:v>
      </x:c>
      <x:c r="S105" s="523" t="str">
        <x:f>IF(ISBLANK('_SCHEDULE'!S73),"",'_SCHEDULE'!S73)</x:f>
      </x:c>
      <x:c r="T105" s="38"/>
      <x:c r="U105" s="38"/>
      <x:c r="V105" s="38"/>
      <x:c r="W105" s="38"/>
      <x:c r="X105" s="38"/>
      <x:c r="Y105" s="38"/>
      <x:c r="Z105" s="38"/>
      <x:c r="AA105" s="38"/>
      <x:c r="AB105" s="38"/>
      <x:c r="AC105" s="38"/>
      <x:c r="AD105" s="38"/>
      <x:c r="AE105" s="38"/>
      <x:c r="AF105" s="38"/>
      <x:c r="AG105" s="38"/>
      <x:c r="AH105" s="38"/>
      <x:c r="AI105" s="38"/>
      <x:c r="AJ105" s="38"/>
      <x:c r="AK105" s="38"/>
      <x:c r="AL105" s="38"/>
      <x:c r="AM105" s="38"/>
    </x:row>
    <x:row r="106">
      <x:c r="A106" s="523" t="str">
        <x:f>IF(ISBLANK('_SCHEDULE'!A74),"",'_SCHEDULE'!A74)</x:f>
      </x:c>
      <x:c r="B106" s="523" t="str">
        <x:f>IF(ISBLANK('_SCHEDULE'!B74),"",IF('_CONFIG'!$B$2="pt-BR",IF('_SCHEDULE'!B74="scheduled","programado",IF('_SCHEDULE'!B74="rejected","rejeitado",'_SCHEDULE'!B74)),'_SCHEDULE'!B74))</x:f>
        <x:v>rejected</x:v>
      </x:c>
      <x:c r="C106" s="523" t="n">
        <x:f>IF(ISBLANK('_SCHEDULE'!C74),"",'_SCHEDULE'!C74)</x:f>
        <x:v>53</x:v>
      </x:c>
      <x:c r="D106" s="523" t="n">
        <x:f>IF(ISBLANK('_SCHEDULE'!D74),"",'_SCHEDULE'!D74)</x:f>
        <x:v>2</x:v>
      </x:c>
      <x:c r="E106" s="530" t="n">
        <x:f>IF(ISBLANK('_SCHEDULE'!E74),"",'_SCHEDULE'!E74)</x:f>
        <x:v>0</x:v>
      </x:c>
      <x:c r="F106" s="530" t="n">
        <x:f>IF(ISBLANK('_SCHEDULE'!F74),"",'_SCHEDULE'!F74)</x:f>
        <x:v>800</x:v>
      </x:c>
      <x:c r="G106" s="530" t="n">
        <x:f>IF(ISBLANK('_SCHEDULE'!G74),"",'_SCHEDULE'!G74)</x:f>
        <x:v>20000</x:v>
      </x:c>
      <x:c r="H106" s="530" t="str">
        <x:f>IF(ISBLANK('_SCHEDULE'!H74),"",'_SCHEDULE'!H74)</x:f>
      </x:c>
      <x:c r="I106" s="530" t="str">
        <x:f>IF(ISBLANK('_SCHEDULE'!I74),"",'_SCHEDULE'!I74)</x:f>
      </x:c>
      <x:c r="J106" s="530" t="str">
        <x:f>IF(ISBLANK('_SCHEDULE'!J74),"",'_SCHEDULE'!J74)</x:f>
      </x:c>
      <x:c r="K106" s="530" t="n">
        <x:f>IF(ISBLANK('_SCHEDULE'!K74),"",'_SCHEDULE'!K74)</x:f>
        <x:v>90</x:v>
      </x:c>
      <x:c r="L106" s="530" t="str">
        <x:f>IF(ISBLANK('_SCHEDULE'!L74),"",'_SCHEDULE'!L74)</x:f>
      </x:c>
      <x:c r="M106" s="530" t="str">
        <x:f>IF(ISBLANK('_SCHEDULE'!M74),"",'_SCHEDULE'!M74)</x:f>
      </x:c>
      <x:c r="N106" s="530" t="n">
        <x:f>IF(ISBLANK('_SCHEDULE'!N74),"",'_SCHEDULE'!N74)</x:f>
        <x:v>0</x:v>
      </x:c>
      <x:c r="O106" s="530" t="n">
        <x:f>IF(ISBLANK('_SCHEDULE'!O74),"",'_SCHEDULE'!O74)</x:f>
        <x:v>0</x:v>
      </x:c>
      <x:c r="P106" s="530" t="n">
        <x:f>IF(ISBLANK('_SCHEDULE'!P74),"",'_SCHEDULE'!P74)</x:f>
        <x:v>0</x:v>
      </x:c>
      <x:c r="Q106" s="530" t="n">
        <x:f>IF(ISBLANK('_SCHEDULE'!Q74),"",'_SCHEDULE'!Q74)</x:f>
        <x:v>1750</x:v>
      </x:c>
      <x:c r="R106" s="530" t="n">
        <x:f>IF(ISBLANK('_SCHEDULE'!R74),"",'_SCHEDULE'!R74)</x:f>
        <x:v>1750</x:v>
      </x:c>
      <x:c r="S106" s="523" t="str">
        <x:f>IF(ISBLANK('_SCHEDULE'!S74),"",'_SCHEDULE'!S74)</x:f>
      </x:c>
      <x:c r="T106" s="38"/>
      <x:c r="U106" s="38"/>
      <x:c r="V106" s="38"/>
      <x:c r="W106" s="38"/>
      <x:c r="X106" s="38"/>
      <x:c r="Y106" s="38"/>
      <x:c r="Z106" s="38"/>
      <x:c r="AA106" s="38"/>
      <x:c r="AB106" s="38"/>
      <x:c r="AC106" s="38"/>
      <x:c r="AD106" s="38"/>
      <x:c r="AE106" s="38"/>
      <x:c r="AF106" s="38"/>
      <x:c r="AG106" s="38"/>
      <x:c r="AH106" s="38"/>
      <x:c r="AI106" s="38"/>
      <x:c r="AJ106" s="38"/>
      <x:c r="AK106" s="38"/>
      <x:c r="AL106" s="38"/>
      <x:c r="AM106" s="38"/>
    </x:row>
    <x:row r="107">
      <x:c r="A107" s="523" t="str">
        <x:f>IF(ISBLANK('_SCHEDULE'!A75),"",'_SCHEDULE'!A75)</x:f>
      </x:c>
      <x:c r="B107" s="523" t="str">
        <x:f>IF(ISBLANK('_SCHEDULE'!B75),"",IF('_CONFIG'!$B$2="pt-BR",IF('_SCHEDULE'!B75="scheduled","programado",IF('_SCHEDULE'!B75="rejected","rejeitado",'_SCHEDULE'!B75)),'_SCHEDULE'!B75))</x:f>
        <x:v>rejected</x:v>
      </x:c>
      <x:c r="C107" s="523" t="n">
        <x:f>IF(ISBLANK('_SCHEDULE'!C75),"",'_SCHEDULE'!C75)</x:f>
        <x:v>54</x:v>
      </x:c>
      <x:c r="D107" s="523" t="n">
        <x:f>IF(ISBLANK('_SCHEDULE'!D75),"",'_SCHEDULE'!D75)</x:f>
        <x:v>2</x:v>
      </x:c>
      <x:c r="E107" s="530" t="n">
        <x:f>IF(ISBLANK('_SCHEDULE'!E75),"",'_SCHEDULE'!E75)</x:f>
        <x:v>0</x:v>
      </x:c>
      <x:c r="F107" s="530" t="n">
        <x:f>IF(ISBLANK('_SCHEDULE'!F75),"",'_SCHEDULE'!F75)</x:f>
        <x:v>800</x:v>
      </x:c>
      <x:c r="G107" s="530" t="n">
        <x:f>IF(ISBLANK('_SCHEDULE'!G75),"",'_SCHEDULE'!G75)</x:f>
        <x:v>20000</x:v>
      </x:c>
      <x:c r="H107" s="530" t="str">
        <x:f>IF(ISBLANK('_SCHEDULE'!H75),"",'_SCHEDULE'!H75)</x:f>
      </x:c>
      <x:c r="I107" s="530" t="str">
        <x:f>IF(ISBLANK('_SCHEDULE'!I75),"",'_SCHEDULE'!I75)</x:f>
      </x:c>
      <x:c r="J107" s="530" t="str">
        <x:f>IF(ISBLANK('_SCHEDULE'!J75),"",'_SCHEDULE'!J75)</x:f>
      </x:c>
      <x:c r="K107" s="530" t="n">
        <x:f>IF(ISBLANK('_SCHEDULE'!K75),"",'_SCHEDULE'!K75)</x:f>
        <x:v>90</x:v>
      </x:c>
      <x:c r="L107" s="530" t="str">
        <x:f>IF(ISBLANK('_SCHEDULE'!L75),"",'_SCHEDULE'!L75)</x:f>
      </x:c>
      <x:c r="M107" s="530" t="str">
        <x:f>IF(ISBLANK('_SCHEDULE'!M75),"",'_SCHEDULE'!M75)</x:f>
      </x:c>
      <x:c r="N107" s="530" t="n">
        <x:f>IF(ISBLANK('_SCHEDULE'!N75),"",'_SCHEDULE'!N75)</x:f>
        <x:v>0</x:v>
      </x:c>
      <x:c r="O107" s="530" t="n">
        <x:f>IF(ISBLANK('_SCHEDULE'!O75),"",'_SCHEDULE'!O75)</x:f>
        <x:v>0</x:v>
      </x:c>
      <x:c r="P107" s="530" t="n">
        <x:f>IF(ISBLANK('_SCHEDULE'!P75),"",'_SCHEDULE'!P75)</x:f>
        <x:v>0</x:v>
      </x:c>
      <x:c r="Q107" s="530" t="n">
        <x:f>IF(ISBLANK('_SCHEDULE'!Q75),"",'_SCHEDULE'!Q75)</x:f>
        <x:v>1750</x:v>
      </x:c>
      <x:c r="R107" s="530" t="n">
        <x:f>IF(ISBLANK('_SCHEDULE'!R75),"",'_SCHEDULE'!R75)</x:f>
        <x:v>1750</x:v>
      </x:c>
      <x:c r="S107" s="523" t="str">
        <x:f>IF(ISBLANK('_SCHEDULE'!S75),"",'_SCHEDULE'!S75)</x:f>
      </x:c>
      <x:c r="T107" s="38"/>
      <x:c r="U107" s="38"/>
      <x:c r="V107" s="38"/>
      <x:c r="W107" s="38"/>
      <x:c r="X107" s="38"/>
      <x:c r="Y107" s="38"/>
      <x:c r="Z107" s="38"/>
      <x:c r="AA107" s="38"/>
      <x:c r="AB107" s="38"/>
      <x:c r="AC107" s="38"/>
      <x:c r="AD107" s="38"/>
      <x:c r="AE107" s="38"/>
      <x:c r="AF107" s="38"/>
      <x:c r="AG107" s="38"/>
      <x:c r="AH107" s="38"/>
      <x:c r="AI107" s="38"/>
      <x:c r="AJ107" s="38"/>
      <x:c r="AK107" s="38"/>
      <x:c r="AL107" s="38"/>
      <x:c r="AM107" s="38"/>
    </x:row>
    <x:row r="108">
      <x:c r="A108" s="523" t="str">
        <x:f>IF(ISBLANK('_SCHEDULE'!A76),"",'_SCHEDULE'!A76)</x:f>
      </x:c>
      <x:c r="B108" s="523" t="str">
        <x:f>IF(ISBLANK('_SCHEDULE'!B76),"",IF('_CONFIG'!$B$2="pt-BR",IF('_SCHEDULE'!B76="scheduled","programado",IF('_SCHEDULE'!B76="rejected","rejeitado",'_SCHEDULE'!B76)),'_SCHEDULE'!B76))</x:f>
        <x:v>rejected</x:v>
      </x:c>
      <x:c r="C108" s="523" t="n">
        <x:f>IF(ISBLANK('_SCHEDULE'!C76),"",'_SCHEDULE'!C76)</x:f>
        <x:v>55</x:v>
      </x:c>
      <x:c r="D108" s="523" t="n">
        <x:f>IF(ISBLANK('_SCHEDULE'!D76),"",'_SCHEDULE'!D76)</x:f>
        <x:v>2</x:v>
      </x:c>
      <x:c r="E108" s="530" t="n">
        <x:f>IF(ISBLANK('_SCHEDULE'!E76),"",'_SCHEDULE'!E76)</x:f>
        <x:v>0</x:v>
      </x:c>
      <x:c r="F108" s="530" t="n">
        <x:f>IF(ISBLANK('_SCHEDULE'!F76),"",'_SCHEDULE'!F76)</x:f>
        <x:v>800</x:v>
      </x:c>
      <x:c r="G108" s="530" t="n">
        <x:f>IF(ISBLANK('_SCHEDULE'!G76),"",'_SCHEDULE'!G76)</x:f>
        <x:v>20000</x:v>
      </x:c>
      <x:c r="H108" s="530" t="str">
        <x:f>IF(ISBLANK('_SCHEDULE'!H76),"",'_SCHEDULE'!H76)</x:f>
      </x:c>
      <x:c r="I108" s="530" t="str">
        <x:f>IF(ISBLANK('_SCHEDULE'!I76),"",'_SCHEDULE'!I76)</x:f>
      </x:c>
      <x:c r="J108" s="530" t="str">
        <x:f>IF(ISBLANK('_SCHEDULE'!J76),"",'_SCHEDULE'!J76)</x:f>
      </x:c>
      <x:c r="K108" s="530" t="n">
        <x:f>IF(ISBLANK('_SCHEDULE'!K76),"",'_SCHEDULE'!K76)</x:f>
        <x:v>90</x:v>
      </x:c>
      <x:c r="L108" s="530" t="str">
        <x:f>IF(ISBLANK('_SCHEDULE'!L76),"",'_SCHEDULE'!L76)</x:f>
      </x:c>
      <x:c r="M108" s="530" t="str">
        <x:f>IF(ISBLANK('_SCHEDULE'!M76),"",'_SCHEDULE'!M76)</x:f>
      </x:c>
      <x:c r="N108" s="530" t="n">
        <x:f>IF(ISBLANK('_SCHEDULE'!N76),"",'_SCHEDULE'!N76)</x:f>
        <x:v>0</x:v>
      </x:c>
      <x:c r="O108" s="530" t="n">
        <x:f>IF(ISBLANK('_SCHEDULE'!O76),"",'_SCHEDULE'!O76)</x:f>
        <x:v>0</x:v>
      </x:c>
      <x:c r="P108" s="530" t="n">
        <x:f>IF(ISBLANK('_SCHEDULE'!P76),"",'_SCHEDULE'!P76)</x:f>
        <x:v>0</x:v>
      </x:c>
      <x:c r="Q108" s="530" t="n">
        <x:f>IF(ISBLANK('_SCHEDULE'!Q76),"",'_SCHEDULE'!Q76)</x:f>
        <x:v>1750</x:v>
      </x:c>
      <x:c r="R108" s="530" t="n">
        <x:f>IF(ISBLANK('_SCHEDULE'!R76),"",'_SCHEDULE'!R76)</x:f>
        <x:v>1750</x:v>
      </x:c>
      <x:c r="S108" s="523" t="str">
        <x:f>IF(ISBLANK('_SCHEDULE'!S76),"",'_SCHEDULE'!S76)</x:f>
      </x:c>
      <x:c r="T108" s="38"/>
      <x:c r="U108" s="38"/>
      <x:c r="V108" s="38"/>
      <x:c r="W108" s="38"/>
      <x:c r="X108" s="38"/>
      <x:c r="Y108" s="38"/>
      <x:c r="Z108" s="38"/>
      <x:c r="AA108" s="38"/>
      <x:c r="AB108" s="38"/>
      <x:c r="AC108" s="38"/>
      <x:c r="AD108" s="38"/>
      <x:c r="AE108" s="38"/>
      <x:c r="AF108" s="38"/>
      <x:c r="AG108" s="38"/>
      <x:c r="AH108" s="38"/>
      <x:c r="AI108" s="38"/>
      <x:c r="AJ108" s="38"/>
      <x:c r="AK108" s="38"/>
      <x:c r="AL108" s="38"/>
      <x:c r="AM108" s="38"/>
    </x:row>
    <x:row r="109">
      <x:c r="A109" s="523" t="str">
        <x:f>IF(ISBLANK('_SCHEDULE'!A77),"",'_SCHEDULE'!A77)</x:f>
      </x:c>
      <x:c r="B109" s="523" t="str">
        <x:f>IF(ISBLANK('_SCHEDULE'!B77),"",IF('_CONFIG'!$B$2="pt-BR",IF('_SCHEDULE'!B77="scheduled","programado",IF('_SCHEDULE'!B77="rejected","rejeitado",'_SCHEDULE'!B77)),'_SCHEDULE'!B77))</x:f>
      </x:c>
      <x:c r="C109" s="523" t="str">
        <x:f>IF(ISBLANK('_SCHEDULE'!C77),"",'_SCHEDULE'!C77)</x:f>
      </x:c>
      <x:c r="D109" s="523" t="str">
        <x:f>IF(ISBLANK('_SCHEDULE'!D77),"",'_SCHEDULE'!D77)</x:f>
      </x:c>
      <x:c r="E109" s="530" t="str">
        <x:f>IF(ISBLANK('_SCHEDULE'!E77),"",'_SCHEDULE'!E77)</x:f>
      </x:c>
      <x:c r="F109" s="530" t="str">
        <x:f>IF(ISBLANK('_SCHEDULE'!F77),"",'_SCHEDULE'!F77)</x:f>
      </x:c>
      <x:c r="G109" s="530" t="str">
        <x:f>IF(ISBLANK('_SCHEDULE'!G77),"",'_SCHEDULE'!G77)</x:f>
      </x:c>
      <x:c r="H109" s="530" t="str">
        <x:f>IF(ISBLANK('_SCHEDULE'!H77),"",'_SCHEDULE'!H77)</x:f>
      </x:c>
      <x:c r="I109" s="530" t="str">
        <x:f>IF(ISBLANK('_SCHEDULE'!I77),"",'_SCHEDULE'!I77)</x:f>
      </x:c>
      <x:c r="J109" s="530" t="str">
        <x:f>IF(ISBLANK('_SCHEDULE'!J77),"",'_SCHEDULE'!J77)</x:f>
      </x:c>
      <x:c r="K109" s="530" t="str">
        <x:f>IF(ISBLANK('_SCHEDULE'!K77),"",'_SCHEDULE'!K77)</x:f>
      </x:c>
      <x:c r="L109" s="530" t="str">
        <x:f>IF(ISBLANK('_SCHEDULE'!L77),"",'_SCHEDULE'!L77)</x:f>
      </x:c>
      <x:c r="M109" s="530" t="str">
        <x:f>IF(ISBLANK('_SCHEDULE'!M77),"",'_SCHEDULE'!M77)</x:f>
      </x:c>
      <x:c r="N109" s="530" t="str">
        <x:f>IF(ISBLANK('_SCHEDULE'!N77),"",'_SCHEDULE'!N77)</x:f>
      </x:c>
      <x:c r="O109" s="530" t="str">
        <x:f>IF(ISBLANK('_SCHEDULE'!O77),"",'_SCHEDULE'!O77)</x:f>
      </x:c>
      <x:c r="P109" s="530" t="str">
        <x:f>IF(ISBLANK('_SCHEDULE'!P77),"",'_SCHEDULE'!P77)</x:f>
      </x:c>
      <x:c r="Q109" s="530" t="str">
        <x:f>IF(ISBLANK('_SCHEDULE'!Q77),"",'_SCHEDULE'!Q77)</x:f>
      </x:c>
      <x:c r="R109" s="530" t="str">
        <x:f>IF(ISBLANK('_SCHEDULE'!R77),"",'_SCHEDULE'!R77)</x:f>
      </x:c>
      <x:c r="S109" s="523" t="str">
        <x:f>IF(ISBLANK('_SCHEDULE'!S77),"",'_SCHEDULE'!S77)</x:f>
      </x:c>
      <x:c r="T109" s="38"/>
      <x:c r="U109" s="38"/>
      <x:c r="V109" s="38"/>
      <x:c r="W109" s="38"/>
      <x:c r="X109" s="38"/>
      <x:c r="Y109" s="38"/>
      <x:c r="Z109" s="38"/>
      <x:c r="AA109" s="38"/>
      <x:c r="AB109" s="38"/>
      <x:c r="AC109" s="38"/>
      <x:c r="AD109" s="38"/>
      <x:c r="AE109" s="38"/>
      <x:c r="AF109" s="38"/>
      <x:c r="AG109" s="38"/>
      <x:c r="AH109" s="38"/>
      <x:c r="AI109" s="38"/>
      <x:c r="AJ109" s="38"/>
      <x:c r="AK109" s="38"/>
      <x:c r="AL109" s="38"/>
      <x:c r="AM109" s="38"/>
    </x:row>
    <x:row r="110">
      <x:c r="A110" s="523" t="str">
        <x:f>IF(ISBLANK('_SCHEDULE'!A78),"",'_SCHEDULE'!A78)</x:f>
      </x:c>
      <x:c r="B110" s="523" t="str">
        <x:f>IF(ISBLANK('_SCHEDULE'!B78),"",IF('_CONFIG'!$B$2="pt-BR",IF('_SCHEDULE'!B78="scheduled","programado",IF('_SCHEDULE'!B78="rejected","rejeitado",'_SCHEDULE'!B78)),'_SCHEDULE'!B78))</x:f>
      </x:c>
      <x:c r="C110" s="523" t="str">
        <x:f>IF(ISBLANK('_SCHEDULE'!C78),"",'_SCHEDULE'!C78)</x:f>
      </x:c>
      <x:c r="D110" s="523" t="str">
        <x:f>IF(ISBLANK('_SCHEDULE'!D78),"",'_SCHEDULE'!D78)</x:f>
      </x:c>
      <x:c r="E110" s="530" t="str">
        <x:f>IF(ISBLANK('_SCHEDULE'!E78),"",'_SCHEDULE'!E78)</x:f>
      </x:c>
      <x:c r="F110" s="530" t="str">
        <x:f>IF(ISBLANK('_SCHEDULE'!F78),"",'_SCHEDULE'!F78)</x:f>
      </x:c>
      <x:c r="G110" s="530" t="str">
        <x:f>IF(ISBLANK('_SCHEDULE'!G78),"",'_SCHEDULE'!G78)</x:f>
      </x:c>
      <x:c r="H110" s="530" t="str">
        <x:f>IF(ISBLANK('_SCHEDULE'!H78),"",'_SCHEDULE'!H78)</x:f>
      </x:c>
      <x:c r="I110" s="530" t="str">
        <x:f>IF(ISBLANK('_SCHEDULE'!I78),"",'_SCHEDULE'!I78)</x:f>
      </x:c>
      <x:c r="J110" s="530" t="str">
        <x:f>IF(ISBLANK('_SCHEDULE'!J78),"",'_SCHEDULE'!J78)</x:f>
      </x:c>
      <x:c r="K110" s="530" t="str">
        <x:f>IF(ISBLANK('_SCHEDULE'!K78),"",'_SCHEDULE'!K78)</x:f>
      </x:c>
      <x:c r="L110" s="530" t="str">
        <x:f>IF(ISBLANK('_SCHEDULE'!L78),"",'_SCHEDULE'!L78)</x:f>
      </x:c>
      <x:c r="M110" s="530" t="str">
        <x:f>IF(ISBLANK('_SCHEDULE'!M78),"",'_SCHEDULE'!M78)</x:f>
      </x:c>
      <x:c r="N110" s="530" t="str">
        <x:f>IF(ISBLANK('_SCHEDULE'!N78),"",'_SCHEDULE'!N78)</x:f>
      </x:c>
      <x:c r="O110" s="530" t="str">
        <x:f>IF(ISBLANK('_SCHEDULE'!O78),"",'_SCHEDULE'!O78)</x:f>
      </x:c>
      <x:c r="P110" s="530" t="str">
        <x:f>IF(ISBLANK('_SCHEDULE'!P78),"",'_SCHEDULE'!P78)</x:f>
      </x:c>
      <x:c r="Q110" s="530" t="str">
        <x:f>IF(ISBLANK('_SCHEDULE'!Q78),"",'_SCHEDULE'!Q78)</x:f>
      </x:c>
      <x:c r="R110" s="530" t="str">
        <x:f>IF(ISBLANK('_SCHEDULE'!R78),"",'_SCHEDULE'!R78)</x:f>
      </x:c>
      <x:c r="S110" s="523" t="str">
        <x:f>IF(ISBLANK('_SCHEDULE'!S78),"",'_SCHEDULE'!S78)</x:f>
      </x:c>
      <x:c r="T110" s="38"/>
      <x:c r="U110" s="38"/>
      <x:c r="V110" s="38"/>
      <x:c r="W110" s="38"/>
      <x:c r="X110" s="38"/>
      <x:c r="Y110" s="38"/>
      <x:c r="Z110" s="38"/>
      <x:c r="AA110" s="38"/>
      <x:c r="AB110" s="38"/>
      <x:c r="AC110" s="38"/>
      <x:c r="AD110" s="38"/>
      <x:c r="AE110" s="38"/>
      <x:c r="AF110" s="38"/>
      <x:c r="AG110" s="38"/>
      <x:c r="AH110" s="38"/>
      <x:c r="AI110" s="38"/>
      <x:c r="AJ110" s="38"/>
      <x:c r="AK110" s="38"/>
      <x:c r="AL110" s="38"/>
      <x:c r="AM110" s="38"/>
    </x:row>
    <x:row r="111">
      <x:c r="A111" s="523" t="str">
        <x:f>IF(ISBLANK('_SCHEDULE'!A79),"",'_SCHEDULE'!A79)</x:f>
      </x:c>
      <x:c r="B111" s="523" t="str">
        <x:f>IF(ISBLANK('_SCHEDULE'!B79),"",IF('_CONFIG'!$B$2="pt-BR",IF('_SCHEDULE'!B79="scheduled","programado",IF('_SCHEDULE'!B79="rejected","rejeitado",'_SCHEDULE'!B79)),'_SCHEDULE'!B79))</x:f>
      </x:c>
      <x:c r="C111" s="523" t="str">
        <x:f>IF(ISBLANK('_SCHEDULE'!C79),"",'_SCHEDULE'!C79)</x:f>
      </x:c>
      <x:c r="D111" s="523" t="str">
        <x:f>IF(ISBLANK('_SCHEDULE'!D79),"",'_SCHEDULE'!D79)</x:f>
      </x:c>
      <x:c r="E111" s="530" t="str">
        <x:f>IF(ISBLANK('_SCHEDULE'!E79),"",'_SCHEDULE'!E79)</x:f>
      </x:c>
      <x:c r="F111" s="530" t="str">
        <x:f>IF(ISBLANK('_SCHEDULE'!F79),"",'_SCHEDULE'!F79)</x:f>
      </x:c>
      <x:c r="G111" s="530" t="str">
        <x:f>IF(ISBLANK('_SCHEDULE'!G79),"",'_SCHEDULE'!G79)</x:f>
      </x:c>
      <x:c r="H111" s="530" t="str">
        <x:f>IF(ISBLANK('_SCHEDULE'!H79),"",'_SCHEDULE'!H79)</x:f>
      </x:c>
      <x:c r="I111" s="530" t="str">
        <x:f>IF(ISBLANK('_SCHEDULE'!I79),"",'_SCHEDULE'!I79)</x:f>
      </x:c>
      <x:c r="J111" s="530" t="str">
        <x:f>IF(ISBLANK('_SCHEDULE'!J79),"",'_SCHEDULE'!J79)</x:f>
      </x:c>
      <x:c r="K111" s="530" t="str">
        <x:f>IF(ISBLANK('_SCHEDULE'!K79),"",'_SCHEDULE'!K79)</x:f>
      </x:c>
      <x:c r="L111" s="530" t="str">
        <x:f>IF(ISBLANK('_SCHEDULE'!L79),"",'_SCHEDULE'!L79)</x:f>
      </x:c>
      <x:c r="M111" s="530" t="str">
        <x:f>IF(ISBLANK('_SCHEDULE'!M79),"",'_SCHEDULE'!M79)</x:f>
      </x:c>
      <x:c r="N111" s="530" t="str">
        <x:f>IF(ISBLANK('_SCHEDULE'!N79),"",'_SCHEDULE'!N79)</x:f>
      </x:c>
      <x:c r="O111" s="530" t="str">
        <x:f>IF(ISBLANK('_SCHEDULE'!O79),"",'_SCHEDULE'!O79)</x:f>
      </x:c>
      <x:c r="P111" s="530" t="str">
        <x:f>IF(ISBLANK('_SCHEDULE'!P79),"",'_SCHEDULE'!P79)</x:f>
      </x:c>
      <x:c r="Q111" s="530" t="str">
        <x:f>IF(ISBLANK('_SCHEDULE'!Q79),"",'_SCHEDULE'!Q79)</x:f>
      </x:c>
      <x:c r="R111" s="530" t="str">
        <x:f>IF(ISBLANK('_SCHEDULE'!R79),"",'_SCHEDULE'!R79)</x:f>
      </x:c>
      <x:c r="S111" s="523" t="str">
        <x:f>IF(ISBLANK('_SCHEDULE'!S79),"",'_SCHEDULE'!S79)</x:f>
      </x:c>
      <x:c r="T111" s="38"/>
      <x:c r="U111" s="38"/>
      <x:c r="V111" s="38"/>
      <x:c r="W111" s="38"/>
      <x:c r="X111" s="38"/>
      <x:c r="Y111" s="38"/>
      <x:c r="Z111" s="38"/>
      <x:c r="AA111" s="38"/>
      <x:c r="AB111" s="38"/>
      <x:c r="AC111" s="38"/>
      <x:c r="AD111" s="38"/>
      <x:c r="AE111" s="38"/>
      <x:c r="AF111" s="38"/>
      <x:c r="AG111" s="38"/>
      <x:c r="AH111" s="38"/>
      <x:c r="AI111" s="38"/>
      <x:c r="AJ111" s="38"/>
      <x:c r="AK111" s="38"/>
      <x:c r="AL111" s="38"/>
      <x:c r="AM111" s="38"/>
    </x:row>
    <x:row r="112">
      <x:c r="A112" s="523" t="str">
        <x:f>IF(ISBLANK('_SCHEDULE'!A80),"",'_SCHEDULE'!A80)</x:f>
      </x:c>
      <x:c r="B112" s="523" t="str">
        <x:f>IF(ISBLANK('_SCHEDULE'!B80),"",IF('_CONFIG'!$B$2="pt-BR",IF('_SCHEDULE'!B80="scheduled","programado",IF('_SCHEDULE'!B80="rejected","rejeitado",'_SCHEDULE'!B80)),'_SCHEDULE'!B80))</x:f>
      </x:c>
      <x:c r="C112" s="523" t="str">
        <x:f>IF(ISBLANK('_SCHEDULE'!C80),"",'_SCHEDULE'!C80)</x:f>
      </x:c>
      <x:c r="D112" s="523" t="str">
        <x:f>IF(ISBLANK('_SCHEDULE'!D80),"",'_SCHEDULE'!D80)</x:f>
      </x:c>
      <x:c r="E112" s="530" t="str">
        <x:f>IF(ISBLANK('_SCHEDULE'!E80),"",'_SCHEDULE'!E80)</x:f>
      </x:c>
      <x:c r="F112" s="530" t="str">
        <x:f>IF(ISBLANK('_SCHEDULE'!F80),"",'_SCHEDULE'!F80)</x:f>
      </x:c>
      <x:c r="G112" s="530" t="str">
        <x:f>IF(ISBLANK('_SCHEDULE'!G80),"",'_SCHEDULE'!G80)</x:f>
      </x:c>
      <x:c r="H112" s="530" t="str">
        <x:f>IF(ISBLANK('_SCHEDULE'!H80),"",'_SCHEDULE'!H80)</x:f>
      </x:c>
      <x:c r="I112" s="530" t="str">
        <x:f>IF(ISBLANK('_SCHEDULE'!I80),"",'_SCHEDULE'!I80)</x:f>
      </x:c>
      <x:c r="J112" s="530" t="str">
        <x:f>IF(ISBLANK('_SCHEDULE'!J80),"",'_SCHEDULE'!J80)</x:f>
      </x:c>
      <x:c r="K112" s="530" t="str">
        <x:f>IF(ISBLANK('_SCHEDULE'!K80),"",'_SCHEDULE'!K80)</x:f>
      </x:c>
      <x:c r="L112" s="530" t="str">
        <x:f>IF(ISBLANK('_SCHEDULE'!L80),"",'_SCHEDULE'!L80)</x:f>
      </x:c>
      <x:c r="M112" s="530" t="str">
        <x:f>IF(ISBLANK('_SCHEDULE'!M80),"",'_SCHEDULE'!M80)</x:f>
      </x:c>
      <x:c r="N112" s="530" t="str">
        <x:f>IF(ISBLANK('_SCHEDULE'!N80),"",'_SCHEDULE'!N80)</x:f>
      </x:c>
      <x:c r="O112" s="530" t="str">
        <x:f>IF(ISBLANK('_SCHEDULE'!O80),"",'_SCHEDULE'!O80)</x:f>
      </x:c>
      <x:c r="P112" s="530" t="str">
        <x:f>IF(ISBLANK('_SCHEDULE'!P80),"",'_SCHEDULE'!P80)</x:f>
      </x:c>
      <x:c r="Q112" s="530" t="str">
        <x:f>IF(ISBLANK('_SCHEDULE'!Q80),"",'_SCHEDULE'!Q80)</x:f>
      </x:c>
      <x:c r="R112" s="530" t="str">
        <x:f>IF(ISBLANK('_SCHEDULE'!R80),"",'_SCHEDULE'!R80)</x:f>
      </x:c>
      <x:c r="S112" s="523" t="str">
        <x:f>IF(ISBLANK('_SCHEDULE'!S80),"",'_SCHEDULE'!S80)</x:f>
      </x:c>
      <x:c r="T112" s="38"/>
      <x:c r="U112" s="38"/>
      <x:c r="V112" s="38"/>
      <x:c r="W112" s="38"/>
      <x:c r="X112" s="38"/>
      <x:c r="Y112" s="38"/>
      <x:c r="Z112" s="38"/>
      <x:c r="AA112" s="38"/>
      <x:c r="AB112" s="38"/>
      <x:c r="AC112" s="38"/>
      <x:c r="AD112" s="38"/>
      <x:c r="AE112" s="38"/>
      <x:c r="AF112" s="38"/>
      <x:c r="AG112" s="38"/>
      <x:c r="AH112" s="38"/>
      <x:c r="AI112" s="38"/>
      <x:c r="AJ112" s="38"/>
      <x:c r="AK112" s="38"/>
      <x:c r="AL112" s="38"/>
      <x:c r="AM112" s="38"/>
    </x:row>
    <x:row r="113">
      <x:c r="A113" s="523" t="str">
        <x:f>IF(ISBLANK('_SCHEDULE'!A81),"",'_SCHEDULE'!A81)</x:f>
      </x:c>
      <x:c r="B113" s="523" t="str">
        <x:f>IF(ISBLANK('_SCHEDULE'!B81),"",IF('_CONFIG'!$B$2="pt-BR",IF('_SCHEDULE'!B81="scheduled","programado",IF('_SCHEDULE'!B81="rejected","rejeitado",'_SCHEDULE'!B81)),'_SCHEDULE'!B81))</x:f>
      </x:c>
      <x:c r="C113" s="523" t="str">
        <x:f>IF(ISBLANK('_SCHEDULE'!C81),"",'_SCHEDULE'!C81)</x:f>
      </x:c>
      <x:c r="D113" s="523" t="str">
        <x:f>IF(ISBLANK('_SCHEDULE'!D81),"",'_SCHEDULE'!D81)</x:f>
      </x:c>
      <x:c r="E113" s="530" t="str">
        <x:f>IF(ISBLANK('_SCHEDULE'!E81),"",'_SCHEDULE'!E81)</x:f>
      </x:c>
      <x:c r="F113" s="530" t="str">
        <x:f>IF(ISBLANK('_SCHEDULE'!F81),"",'_SCHEDULE'!F81)</x:f>
      </x:c>
      <x:c r="G113" s="530" t="str">
        <x:f>IF(ISBLANK('_SCHEDULE'!G81),"",'_SCHEDULE'!G81)</x:f>
      </x:c>
      <x:c r="H113" s="530" t="str">
        <x:f>IF(ISBLANK('_SCHEDULE'!H81),"",'_SCHEDULE'!H81)</x:f>
      </x:c>
      <x:c r="I113" s="530" t="str">
        <x:f>IF(ISBLANK('_SCHEDULE'!I81),"",'_SCHEDULE'!I81)</x:f>
      </x:c>
      <x:c r="J113" s="530" t="str">
        <x:f>IF(ISBLANK('_SCHEDULE'!J81),"",'_SCHEDULE'!J81)</x:f>
      </x:c>
      <x:c r="K113" s="530" t="str">
        <x:f>IF(ISBLANK('_SCHEDULE'!K81),"",'_SCHEDULE'!K81)</x:f>
      </x:c>
      <x:c r="L113" s="530" t="str">
        <x:f>IF(ISBLANK('_SCHEDULE'!L81),"",'_SCHEDULE'!L81)</x:f>
      </x:c>
      <x:c r="M113" s="530" t="str">
        <x:f>IF(ISBLANK('_SCHEDULE'!M81),"",'_SCHEDULE'!M81)</x:f>
      </x:c>
      <x:c r="N113" s="530" t="str">
        <x:f>IF(ISBLANK('_SCHEDULE'!N81),"",'_SCHEDULE'!N81)</x:f>
      </x:c>
      <x:c r="O113" s="530" t="str">
        <x:f>IF(ISBLANK('_SCHEDULE'!O81),"",'_SCHEDULE'!O81)</x:f>
      </x:c>
      <x:c r="P113" s="530" t="str">
        <x:f>IF(ISBLANK('_SCHEDULE'!P81),"",'_SCHEDULE'!P81)</x:f>
      </x:c>
      <x:c r="Q113" s="530" t="str">
        <x:f>IF(ISBLANK('_SCHEDULE'!Q81),"",'_SCHEDULE'!Q81)</x:f>
      </x:c>
      <x:c r="R113" s="530" t="str">
        <x:f>IF(ISBLANK('_SCHEDULE'!R81),"",'_SCHEDULE'!R81)</x:f>
      </x:c>
      <x:c r="S113" s="523" t="str">
        <x:f>IF(ISBLANK('_SCHEDULE'!S81),"",'_SCHEDULE'!S81)</x:f>
      </x:c>
      <x:c r="T113" s="38"/>
      <x:c r="U113" s="38"/>
      <x:c r="V113" s="38"/>
      <x:c r="W113" s="38"/>
      <x:c r="X113" s="38"/>
      <x:c r="Y113" s="38"/>
      <x:c r="Z113" s="38"/>
      <x:c r="AA113" s="38"/>
      <x:c r="AB113" s="38"/>
      <x:c r="AC113" s="38"/>
      <x:c r="AD113" s="38"/>
      <x:c r="AE113" s="38"/>
      <x:c r="AF113" s="38"/>
      <x:c r="AG113" s="38"/>
      <x:c r="AH113" s="38"/>
      <x:c r="AI113" s="38"/>
      <x:c r="AJ113" s="38"/>
      <x:c r="AK113" s="38"/>
      <x:c r="AL113" s="38"/>
      <x:c r="AM113" s="38"/>
    </x:row>
    <x:row r="114">
      <x:c r="A114" s="523" t="str">
        <x:f>IF(ISBLANK('_SCHEDULE'!A82),"",'_SCHEDULE'!A82)</x:f>
      </x:c>
      <x:c r="B114" s="523" t="str">
        <x:f>IF(ISBLANK('_SCHEDULE'!B82),"",IF('_CONFIG'!$B$2="pt-BR",IF('_SCHEDULE'!B82="scheduled","programado",IF('_SCHEDULE'!B82="rejected","rejeitado",'_SCHEDULE'!B82)),'_SCHEDULE'!B82))</x:f>
      </x:c>
      <x:c r="C114" s="523" t="str">
        <x:f>IF(ISBLANK('_SCHEDULE'!C82),"",'_SCHEDULE'!C82)</x:f>
      </x:c>
      <x:c r="D114" s="523" t="str">
        <x:f>IF(ISBLANK('_SCHEDULE'!D82),"",'_SCHEDULE'!D82)</x:f>
      </x:c>
      <x:c r="E114" s="530" t="str">
        <x:f>IF(ISBLANK('_SCHEDULE'!E82),"",'_SCHEDULE'!E82)</x:f>
      </x:c>
      <x:c r="F114" s="530" t="str">
        <x:f>IF(ISBLANK('_SCHEDULE'!F82),"",'_SCHEDULE'!F82)</x:f>
      </x:c>
      <x:c r="G114" s="530" t="str">
        <x:f>IF(ISBLANK('_SCHEDULE'!G82),"",'_SCHEDULE'!G82)</x:f>
      </x:c>
      <x:c r="H114" s="530" t="str">
        <x:f>IF(ISBLANK('_SCHEDULE'!H82),"",'_SCHEDULE'!H82)</x:f>
      </x:c>
      <x:c r="I114" s="530" t="str">
        <x:f>IF(ISBLANK('_SCHEDULE'!I82),"",'_SCHEDULE'!I82)</x:f>
      </x:c>
      <x:c r="J114" s="530" t="str">
        <x:f>IF(ISBLANK('_SCHEDULE'!J82),"",'_SCHEDULE'!J82)</x:f>
      </x:c>
      <x:c r="K114" s="530" t="str">
        <x:f>IF(ISBLANK('_SCHEDULE'!K82),"",'_SCHEDULE'!K82)</x:f>
      </x:c>
      <x:c r="L114" s="530" t="str">
        <x:f>IF(ISBLANK('_SCHEDULE'!L82),"",'_SCHEDULE'!L82)</x:f>
      </x:c>
      <x:c r="M114" s="530" t="str">
        <x:f>IF(ISBLANK('_SCHEDULE'!M82),"",'_SCHEDULE'!M82)</x:f>
      </x:c>
      <x:c r="N114" s="530" t="str">
        <x:f>IF(ISBLANK('_SCHEDULE'!N82),"",'_SCHEDULE'!N82)</x:f>
      </x:c>
      <x:c r="O114" s="530" t="str">
        <x:f>IF(ISBLANK('_SCHEDULE'!O82),"",'_SCHEDULE'!O82)</x:f>
      </x:c>
      <x:c r="P114" s="530" t="str">
        <x:f>IF(ISBLANK('_SCHEDULE'!P82),"",'_SCHEDULE'!P82)</x:f>
      </x:c>
      <x:c r="Q114" s="530" t="str">
        <x:f>IF(ISBLANK('_SCHEDULE'!Q82),"",'_SCHEDULE'!Q82)</x:f>
      </x:c>
      <x:c r="R114" s="530" t="str">
        <x:f>IF(ISBLANK('_SCHEDULE'!R82),"",'_SCHEDULE'!R82)</x:f>
      </x:c>
      <x:c r="S114" s="523" t="str">
        <x:f>IF(ISBLANK('_SCHEDULE'!S82),"",'_SCHEDULE'!S82)</x:f>
      </x:c>
      <x:c r="T114" s="38"/>
      <x:c r="U114" s="38"/>
      <x:c r="V114" s="38"/>
      <x:c r="W114" s="38"/>
      <x:c r="X114" s="38"/>
      <x:c r="Y114" s="38"/>
      <x:c r="Z114" s="38"/>
      <x:c r="AA114" s="38"/>
      <x:c r="AB114" s="38"/>
      <x:c r="AC114" s="38"/>
      <x:c r="AD114" s="38"/>
      <x:c r="AE114" s="38"/>
      <x:c r="AF114" s="38"/>
      <x:c r="AG114" s="38"/>
      <x:c r="AH114" s="38"/>
      <x:c r="AI114" s="38"/>
      <x:c r="AJ114" s="38"/>
      <x:c r="AK114" s="38"/>
      <x:c r="AL114" s="38"/>
      <x:c r="AM114" s="38"/>
    </x:row>
    <x:row r="115">
      <x:c r="A115" s="523" t="str">
        <x:f>IF(ISBLANK('_SCHEDULE'!A83),"",'_SCHEDULE'!A83)</x:f>
      </x:c>
      <x:c r="B115" s="523" t="str">
        <x:f>IF(ISBLANK('_SCHEDULE'!B83),"",IF('_CONFIG'!$B$2="pt-BR",IF('_SCHEDULE'!B83="scheduled","programado",IF('_SCHEDULE'!B83="rejected","rejeitado",'_SCHEDULE'!B83)),'_SCHEDULE'!B83))</x:f>
      </x:c>
      <x:c r="C115" s="523" t="str">
        <x:f>IF(ISBLANK('_SCHEDULE'!C83),"",'_SCHEDULE'!C83)</x:f>
      </x:c>
      <x:c r="D115" s="523" t="str">
        <x:f>IF(ISBLANK('_SCHEDULE'!D83),"",'_SCHEDULE'!D83)</x:f>
      </x:c>
      <x:c r="E115" s="530" t="str">
        <x:f>IF(ISBLANK('_SCHEDULE'!E83),"",'_SCHEDULE'!E83)</x:f>
      </x:c>
      <x:c r="F115" s="530" t="str">
        <x:f>IF(ISBLANK('_SCHEDULE'!F83),"",'_SCHEDULE'!F83)</x:f>
      </x:c>
      <x:c r="G115" s="530" t="str">
        <x:f>IF(ISBLANK('_SCHEDULE'!G83),"",'_SCHEDULE'!G83)</x:f>
      </x:c>
      <x:c r="H115" s="530" t="str">
        <x:f>IF(ISBLANK('_SCHEDULE'!H83),"",'_SCHEDULE'!H83)</x:f>
      </x:c>
      <x:c r="I115" s="530" t="str">
        <x:f>IF(ISBLANK('_SCHEDULE'!I83),"",'_SCHEDULE'!I83)</x:f>
      </x:c>
      <x:c r="J115" s="530" t="str">
        <x:f>IF(ISBLANK('_SCHEDULE'!J83),"",'_SCHEDULE'!J83)</x:f>
      </x:c>
      <x:c r="K115" s="530" t="str">
        <x:f>IF(ISBLANK('_SCHEDULE'!K83),"",'_SCHEDULE'!K83)</x:f>
      </x:c>
      <x:c r="L115" s="530" t="str">
        <x:f>IF(ISBLANK('_SCHEDULE'!L83),"",'_SCHEDULE'!L83)</x:f>
      </x:c>
      <x:c r="M115" s="530" t="str">
        <x:f>IF(ISBLANK('_SCHEDULE'!M83),"",'_SCHEDULE'!M83)</x:f>
      </x:c>
      <x:c r="N115" s="530" t="str">
        <x:f>IF(ISBLANK('_SCHEDULE'!N83),"",'_SCHEDULE'!N83)</x:f>
      </x:c>
      <x:c r="O115" s="530" t="str">
        <x:f>IF(ISBLANK('_SCHEDULE'!O83),"",'_SCHEDULE'!O83)</x:f>
      </x:c>
      <x:c r="P115" s="530" t="str">
        <x:f>IF(ISBLANK('_SCHEDULE'!P83),"",'_SCHEDULE'!P83)</x:f>
      </x:c>
      <x:c r="Q115" s="530" t="str">
        <x:f>IF(ISBLANK('_SCHEDULE'!Q83),"",'_SCHEDULE'!Q83)</x:f>
      </x:c>
      <x:c r="R115" s="530" t="str">
        <x:f>IF(ISBLANK('_SCHEDULE'!R83),"",'_SCHEDULE'!R83)</x:f>
      </x:c>
      <x:c r="S115" s="523" t="str">
        <x:f>IF(ISBLANK('_SCHEDULE'!S83),"",'_SCHEDULE'!S83)</x:f>
      </x:c>
      <x:c r="T115" s="38"/>
      <x:c r="U115" s="38"/>
      <x:c r="V115" s="38"/>
      <x:c r="W115" s="38"/>
      <x:c r="X115" s="38"/>
      <x:c r="Y115" s="38"/>
      <x:c r="Z115" s="38"/>
      <x:c r="AA115" s="38"/>
      <x:c r="AB115" s="38"/>
      <x:c r="AC115" s="38"/>
      <x:c r="AD115" s="38"/>
      <x:c r="AE115" s="38"/>
      <x:c r="AF115" s="38"/>
      <x:c r="AG115" s="38"/>
      <x:c r="AH115" s="38"/>
      <x:c r="AI115" s="38"/>
      <x:c r="AJ115" s="38"/>
      <x:c r="AK115" s="38"/>
      <x:c r="AL115" s="38"/>
      <x:c r="AM115" s="38"/>
    </x:row>
    <x:row r="116">
      <x:c r="A116" s="523" t="str">
        <x:f>IF(ISBLANK('_SCHEDULE'!A84),"",'_SCHEDULE'!A84)</x:f>
      </x:c>
      <x:c r="B116" s="523" t="str">
        <x:f>IF(ISBLANK('_SCHEDULE'!B84),"",IF('_CONFIG'!$B$2="pt-BR",IF('_SCHEDULE'!B84="scheduled","programado",IF('_SCHEDULE'!B84="rejected","rejeitado",'_SCHEDULE'!B84)),'_SCHEDULE'!B84))</x:f>
      </x:c>
      <x:c r="C116" s="523" t="str">
        <x:f>IF(ISBLANK('_SCHEDULE'!C84),"",'_SCHEDULE'!C84)</x:f>
      </x:c>
      <x:c r="D116" s="523" t="str">
        <x:f>IF(ISBLANK('_SCHEDULE'!D84),"",'_SCHEDULE'!D84)</x:f>
      </x:c>
      <x:c r="E116" s="530" t="str">
        <x:f>IF(ISBLANK('_SCHEDULE'!E84),"",'_SCHEDULE'!E84)</x:f>
      </x:c>
      <x:c r="F116" s="530" t="str">
        <x:f>IF(ISBLANK('_SCHEDULE'!F84),"",'_SCHEDULE'!F84)</x:f>
      </x:c>
      <x:c r="G116" s="530" t="str">
        <x:f>IF(ISBLANK('_SCHEDULE'!G84),"",'_SCHEDULE'!G84)</x:f>
      </x:c>
      <x:c r="H116" s="530" t="str">
        <x:f>IF(ISBLANK('_SCHEDULE'!H84),"",'_SCHEDULE'!H84)</x:f>
      </x:c>
      <x:c r="I116" s="530" t="str">
        <x:f>IF(ISBLANK('_SCHEDULE'!I84),"",'_SCHEDULE'!I84)</x:f>
      </x:c>
      <x:c r="J116" s="530" t="str">
        <x:f>IF(ISBLANK('_SCHEDULE'!J84),"",'_SCHEDULE'!J84)</x:f>
      </x:c>
      <x:c r="K116" s="530" t="str">
        <x:f>IF(ISBLANK('_SCHEDULE'!K84),"",'_SCHEDULE'!K84)</x:f>
      </x:c>
      <x:c r="L116" s="530" t="str">
        <x:f>IF(ISBLANK('_SCHEDULE'!L84),"",'_SCHEDULE'!L84)</x:f>
      </x:c>
      <x:c r="M116" s="530" t="str">
        <x:f>IF(ISBLANK('_SCHEDULE'!M84),"",'_SCHEDULE'!M84)</x:f>
      </x:c>
      <x:c r="N116" s="530" t="str">
        <x:f>IF(ISBLANK('_SCHEDULE'!N84),"",'_SCHEDULE'!N84)</x:f>
      </x:c>
      <x:c r="O116" s="530" t="str">
        <x:f>IF(ISBLANK('_SCHEDULE'!O84),"",'_SCHEDULE'!O84)</x:f>
      </x:c>
      <x:c r="P116" s="530" t="str">
        <x:f>IF(ISBLANK('_SCHEDULE'!P84),"",'_SCHEDULE'!P84)</x:f>
      </x:c>
      <x:c r="Q116" s="530" t="str">
        <x:f>IF(ISBLANK('_SCHEDULE'!Q84),"",'_SCHEDULE'!Q84)</x:f>
      </x:c>
      <x:c r="R116" s="530" t="str">
        <x:f>IF(ISBLANK('_SCHEDULE'!R84),"",'_SCHEDULE'!R84)</x:f>
      </x:c>
      <x:c r="S116" s="523" t="str">
        <x:f>IF(ISBLANK('_SCHEDULE'!S84),"",'_SCHEDULE'!S84)</x:f>
      </x:c>
      <x:c r="T116" s="38"/>
      <x:c r="U116" s="38"/>
      <x:c r="V116" s="38"/>
      <x:c r="W116" s="38"/>
      <x:c r="X116" s="38"/>
      <x:c r="Y116" s="38"/>
      <x:c r="Z116" s="38"/>
      <x:c r="AA116" s="38"/>
      <x:c r="AB116" s="38"/>
      <x:c r="AC116" s="38"/>
      <x:c r="AD116" s="38"/>
      <x:c r="AE116" s="38"/>
      <x:c r="AF116" s="38"/>
      <x:c r="AG116" s="38"/>
      <x:c r="AH116" s="38"/>
      <x:c r="AI116" s="38"/>
      <x:c r="AJ116" s="38"/>
      <x:c r="AK116" s="38"/>
      <x:c r="AL116" s="38"/>
      <x:c r="AM116" s="38"/>
    </x:row>
    <x:row r="117">
      <x:c r="A117" s="523" t="str">
        <x:f>IF(ISBLANK('_SCHEDULE'!A85),"",'_SCHEDULE'!A85)</x:f>
      </x:c>
      <x:c r="B117" s="523" t="str">
        <x:f>IF(ISBLANK('_SCHEDULE'!B85),"",IF('_CONFIG'!$B$2="pt-BR",IF('_SCHEDULE'!B85="scheduled","programado",IF('_SCHEDULE'!B85="rejected","rejeitado",'_SCHEDULE'!B85)),'_SCHEDULE'!B85))</x:f>
      </x:c>
      <x:c r="C117" s="523" t="str">
        <x:f>IF(ISBLANK('_SCHEDULE'!C85),"",'_SCHEDULE'!C85)</x:f>
      </x:c>
      <x:c r="D117" s="523" t="str">
        <x:f>IF(ISBLANK('_SCHEDULE'!D85),"",'_SCHEDULE'!D85)</x:f>
      </x:c>
      <x:c r="E117" s="530" t="str">
        <x:f>IF(ISBLANK('_SCHEDULE'!E85),"",'_SCHEDULE'!E85)</x:f>
      </x:c>
      <x:c r="F117" s="530" t="str">
        <x:f>IF(ISBLANK('_SCHEDULE'!F85),"",'_SCHEDULE'!F85)</x:f>
      </x:c>
      <x:c r="G117" s="530" t="str">
        <x:f>IF(ISBLANK('_SCHEDULE'!G85),"",'_SCHEDULE'!G85)</x:f>
      </x:c>
      <x:c r="H117" s="530" t="str">
        <x:f>IF(ISBLANK('_SCHEDULE'!H85),"",'_SCHEDULE'!H85)</x:f>
      </x:c>
      <x:c r="I117" s="530" t="str">
        <x:f>IF(ISBLANK('_SCHEDULE'!I85),"",'_SCHEDULE'!I85)</x:f>
      </x:c>
      <x:c r="J117" s="530" t="str">
        <x:f>IF(ISBLANK('_SCHEDULE'!J85),"",'_SCHEDULE'!J85)</x:f>
      </x:c>
      <x:c r="K117" s="530" t="str">
        <x:f>IF(ISBLANK('_SCHEDULE'!K85),"",'_SCHEDULE'!K85)</x:f>
      </x:c>
      <x:c r="L117" s="530" t="str">
        <x:f>IF(ISBLANK('_SCHEDULE'!L85),"",'_SCHEDULE'!L85)</x:f>
      </x:c>
      <x:c r="M117" s="530" t="str">
        <x:f>IF(ISBLANK('_SCHEDULE'!M85),"",'_SCHEDULE'!M85)</x:f>
      </x:c>
      <x:c r="N117" s="530" t="str">
        <x:f>IF(ISBLANK('_SCHEDULE'!N85),"",'_SCHEDULE'!N85)</x:f>
      </x:c>
      <x:c r="O117" s="530" t="str">
        <x:f>IF(ISBLANK('_SCHEDULE'!O85),"",'_SCHEDULE'!O85)</x:f>
      </x:c>
      <x:c r="P117" s="530" t="str">
        <x:f>IF(ISBLANK('_SCHEDULE'!P85),"",'_SCHEDULE'!P85)</x:f>
      </x:c>
      <x:c r="Q117" s="530" t="str">
        <x:f>IF(ISBLANK('_SCHEDULE'!Q85),"",'_SCHEDULE'!Q85)</x:f>
      </x:c>
      <x:c r="R117" s="530" t="str">
        <x:f>IF(ISBLANK('_SCHEDULE'!R85),"",'_SCHEDULE'!R85)</x:f>
      </x:c>
      <x:c r="S117" s="523" t="str">
        <x:f>IF(ISBLANK('_SCHEDULE'!S85),"",'_SCHEDULE'!S85)</x:f>
      </x:c>
      <x:c r="T117" s="38"/>
      <x:c r="U117" s="38"/>
      <x:c r="V117" s="38"/>
      <x:c r="W117" s="38"/>
      <x:c r="X117" s="38"/>
      <x:c r="Y117" s="38"/>
      <x:c r="Z117" s="38"/>
      <x:c r="AA117" s="38"/>
      <x:c r="AB117" s="38"/>
      <x:c r="AC117" s="38"/>
      <x:c r="AD117" s="38"/>
      <x:c r="AE117" s="38"/>
      <x:c r="AF117" s="38"/>
      <x:c r="AG117" s="38"/>
      <x:c r="AH117" s="38"/>
      <x:c r="AI117" s="38"/>
      <x:c r="AJ117" s="38"/>
      <x:c r="AK117" s="38"/>
      <x:c r="AL117" s="38"/>
      <x:c r="AM117" s="38"/>
    </x:row>
    <x:row r="118">
      <x:c r="A118" s="523" t="str">
        <x:f>IF(ISBLANK('_SCHEDULE'!A86),"",'_SCHEDULE'!A86)</x:f>
      </x:c>
      <x:c r="B118" s="523" t="str">
        <x:f>IF(ISBLANK('_SCHEDULE'!B86),"",IF('_CONFIG'!$B$2="pt-BR",IF('_SCHEDULE'!B86="scheduled","programado",IF('_SCHEDULE'!B86="rejected","rejeitado",'_SCHEDULE'!B86)),'_SCHEDULE'!B86))</x:f>
      </x:c>
      <x:c r="C118" s="523" t="str">
        <x:f>IF(ISBLANK('_SCHEDULE'!C86),"",'_SCHEDULE'!C86)</x:f>
      </x:c>
      <x:c r="D118" s="523" t="str">
        <x:f>IF(ISBLANK('_SCHEDULE'!D86),"",'_SCHEDULE'!D86)</x:f>
      </x:c>
      <x:c r="E118" s="530" t="str">
        <x:f>IF(ISBLANK('_SCHEDULE'!E86),"",'_SCHEDULE'!E86)</x:f>
      </x:c>
      <x:c r="F118" s="530" t="str">
        <x:f>IF(ISBLANK('_SCHEDULE'!F86),"",'_SCHEDULE'!F86)</x:f>
      </x:c>
      <x:c r="G118" s="530" t="str">
        <x:f>IF(ISBLANK('_SCHEDULE'!G86),"",'_SCHEDULE'!G86)</x:f>
      </x:c>
      <x:c r="H118" s="530" t="str">
        <x:f>IF(ISBLANK('_SCHEDULE'!H86),"",'_SCHEDULE'!H86)</x:f>
      </x:c>
      <x:c r="I118" s="530" t="str">
        <x:f>IF(ISBLANK('_SCHEDULE'!I86),"",'_SCHEDULE'!I86)</x:f>
      </x:c>
      <x:c r="J118" s="530" t="str">
        <x:f>IF(ISBLANK('_SCHEDULE'!J86),"",'_SCHEDULE'!J86)</x:f>
      </x:c>
      <x:c r="K118" s="530" t="str">
        <x:f>IF(ISBLANK('_SCHEDULE'!K86),"",'_SCHEDULE'!K86)</x:f>
      </x:c>
      <x:c r="L118" s="530" t="str">
        <x:f>IF(ISBLANK('_SCHEDULE'!L86),"",'_SCHEDULE'!L86)</x:f>
      </x:c>
      <x:c r="M118" s="530" t="str">
        <x:f>IF(ISBLANK('_SCHEDULE'!M86),"",'_SCHEDULE'!M86)</x:f>
      </x:c>
      <x:c r="N118" s="530" t="str">
        <x:f>IF(ISBLANK('_SCHEDULE'!N86),"",'_SCHEDULE'!N86)</x:f>
      </x:c>
      <x:c r="O118" s="530" t="str">
        <x:f>IF(ISBLANK('_SCHEDULE'!O86),"",'_SCHEDULE'!O86)</x:f>
      </x:c>
      <x:c r="P118" s="530" t="str">
        <x:f>IF(ISBLANK('_SCHEDULE'!P86),"",'_SCHEDULE'!P86)</x:f>
      </x:c>
      <x:c r="Q118" s="530" t="str">
        <x:f>IF(ISBLANK('_SCHEDULE'!Q86),"",'_SCHEDULE'!Q86)</x:f>
      </x:c>
      <x:c r="R118" s="530" t="str">
        <x:f>IF(ISBLANK('_SCHEDULE'!R86),"",'_SCHEDULE'!R86)</x:f>
      </x:c>
      <x:c r="S118" s="523" t="str">
        <x:f>IF(ISBLANK('_SCHEDULE'!S86),"",'_SCHEDULE'!S86)</x:f>
      </x:c>
      <x:c r="T118" s="38"/>
      <x:c r="U118" s="38"/>
      <x:c r="V118" s="38"/>
      <x:c r="W118" s="38"/>
      <x:c r="X118" s="38"/>
      <x:c r="Y118" s="38"/>
      <x:c r="Z118" s="38"/>
      <x:c r="AA118" s="38"/>
      <x:c r="AB118" s="38"/>
      <x:c r="AC118" s="38"/>
      <x:c r="AD118" s="38"/>
      <x:c r="AE118" s="38"/>
      <x:c r="AF118" s="38"/>
      <x:c r="AG118" s="38"/>
      <x:c r="AH118" s="38"/>
      <x:c r="AI118" s="38"/>
      <x:c r="AJ118" s="38"/>
      <x:c r="AK118" s="38"/>
      <x:c r="AL118" s="38"/>
      <x:c r="AM118" s="38"/>
    </x:row>
    <x:row r="119">
      <x:c r="A119" s="523" t="str">
        <x:f>IF(ISBLANK('_SCHEDULE'!A87),"",'_SCHEDULE'!A87)</x:f>
      </x:c>
      <x:c r="B119" s="523" t="str">
        <x:f>IF(ISBLANK('_SCHEDULE'!B87),"",IF('_CONFIG'!$B$2="pt-BR",IF('_SCHEDULE'!B87="scheduled","programado",IF('_SCHEDULE'!B87="rejected","rejeitado",'_SCHEDULE'!B87)),'_SCHEDULE'!B87))</x:f>
      </x:c>
      <x:c r="C119" s="523" t="str">
        <x:f>IF(ISBLANK('_SCHEDULE'!C87),"",'_SCHEDULE'!C87)</x:f>
      </x:c>
      <x:c r="D119" s="523" t="str">
        <x:f>IF(ISBLANK('_SCHEDULE'!D87),"",'_SCHEDULE'!D87)</x:f>
      </x:c>
      <x:c r="E119" s="530" t="str">
        <x:f>IF(ISBLANK('_SCHEDULE'!E87),"",'_SCHEDULE'!E87)</x:f>
      </x:c>
      <x:c r="F119" s="530" t="str">
        <x:f>IF(ISBLANK('_SCHEDULE'!F87),"",'_SCHEDULE'!F87)</x:f>
      </x:c>
      <x:c r="G119" s="530" t="str">
        <x:f>IF(ISBLANK('_SCHEDULE'!G87),"",'_SCHEDULE'!G87)</x:f>
      </x:c>
      <x:c r="H119" s="530" t="str">
        <x:f>IF(ISBLANK('_SCHEDULE'!H87),"",'_SCHEDULE'!H87)</x:f>
      </x:c>
      <x:c r="I119" s="530" t="str">
        <x:f>IF(ISBLANK('_SCHEDULE'!I87),"",'_SCHEDULE'!I87)</x:f>
      </x:c>
      <x:c r="J119" s="530" t="str">
        <x:f>IF(ISBLANK('_SCHEDULE'!J87),"",'_SCHEDULE'!J87)</x:f>
      </x:c>
      <x:c r="K119" s="530" t="str">
        <x:f>IF(ISBLANK('_SCHEDULE'!K87),"",'_SCHEDULE'!K87)</x:f>
      </x:c>
      <x:c r="L119" s="530" t="str">
        <x:f>IF(ISBLANK('_SCHEDULE'!L87),"",'_SCHEDULE'!L87)</x:f>
      </x:c>
      <x:c r="M119" s="530" t="str">
        <x:f>IF(ISBLANK('_SCHEDULE'!M87),"",'_SCHEDULE'!M87)</x:f>
      </x:c>
      <x:c r="N119" s="530" t="str">
        <x:f>IF(ISBLANK('_SCHEDULE'!N87),"",'_SCHEDULE'!N87)</x:f>
      </x:c>
      <x:c r="O119" s="530" t="str">
        <x:f>IF(ISBLANK('_SCHEDULE'!O87),"",'_SCHEDULE'!O87)</x:f>
      </x:c>
      <x:c r="P119" s="530" t="str">
        <x:f>IF(ISBLANK('_SCHEDULE'!P87),"",'_SCHEDULE'!P87)</x:f>
      </x:c>
      <x:c r="Q119" s="530" t="str">
        <x:f>IF(ISBLANK('_SCHEDULE'!Q87),"",'_SCHEDULE'!Q87)</x:f>
      </x:c>
      <x:c r="R119" s="530" t="str">
        <x:f>IF(ISBLANK('_SCHEDULE'!R87),"",'_SCHEDULE'!R87)</x:f>
      </x:c>
      <x:c r="S119" s="523" t="str">
        <x:f>IF(ISBLANK('_SCHEDULE'!S87),"",'_SCHEDULE'!S87)</x:f>
      </x:c>
      <x:c r="T119" s="38"/>
      <x:c r="U119" s="38"/>
      <x:c r="V119" s="38"/>
      <x:c r="W119" s="38"/>
      <x:c r="X119" s="38"/>
      <x:c r="Y119" s="38"/>
      <x:c r="Z119" s="38"/>
      <x:c r="AA119" s="38"/>
      <x:c r="AB119" s="38"/>
      <x:c r="AC119" s="38"/>
      <x:c r="AD119" s="38"/>
      <x:c r="AE119" s="38"/>
      <x:c r="AF119" s="38"/>
      <x:c r="AG119" s="38"/>
      <x:c r="AH119" s="38"/>
      <x:c r="AI119" s="38"/>
      <x:c r="AJ119" s="38"/>
      <x:c r="AK119" s="38"/>
      <x:c r="AL119" s="38"/>
      <x:c r="AM119" s="38"/>
    </x:row>
    <x:row r="120">
      <x:c r="A120" s="523" t="str">
        <x:f>IF(ISBLANK('_SCHEDULE'!A88),"",'_SCHEDULE'!A88)</x:f>
      </x:c>
      <x:c r="B120" s="523" t="str">
        <x:f>IF(ISBLANK('_SCHEDULE'!B88),"",IF('_CONFIG'!$B$2="pt-BR",IF('_SCHEDULE'!B88="scheduled","programado",IF('_SCHEDULE'!B88="rejected","rejeitado",'_SCHEDULE'!B88)),'_SCHEDULE'!B88))</x:f>
      </x:c>
      <x:c r="C120" s="523" t="str">
        <x:f>IF(ISBLANK('_SCHEDULE'!C88),"",'_SCHEDULE'!C88)</x:f>
      </x:c>
      <x:c r="D120" s="523" t="str">
        <x:f>IF(ISBLANK('_SCHEDULE'!D88),"",'_SCHEDULE'!D88)</x:f>
      </x:c>
      <x:c r="E120" s="530" t="str">
        <x:f>IF(ISBLANK('_SCHEDULE'!E88),"",'_SCHEDULE'!E88)</x:f>
      </x:c>
      <x:c r="F120" s="530" t="str">
        <x:f>IF(ISBLANK('_SCHEDULE'!F88),"",'_SCHEDULE'!F88)</x:f>
      </x:c>
      <x:c r="G120" s="530" t="str">
        <x:f>IF(ISBLANK('_SCHEDULE'!G88),"",'_SCHEDULE'!G88)</x:f>
      </x:c>
      <x:c r="H120" s="530" t="str">
        <x:f>IF(ISBLANK('_SCHEDULE'!H88),"",'_SCHEDULE'!H88)</x:f>
      </x:c>
      <x:c r="I120" s="530" t="str">
        <x:f>IF(ISBLANK('_SCHEDULE'!I88),"",'_SCHEDULE'!I88)</x:f>
      </x:c>
      <x:c r="J120" s="530" t="str">
        <x:f>IF(ISBLANK('_SCHEDULE'!J88),"",'_SCHEDULE'!J88)</x:f>
      </x:c>
      <x:c r="K120" s="530" t="str">
        <x:f>IF(ISBLANK('_SCHEDULE'!K88),"",'_SCHEDULE'!K88)</x:f>
      </x:c>
      <x:c r="L120" s="530" t="str">
        <x:f>IF(ISBLANK('_SCHEDULE'!L88),"",'_SCHEDULE'!L88)</x:f>
      </x:c>
      <x:c r="M120" s="530" t="str">
        <x:f>IF(ISBLANK('_SCHEDULE'!M88),"",'_SCHEDULE'!M88)</x:f>
      </x:c>
      <x:c r="N120" s="530" t="str">
        <x:f>IF(ISBLANK('_SCHEDULE'!N88),"",'_SCHEDULE'!N88)</x:f>
      </x:c>
      <x:c r="O120" s="530" t="str">
        <x:f>IF(ISBLANK('_SCHEDULE'!O88),"",'_SCHEDULE'!O88)</x:f>
      </x:c>
      <x:c r="P120" s="530" t="str">
        <x:f>IF(ISBLANK('_SCHEDULE'!P88),"",'_SCHEDULE'!P88)</x:f>
      </x:c>
      <x:c r="Q120" s="530" t="str">
        <x:f>IF(ISBLANK('_SCHEDULE'!Q88),"",'_SCHEDULE'!Q88)</x:f>
      </x:c>
      <x:c r="R120" s="530" t="str">
        <x:f>IF(ISBLANK('_SCHEDULE'!R88),"",'_SCHEDULE'!R88)</x:f>
      </x:c>
      <x:c r="S120" s="523" t="str">
        <x:f>IF(ISBLANK('_SCHEDULE'!S88),"",'_SCHEDULE'!S88)</x:f>
      </x:c>
      <x:c r="T120" s="38"/>
      <x:c r="U120" s="38"/>
      <x:c r="V120" s="38"/>
      <x:c r="W120" s="38"/>
      <x:c r="X120" s="38"/>
      <x:c r="Y120" s="38"/>
      <x:c r="Z120" s="38"/>
      <x:c r="AA120" s="38"/>
      <x:c r="AB120" s="38"/>
      <x:c r="AC120" s="38"/>
      <x:c r="AD120" s="38"/>
      <x:c r="AE120" s="38"/>
      <x:c r="AF120" s="38"/>
      <x:c r="AG120" s="38"/>
      <x:c r="AH120" s="38"/>
      <x:c r="AI120" s="38"/>
      <x:c r="AJ120" s="38"/>
      <x:c r="AK120" s="38"/>
      <x:c r="AL120" s="38"/>
      <x:c r="AM120" s="38"/>
    </x:row>
    <x:row r="121">
      <x:c r="A121" s="523" t="str">
        <x:f>IF(ISBLANK('_SCHEDULE'!A89),"",'_SCHEDULE'!A89)</x:f>
      </x:c>
      <x:c r="B121" s="523" t="str">
        <x:f>IF(ISBLANK('_SCHEDULE'!B89),"",IF('_CONFIG'!$B$2="pt-BR",IF('_SCHEDULE'!B89="scheduled","programado",IF('_SCHEDULE'!B89="rejected","rejeitado",'_SCHEDULE'!B89)),'_SCHEDULE'!B89))</x:f>
      </x:c>
      <x:c r="C121" s="523" t="str">
        <x:f>IF(ISBLANK('_SCHEDULE'!C89),"",'_SCHEDULE'!C89)</x:f>
      </x:c>
      <x:c r="D121" s="523" t="str">
        <x:f>IF(ISBLANK('_SCHEDULE'!D89),"",'_SCHEDULE'!D89)</x:f>
      </x:c>
      <x:c r="E121" s="530" t="str">
        <x:f>IF(ISBLANK('_SCHEDULE'!E89),"",'_SCHEDULE'!E89)</x:f>
      </x:c>
      <x:c r="F121" s="530" t="str">
        <x:f>IF(ISBLANK('_SCHEDULE'!F89),"",'_SCHEDULE'!F89)</x:f>
      </x:c>
      <x:c r="G121" s="530" t="str">
        <x:f>IF(ISBLANK('_SCHEDULE'!G89),"",'_SCHEDULE'!G89)</x:f>
      </x:c>
      <x:c r="H121" s="530" t="str">
        <x:f>IF(ISBLANK('_SCHEDULE'!H89),"",'_SCHEDULE'!H89)</x:f>
      </x:c>
      <x:c r="I121" s="530" t="str">
        <x:f>IF(ISBLANK('_SCHEDULE'!I89),"",'_SCHEDULE'!I89)</x:f>
      </x:c>
      <x:c r="J121" s="530" t="str">
        <x:f>IF(ISBLANK('_SCHEDULE'!J89),"",'_SCHEDULE'!J89)</x:f>
      </x:c>
      <x:c r="K121" s="530" t="str">
        <x:f>IF(ISBLANK('_SCHEDULE'!K89),"",'_SCHEDULE'!K89)</x:f>
      </x:c>
      <x:c r="L121" s="530" t="str">
        <x:f>IF(ISBLANK('_SCHEDULE'!L89),"",'_SCHEDULE'!L89)</x:f>
      </x:c>
      <x:c r="M121" s="530" t="str">
        <x:f>IF(ISBLANK('_SCHEDULE'!M89),"",'_SCHEDULE'!M89)</x:f>
      </x:c>
      <x:c r="N121" s="530" t="str">
        <x:f>IF(ISBLANK('_SCHEDULE'!N89),"",'_SCHEDULE'!N89)</x:f>
      </x:c>
      <x:c r="O121" s="530" t="str">
        <x:f>IF(ISBLANK('_SCHEDULE'!O89),"",'_SCHEDULE'!O89)</x:f>
      </x:c>
      <x:c r="P121" s="530" t="str">
        <x:f>IF(ISBLANK('_SCHEDULE'!P89),"",'_SCHEDULE'!P89)</x:f>
      </x:c>
      <x:c r="Q121" s="530" t="str">
        <x:f>IF(ISBLANK('_SCHEDULE'!Q89),"",'_SCHEDULE'!Q89)</x:f>
      </x:c>
      <x:c r="R121" s="530" t="str">
        <x:f>IF(ISBLANK('_SCHEDULE'!R89),"",'_SCHEDULE'!R89)</x:f>
      </x:c>
      <x:c r="S121" s="523" t="str">
        <x:f>IF(ISBLANK('_SCHEDULE'!S89),"",'_SCHEDULE'!S89)</x:f>
      </x:c>
      <x:c r="T121" s="38"/>
      <x:c r="U121" s="38"/>
      <x:c r="V121" s="38"/>
      <x:c r="W121" s="38"/>
      <x:c r="X121" s="38"/>
      <x:c r="Y121" s="38"/>
      <x:c r="Z121" s="38"/>
      <x:c r="AA121" s="38"/>
      <x:c r="AB121" s="38"/>
      <x:c r="AC121" s="38"/>
      <x:c r="AD121" s="38"/>
      <x:c r="AE121" s="38"/>
      <x:c r="AF121" s="38"/>
      <x:c r="AG121" s="38"/>
      <x:c r="AH121" s="38"/>
      <x:c r="AI121" s="38"/>
      <x:c r="AJ121" s="38"/>
      <x:c r="AK121" s="38"/>
      <x:c r="AL121" s="38"/>
      <x:c r="AM121" s="38"/>
    </x:row>
    <x:row r="122">
      <x:c r="A122" s="523" t="str">
        <x:f>IF(ISBLANK('_SCHEDULE'!A90),"",'_SCHEDULE'!A90)</x:f>
      </x:c>
      <x:c r="B122" s="523" t="str">
        <x:f>IF(ISBLANK('_SCHEDULE'!B90),"",IF('_CONFIG'!$B$2="pt-BR",IF('_SCHEDULE'!B90="scheduled","programado",IF('_SCHEDULE'!B90="rejected","rejeitado",'_SCHEDULE'!B90)),'_SCHEDULE'!B90))</x:f>
      </x:c>
      <x:c r="C122" s="523" t="str">
        <x:f>IF(ISBLANK('_SCHEDULE'!C90),"",'_SCHEDULE'!C90)</x:f>
      </x:c>
      <x:c r="D122" s="523" t="str">
        <x:f>IF(ISBLANK('_SCHEDULE'!D90),"",'_SCHEDULE'!D90)</x:f>
      </x:c>
      <x:c r="E122" s="530" t="str">
        <x:f>IF(ISBLANK('_SCHEDULE'!E90),"",'_SCHEDULE'!E90)</x:f>
      </x:c>
      <x:c r="F122" s="530" t="str">
        <x:f>IF(ISBLANK('_SCHEDULE'!F90),"",'_SCHEDULE'!F90)</x:f>
      </x:c>
      <x:c r="G122" s="530" t="str">
        <x:f>IF(ISBLANK('_SCHEDULE'!G90),"",'_SCHEDULE'!G90)</x:f>
      </x:c>
      <x:c r="H122" s="530" t="str">
        <x:f>IF(ISBLANK('_SCHEDULE'!H90),"",'_SCHEDULE'!H90)</x:f>
      </x:c>
      <x:c r="I122" s="530" t="str">
        <x:f>IF(ISBLANK('_SCHEDULE'!I90),"",'_SCHEDULE'!I90)</x:f>
      </x:c>
      <x:c r="J122" s="530" t="str">
        <x:f>IF(ISBLANK('_SCHEDULE'!J90),"",'_SCHEDULE'!J90)</x:f>
      </x:c>
      <x:c r="K122" s="530" t="str">
        <x:f>IF(ISBLANK('_SCHEDULE'!K90),"",'_SCHEDULE'!K90)</x:f>
      </x:c>
      <x:c r="L122" s="530" t="str">
        <x:f>IF(ISBLANK('_SCHEDULE'!L90),"",'_SCHEDULE'!L90)</x:f>
      </x:c>
      <x:c r="M122" s="530" t="str">
        <x:f>IF(ISBLANK('_SCHEDULE'!M90),"",'_SCHEDULE'!M90)</x:f>
      </x:c>
      <x:c r="N122" s="530" t="str">
        <x:f>IF(ISBLANK('_SCHEDULE'!N90),"",'_SCHEDULE'!N90)</x:f>
      </x:c>
      <x:c r="O122" s="530" t="str">
        <x:f>IF(ISBLANK('_SCHEDULE'!O90),"",'_SCHEDULE'!O90)</x:f>
      </x:c>
      <x:c r="P122" s="530" t="str">
        <x:f>IF(ISBLANK('_SCHEDULE'!P90),"",'_SCHEDULE'!P90)</x:f>
      </x:c>
      <x:c r="Q122" s="530" t="str">
        <x:f>IF(ISBLANK('_SCHEDULE'!Q90),"",'_SCHEDULE'!Q90)</x:f>
      </x:c>
      <x:c r="R122" s="530" t="str">
        <x:f>IF(ISBLANK('_SCHEDULE'!R90),"",'_SCHEDULE'!R90)</x:f>
      </x:c>
      <x:c r="S122" s="523" t="str">
        <x:f>IF(ISBLANK('_SCHEDULE'!S90),"",'_SCHEDULE'!S90)</x:f>
      </x:c>
      <x:c r="T122" s="38"/>
      <x:c r="U122" s="38"/>
      <x:c r="V122" s="38"/>
      <x:c r="W122" s="38"/>
      <x:c r="X122" s="38"/>
      <x:c r="Y122" s="38"/>
      <x:c r="Z122" s="38"/>
      <x:c r="AA122" s="38"/>
      <x:c r="AB122" s="38"/>
      <x:c r="AC122" s="38"/>
      <x:c r="AD122" s="38"/>
      <x:c r="AE122" s="38"/>
      <x:c r="AF122" s="38"/>
      <x:c r="AG122" s="38"/>
      <x:c r="AH122" s="38"/>
      <x:c r="AI122" s="38"/>
      <x:c r="AJ122" s="38"/>
      <x:c r="AK122" s="38"/>
      <x:c r="AL122" s="38"/>
      <x:c r="AM122" s="38"/>
    </x:row>
    <x:row r="123">
      <x:c r="A123" s="523" t="str">
        <x:f>IF(ISBLANK('_SCHEDULE'!A91),"",'_SCHEDULE'!A91)</x:f>
      </x:c>
      <x:c r="B123" s="523" t="str">
        <x:f>IF(ISBLANK('_SCHEDULE'!B91),"",IF('_CONFIG'!$B$2="pt-BR",IF('_SCHEDULE'!B91="scheduled","programado",IF('_SCHEDULE'!B91="rejected","rejeitado",'_SCHEDULE'!B91)),'_SCHEDULE'!B91))</x:f>
      </x:c>
      <x:c r="C123" s="523" t="str">
        <x:f>IF(ISBLANK('_SCHEDULE'!C91),"",'_SCHEDULE'!C91)</x:f>
      </x:c>
      <x:c r="D123" s="523" t="str">
        <x:f>IF(ISBLANK('_SCHEDULE'!D91),"",'_SCHEDULE'!D91)</x:f>
      </x:c>
      <x:c r="E123" s="530" t="str">
        <x:f>IF(ISBLANK('_SCHEDULE'!E91),"",'_SCHEDULE'!E91)</x:f>
      </x:c>
      <x:c r="F123" s="530" t="str">
        <x:f>IF(ISBLANK('_SCHEDULE'!F91),"",'_SCHEDULE'!F91)</x:f>
      </x:c>
      <x:c r="G123" s="530" t="str">
        <x:f>IF(ISBLANK('_SCHEDULE'!G91),"",'_SCHEDULE'!G91)</x:f>
      </x:c>
      <x:c r="H123" s="530" t="str">
        <x:f>IF(ISBLANK('_SCHEDULE'!H91),"",'_SCHEDULE'!H91)</x:f>
      </x:c>
      <x:c r="I123" s="530" t="str">
        <x:f>IF(ISBLANK('_SCHEDULE'!I91),"",'_SCHEDULE'!I91)</x:f>
      </x:c>
      <x:c r="J123" s="530" t="str">
        <x:f>IF(ISBLANK('_SCHEDULE'!J91),"",'_SCHEDULE'!J91)</x:f>
      </x:c>
      <x:c r="K123" s="530" t="str">
        <x:f>IF(ISBLANK('_SCHEDULE'!K91),"",'_SCHEDULE'!K91)</x:f>
      </x:c>
      <x:c r="L123" s="530" t="str">
        <x:f>IF(ISBLANK('_SCHEDULE'!L91),"",'_SCHEDULE'!L91)</x:f>
      </x:c>
      <x:c r="M123" s="530" t="str">
        <x:f>IF(ISBLANK('_SCHEDULE'!M91),"",'_SCHEDULE'!M91)</x:f>
      </x:c>
      <x:c r="N123" s="530" t="str">
        <x:f>IF(ISBLANK('_SCHEDULE'!N91),"",'_SCHEDULE'!N91)</x:f>
      </x:c>
      <x:c r="O123" s="530" t="str">
        <x:f>IF(ISBLANK('_SCHEDULE'!O91),"",'_SCHEDULE'!O91)</x:f>
      </x:c>
      <x:c r="P123" s="530" t="str">
        <x:f>IF(ISBLANK('_SCHEDULE'!P91),"",'_SCHEDULE'!P91)</x:f>
      </x:c>
      <x:c r="Q123" s="530" t="str">
        <x:f>IF(ISBLANK('_SCHEDULE'!Q91),"",'_SCHEDULE'!Q91)</x:f>
      </x:c>
      <x:c r="R123" s="530" t="str">
        <x:f>IF(ISBLANK('_SCHEDULE'!R91),"",'_SCHEDULE'!R91)</x:f>
      </x:c>
      <x:c r="S123" s="523" t="str">
        <x:f>IF(ISBLANK('_SCHEDULE'!S91),"",'_SCHEDULE'!S91)</x:f>
      </x:c>
      <x:c r="T123" s="38"/>
      <x:c r="U123" s="38"/>
      <x:c r="V123" s="38"/>
      <x:c r="W123" s="38"/>
      <x:c r="X123" s="38"/>
      <x:c r="Y123" s="38"/>
      <x:c r="Z123" s="38"/>
      <x:c r="AA123" s="38"/>
      <x:c r="AB123" s="38"/>
      <x:c r="AC123" s="38"/>
      <x:c r="AD123" s="38"/>
      <x:c r="AE123" s="38"/>
      <x:c r="AF123" s="38"/>
      <x:c r="AG123" s="38"/>
      <x:c r="AH123" s="38"/>
      <x:c r="AI123" s="38"/>
      <x:c r="AJ123" s="38"/>
      <x:c r="AK123" s="38"/>
      <x:c r="AL123" s="38"/>
      <x:c r="AM123" s="38"/>
    </x:row>
    <x:row r="124">
      <x:c r="A124" s="523" t="str">
        <x:f>IF(ISBLANK('_SCHEDULE'!A92),"",'_SCHEDULE'!A92)</x:f>
      </x:c>
      <x:c r="B124" s="523" t="str">
        <x:f>IF(ISBLANK('_SCHEDULE'!B92),"",IF('_CONFIG'!$B$2="pt-BR",IF('_SCHEDULE'!B92="scheduled","programado",IF('_SCHEDULE'!B92="rejected","rejeitado",'_SCHEDULE'!B92)),'_SCHEDULE'!B92))</x:f>
      </x:c>
      <x:c r="C124" s="523" t="str">
        <x:f>IF(ISBLANK('_SCHEDULE'!C92),"",'_SCHEDULE'!C92)</x:f>
      </x:c>
      <x:c r="D124" s="523" t="str">
        <x:f>IF(ISBLANK('_SCHEDULE'!D92),"",'_SCHEDULE'!D92)</x:f>
      </x:c>
      <x:c r="E124" s="530" t="str">
        <x:f>IF(ISBLANK('_SCHEDULE'!E92),"",'_SCHEDULE'!E92)</x:f>
      </x:c>
      <x:c r="F124" s="530" t="str">
        <x:f>IF(ISBLANK('_SCHEDULE'!F92),"",'_SCHEDULE'!F92)</x:f>
      </x:c>
      <x:c r="G124" s="530" t="str">
        <x:f>IF(ISBLANK('_SCHEDULE'!G92),"",'_SCHEDULE'!G92)</x:f>
      </x:c>
      <x:c r="H124" s="530" t="str">
        <x:f>IF(ISBLANK('_SCHEDULE'!H92),"",'_SCHEDULE'!H92)</x:f>
      </x:c>
      <x:c r="I124" s="530" t="str">
        <x:f>IF(ISBLANK('_SCHEDULE'!I92),"",'_SCHEDULE'!I92)</x:f>
      </x:c>
      <x:c r="J124" s="530" t="str">
        <x:f>IF(ISBLANK('_SCHEDULE'!J92),"",'_SCHEDULE'!J92)</x:f>
      </x:c>
      <x:c r="K124" s="530" t="str">
        <x:f>IF(ISBLANK('_SCHEDULE'!K92),"",'_SCHEDULE'!K92)</x:f>
      </x:c>
      <x:c r="L124" s="530" t="str">
        <x:f>IF(ISBLANK('_SCHEDULE'!L92),"",'_SCHEDULE'!L92)</x:f>
      </x:c>
      <x:c r="M124" s="530" t="str">
        <x:f>IF(ISBLANK('_SCHEDULE'!M92),"",'_SCHEDULE'!M92)</x:f>
      </x:c>
      <x:c r="N124" s="530" t="str">
        <x:f>IF(ISBLANK('_SCHEDULE'!N92),"",'_SCHEDULE'!N92)</x:f>
      </x:c>
      <x:c r="O124" s="530" t="str">
        <x:f>IF(ISBLANK('_SCHEDULE'!O92),"",'_SCHEDULE'!O92)</x:f>
      </x:c>
      <x:c r="P124" s="530" t="str">
        <x:f>IF(ISBLANK('_SCHEDULE'!P92),"",'_SCHEDULE'!P92)</x:f>
      </x:c>
      <x:c r="Q124" s="530" t="str">
        <x:f>IF(ISBLANK('_SCHEDULE'!Q92),"",'_SCHEDULE'!Q92)</x:f>
      </x:c>
      <x:c r="R124" s="530" t="str">
        <x:f>IF(ISBLANK('_SCHEDULE'!R92),"",'_SCHEDULE'!R92)</x:f>
      </x:c>
      <x:c r="S124" s="523" t="str">
        <x:f>IF(ISBLANK('_SCHEDULE'!S92),"",'_SCHEDULE'!S92)</x:f>
      </x:c>
      <x:c r="T124" s="38"/>
      <x:c r="U124" s="38"/>
      <x:c r="V124" s="38"/>
      <x:c r="W124" s="38"/>
      <x:c r="X124" s="38"/>
      <x:c r="Y124" s="38"/>
      <x:c r="Z124" s="38"/>
      <x:c r="AA124" s="38"/>
      <x:c r="AB124" s="38"/>
      <x:c r="AC124" s="38"/>
      <x:c r="AD124" s="38"/>
      <x:c r="AE124" s="38"/>
      <x:c r="AF124" s="38"/>
      <x:c r="AG124" s="38"/>
      <x:c r="AH124" s="38"/>
      <x:c r="AI124" s="38"/>
      <x:c r="AJ124" s="38"/>
      <x:c r="AK124" s="38"/>
      <x:c r="AL124" s="38"/>
      <x:c r="AM124" s="38"/>
    </x:row>
    <x:row r="125">
      <x:c r="A125" s="523" t="str">
        <x:f>IF(ISBLANK('_SCHEDULE'!A93),"",'_SCHEDULE'!A93)</x:f>
      </x:c>
      <x:c r="B125" s="523" t="str">
        <x:f>IF(ISBLANK('_SCHEDULE'!B93),"",IF('_CONFIG'!$B$2="pt-BR",IF('_SCHEDULE'!B93="scheduled","programado",IF('_SCHEDULE'!B93="rejected","rejeitado",'_SCHEDULE'!B93)),'_SCHEDULE'!B93))</x:f>
      </x:c>
      <x:c r="C125" s="523" t="str">
        <x:f>IF(ISBLANK('_SCHEDULE'!C93),"",'_SCHEDULE'!C93)</x:f>
      </x:c>
      <x:c r="D125" s="523" t="str">
        <x:f>IF(ISBLANK('_SCHEDULE'!D93),"",'_SCHEDULE'!D93)</x:f>
      </x:c>
      <x:c r="E125" s="530" t="str">
        <x:f>IF(ISBLANK('_SCHEDULE'!E93),"",'_SCHEDULE'!E93)</x:f>
      </x:c>
      <x:c r="F125" s="530" t="str">
        <x:f>IF(ISBLANK('_SCHEDULE'!F93),"",'_SCHEDULE'!F93)</x:f>
      </x:c>
      <x:c r="G125" s="530" t="str">
        <x:f>IF(ISBLANK('_SCHEDULE'!G93),"",'_SCHEDULE'!G93)</x:f>
      </x:c>
      <x:c r="H125" s="530" t="str">
        <x:f>IF(ISBLANK('_SCHEDULE'!H93),"",'_SCHEDULE'!H93)</x:f>
      </x:c>
      <x:c r="I125" s="530" t="str">
        <x:f>IF(ISBLANK('_SCHEDULE'!I93),"",'_SCHEDULE'!I93)</x:f>
      </x:c>
      <x:c r="J125" s="530" t="str">
        <x:f>IF(ISBLANK('_SCHEDULE'!J93),"",'_SCHEDULE'!J93)</x:f>
      </x:c>
      <x:c r="K125" s="530" t="str">
        <x:f>IF(ISBLANK('_SCHEDULE'!K93),"",'_SCHEDULE'!K93)</x:f>
      </x:c>
      <x:c r="L125" s="530" t="str">
        <x:f>IF(ISBLANK('_SCHEDULE'!L93),"",'_SCHEDULE'!L93)</x:f>
      </x:c>
      <x:c r="M125" s="530" t="str">
        <x:f>IF(ISBLANK('_SCHEDULE'!M93),"",'_SCHEDULE'!M93)</x:f>
      </x:c>
      <x:c r="N125" s="530" t="str">
        <x:f>IF(ISBLANK('_SCHEDULE'!N93),"",'_SCHEDULE'!N93)</x:f>
      </x:c>
      <x:c r="O125" s="530" t="str">
        <x:f>IF(ISBLANK('_SCHEDULE'!O93),"",'_SCHEDULE'!O93)</x:f>
      </x:c>
      <x:c r="P125" s="530" t="str">
        <x:f>IF(ISBLANK('_SCHEDULE'!P93),"",'_SCHEDULE'!P93)</x:f>
      </x:c>
      <x:c r="Q125" s="530" t="str">
        <x:f>IF(ISBLANK('_SCHEDULE'!Q93),"",'_SCHEDULE'!Q93)</x:f>
      </x:c>
      <x:c r="R125" s="530" t="str">
        <x:f>IF(ISBLANK('_SCHEDULE'!R93),"",'_SCHEDULE'!R93)</x:f>
      </x:c>
      <x:c r="S125" s="523" t="str">
        <x:f>IF(ISBLANK('_SCHEDULE'!S93),"",'_SCHEDULE'!S93)</x:f>
      </x:c>
      <x:c r="T125" s="38"/>
      <x:c r="U125" s="38"/>
      <x:c r="V125" s="38"/>
      <x:c r="W125" s="38"/>
      <x:c r="X125" s="38"/>
      <x:c r="Y125" s="38"/>
      <x:c r="Z125" s="38"/>
      <x:c r="AA125" s="38"/>
      <x:c r="AB125" s="38"/>
      <x:c r="AC125" s="38"/>
      <x:c r="AD125" s="38"/>
      <x:c r="AE125" s="38"/>
      <x:c r="AF125" s="38"/>
      <x:c r="AG125" s="38"/>
      <x:c r="AH125" s="38"/>
      <x:c r="AI125" s="38"/>
      <x:c r="AJ125" s="38"/>
      <x:c r="AK125" s="38"/>
      <x:c r="AL125" s="38"/>
      <x:c r="AM125" s="38"/>
    </x:row>
    <x:row r="126">
      <x:c r="A126" s="523" t="str">
        <x:f>IF(ISBLANK('_SCHEDULE'!A94),"",'_SCHEDULE'!A94)</x:f>
      </x:c>
      <x:c r="B126" s="523" t="str">
        <x:f>IF(ISBLANK('_SCHEDULE'!B94),"",IF('_CONFIG'!$B$2="pt-BR",IF('_SCHEDULE'!B94="scheduled","programado",IF('_SCHEDULE'!B94="rejected","rejeitado",'_SCHEDULE'!B94)),'_SCHEDULE'!B94))</x:f>
      </x:c>
      <x:c r="C126" s="523" t="str">
        <x:f>IF(ISBLANK('_SCHEDULE'!C94),"",'_SCHEDULE'!C94)</x:f>
      </x:c>
      <x:c r="D126" s="523" t="str">
        <x:f>IF(ISBLANK('_SCHEDULE'!D94),"",'_SCHEDULE'!D94)</x:f>
      </x:c>
      <x:c r="E126" s="530" t="str">
        <x:f>IF(ISBLANK('_SCHEDULE'!E94),"",'_SCHEDULE'!E94)</x:f>
      </x:c>
      <x:c r="F126" s="530" t="str">
        <x:f>IF(ISBLANK('_SCHEDULE'!F94),"",'_SCHEDULE'!F94)</x:f>
      </x:c>
      <x:c r="G126" s="530" t="str">
        <x:f>IF(ISBLANK('_SCHEDULE'!G94),"",'_SCHEDULE'!G94)</x:f>
      </x:c>
      <x:c r="H126" s="530" t="str">
        <x:f>IF(ISBLANK('_SCHEDULE'!H94),"",'_SCHEDULE'!H94)</x:f>
      </x:c>
      <x:c r="I126" s="530" t="str">
        <x:f>IF(ISBLANK('_SCHEDULE'!I94),"",'_SCHEDULE'!I94)</x:f>
      </x:c>
      <x:c r="J126" s="530" t="str">
        <x:f>IF(ISBLANK('_SCHEDULE'!J94),"",'_SCHEDULE'!J94)</x:f>
      </x:c>
      <x:c r="K126" s="530" t="str">
        <x:f>IF(ISBLANK('_SCHEDULE'!K94),"",'_SCHEDULE'!K94)</x:f>
      </x:c>
      <x:c r="L126" s="530" t="str">
        <x:f>IF(ISBLANK('_SCHEDULE'!L94),"",'_SCHEDULE'!L94)</x:f>
      </x:c>
      <x:c r="M126" s="530" t="str">
        <x:f>IF(ISBLANK('_SCHEDULE'!M94),"",'_SCHEDULE'!M94)</x:f>
      </x:c>
      <x:c r="N126" s="530" t="str">
        <x:f>IF(ISBLANK('_SCHEDULE'!N94),"",'_SCHEDULE'!N94)</x:f>
      </x:c>
      <x:c r="O126" s="530" t="str">
        <x:f>IF(ISBLANK('_SCHEDULE'!O94),"",'_SCHEDULE'!O94)</x:f>
      </x:c>
      <x:c r="P126" s="530" t="str">
        <x:f>IF(ISBLANK('_SCHEDULE'!P94),"",'_SCHEDULE'!P94)</x:f>
      </x:c>
      <x:c r="Q126" s="530" t="str">
        <x:f>IF(ISBLANK('_SCHEDULE'!Q94),"",'_SCHEDULE'!Q94)</x:f>
      </x:c>
      <x:c r="R126" s="530" t="str">
        <x:f>IF(ISBLANK('_SCHEDULE'!R94),"",'_SCHEDULE'!R94)</x:f>
      </x:c>
      <x:c r="S126" s="523" t="str">
        <x:f>IF(ISBLANK('_SCHEDULE'!S94),"",'_SCHEDULE'!S94)</x:f>
      </x:c>
      <x:c r="T126" s="38"/>
      <x:c r="U126" s="38"/>
      <x:c r="V126" s="38"/>
      <x:c r="W126" s="38"/>
      <x:c r="X126" s="38"/>
      <x:c r="Y126" s="38"/>
      <x:c r="Z126" s="38"/>
      <x:c r="AA126" s="38"/>
      <x:c r="AB126" s="38"/>
      <x:c r="AC126" s="38"/>
      <x:c r="AD126" s="38"/>
      <x:c r="AE126" s="38"/>
      <x:c r="AF126" s="38"/>
      <x:c r="AG126" s="38"/>
      <x:c r="AH126" s="38"/>
      <x:c r="AI126" s="38"/>
      <x:c r="AJ126" s="38"/>
      <x:c r="AK126" s="38"/>
      <x:c r="AL126" s="38"/>
      <x:c r="AM126" s="38"/>
    </x:row>
    <x:row r="127">
      <x:c r="A127" s="523" t="str">
        <x:f>IF(ISBLANK('_SCHEDULE'!A95),"",'_SCHEDULE'!A95)</x:f>
      </x:c>
      <x:c r="B127" s="523" t="str">
        <x:f>IF(ISBLANK('_SCHEDULE'!B95),"",IF('_CONFIG'!$B$2="pt-BR",IF('_SCHEDULE'!B95="scheduled","programado",IF('_SCHEDULE'!B95="rejected","rejeitado",'_SCHEDULE'!B95)),'_SCHEDULE'!B95))</x:f>
      </x:c>
      <x:c r="C127" s="523" t="str">
        <x:f>IF(ISBLANK('_SCHEDULE'!C95),"",'_SCHEDULE'!C95)</x:f>
      </x:c>
      <x:c r="D127" s="523" t="str">
        <x:f>IF(ISBLANK('_SCHEDULE'!D95),"",'_SCHEDULE'!D95)</x:f>
      </x:c>
      <x:c r="E127" s="530" t="str">
        <x:f>IF(ISBLANK('_SCHEDULE'!E95),"",'_SCHEDULE'!E95)</x:f>
      </x:c>
      <x:c r="F127" s="530" t="str">
        <x:f>IF(ISBLANK('_SCHEDULE'!F95),"",'_SCHEDULE'!F95)</x:f>
      </x:c>
      <x:c r="G127" s="530" t="str">
        <x:f>IF(ISBLANK('_SCHEDULE'!G95),"",'_SCHEDULE'!G95)</x:f>
      </x:c>
      <x:c r="H127" s="530" t="str">
        <x:f>IF(ISBLANK('_SCHEDULE'!H95),"",'_SCHEDULE'!H95)</x:f>
      </x:c>
      <x:c r="I127" s="530" t="str">
        <x:f>IF(ISBLANK('_SCHEDULE'!I95),"",'_SCHEDULE'!I95)</x:f>
      </x:c>
      <x:c r="J127" s="530" t="str">
        <x:f>IF(ISBLANK('_SCHEDULE'!J95),"",'_SCHEDULE'!J95)</x:f>
      </x:c>
      <x:c r="K127" s="530" t="str">
        <x:f>IF(ISBLANK('_SCHEDULE'!K95),"",'_SCHEDULE'!K95)</x:f>
      </x:c>
      <x:c r="L127" s="530" t="str">
        <x:f>IF(ISBLANK('_SCHEDULE'!L95),"",'_SCHEDULE'!L95)</x:f>
      </x:c>
      <x:c r="M127" s="530" t="str">
        <x:f>IF(ISBLANK('_SCHEDULE'!M95),"",'_SCHEDULE'!M95)</x:f>
      </x:c>
      <x:c r="N127" s="530" t="str">
        <x:f>IF(ISBLANK('_SCHEDULE'!N95),"",'_SCHEDULE'!N95)</x:f>
      </x:c>
      <x:c r="O127" s="530" t="str">
        <x:f>IF(ISBLANK('_SCHEDULE'!O95),"",'_SCHEDULE'!O95)</x:f>
      </x:c>
      <x:c r="P127" s="530" t="str">
        <x:f>IF(ISBLANK('_SCHEDULE'!P95),"",'_SCHEDULE'!P95)</x:f>
      </x:c>
      <x:c r="Q127" s="530" t="str">
        <x:f>IF(ISBLANK('_SCHEDULE'!Q95),"",'_SCHEDULE'!Q95)</x:f>
      </x:c>
      <x:c r="R127" s="530" t="str">
        <x:f>IF(ISBLANK('_SCHEDULE'!R95),"",'_SCHEDULE'!R95)</x:f>
      </x:c>
      <x:c r="S127" s="523" t="str">
        <x:f>IF(ISBLANK('_SCHEDULE'!S95),"",'_SCHEDULE'!S95)</x:f>
      </x:c>
      <x:c r="T127" s="38"/>
      <x:c r="U127" s="38"/>
      <x:c r="V127" s="38"/>
      <x:c r="W127" s="38"/>
      <x:c r="X127" s="38"/>
      <x:c r="Y127" s="38"/>
      <x:c r="Z127" s="38"/>
      <x:c r="AA127" s="38"/>
      <x:c r="AB127" s="38"/>
      <x:c r="AC127" s="38"/>
      <x:c r="AD127" s="38"/>
      <x:c r="AE127" s="38"/>
      <x:c r="AF127" s="38"/>
      <x:c r="AG127" s="38"/>
      <x:c r="AH127" s="38"/>
      <x:c r="AI127" s="38"/>
      <x:c r="AJ127" s="38"/>
      <x:c r="AK127" s="38"/>
      <x:c r="AL127" s="38"/>
      <x:c r="AM127" s="38"/>
    </x:row>
    <x:row r="128">
      <x:c r="A128" s="523" t="str">
        <x:f>IF(ISBLANK('_SCHEDULE'!A96),"",'_SCHEDULE'!A96)</x:f>
      </x:c>
      <x:c r="B128" s="523" t="str">
        <x:f>IF(ISBLANK('_SCHEDULE'!B96),"",IF('_CONFIG'!$B$2="pt-BR",IF('_SCHEDULE'!B96="scheduled","programado",IF('_SCHEDULE'!B96="rejected","rejeitado",'_SCHEDULE'!B96)),'_SCHEDULE'!B96))</x:f>
      </x:c>
      <x:c r="C128" s="523" t="str">
        <x:f>IF(ISBLANK('_SCHEDULE'!C96),"",'_SCHEDULE'!C96)</x:f>
      </x:c>
      <x:c r="D128" s="523" t="str">
        <x:f>IF(ISBLANK('_SCHEDULE'!D96),"",'_SCHEDULE'!D96)</x:f>
      </x:c>
      <x:c r="E128" s="530" t="str">
        <x:f>IF(ISBLANK('_SCHEDULE'!E96),"",'_SCHEDULE'!E96)</x:f>
      </x:c>
      <x:c r="F128" s="530" t="str">
        <x:f>IF(ISBLANK('_SCHEDULE'!F96),"",'_SCHEDULE'!F96)</x:f>
      </x:c>
      <x:c r="G128" s="530" t="str">
        <x:f>IF(ISBLANK('_SCHEDULE'!G96),"",'_SCHEDULE'!G96)</x:f>
      </x:c>
      <x:c r="H128" s="530" t="str">
        <x:f>IF(ISBLANK('_SCHEDULE'!H96),"",'_SCHEDULE'!H96)</x:f>
      </x:c>
      <x:c r="I128" s="530" t="str">
        <x:f>IF(ISBLANK('_SCHEDULE'!I96),"",'_SCHEDULE'!I96)</x:f>
      </x:c>
      <x:c r="J128" s="530" t="str">
        <x:f>IF(ISBLANK('_SCHEDULE'!J96),"",'_SCHEDULE'!J96)</x:f>
      </x:c>
      <x:c r="K128" s="530" t="str">
        <x:f>IF(ISBLANK('_SCHEDULE'!K96),"",'_SCHEDULE'!K96)</x:f>
      </x:c>
      <x:c r="L128" s="530" t="str">
        <x:f>IF(ISBLANK('_SCHEDULE'!L96),"",'_SCHEDULE'!L96)</x:f>
      </x:c>
      <x:c r="M128" s="530" t="str">
        <x:f>IF(ISBLANK('_SCHEDULE'!M96),"",'_SCHEDULE'!M96)</x:f>
      </x:c>
      <x:c r="N128" s="530" t="str">
        <x:f>IF(ISBLANK('_SCHEDULE'!N96),"",'_SCHEDULE'!N96)</x:f>
      </x:c>
      <x:c r="O128" s="530" t="str">
        <x:f>IF(ISBLANK('_SCHEDULE'!O96),"",'_SCHEDULE'!O96)</x:f>
      </x:c>
      <x:c r="P128" s="530" t="str">
        <x:f>IF(ISBLANK('_SCHEDULE'!P96),"",'_SCHEDULE'!P96)</x:f>
      </x:c>
      <x:c r="Q128" s="530" t="str">
        <x:f>IF(ISBLANK('_SCHEDULE'!Q96),"",'_SCHEDULE'!Q96)</x:f>
      </x:c>
      <x:c r="R128" s="530" t="str">
        <x:f>IF(ISBLANK('_SCHEDULE'!R96),"",'_SCHEDULE'!R96)</x:f>
      </x:c>
      <x:c r="S128" s="523" t="str">
        <x:f>IF(ISBLANK('_SCHEDULE'!S96),"",'_SCHEDULE'!S96)</x:f>
      </x:c>
      <x:c r="T128" s="38"/>
      <x:c r="U128" s="38"/>
      <x:c r="V128" s="38"/>
      <x:c r="W128" s="38"/>
      <x:c r="X128" s="38"/>
      <x:c r="Y128" s="38"/>
      <x:c r="Z128" s="38"/>
      <x:c r="AA128" s="38"/>
      <x:c r="AB128" s="38"/>
      <x:c r="AC128" s="38"/>
      <x:c r="AD128" s="38"/>
      <x:c r="AE128" s="38"/>
      <x:c r="AF128" s="38"/>
      <x:c r="AG128" s="38"/>
      <x:c r="AH128" s="38"/>
      <x:c r="AI128" s="38"/>
      <x:c r="AJ128" s="38"/>
      <x:c r="AK128" s="38"/>
      <x:c r="AL128" s="38"/>
      <x:c r="AM128" s="38"/>
    </x:row>
    <x:row r="129">
      <x:c r="A129" s="523" t="str">
        <x:f>IF(ISBLANK('_SCHEDULE'!A97),"",'_SCHEDULE'!A97)</x:f>
      </x:c>
      <x:c r="B129" s="523" t="str">
        <x:f>IF(ISBLANK('_SCHEDULE'!B97),"",IF('_CONFIG'!$B$2="pt-BR",IF('_SCHEDULE'!B97="scheduled","programado",IF('_SCHEDULE'!B97="rejected","rejeitado",'_SCHEDULE'!B97)),'_SCHEDULE'!B97))</x:f>
      </x:c>
      <x:c r="C129" s="523" t="str">
        <x:f>IF(ISBLANK('_SCHEDULE'!C97),"",'_SCHEDULE'!C97)</x:f>
      </x:c>
      <x:c r="D129" s="523" t="str">
        <x:f>IF(ISBLANK('_SCHEDULE'!D97),"",'_SCHEDULE'!D97)</x:f>
      </x:c>
      <x:c r="E129" s="530" t="str">
        <x:f>IF(ISBLANK('_SCHEDULE'!E97),"",'_SCHEDULE'!E97)</x:f>
      </x:c>
      <x:c r="F129" s="530" t="str">
        <x:f>IF(ISBLANK('_SCHEDULE'!F97),"",'_SCHEDULE'!F97)</x:f>
      </x:c>
      <x:c r="G129" s="530" t="str">
        <x:f>IF(ISBLANK('_SCHEDULE'!G97),"",'_SCHEDULE'!G97)</x:f>
      </x:c>
      <x:c r="H129" s="530" t="str">
        <x:f>IF(ISBLANK('_SCHEDULE'!H97),"",'_SCHEDULE'!H97)</x:f>
      </x:c>
      <x:c r="I129" s="530" t="str">
        <x:f>IF(ISBLANK('_SCHEDULE'!I97),"",'_SCHEDULE'!I97)</x:f>
      </x:c>
      <x:c r="J129" s="530" t="str">
        <x:f>IF(ISBLANK('_SCHEDULE'!J97),"",'_SCHEDULE'!J97)</x:f>
      </x:c>
      <x:c r="K129" s="530" t="str">
        <x:f>IF(ISBLANK('_SCHEDULE'!K97),"",'_SCHEDULE'!K97)</x:f>
      </x:c>
      <x:c r="L129" s="530" t="str">
        <x:f>IF(ISBLANK('_SCHEDULE'!L97),"",'_SCHEDULE'!L97)</x:f>
      </x:c>
      <x:c r="M129" s="530" t="str">
        <x:f>IF(ISBLANK('_SCHEDULE'!M97),"",'_SCHEDULE'!M97)</x:f>
      </x:c>
      <x:c r="N129" s="530" t="str">
        <x:f>IF(ISBLANK('_SCHEDULE'!N97),"",'_SCHEDULE'!N97)</x:f>
      </x:c>
      <x:c r="O129" s="530" t="str">
        <x:f>IF(ISBLANK('_SCHEDULE'!O97),"",'_SCHEDULE'!O97)</x:f>
      </x:c>
      <x:c r="P129" s="530" t="str">
        <x:f>IF(ISBLANK('_SCHEDULE'!P97),"",'_SCHEDULE'!P97)</x:f>
      </x:c>
      <x:c r="Q129" s="530" t="str">
        <x:f>IF(ISBLANK('_SCHEDULE'!Q97),"",'_SCHEDULE'!Q97)</x:f>
      </x:c>
      <x:c r="R129" s="530" t="str">
        <x:f>IF(ISBLANK('_SCHEDULE'!R97),"",'_SCHEDULE'!R97)</x:f>
      </x:c>
      <x:c r="S129" s="523" t="str">
        <x:f>IF(ISBLANK('_SCHEDULE'!S97),"",'_SCHEDULE'!S97)</x:f>
      </x:c>
      <x:c r="T129" s="38"/>
      <x:c r="U129" s="38"/>
      <x:c r="V129" s="38"/>
      <x:c r="W129" s="38"/>
      <x:c r="X129" s="38"/>
      <x:c r="Y129" s="38"/>
      <x:c r="Z129" s="38"/>
      <x:c r="AA129" s="38"/>
      <x:c r="AB129" s="38"/>
      <x:c r="AC129" s="38"/>
      <x:c r="AD129" s="38"/>
      <x:c r="AE129" s="38"/>
      <x:c r="AF129" s="38"/>
      <x:c r="AG129" s="38"/>
      <x:c r="AH129" s="38"/>
      <x:c r="AI129" s="38"/>
      <x:c r="AJ129" s="38"/>
      <x:c r="AK129" s="38"/>
      <x:c r="AL129" s="38"/>
      <x:c r="AM129" s="38"/>
    </x:row>
    <x:row r="130">
      <x:c r="A130" s="523" t="str">
        <x:f>IF(ISBLANK('_SCHEDULE'!A98),"",'_SCHEDULE'!A98)</x:f>
      </x:c>
      <x:c r="B130" s="523" t="str">
        <x:f>IF(ISBLANK('_SCHEDULE'!B98),"",IF('_CONFIG'!$B$2="pt-BR",IF('_SCHEDULE'!B98="scheduled","programado",IF('_SCHEDULE'!B98="rejected","rejeitado",'_SCHEDULE'!B98)),'_SCHEDULE'!B98))</x:f>
      </x:c>
      <x:c r="C130" s="523" t="str">
        <x:f>IF(ISBLANK('_SCHEDULE'!C98),"",'_SCHEDULE'!C98)</x:f>
      </x:c>
      <x:c r="D130" s="523" t="str">
        <x:f>IF(ISBLANK('_SCHEDULE'!D98),"",'_SCHEDULE'!D98)</x:f>
      </x:c>
      <x:c r="E130" s="530" t="str">
        <x:f>IF(ISBLANK('_SCHEDULE'!E98),"",'_SCHEDULE'!E98)</x:f>
      </x:c>
      <x:c r="F130" s="530" t="str">
        <x:f>IF(ISBLANK('_SCHEDULE'!F98),"",'_SCHEDULE'!F98)</x:f>
      </x:c>
      <x:c r="G130" s="530" t="str">
        <x:f>IF(ISBLANK('_SCHEDULE'!G98),"",'_SCHEDULE'!G98)</x:f>
      </x:c>
      <x:c r="H130" s="530" t="str">
        <x:f>IF(ISBLANK('_SCHEDULE'!H98),"",'_SCHEDULE'!H98)</x:f>
      </x:c>
      <x:c r="I130" s="530" t="str">
        <x:f>IF(ISBLANK('_SCHEDULE'!I98),"",'_SCHEDULE'!I98)</x:f>
      </x:c>
      <x:c r="J130" s="530" t="str">
        <x:f>IF(ISBLANK('_SCHEDULE'!J98),"",'_SCHEDULE'!J98)</x:f>
      </x:c>
      <x:c r="K130" s="530" t="str">
        <x:f>IF(ISBLANK('_SCHEDULE'!K98),"",'_SCHEDULE'!K98)</x:f>
      </x:c>
      <x:c r="L130" s="530" t="str">
        <x:f>IF(ISBLANK('_SCHEDULE'!L98),"",'_SCHEDULE'!L98)</x:f>
      </x:c>
      <x:c r="M130" s="530" t="str">
        <x:f>IF(ISBLANK('_SCHEDULE'!M98),"",'_SCHEDULE'!M98)</x:f>
      </x:c>
      <x:c r="N130" s="530" t="str">
        <x:f>IF(ISBLANK('_SCHEDULE'!N98),"",'_SCHEDULE'!N98)</x:f>
      </x:c>
      <x:c r="O130" s="530" t="str">
        <x:f>IF(ISBLANK('_SCHEDULE'!O98),"",'_SCHEDULE'!O98)</x:f>
      </x:c>
      <x:c r="P130" s="530" t="str">
        <x:f>IF(ISBLANK('_SCHEDULE'!P98),"",'_SCHEDULE'!P98)</x:f>
      </x:c>
      <x:c r="Q130" s="530" t="str">
        <x:f>IF(ISBLANK('_SCHEDULE'!Q98),"",'_SCHEDULE'!Q98)</x:f>
      </x:c>
      <x:c r="R130" s="530" t="str">
        <x:f>IF(ISBLANK('_SCHEDULE'!R98),"",'_SCHEDULE'!R98)</x:f>
      </x:c>
      <x:c r="S130" s="523" t="str">
        <x:f>IF(ISBLANK('_SCHEDULE'!S98),"",'_SCHEDULE'!S98)</x:f>
      </x:c>
      <x:c r="T130" s="38"/>
      <x:c r="U130" s="38"/>
      <x:c r="V130" s="38"/>
      <x:c r="W130" s="38"/>
      <x:c r="X130" s="38"/>
      <x:c r="Y130" s="38"/>
      <x:c r="Z130" s="38"/>
      <x:c r="AA130" s="38"/>
      <x:c r="AB130" s="38"/>
      <x:c r="AC130" s="38"/>
      <x:c r="AD130" s="38"/>
      <x:c r="AE130" s="38"/>
      <x:c r="AF130" s="38"/>
      <x:c r="AG130" s="38"/>
      <x:c r="AH130" s="38"/>
      <x:c r="AI130" s="38"/>
      <x:c r="AJ130" s="38"/>
      <x:c r="AK130" s="38"/>
      <x:c r="AL130" s="38"/>
      <x:c r="AM130" s="38"/>
    </x:row>
    <x:row r="131">
      <x:c r="A131" s="523" t="str">
        <x:f>IF(ISBLANK('_SCHEDULE'!A99),"",'_SCHEDULE'!A99)</x:f>
      </x:c>
      <x:c r="B131" s="523" t="str">
        <x:f>IF(ISBLANK('_SCHEDULE'!B99),"",IF('_CONFIG'!$B$2="pt-BR",IF('_SCHEDULE'!B99="scheduled","programado",IF('_SCHEDULE'!B99="rejected","rejeitado",'_SCHEDULE'!B99)),'_SCHEDULE'!B99))</x:f>
      </x:c>
      <x:c r="C131" s="523" t="str">
        <x:f>IF(ISBLANK('_SCHEDULE'!C99),"",'_SCHEDULE'!C99)</x:f>
      </x:c>
      <x:c r="D131" s="523" t="str">
        <x:f>IF(ISBLANK('_SCHEDULE'!D99),"",'_SCHEDULE'!D99)</x:f>
      </x:c>
      <x:c r="E131" s="530" t="str">
        <x:f>IF(ISBLANK('_SCHEDULE'!E99),"",'_SCHEDULE'!E99)</x:f>
      </x:c>
      <x:c r="F131" s="530" t="str">
        <x:f>IF(ISBLANK('_SCHEDULE'!F99),"",'_SCHEDULE'!F99)</x:f>
      </x:c>
      <x:c r="G131" s="530" t="str">
        <x:f>IF(ISBLANK('_SCHEDULE'!G99),"",'_SCHEDULE'!G99)</x:f>
      </x:c>
      <x:c r="H131" s="530" t="str">
        <x:f>IF(ISBLANK('_SCHEDULE'!H99),"",'_SCHEDULE'!H99)</x:f>
      </x:c>
      <x:c r="I131" s="530" t="str">
        <x:f>IF(ISBLANK('_SCHEDULE'!I99),"",'_SCHEDULE'!I99)</x:f>
      </x:c>
      <x:c r="J131" s="530" t="str">
        <x:f>IF(ISBLANK('_SCHEDULE'!J99),"",'_SCHEDULE'!J99)</x:f>
      </x:c>
      <x:c r="K131" s="530" t="str">
        <x:f>IF(ISBLANK('_SCHEDULE'!K99),"",'_SCHEDULE'!K99)</x:f>
      </x:c>
      <x:c r="L131" s="530" t="str">
        <x:f>IF(ISBLANK('_SCHEDULE'!L99),"",'_SCHEDULE'!L99)</x:f>
      </x:c>
      <x:c r="M131" s="530" t="str">
        <x:f>IF(ISBLANK('_SCHEDULE'!M99),"",'_SCHEDULE'!M99)</x:f>
      </x:c>
      <x:c r="N131" s="530" t="str">
        <x:f>IF(ISBLANK('_SCHEDULE'!N99),"",'_SCHEDULE'!N99)</x:f>
      </x:c>
      <x:c r="O131" s="530" t="str">
        <x:f>IF(ISBLANK('_SCHEDULE'!O99),"",'_SCHEDULE'!O99)</x:f>
      </x:c>
      <x:c r="P131" s="530" t="str">
        <x:f>IF(ISBLANK('_SCHEDULE'!P99),"",'_SCHEDULE'!P99)</x:f>
      </x:c>
      <x:c r="Q131" s="530" t="str">
        <x:f>IF(ISBLANK('_SCHEDULE'!Q99),"",'_SCHEDULE'!Q99)</x:f>
      </x:c>
      <x:c r="R131" s="530" t="str">
        <x:f>IF(ISBLANK('_SCHEDULE'!R99),"",'_SCHEDULE'!R99)</x:f>
      </x:c>
      <x:c r="S131" s="523" t="str">
        <x:f>IF(ISBLANK('_SCHEDULE'!S99),"",'_SCHEDULE'!S99)</x:f>
      </x:c>
      <x:c r="T131" s="38"/>
      <x:c r="U131" s="38"/>
      <x:c r="V131" s="38"/>
      <x:c r="W131" s="38"/>
      <x:c r="X131" s="38"/>
      <x:c r="Y131" s="38"/>
      <x:c r="Z131" s="38"/>
      <x:c r="AA131" s="38"/>
      <x:c r="AB131" s="38"/>
      <x:c r="AC131" s="38"/>
      <x:c r="AD131" s="38"/>
      <x:c r="AE131" s="38"/>
      <x:c r="AF131" s="38"/>
      <x:c r="AG131" s="38"/>
      <x:c r="AH131" s="38"/>
      <x:c r="AI131" s="38"/>
      <x:c r="AJ131" s="38"/>
      <x:c r="AK131" s="38"/>
      <x:c r="AL131" s="38"/>
      <x:c r="AM131" s="38"/>
    </x:row>
    <x:row r="132">
      <x:c r="A132" s="523" t="str">
        <x:f>IF(ISBLANK('_SCHEDULE'!A100),"",'_SCHEDULE'!A100)</x:f>
      </x:c>
      <x:c r="B132" s="523" t="str">
        <x:f>IF(ISBLANK('_SCHEDULE'!B100),"",IF('_CONFIG'!$B$2="pt-BR",IF('_SCHEDULE'!B100="scheduled","programado",IF('_SCHEDULE'!B100="rejected","rejeitado",'_SCHEDULE'!B100)),'_SCHEDULE'!B100))</x:f>
      </x:c>
      <x:c r="C132" s="523" t="str">
        <x:f>IF(ISBLANK('_SCHEDULE'!C100),"",'_SCHEDULE'!C100)</x:f>
      </x:c>
      <x:c r="D132" s="523" t="str">
        <x:f>IF(ISBLANK('_SCHEDULE'!D100),"",'_SCHEDULE'!D100)</x:f>
      </x:c>
      <x:c r="E132" s="530" t="str">
        <x:f>IF(ISBLANK('_SCHEDULE'!E100),"",'_SCHEDULE'!E100)</x:f>
      </x:c>
      <x:c r="F132" s="530" t="str">
        <x:f>IF(ISBLANK('_SCHEDULE'!F100),"",'_SCHEDULE'!F100)</x:f>
      </x:c>
      <x:c r="G132" s="530" t="str">
        <x:f>IF(ISBLANK('_SCHEDULE'!G100),"",'_SCHEDULE'!G100)</x:f>
      </x:c>
      <x:c r="H132" s="530" t="str">
        <x:f>IF(ISBLANK('_SCHEDULE'!H100),"",'_SCHEDULE'!H100)</x:f>
      </x:c>
      <x:c r="I132" s="530" t="str">
        <x:f>IF(ISBLANK('_SCHEDULE'!I100),"",'_SCHEDULE'!I100)</x:f>
      </x:c>
      <x:c r="J132" s="530" t="str">
        <x:f>IF(ISBLANK('_SCHEDULE'!J100),"",'_SCHEDULE'!J100)</x:f>
      </x:c>
      <x:c r="K132" s="530" t="str">
        <x:f>IF(ISBLANK('_SCHEDULE'!K100),"",'_SCHEDULE'!K100)</x:f>
      </x:c>
      <x:c r="L132" s="530" t="str">
        <x:f>IF(ISBLANK('_SCHEDULE'!L100),"",'_SCHEDULE'!L100)</x:f>
      </x:c>
      <x:c r="M132" s="530" t="str">
        <x:f>IF(ISBLANK('_SCHEDULE'!M100),"",'_SCHEDULE'!M100)</x:f>
      </x:c>
      <x:c r="N132" s="530" t="str">
        <x:f>IF(ISBLANK('_SCHEDULE'!N100),"",'_SCHEDULE'!N100)</x:f>
      </x:c>
      <x:c r="O132" s="530" t="str">
        <x:f>IF(ISBLANK('_SCHEDULE'!O100),"",'_SCHEDULE'!O100)</x:f>
      </x:c>
      <x:c r="P132" s="530" t="str">
        <x:f>IF(ISBLANK('_SCHEDULE'!P100),"",'_SCHEDULE'!P100)</x:f>
      </x:c>
      <x:c r="Q132" s="530" t="str">
        <x:f>IF(ISBLANK('_SCHEDULE'!Q100),"",'_SCHEDULE'!Q100)</x:f>
      </x:c>
      <x:c r="R132" s="530" t="str">
        <x:f>IF(ISBLANK('_SCHEDULE'!R100),"",'_SCHEDULE'!R100)</x:f>
      </x:c>
      <x:c r="S132" s="523" t="str">
        <x:f>IF(ISBLANK('_SCHEDULE'!S100),"",'_SCHEDULE'!S100)</x:f>
      </x:c>
      <x:c r="T132" s="38"/>
      <x:c r="U132" s="38"/>
      <x:c r="V132" s="38"/>
      <x:c r="W132" s="38"/>
      <x:c r="X132" s="38"/>
      <x:c r="Y132" s="38"/>
      <x:c r="Z132" s="38"/>
      <x:c r="AA132" s="38"/>
      <x:c r="AB132" s="38"/>
      <x:c r="AC132" s="38"/>
      <x:c r="AD132" s="38"/>
      <x:c r="AE132" s="38"/>
      <x:c r="AF132" s="38"/>
      <x:c r="AG132" s="38"/>
      <x:c r="AH132" s="38"/>
      <x:c r="AI132" s="38"/>
      <x:c r="AJ132" s="38"/>
      <x:c r="AK132" s="38"/>
      <x:c r="AL132" s="38"/>
      <x:c r="AM132" s="38"/>
    </x:row>
    <x:row r="133">
      <x:c r="A133" s="523" t="str">
        <x:f>IF(ISBLANK('_SCHEDULE'!A101),"",'_SCHEDULE'!A101)</x:f>
      </x:c>
      <x:c r="B133" s="523" t="str">
        <x:f>IF(ISBLANK('_SCHEDULE'!B101),"",IF('_CONFIG'!$B$2="pt-BR",IF('_SCHEDULE'!B101="scheduled","programado",IF('_SCHEDULE'!B101="rejected","rejeitado",'_SCHEDULE'!B101)),'_SCHEDULE'!B101))</x:f>
      </x:c>
      <x:c r="C133" s="523" t="str">
        <x:f>IF(ISBLANK('_SCHEDULE'!C101),"",'_SCHEDULE'!C101)</x:f>
      </x:c>
      <x:c r="D133" s="523" t="str">
        <x:f>IF(ISBLANK('_SCHEDULE'!D101),"",'_SCHEDULE'!D101)</x:f>
      </x:c>
      <x:c r="E133" s="530" t="str">
        <x:f>IF(ISBLANK('_SCHEDULE'!E101),"",'_SCHEDULE'!E101)</x:f>
      </x:c>
      <x:c r="F133" s="530" t="str">
        <x:f>IF(ISBLANK('_SCHEDULE'!F101),"",'_SCHEDULE'!F101)</x:f>
      </x:c>
      <x:c r="G133" s="530" t="str">
        <x:f>IF(ISBLANK('_SCHEDULE'!G101),"",'_SCHEDULE'!G101)</x:f>
      </x:c>
      <x:c r="H133" s="530" t="str">
        <x:f>IF(ISBLANK('_SCHEDULE'!H101),"",'_SCHEDULE'!H101)</x:f>
      </x:c>
      <x:c r="I133" s="530" t="str">
        <x:f>IF(ISBLANK('_SCHEDULE'!I101),"",'_SCHEDULE'!I101)</x:f>
      </x:c>
      <x:c r="J133" s="530" t="str">
        <x:f>IF(ISBLANK('_SCHEDULE'!J101),"",'_SCHEDULE'!J101)</x:f>
      </x:c>
      <x:c r="K133" s="530" t="str">
        <x:f>IF(ISBLANK('_SCHEDULE'!K101),"",'_SCHEDULE'!K101)</x:f>
      </x:c>
      <x:c r="L133" s="530" t="str">
        <x:f>IF(ISBLANK('_SCHEDULE'!L101),"",'_SCHEDULE'!L101)</x:f>
      </x:c>
      <x:c r="M133" s="530" t="str">
        <x:f>IF(ISBLANK('_SCHEDULE'!M101),"",'_SCHEDULE'!M101)</x:f>
      </x:c>
      <x:c r="N133" s="530" t="str">
        <x:f>IF(ISBLANK('_SCHEDULE'!N101),"",'_SCHEDULE'!N101)</x:f>
      </x:c>
      <x:c r="O133" s="530" t="str">
        <x:f>IF(ISBLANK('_SCHEDULE'!O101),"",'_SCHEDULE'!O101)</x:f>
      </x:c>
      <x:c r="P133" s="530" t="str">
        <x:f>IF(ISBLANK('_SCHEDULE'!P101),"",'_SCHEDULE'!P101)</x:f>
      </x:c>
      <x:c r="Q133" s="530" t="str">
        <x:f>IF(ISBLANK('_SCHEDULE'!Q101),"",'_SCHEDULE'!Q101)</x:f>
      </x:c>
      <x:c r="R133" s="530" t="str">
        <x:f>IF(ISBLANK('_SCHEDULE'!R101),"",'_SCHEDULE'!R101)</x:f>
      </x:c>
      <x:c r="S133" s="523" t="str">
        <x:f>IF(ISBLANK('_SCHEDULE'!S101),"",'_SCHEDULE'!S101)</x:f>
      </x:c>
      <x:c r="T133" s="38"/>
      <x:c r="U133" s="38"/>
      <x:c r="V133" s="38"/>
      <x:c r="W133" s="38"/>
      <x:c r="X133" s="38"/>
      <x:c r="Y133" s="38"/>
      <x:c r="Z133" s="38"/>
      <x:c r="AA133" s="38"/>
      <x:c r="AB133" s="38"/>
      <x:c r="AC133" s="38"/>
      <x:c r="AD133" s="38"/>
      <x:c r="AE133" s="38"/>
      <x:c r="AF133" s="38"/>
      <x:c r="AG133" s="38"/>
      <x:c r="AH133" s="38"/>
      <x:c r="AI133" s="38"/>
      <x:c r="AJ133" s="38"/>
      <x:c r="AK133" s="38"/>
      <x:c r="AL133" s="38"/>
      <x:c r="AM133" s="38"/>
    </x:row>
    <x:row r="134">
      <x:c r="A134" s="523" t="str">
        <x:f>IF(ISBLANK('_SCHEDULE'!A102),"",'_SCHEDULE'!A102)</x:f>
      </x:c>
      <x:c r="B134" s="523" t="str">
        <x:f>IF(ISBLANK('_SCHEDULE'!B102),"",IF('_CONFIG'!$B$2="pt-BR",IF('_SCHEDULE'!B102="scheduled","programado",IF('_SCHEDULE'!B102="rejected","rejeitado",'_SCHEDULE'!B102)),'_SCHEDULE'!B102))</x:f>
      </x:c>
      <x:c r="C134" s="523" t="str">
        <x:f>IF(ISBLANK('_SCHEDULE'!C102),"",'_SCHEDULE'!C102)</x:f>
      </x:c>
      <x:c r="D134" s="523" t="str">
        <x:f>IF(ISBLANK('_SCHEDULE'!D102),"",'_SCHEDULE'!D102)</x:f>
      </x:c>
      <x:c r="E134" s="530" t="str">
        <x:f>IF(ISBLANK('_SCHEDULE'!E102),"",'_SCHEDULE'!E102)</x:f>
      </x:c>
      <x:c r="F134" s="530" t="str">
        <x:f>IF(ISBLANK('_SCHEDULE'!F102),"",'_SCHEDULE'!F102)</x:f>
      </x:c>
      <x:c r="G134" s="530" t="str">
        <x:f>IF(ISBLANK('_SCHEDULE'!G102),"",'_SCHEDULE'!G102)</x:f>
      </x:c>
      <x:c r="H134" s="530" t="str">
        <x:f>IF(ISBLANK('_SCHEDULE'!H102),"",'_SCHEDULE'!H102)</x:f>
      </x:c>
      <x:c r="I134" s="530" t="str">
        <x:f>IF(ISBLANK('_SCHEDULE'!I102),"",'_SCHEDULE'!I102)</x:f>
      </x:c>
      <x:c r="J134" s="530" t="str">
        <x:f>IF(ISBLANK('_SCHEDULE'!J102),"",'_SCHEDULE'!J102)</x:f>
      </x:c>
      <x:c r="K134" s="530" t="str">
        <x:f>IF(ISBLANK('_SCHEDULE'!K102),"",'_SCHEDULE'!K102)</x:f>
      </x:c>
      <x:c r="L134" s="530" t="str">
        <x:f>IF(ISBLANK('_SCHEDULE'!L102),"",'_SCHEDULE'!L102)</x:f>
      </x:c>
      <x:c r="M134" s="530" t="str">
        <x:f>IF(ISBLANK('_SCHEDULE'!M102),"",'_SCHEDULE'!M102)</x:f>
      </x:c>
      <x:c r="N134" s="530" t="str">
        <x:f>IF(ISBLANK('_SCHEDULE'!N102),"",'_SCHEDULE'!N102)</x:f>
      </x:c>
      <x:c r="O134" s="530" t="str">
        <x:f>IF(ISBLANK('_SCHEDULE'!O102),"",'_SCHEDULE'!O102)</x:f>
      </x:c>
      <x:c r="P134" s="530" t="str">
        <x:f>IF(ISBLANK('_SCHEDULE'!P102),"",'_SCHEDULE'!P102)</x:f>
      </x:c>
      <x:c r="Q134" s="530" t="str">
        <x:f>IF(ISBLANK('_SCHEDULE'!Q102),"",'_SCHEDULE'!Q102)</x:f>
      </x:c>
      <x:c r="R134" s="530" t="str">
        <x:f>IF(ISBLANK('_SCHEDULE'!R102),"",'_SCHEDULE'!R102)</x:f>
      </x:c>
      <x:c r="S134" s="523" t="str">
        <x:f>IF(ISBLANK('_SCHEDULE'!S102),"",'_SCHEDULE'!S102)</x:f>
      </x:c>
      <x:c r="T134" s="38"/>
      <x:c r="U134" s="38"/>
      <x:c r="V134" s="38"/>
      <x:c r="W134" s="38"/>
      <x:c r="X134" s="38"/>
      <x:c r="Y134" s="38"/>
      <x:c r="Z134" s="38"/>
      <x:c r="AA134" s="38"/>
      <x:c r="AB134" s="38"/>
      <x:c r="AC134" s="38"/>
      <x:c r="AD134" s="38"/>
      <x:c r="AE134" s="38"/>
      <x:c r="AF134" s="38"/>
      <x:c r="AG134" s="38"/>
      <x:c r="AH134" s="38"/>
      <x:c r="AI134" s="38"/>
      <x:c r="AJ134" s="38"/>
      <x:c r="AK134" s="38"/>
      <x:c r="AL134" s="38"/>
      <x:c r="AM134" s="38"/>
    </x:row>
    <x:row r="135">
      <x:c r="A135" s="523" t="str">
        <x:f>IF(ISBLANK('_SCHEDULE'!A103),"",'_SCHEDULE'!A103)</x:f>
      </x:c>
      <x:c r="B135" s="523" t="str">
        <x:f>IF(ISBLANK('_SCHEDULE'!B103),"",IF('_CONFIG'!$B$2="pt-BR",IF('_SCHEDULE'!B103="scheduled","programado",IF('_SCHEDULE'!B103="rejected","rejeitado",'_SCHEDULE'!B103)),'_SCHEDULE'!B103))</x:f>
      </x:c>
      <x:c r="C135" s="523" t="str">
        <x:f>IF(ISBLANK('_SCHEDULE'!C103),"",'_SCHEDULE'!C103)</x:f>
      </x:c>
      <x:c r="D135" s="523" t="str">
        <x:f>IF(ISBLANK('_SCHEDULE'!D103),"",'_SCHEDULE'!D103)</x:f>
      </x:c>
      <x:c r="E135" s="530" t="str">
        <x:f>IF(ISBLANK('_SCHEDULE'!E103),"",'_SCHEDULE'!E103)</x:f>
      </x:c>
      <x:c r="F135" s="530" t="str">
        <x:f>IF(ISBLANK('_SCHEDULE'!F103),"",'_SCHEDULE'!F103)</x:f>
      </x:c>
      <x:c r="G135" s="530" t="str">
        <x:f>IF(ISBLANK('_SCHEDULE'!G103),"",'_SCHEDULE'!G103)</x:f>
      </x:c>
      <x:c r="H135" s="530" t="str">
        <x:f>IF(ISBLANK('_SCHEDULE'!H103),"",'_SCHEDULE'!H103)</x:f>
      </x:c>
      <x:c r="I135" s="530" t="str">
        <x:f>IF(ISBLANK('_SCHEDULE'!I103),"",'_SCHEDULE'!I103)</x:f>
      </x:c>
      <x:c r="J135" s="530" t="str">
        <x:f>IF(ISBLANK('_SCHEDULE'!J103),"",'_SCHEDULE'!J103)</x:f>
      </x:c>
      <x:c r="K135" s="530" t="str">
        <x:f>IF(ISBLANK('_SCHEDULE'!K103),"",'_SCHEDULE'!K103)</x:f>
      </x:c>
      <x:c r="L135" s="530" t="str">
        <x:f>IF(ISBLANK('_SCHEDULE'!L103),"",'_SCHEDULE'!L103)</x:f>
      </x:c>
      <x:c r="M135" s="530" t="str">
        <x:f>IF(ISBLANK('_SCHEDULE'!M103),"",'_SCHEDULE'!M103)</x:f>
      </x:c>
      <x:c r="N135" s="530" t="str">
        <x:f>IF(ISBLANK('_SCHEDULE'!N103),"",'_SCHEDULE'!N103)</x:f>
      </x:c>
      <x:c r="O135" s="530" t="str">
        <x:f>IF(ISBLANK('_SCHEDULE'!O103),"",'_SCHEDULE'!O103)</x:f>
      </x:c>
      <x:c r="P135" s="530" t="str">
        <x:f>IF(ISBLANK('_SCHEDULE'!P103),"",'_SCHEDULE'!P103)</x:f>
      </x:c>
      <x:c r="Q135" s="530" t="str">
        <x:f>IF(ISBLANK('_SCHEDULE'!Q103),"",'_SCHEDULE'!Q103)</x:f>
      </x:c>
      <x:c r="R135" s="530" t="str">
        <x:f>IF(ISBLANK('_SCHEDULE'!R103),"",'_SCHEDULE'!R103)</x:f>
      </x:c>
      <x:c r="S135" s="523" t="str">
        <x:f>IF(ISBLANK('_SCHEDULE'!S103),"",'_SCHEDULE'!S103)</x:f>
      </x:c>
      <x:c r="T135" s="38"/>
      <x:c r="U135" s="38"/>
      <x:c r="V135" s="38"/>
      <x:c r="W135" s="38"/>
      <x:c r="X135" s="38"/>
      <x:c r="Y135" s="38"/>
      <x:c r="Z135" s="38"/>
      <x:c r="AA135" s="38"/>
      <x:c r="AB135" s="38"/>
      <x:c r="AC135" s="38"/>
      <x:c r="AD135" s="38"/>
      <x:c r="AE135" s="38"/>
      <x:c r="AF135" s="38"/>
      <x:c r="AG135" s="38"/>
      <x:c r="AH135" s="38"/>
      <x:c r="AI135" s="38"/>
      <x:c r="AJ135" s="38"/>
      <x:c r="AK135" s="38"/>
      <x:c r="AL135" s="38"/>
      <x:c r="AM135" s="38"/>
    </x:row>
    <x:row r="136">
      <x:c r="A136" s="523" t="str">
        <x:f>IF(ISBLANK('_SCHEDULE'!A104),"",'_SCHEDULE'!A104)</x:f>
      </x:c>
      <x:c r="B136" s="523" t="str">
        <x:f>IF(ISBLANK('_SCHEDULE'!B104),"",IF('_CONFIG'!$B$2="pt-BR",IF('_SCHEDULE'!B104="scheduled","programado",IF('_SCHEDULE'!B104="rejected","rejeitado",'_SCHEDULE'!B104)),'_SCHEDULE'!B104))</x:f>
      </x:c>
      <x:c r="C136" s="523" t="str">
        <x:f>IF(ISBLANK('_SCHEDULE'!C104),"",'_SCHEDULE'!C104)</x:f>
      </x:c>
      <x:c r="D136" s="523" t="str">
        <x:f>IF(ISBLANK('_SCHEDULE'!D104),"",'_SCHEDULE'!D104)</x:f>
      </x:c>
      <x:c r="E136" s="530" t="str">
        <x:f>IF(ISBLANK('_SCHEDULE'!E104),"",'_SCHEDULE'!E104)</x:f>
      </x:c>
      <x:c r="F136" s="530" t="str">
        <x:f>IF(ISBLANK('_SCHEDULE'!F104),"",'_SCHEDULE'!F104)</x:f>
      </x:c>
      <x:c r="G136" s="530" t="str">
        <x:f>IF(ISBLANK('_SCHEDULE'!G104),"",'_SCHEDULE'!G104)</x:f>
      </x:c>
      <x:c r="H136" s="530" t="str">
        <x:f>IF(ISBLANK('_SCHEDULE'!H104),"",'_SCHEDULE'!H104)</x:f>
      </x:c>
      <x:c r="I136" s="530" t="str">
        <x:f>IF(ISBLANK('_SCHEDULE'!I104),"",'_SCHEDULE'!I104)</x:f>
      </x:c>
      <x:c r="J136" s="530" t="str">
        <x:f>IF(ISBLANK('_SCHEDULE'!J104),"",'_SCHEDULE'!J104)</x:f>
      </x:c>
      <x:c r="K136" s="530" t="str">
        <x:f>IF(ISBLANK('_SCHEDULE'!K104),"",'_SCHEDULE'!K104)</x:f>
      </x:c>
      <x:c r="L136" s="530" t="str">
        <x:f>IF(ISBLANK('_SCHEDULE'!L104),"",'_SCHEDULE'!L104)</x:f>
      </x:c>
      <x:c r="M136" s="530" t="str">
        <x:f>IF(ISBLANK('_SCHEDULE'!M104),"",'_SCHEDULE'!M104)</x:f>
      </x:c>
      <x:c r="N136" s="530" t="str">
        <x:f>IF(ISBLANK('_SCHEDULE'!N104),"",'_SCHEDULE'!N104)</x:f>
      </x:c>
      <x:c r="O136" s="530" t="str">
        <x:f>IF(ISBLANK('_SCHEDULE'!O104),"",'_SCHEDULE'!O104)</x:f>
      </x:c>
      <x:c r="P136" s="530" t="str">
        <x:f>IF(ISBLANK('_SCHEDULE'!P104),"",'_SCHEDULE'!P104)</x:f>
      </x:c>
      <x:c r="Q136" s="530" t="str">
        <x:f>IF(ISBLANK('_SCHEDULE'!Q104),"",'_SCHEDULE'!Q104)</x:f>
      </x:c>
      <x:c r="R136" s="530" t="str">
        <x:f>IF(ISBLANK('_SCHEDULE'!R104),"",'_SCHEDULE'!R104)</x:f>
      </x:c>
      <x:c r="S136" s="523" t="str">
        <x:f>IF(ISBLANK('_SCHEDULE'!S104),"",'_SCHEDULE'!S104)</x:f>
      </x:c>
      <x:c r="T136" s="38"/>
      <x:c r="U136" s="38"/>
      <x:c r="V136" s="38"/>
      <x:c r="W136" s="38"/>
      <x:c r="X136" s="38"/>
      <x:c r="Y136" s="38"/>
      <x:c r="Z136" s="38"/>
      <x:c r="AA136" s="38"/>
      <x:c r="AB136" s="38"/>
      <x:c r="AC136" s="38"/>
      <x:c r="AD136" s="38"/>
      <x:c r="AE136" s="38"/>
      <x:c r="AF136" s="38"/>
      <x:c r="AG136" s="38"/>
      <x:c r="AH136" s="38"/>
      <x:c r="AI136" s="38"/>
      <x:c r="AJ136" s="38"/>
      <x:c r="AK136" s="38"/>
      <x:c r="AL136" s="38"/>
      <x:c r="AM136" s="38"/>
    </x:row>
    <x:row r="137">
      <x:c r="A137" s="523" t="str">
        <x:f>IF(ISBLANK('_SCHEDULE'!A105),"",'_SCHEDULE'!A105)</x:f>
      </x:c>
      <x:c r="B137" s="523" t="str">
        <x:f>IF(ISBLANK('_SCHEDULE'!B105),"",IF('_CONFIG'!$B$2="pt-BR",IF('_SCHEDULE'!B105="scheduled","programado",IF('_SCHEDULE'!B105="rejected","rejeitado",'_SCHEDULE'!B105)),'_SCHEDULE'!B105))</x:f>
      </x:c>
      <x:c r="C137" s="523" t="str">
        <x:f>IF(ISBLANK('_SCHEDULE'!C105),"",'_SCHEDULE'!C105)</x:f>
      </x:c>
      <x:c r="D137" s="523" t="str">
        <x:f>IF(ISBLANK('_SCHEDULE'!D105),"",'_SCHEDULE'!D105)</x:f>
      </x:c>
      <x:c r="E137" s="530" t="str">
        <x:f>IF(ISBLANK('_SCHEDULE'!E105),"",'_SCHEDULE'!E105)</x:f>
      </x:c>
      <x:c r="F137" s="530" t="str">
        <x:f>IF(ISBLANK('_SCHEDULE'!F105),"",'_SCHEDULE'!F105)</x:f>
      </x:c>
      <x:c r="G137" s="530" t="str">
        <x:f>IF(ISBLANK('_SCHEDULE'!G105),"",'_SCHEDULE'!G105)</x:f>
      </x:c>
      <x:c r="H137" s="530" t="str">
        <x:f>IF(ISBLANK('_SCHEDULE'!H105),"",'_SCHEDULE'!H105)</x:f>
      </x:c>
      <x:c r="I137" s="530" t="str">
        <x:f>IF(ISBLANK('_SCHEDULE'!I105),"",'_SCHEDULE'!I105)</x:f>
      </x:c>
      <x:c r="J137" s="530" t="str">
        <x:f>IF(ISBLANK('_SCHEDULE'!J105),"",'_SCHEDULE'!J105)</x:f>
      </x:c>
      <x:c r="K137" s="530" t="str">
        <x:f>IF(ISBLANK('_SCHEDULE'!K105),"",'_SCHEDULE'!K105)</x:f>
      </x:c>
      <x:c r="L137" s="530" t="str">
        <x:f>IF(ISBLANK('_SCHEDULE'!L105),"",'_SCHEDULE'!L105)</x:f>
      </x:c>
      <x:c r="M137" s="530" t="str">
        <x:f>IF(ISBLANK('_SCHEDULE'!M105),"",'_SCHEDULE'!M105)</x:f>
      </x:c>
      <x:c r="N137" s="530" t="str">
        <x:f>IF(ISBLANK('_SCHEDULE'!N105),"",'_SCHEDULE'!N105)</x:f>
      </x:c>
      <x:c r="O137" s="530" t="str">
        <x:f>IF(ISBLANK('_SCHEDULE'!O105),"",'_SCHEDULE'!O105)</x:f>
      </x:c>
      <x:c r="P137" s="530" t="str">
        <x:f>IF(ISBLANK('_SCHEDULE'!P105),"",'_SCHEDULE'!P105)</x:f>
      </x:c>
      <x:c r="Q137" s="530" t="str">
        <x:f>IF(ISBLANK('_SCHEDULE'!Q105),"",'_SCHEDULE'!Q105)</x:f>
      </x:c>
      <x:c r="R137" s="530" t="str">
        <x:f>IF(ISBLANK('_SCHEDULE'!R105),"",'_SCHEDULE'!R105)</x:f>
      </x:c>
      <x:c r="S137" s="523" t="str">
        <x:f>IF(ISBLANK('_SCHEDULE'!S105),"",'_SCHEDULE'!S105)</x:f>
      </x:c>
      <x:c r="T137" s="38"/>
      <x:c r="U137" s="38"/>
      <x:c r="V137" s="38"/>
      <x:c r="W137" s="38"/>
      <x:c r="X137" s="38"/>
      <x:c r="Y137" s="38"/>
      <x:c r="Z137" s="38"/>
      <x:c r="AA137" s="38"/>
      <x:c r="AB137" s="38"/>
      <x:c r="AC137" s="38"/>
      <x:c r="AD137" s="38"/>
      <x:c r="AE137" s="38"/>
      <x:c r="AF137" s="38"/>
      <x:c r="AG137" s="38"/>
      <x:c r="AH137" s="38"/>
      <x:c r="AI137" s="38"/>
      <x:c r="AJ137" s="38"/>
      <x:c r="AK137" s="38"/>
      <x:c r="AL137" s="38"/>
      <x:c r="AM137" s="38"/>
    </x:row>
    <x:row r="138">
      <x:c r="A138" s="523" t="str">
        <x:f>IF(ISBLANK('_SCHEDULE'!A106),"",'_SCHEDULE'!A106)</x:f>
      </x:c>
      <x:c r="B138" s="523" t="str">
        <x:f>IF(ISBLANK('_SCHEDULE'!B106),"",IF('_CONFIG'!$B$2="pt-BR",IF('_SCHEDULE'!B106="scheduled","programado",IF('_SCHEDULE'!B106="rejected","rejeitado",'_SCHEDULE'!B106)),'_SCHEDULE'!B106))</x:f>
      </x:c>
      <x:c r="C138" s="523" t="str">
        <x:f>IF(ISBLANK('_SCHEDULE'!C106),"",'_SCHEDULE'!C106)</x:f>
      </x:c>
      <x:c r="D138" s="523" t="str">
        <x:f>IF(ISBLANK('_SCHEDULE'!D106),"",'_SCHEDULE'!D106)</x:f>
      </x:c>
      <x:c r="E138" s="530" t="str">
        <x:f>IF(ISBLANK('_SCHEDULE'!E106),"",'_SCHEDULE'!E106)</x:f>
      </x:c>
      <x:c r="F138" s="530" t="str">
        <x:f>IF(ISBLANK('_SCHEDULE'!F106),"",'_SCHEDULE'!F106)</x:f>
      </x:c>
      <x:c r="G138" s="530" t="str">
        <x:f>IF(ISBLANK('_SCHEDULE'!G106),"",'_SCHEDULE'!G106)</x:f>
      </x:c>
      <x:c r="H138" s="530" t="str">
        <x:f>IF(ISBLANK('_SCHEDULE'!H106),"",'_SCHEDULE'!H106)</x:f>
      </x:c>
      <x:c r="I138" s="530" t="str">
        <x:f>IF(ISBLANK('_SCHEDULE'!I106),"",'_SCHEDULE'!I106)</x:f>
      </x:c>
      <x:c r="J138" s="530" t="str">
        <x:f>IF(ISBLANK('_SCHEDULE'!J106),"",'_SCHEDULE'!J106)</x:f>
      </x:c>
      <x:c r="K138" s="530" t="str">
        <x:f>IF(ISBLANK('_SCHEDULE'!K106),"",'_SCHEDULE'!K106)</x:f>
      </x:c>
      <x:c r="L138" s="530" t="str">
        <x:f>IF(ISBLANK('_SCHEDULE'!L106),"",'_SCHEDULE'!L106)</x:f>
      </x:c>
      <x:c r="M138" s="530" t="str">
        <x:f>IF(ISBLANK('_SCHEDULE'!M106),"",'_SCHEDULE'!M106)</x:f>
      </x:c>
      <x:c r="N138" s="530" t="str">
        <x:f>IF(ISBLANK('_SCHEDULE'!N106),"",'_SCHEDULE'!N106)</x:f>
      </x:c>
      <x:c r="O138" s="530" t="str">
        <x:f>IF(ISBLANK('_SCHEDULE'!O106),"",'_SCHEDULE'!O106)</x:f>
      </x:c>
      <x:c r="P138" s="530" t="str">
        <x:f>IF(ISBLANK('_SCHEDULE'!P106),"",'_SCHEDULE'!P106)</x:f>
      </x:c>
      <x:c r="Q138" s="530" t="str">
        <x:f>IF(ISBLANK('_SCHEDULE'!Q106),"",'_SCHEDULE'!Q106)</x:f>
      </x:c>
      <x:c r="R138" s="530" t="str">
        <x:f>IF(ISBLANK('_SCHEDULE'!R106),"",'_SCHEDULE'!R106)</x:f>
      </x:c>
      <x:c r="S138" s="523" t="str">
        <x:f>IF(ISBLANK('_SCHEDULE'!S106),"",'_SCHEDULE'!S106)</x:f>
      </x:c>
      <x:c r="T138" s="38"/>
      <x:c r="U138" s="38"/>
      <x:c r="V138" s="38"/>
      <x:c r="W138" s="38"/>
      <x:c r="X138" s="38"/>
      <x:c r="Y138" s="38"/>
      <x:c r="Z138" s="38"/>
      <x:c r="AA138" s="38"/>
      <x:c r="AB138" s="38"/>
      <x:c r="AC138" s="38"/>
      <x:c r="AD138" s="38"/>
      <x:c r="AE138" s="38"/>
      <x:c r="AF138" s="38"/>
      <x:c r="AG138" s="38"/>
      <x:c r="AH138" s="38"/>
      <x:c r="AI138" s="38"/>
      <x:c r="AJ138" s="38"/>
      <x:c r="AK138" s="38"/>
      <x:c r="AL138" s="38"/>
      <x:c r="AM138" s="38"/>
    </x:row>
    <x:row r="139">
      <x:c r="A139" s="523" t="str">
        <x:f>IF(ISBLANK('_SCHEDULE'!A107),"",'_SCHEDULE'!A107)</x:f>
      </x:c>
      <x:c r="B139" s="523" t="str">
        <x:f>IF(ISBLANK('_SCHEDULE'!B107),"",IF('_CONFIG'!$B$2="pt-BR",IF('_SCHEDULE'!B107="scheduled","programado",IF('_SCHEDULE'!B107="rejected","rejeitado",'_SCHEDULE'!B107)),'_SCHEDULE'!B107))</x:f>
      </x:c>
      <x:c r="C139" s="523" t="str">
        <x:f>IF(ISBLANK('_SCHEDULE'!C107),"",'_SCHEDULE'!C107)</x:f>
      </x:c>
      <x:c r="D139" s="523" t="str">
        <x:f>IF(ISBLANK('_SCHEDULE'!D107),"",'_SCHEDULE'!D107)</x:f>
      </x:c>
      <x:c r="E139" s="530" t="str">
        <x:f>IF(ISBLANK('_SCHEDULE'!E107),"",'_SCHEDULE'!E107)</x:f>
      </x:c>
      <x:c r="F139" s="530" t="str">
        <x:f>IF(ISBLANK('_SCHEDULE'!F107),"",'_SCHEDULE'!F107)</x:f>
      </x:c>
      <x:c r="G139" s="530" t="str">
        <x:f>IF(ISBLANK('_SCHEDULE'!G107),"",'_SCHEDULE'!G107)</x:f>
      </x:c>
      <x:c r="H139" s="530" t="str">
        <x:f>IF(ISBLANK('_SCHEDULE'!H107),"",'_SCHEDULE'!H107)</x:f>
      </x:c>
      <x:c r="I139" s="530" t="str">
        <x:f>IF(ISBLANK('_SCHEDULE'!I107),"",'_SCHEDULE'!I107)</x:f>
      </x:c>
      <x:c r="J139" s="530" t="str">
        <x:f>IF(ISBLANK('_SCHEDULE'!J107),"",'_SCHEDULE'!J107)</x:f>
      </x:c>
      <x:c r="K139" s="530" t="str">
        <x:f>IF(ISBLANK('_SCHEDULE'!K107),"",'_SCHEDULE'!K107)</x:f>
      </x:c>
      <x:c r="L139" s="530" t="str">
        <x:f>IF(ISBLANK('_SCHEDULE'!L107),"",'_SCHEDULE'!L107)</x:f>
      </x:c>
      <x:c r="M139" s="530" t="str">
        <x:f>IF(ISBLANK('_SCHEDULE'!M107),"",'_SCHEDULE'!M107)</x:f>
      </x:c>
      <x:c r="N139" s="530" t="str">
        <x:f>IF(ISBLANK('_SCHEDULE'!N107),"",'_SCHEDULE'!N107)</x:f>
      </x:c>
      <x:c r="O139" s="530" t="str">
        <x:f>IF(ISBLANK('_SCHEDULE'!O107),"",'_SCHEDULE'!O107)</x:f>
      </x:c>
      <x:c r="P139" s="530" t="str">
        <x:f>IF(ISBLANK('_SCHEDULE'!P107),"",'_SCHEDULE'!P107)</x:f>
      </x:c>
      <x:c r="Q139" s="530" t="str">
        <x:f>IF(ISBLANK('_SCHEDULE'!Q107),"",'_SCHEDULE'!Q107)</x:f>
      </x:c>
      <x:c r="R139" s="530" t="str">
        <x:f>IF(ISBLANK('_SCHEDULE'!R107),"",'_SCHEDULE'!R107)</x:f>
      </x:c>
      <x:c r="S139" s="523" t="str">
        <x:f>IF(ISBLANK('_SCHEDULE'!S107),"",'_SCHEDULE'!S107)</x:f>
      </x:c>
      <x:c r="T139" s="38"/>
      <x:c r="U139" s="38"/>
      <x:c r="V139" s="38"/>
      <x:c r="W139" s="38"/>
      <x:c r="X139" s="38"/>
      <x:c r="Y139" s="38"/>
      <x:c r="Z139" s="38"/>
      <x:c r="AA139" s="38"/>
      <x:c r="AB139" s="38"/>
      <x:c r="AC139" s="38"/>
      <x:c r="AD139" s="38"/>
      <x:c r="AE139" s="38"/>
      <x:c r="AF139" s="38"/>
      <x:c r="AG139" s="38"/>
      <x:c r="AH139" s="38"/>
      <x:c r="AI139" s="38"/>
      <x:c r="AJ139" s="38"/>
      <x:c r="AK139" s="38"/>
      <x:c r="AL139" s="38"/>
      <x:c r="AM139" s="38"/>
    </x:row>
    <x:row r="140">
      <x:c r="A140" s="523" t="str">
        <x:f>IF(ISBLANK('_SCHEDULE'!A108),"",'_SCHEDULE'!A108)</x:f>
      </x:c>
      <x:c r="B140" s="523" t="str">
        <x:f>IF(ISBLANK('_SCHEDULE'!B108),"",IF('_CONFIG'!$B$2="pt-BR",IF('_SCHEDULE'!B108="scheduled","programado",IF('_SCHEDULE'!B108="rejected","rejeitado",'_SCHEDULE'!B108)),'_SCHEDULE'!B108))</x:f>
      </x:c>
      <x:c r="C140" s="523" t="str">
        <x:f>IF(ISBLANK('_SCHEDULE'!C108),"",'_SCHEDULE'!C108)</x:f>
      </x:c>
      <x:c r="D140" s="523" t="str">
        <x:f>IF(ISBLANK('_SCHEDULE'!D108),"",'_SCHEDULE'!D108)</x:f>
      </x:c>
      <x:c r="E140" s="530" t="str">
        <x:f>IF(ISBLANK('_SCHEDULE'!E108),"",'_SCHEDULE'!E108)</x:f>
      </x:c>
      <x:c r="F140" s="530" t="str">
        <x:f>IF(ISBLANK('_SCHEDULE'!F108),"",'_SCHEDULE'!F108)</x:f>
      </x:c>
      <x:c r="G140" s="530" t="str">
        <x:f>IF(ISBLANK('_SCHEDULE'!G108),"",'_SCHEDULE'!G108)</x:f>
      </x:c>
      <x:c r="H140" s="530" t="str">
        <x:f>IF(ISBLANK('_SCHEDULE'!H108),"",'_SCHEDULE'!H108)</x:f>
      </x:c>
      <x:c r="I140" s="530" t="str">
        <x:f>IF(ISBLANK('_SCHEDULE'!I108),"",'_SCHEDULE'!I108)</x:f>
      </x:c>
      <x:c r="J140" s="530" t="str">
        <x:f>IF(ISBLANK('_SCHEDULE'!J108),"",'_SCHEDULE'!J108)</x:f>
      </x:c>
      <x:c r="K140" s="530" t="str">
        <x:f>IF(ISBLANK('_SCHEDULE'!K108),"",'_SCHEDULE'!K108)</x:f>
      </x:c>
      <x:c r="L140" s="530" t="str">
        <x:f>IF(ISBLANK('_SCHEDULE'!L108),"",'_SCHEDULE'!L108)</x:f>
      </x:c>
      <x:c r="M140" s="530" t="str">
        <x:f>IF(ISBLANK('_SCHEDULE'!M108),"",'_SCHEDULE'!M108)</x:f>
      </x:c>
      <x:c r="N140" s="530" t="str">
        <x:f>IF(ISBLANK('_SCHEDULE'!N108),"",'_SCHEDULE'!N108)</x:f>
      </x:c>
      <x:c r="O140" s="530" t="str">
        <x:f>IF(ISBLANK('_SCHEDULE'!O108),"",'_SCHEDULE'!O108)</x:f>
      </x:c>
      <x:c r="P140" s="530" t="str">
        <x:f>IF(ISBLANK('_SCHEDULE'!P108),"",'_SCHEDULE'!P108)</x:f>
      </x:c>
      <x:c r="Q140" s="530" t="str">
        <x:f>IF(ISBLANK('_SCHEDULE'!Q108),"",'_SCHEDULE'!Q108)</x:f>
      </x:c>
      <x:c r="R140" s="530" t="str">
        <x:f>IF(ISBLANK('_SCHEDULE'!R108),"",'_SCHEDULE'!R108)</x:f>
      </x:c>
      <x:c r="S140" s="523" t="str">
        <x:f>IF(ISBLANK('_SCHEDULE'!S108),"",'_SCHEDULE'!S108)</x:f>
      </x:c>
      <x:c r="T140" s="38"/>
      <x:c r="U140" s="38"/>
      <x:c r="V140" s="38"/>
      <x:c r="W140" s="38"/>
      <x:c r="X140" s="38"/>
      <x:c r="Y140" s="38"/>
      <x:c r="Z140" s="38"/>
      <x:c r="AA140" s="38"/>
      <x:c r="AB140" s="38"/>
      <x:c r="AC140" s="38"/>
      <x:c r="AD140" s="38"/>
      <x:c r="AE140" s="38"/>
      <x:c r="AF140" s="38"/>
      <x:c r="AG140" s="38"/>
      <x:c r="AH140" s="38"/>
      <x:c r="AI140" s="38"/>
      <x:c r="AJ140" s="38"/>
      <x:c r="AK140" s="38"/>
      <x:c r="AL140" s="38"/>
      <x:c r="AM140" s="38"/>
    </x:row>
    <x:row r="141">
      <x:c r="A141" s="523" t="str">
        <x:f>IF(ISBLANK('_SCHEDULE'!A109),"",'_SCHEDULE'!A109)</x:f>
      </x:c>
      <x:c r="B141" s="523" t="str">
        <x:f>IF(ISBLANK('_SCHEDULE'!B109),"",IF('_CONFIG'!$B$2="pt-BR",IF('_SCHEDULE'!B109="scheduled","programado",IF('_SCHEDULE'!B109="rejected","rejeitado",'_SCHEDULE'!B109)),'_SCHEDULE'!B109))</x:f>
      </x:c>
      <x:c r="C141" s="523" t="str">
        <x:f>IF(ISBLANK('_SCHEDULE'!C109),"",'_SCHEDULE'!C109)</x:f>
      </x:c>
      <x:c r="D141" s="523" t="str">
        <x:f>IF(ISBLANK('_SCHEDULE'!D109),"",'_SCHEDULE'!D109)</x:f>
      </x:c>
      <x:c r="E141" s="530" t="str">
        <x:f>IF(ISBLANK('_SCHEDULE'!E109),"",'_SCHEDULE'!E109)</x:f>
      </x:c>
      <x:c r="F141" s="530" t="str">
        <x:f>IF(ISBLANK('_SCHEDULE'!F109),"",'_SCHEDULE'!F109)</x:f>
      </x:c>
      <x:c r="G141" s="530" t="str">
        <x:f>IF(ISBLANK('_SCHEDULE'!G109),"",'_SCHEDULE'!G109)</x:f>
      </x:c>
      <x:c r="H141" s="530" t="str">
        <x:f>IF(ISBLANK('_SCHEDULE'!H109),"",'_SCHEDULE'!H109)</x:f>
      </x:c>
      <x:c r="I141" s="530" t="str">
        <x:f>IF(ISBLANK('_SCHEDULE'!I109),"",'_SCHEDULE'!I109)</x:f>
      </x:c>
      <x:c r="J141" s="530" t="str">
        <x:f>IF(ISBLANK('_SCHEDULE'!J109),"",'_SCHEDULE'!J109)</x:f>
      </x:c>
      <x:c r="K141" s="530" t="str">
        <x:f>IF(ISBLANK('_SCHEDULE'!K109),"",'_SCHEDULE'!K109)</x:f>
      </x:c>
      <x:c r="L141" s="530" t="str">
        <x:f>IF(ISBLANK('_SCHEDULE'!L109),"",'_SCHEDULE'!L109)</x:f>
      </x:c>
      <x:c r="M141" s="530" t="str">
        <x:f>IF(ISBLANK('_SCHEDULE'!M109),"",'_SCHEDULE'!M109)</x:f>
      </x:c>
      <x:c r="N141" s="530" t="str">
        <x:f>IF(ISBLANK('_SCHEDULE'!N109),"",'_SCHEDULE'!N109)</x:f>
      </x:c>
      <x:c r="O141" s="530" t="str">
        <x:f>IF(ISBLANK('_SCHEDULE'!O109),"",'_SCHEDULE'!O109)</x:f>
      </x:c>
      <x:c r="P141" s="530" t="str">
        <x:f>IF(ISBLANK('_SCHEDULE'!P109),"",'_SCHEDULE'!P109)</x:f>
      </x:c>
      <x:c r="Q141" s="530" t="str">
        <x:f>IF(ISBLANK('_SCHEDULE'!Q109),"",'_SCHEDULE'!Q109)</x:f>
      </x:c>
      <x:c r="R141" s="530" t="str">
        <x:f>IF(ISBLANK('_SCHEDULE'!R109),"",'_SCHEDULE'!R109)</x:f>
      </x:c>
      <x:c r="S141" s="523" t="str">
        <x:f>IF(ISBLANK('_SCHEDULE'!S109),"",'_SCHEDULE'!S109)</x:f>
      </x:c>
      <x:c r="T141" s="38"/>
      <x:c r="U141" s="38"/>
      <x:c r="V141" s="38"/>
      <x:c r="W141" s="38"/>
      <x:c r="X141" s="38"/>
      <x:c r="Y141" s="38"/>
      <x:c r="Z141" s="38"/>
      <x:c r="AA141" s="38"/>
      <x:c r="AB141" s="38"/>
      <x:c r="AC141" s="38"/>
      <x:c r="AD141" s="38"/>
      <x:c r="AE141" s="38"/>
      <x:c r="AF141" s="38"/>
      <x:c r="AG141" s="38"/>
      <x:c r="AH141" s="38"/>
      <x:c r="AI141" s="38"/>
      <x:c r="AJ141" s="38"/>
      <x:c r="AK141" s="38"/>
      <x:c r="AL141" s="38"/>
      <x:c r="AM141" s="38"/>
    </x:row>
    <x:row r="142">
      <x:c r="A142" s="523" t="str">
        <x:f>IF(ISBLANK('_SCHEDULE'!A110),"",'_SCHEDULE'!A110)</x:f>
      </x:c>
      <x:c r="B142" s="523" t="str">
        <x:f>IF(ISBLANK('_SCHEDULE'!B110),"",IF('_CONFIG'!$B$2="pt-BR",IF('_SCHEDULE'!B110="scheduled","programado",IF('_SCHEDULE'!B110="rejected","rejeitado",'_SCHEDULE'!B110)),'_SCHEDULE'!B110))</x:f>
      </x:c>
      <x:c r="C142" s="523" t="str">
        <x:f>IF(ISBLANK('_SCHEDULE'!C110),"",'_SCHEDULE'!C110)</x:f>
      </x:c>
      <x:c r="D142" s="523" t="str">
        <x:f>IF(ISBLANK('_SCHEDULE'!D110),"",'_SCHEDULE'!D110)</x:f>
      </x:c>
      <x:c r="E142" s="530" t="str">
        <x:f>IF(ISBLANK('_SCHEDULE'!E110),"",'_SCHEDULE'!E110)</x:f>
      </x:c>
      <x:c r="F142" s="530" t="str">
        <x:f>IF(ISBLANK('_SCHEDULE'!F110),"",'_SCHEDULE'!F110)</x:f>
      </x:c>
      <x:c r="G142" s="530" t="str">
        <x:f>IF(ISBLANK('_SCHEDULE'!G110),"",'_SCHEDULE'!G110)</x:f>
      </x:c>
      <x:c r="H142" s="530" t="str">
        <x:f>IF(ISBLANK('_SCHEDULE'!H110),"",'_SCHEDULE'!H110)</x:f>
      </x:c>
      <x:c r="I142" s="530" t="str">
        <x:f>IF(ISBLANK('_SCHEDULE'!I110),"",'_SCHEDULE'!I110)</x:f>
      </x:c>
      <x:c r="J142" s="530" t="str">
        <x:f>IF(ISBLANK('_SCHEDULE'!J110),"",'_SCHEDULE'!J110)</x:f>
      </x:c>
      <x:c r="K142" s="530" t="str">
        <x:f>IF(ISBLANK('_SCHEDULE'!K110),"",'_SCHEDULE'!K110)</x:f>
      </x:c>
      <x:c r="L142" s="530" t="str">
        <x:f>IF(ISBLANK('_SCHEDULE'!L110),"",'_SCHEDULE'!L110)</x:f>
      </x:c>
      <x:c r="M142" s="530" t="str">
        <x:f>IF(ISBLANK('_SCHEDULE'!M110),"",'_SCHEDULE'!M110)</x:f>
      </x:c>
      <x:c r="N142" s="530" t="str">
        <x:f>IF(ISBLANK('_SCHEDULE'!N110),"",'_SCHEDULE'!N110)</x:f>
      </x:c>
      <x:c r="O142" s="530" t="str">
        <x:f>IF(ISBLANK('_SCHEDULE'!O110),"",'_SCHEDULE'!O110)</x:f>
      </x:c>
      <x:c r="P142" s="530" t="str">
        <x:f>IF(ISBLANK('_SCHEDULE'!P110),"",'_SCHEDULE'!P110)</x:f>
      </x:c>
      <x:c r="Q142" s="530" t="str">
        <x:f>IF(ISBLANK('_SCHEDULE'!Q110),"",'_SCHEDULE'!Q110)</x:f>
      </x:c>
      <x:c r="R142" s="530" t="str">
        <x:f>IF(ISBLANK('_SCHEDULE'!R110),"",'_SCHEDULE'!R110)</x:f>
      </x:c>
      <x:c r="S142" s="523" t="str">
        <x:f>IF(ISBLANK('_SCHEDULE'!S110),"",'_SCHEDULE'!S110)</x:f>
      </x:c>
      <x:c r="T142" s="38"/>
      <x:c r="U142" s="38"/>
      <x:c r="V142" s="38"/>
      <x:c r="W142" s="38"/>
      <x:c r="X142" s="38"/>
      <x:c r="Y142" s="38"/>
      <x:c r="Z142" s="38"/>
      <x:c r="AA142" s="38"/>
      <x:c r="AB142" s="38"/>
      <x:c r="AC142" s="38"/>
      <x:c r="AD142" s="38"/>
      <x:c r="AE142" s="38"/>
      <x:c r="AF142" s="38"/>
      <x:c r="AG142" s="38"/>
      <x:c r="AH142" s="38"/>
      <x:c r="AI142" s="38"/>
      <x:c r="AJ142" s="38"/>
      <x:c r="AK142" s="38"/>
      <x:c r="AL142" s="38"/>
      <x:c r="AM142" s="38"/>
    </x:row>
    <x:row r="143">
      <x:c r="A143" s="523" t="str">
        <x:f>IF(ISBLANK('_SCHEDULE'!A111),"",'_SCHEDULE'!A111)</x:f>
      </x:c>
      <x:c r="B143" s="523" t="str">
        <x:f>IF(ISBLANK('_SCHEDULE'!B111),"",IF('_CONFIG'!$B$2="pt-BR",IF('_SCHEDULE'!B111="scheduled","programado",IF('_SCHEDULE'!B111="rejected","rejeitado",'_SCHEDULE'!B111)),'_SCHEDULE'!B111))</x:f>
      </x:c>
      <x:c r="C143" s="523" t="str">
        <x:f>IF(ISBLANK('_SCHEDULE'!C111),"",'_SCHEDULE'!C111)</x:f>
      </x:c>
      <x:c r="D143" s="523" t="str">
        <x:f>IF(ISBLANK('_SCHEDULE'!D111),"",'_SCHEDULE'!D111)</x:f>
      </x:c>
      <x:c r="E143" s="530" t="str">
        <x:f>IF(ISBLANK('_SCHEDULE'!E111),"",'_SCHEDULE'!E111)</x:f>
      </x:c>
      <x:c r="F143" s="530" t="str">
        <x:f>IF(ISBLANK('_SCHEDULE'!F111),"",'_SCHEDULE'!F111)</x:f>
      </x:c>
      <x:c r="G143" s="530" t="str">
        <x:f>IF(ISBLANK('_SCHEDULE'!G111),"",'_SCHEDULE'!G111)</x:f>
      </x:c>
      <x:c r="H143" s="530" t="str">
        <x:f>IF(ISBLANK('_SCHEDULE'!H111),"",'_SCHEDULE'!H111)</x:f>
      </x:c>
      <x:c r="I143" s="530" t="str">
        <x:f>IF(ISBLANK('_SCHEDULE'!I111),"",'_SCHEDULE'!I111)</x:f>
      </x:c>
      <x:c r="J143" s="530" t="str">
        <x:f>IF(ISBLANK('_SCHEDULE'!J111),"",'_SCHEDULE'!J111)</x:f>
      </x:c>
      <x:c r="K143" s="530" t="str">
        <x:f>IF(ISBLANK('_SCHEDULE'!K111),"",'_SCHEDULE'!K111)</x:f>
      </x:c>
      <x:c r="L143" s="530" t="str">
        <x:f>IF(ISBLANK('_SCHEDULE'!L111),"",'_SCHEDULE'!L111)</x:f>
      </x:c>
      <x:c r="M143" s="530" t="str">
        <x:f>IF(ISBLANK('_SCHEDULE'!M111),"",'_SCHEDULE'!M111)</x:f>
      </x:c>
      <x:c r="N143" s="530" t="str">
        <x:f>IF(ISBLANK('_SCHEDULE'!N111),"",'_SCHEDULE'!N111)</x:f>
      </x:c>
      <x:c r="O143" s="530" t="str">
        <x:f>IF(ISBLANK('_SCHEDULE'!O111),"",'_SCHEDULE'!O111)</x:f>
      </x:c>
      <x:c r="P143" s="530" t="str">
        <x:f>IF(ISBLANK('_SCHEDULE'!P111),"",'_SCHEDULE'!P111)</x:f>
      </x:c>
      <x:c r="Q143" s="530" t="str">
        <x:f>IF(ISBLANK('_SCHEDULE'!Q111),"",'_SCHEDULE'!Q111)</x:f>
      </x:c>
      <x:c r="R143" s="530" t="str">
        <x:f>IF(ISBLANK('_SCHEDULE'!R111),"",'_SCHEDULE'!R111)</x:f>
      </x:c>
      <x:c r="S143" s="523" t="str">
        <x:f>IF(ISBLANK('_SCHEDULE'!S111),"",'_SCHEDULE'!S111)</x:f>
      </x:c>
      <x:c r="T143" s="38"/>
      <x:c r="U143" s="38"/>
      <x:c r="V143" s="38"/>
      <x:c r="W143" s="38"/>
      <x:c r="X143" s="38"/>
      <x:c r="Y143" s="38"/>
      <x:c r="Z143" s="38"/>
      <x:c r="AA143" s="38"/>
      <x:c r="AB143" s="38"/>
      <x:c r="AC143" s="38"/>
      <x:c r="AD143" s="38"/>
      <x:c r="AE143" s="38"/>
      <x:c r="AF143" s="38"/>
      <x:c r="AG143" s="38"/>
      <x:c r="AH143" s="38"/>
      <x:c r="AI143" s="38"/>
      <x:c r="AJ143" s="38"/>
      <x:c r="AK143" s="38"/>
      <x:c r="AL143" s="38"/>
      <x:c r="AM143" s="38"/>
    </x:row>
    <x:row r="144">
      <x:c r="A144" s="523" t="str">
        <x:f>IF(ISBLANK('_SCHEDULE'!A112),"",'_SCHEDULE'!A112)</x:f>
      </x:c>
      <x:c r="B144" s="523" t="str">
        <x:f>IF(ISBLANK('_SCHEDULE'!B112),"",IF('_CONFIG'!$B$2="pt-BR",IF('_SCHEDULE'!B112="scheduled","programado",IF('_SCHEDULE'!B112="rejected","rejeitado",'_SCHEDULE'!B112)),'_SCHEDULE'!B112))</x:f>
      </x:c>
      <x:c r="C144" s="523" t="str">
        <x:f>IF(ISBLANK('_SCHEDULE'!C112),"",'_SCHEDULE'!C112)</x:f>
      </x:c>
      <x:c r="D144" s="523" t="str">
        <x:f>IF(ISBLANK('_SCHEDULE'!D112),"",'_SCHEDULE'!D112)</x:f>
      </x:c>
      <x:c r="E144" s="530" t="str">
        <x:f>IF(ISBLANK('_SCHEDULE'!E112),"",'_SCHEDULE'!E112)</x:f>
      </x:c>
      <x:c r="F144" s="530" t="str">
        <x:f>IF(ISBLANK('_SCHEDULE'!F112),"",'_SCHEDULE'!F112)</x:f>
      </x:c>
      <x:c r="G144" s="530" t="str">
        <x:f>IF(ISBLANK('_SCHEDULE'!G112),"",'_SCHEDULE'!G112)</x:f>
      </x:c>
      <x:c r="H144" s="530" t="str">
        <x:f>IF(ISBLANK('_SCHEDULE'!H112),"",'_SCHEDULE'!H112)</x:f>
      </x:c>
      <x:c r="I144" s="530" t="str">
        <x:f>IF(ISBLANK('_SCHEDULE'!I112),"",'_SCHEDULE'!I112)</x:f>
      </x:c>
      <x:c r="J144" s="530" t="str">
        <x:f>IF(ISBLANK('_SCHEDULE'!J112),"",'_SCHEDULE'!J112)</x:f>
      </x:c>
      <x:c r="K144" s="530" t="str">
        <x:f>IF(ISBLANK('_SCHEDULE'!K112),"",'_SCHEDULE'!K112)</x:f>
      </x:c>
      <x:c r="L144" s="530" t="str">
        <x:f>IF(ISBLANK('_SCHEDULE'!L112),"",'_SCHEDULE'!L112)</x:f>
      </x:c>
      <x:c r="M144" s="530" t="str">
        <x:f>IF(ISBLANK('_SCHEDULE'!M112),"",'_SCHEDULE'!M112)</x:f>
      </x:c>
      <x:c r="N144" s="530" t="str">
        <x:f>IF(ISBLANK('_SCHEDULE'!N112),"",'_SCHEDULE'!N112)</x:f>
      </x:c>
      <x:c r="O144" s="530" t="str">
        <x:f>IF(ISBLANK('_SCHEDULE'!O112),"",'_SCHEDULE'!O112)</x:f>
      </x:c>
      <x:c r="P144" s="530" t="str">
        <x:f>IF(ISBLANK('_SCHEDULE'!P112),"",'_SCHEDULE'!P112)</x:f>
      </x:c>
      <x:c r="Q144" s="530" t="str">
        <x:f>IF(ISBLANK('_SCHEDULE'!Q112),"",'_SCHEDULE'!Q112)</x:f>
      </x:c>
      <x:c r="R144" s="530" t="str">
        <x:f>IF(ISBLANK('_SCHEDULE'!R112),"",'_SCHEDULE'!R112)</x:f>
      </x:c>
      <x:c r="S144" s="523" t="str">
        <x:f>IF(ISBLANK('_SCHEDULE'!S112),"",'_SCHEDULE'!S112)</x:f>
      </x:c>
      <x:c r="T144" s="38"/>
      <x:c r="U144" s="38"/>
      <x:c r="V144" s="38"/>
      <x:c r="W144" s="38"/>
      <x:c r="X144" s="38"/>
      <x:c r="Y144" s="38"/>
      <x:c r="Z144" s="38"/>
      <x:c r="AA144" s="38"/>
      <x:c r="AB144" s="38"/>
      <x:c r="AC144" s="38"/>
      <x:c r="AD144" s="38"/>
      <x:c r="AE144" s="38"/>
      <x:c r="AF144" s="38"/>
      <x:c r="AG144" s="38"/>
      <x:c r="AH144" s="38"/>
      <x:c r="AI144" s="38"/>
      <x:c r="AJ144" s="38"/>
      <x:c r="AK144" s="38"/>
      <x:c r="AL144" s="38"/>
      <x:c r="AM144" s="38"/>
    </x:row>
    <x:row r="145">
      <x:c r="A145" s="523" t="str">
        <x:f>IF(ISBLANK('_SCHEDULE'!A113),"",'_SCHEDULE'!A113)</x:f>
      </x:c>
      <x:c r="B145" s="523" t="str">
        <x:f>IF(ISBLANK('_SCHEDULE'!B113),"",IF('_CONFIG'!$B$2="pt-BR",IF('_SCHEDULE'!B113="scheduled","programado",IF('_SCHEDULE'!B113="rejected","rejeitado",'_SCHEDULE'!B113)),'_SCHEDULE'!B113))</x:f>
      </x:c>
      <x:c r="C145" s="523" t="str">
        <x:f>IF(ISBLANK('_SCHEDULE'!C113),"",'_SCHEDULE'!C113)</x:f>
      </x:c>
      <x:c r="D145" s="523" t="str">
        <x:f>IF(ISBLANK('_SCHEDULE'!D113),"",'_SCHEDULE'!D113)</x:f>
      </x:c>
      <x:c r="E145" s="530" t="str">
        <x:f>IF(ISBLANK('_SCHEDULE'!E113),"",'_SCHEDULE'!E113)</x:f>
      </x:c>
      <x:c r="F145" s="530" t="str">
        <x:f>IF(ISBLANK('_SCHEDULE'!F113),"",'_SCHEDULE'!F113)</x:f>
      </x:c>
      <x:c r="G145" s="530" t="str">
        <x:f>IF(ISBLANK('_SCHEDULE'!G113),"",'_SCHEDULE'!G113)</x:f>
      </x:c>
      <x:c r="H145" s="530" t="str">
        <x:f>IF(ISBLANK('_SCHEDULE'!H113),"",'_SCHEDULE'!H113)</x:f>
      </x:c>
      <x:c r="I145" s="530" t="str">
        <x:f>IF(ISBLANK('_SCHEDULE'!I113),"",'_SCHEDULE'!I113)</x:f>
      </x:c>
      <x:c r="J145" s="530" t="str">
        <x:f>IF(ISBLANK('_SCHEDULE'!J113),"",'_SCHEDULE'!J113)</x:f>
      </x:c>
      <x:c r="K145" s="530" t="str">
        <x:f>IF(ISBLANK('_SCHEDULE'!K113),"",'_SCHEDULE'!K113)</x:f>
      </x:c>
      <x:c r="L145" s="530" t="str">
        <x:f>IF(ISBLANK('_SCHEDULE'!L113),"",'_SCHEDULE'!L113)</x:f>
      </x:c>
      <x:c r="M145" s="530" t="str">
        <x:f>IF(ISBLANK('_SCHEDULE'!M113),"",'_SCHEDULE'!M113)</x:f>
      </x:c>
      <x:c r="N145" s="530" t="str">
        <x:f>IF(ISBLANK('_SCHEDULE'!N113),"",'_SCHEDULE'!N113)</x:f>
      </x:c>
      <x:c r="O145" s="530" t="str">
        <x:f>IF(ISBLANK('_SCHEDULE'!O113),"",'_SCHEDULE'!O113)</x:f>
      </x:c>
      <x:c r="P145" s="530" t="str">
        <x:f>IF(ISBLANK('_SCHEDULE'!P113),"",'_SCHEDULE'!P113)</x:f>
      </x:c>
      <x:c r="Q145" s="530" t="str">
        <x:f>IF(ISBLANK('_SCHEDULE'!Q113),"",'_SCHEDULE'!Q113)</x:f>
      </x:c>
      <x:c r="R145" s="530" t="str">
        <x:f>IF(ISBLANK('_SCHEDULE'!R113),"",'_SCHEDULE'!R113)</x:f>
      </x:c>
      <x:c r="S145" s="523" t="str">
        <x:f>IF(ISBLANK('_SCHEDULE'!S113),"",'_SCHEDULE'!S113)</x:f>
      </x:c>
      <x:c r="T145" s="38"/>
      <x:c r="U145" s="38"/>
      <x:c r="V145" s="38"/>
      <x:c r="W145" s="38"/>
      <x:c r="X145" s="38"/>
      <x:c r="Y145" s="38"/>
      <x:c r="Z145" s="38"/>
      <x:c r="AA145" s="38"/>
      <x:c r="AB145" s="38"/>
      <x:c r="AC145" s="38"/>
      <x:c r="AD145" s="38"/>
      <x:c r="AE145" s="38"/>
      <x:c r="AF145" s="38"/>
      <x:c r="AG145" s="38"/>
      <x:c r="AH145" s="38"/>
      <x:c r="AI145" s="38"/>
      <x:c r="AJ145" s="38"/>
      <x:c r="AK145" s="38"/>
      <x:c r="AL145" s="38"/>
      <x:c r="AM145" s="38"/>
    </x:row>
    <x:row r="146">
      <x:c r="A146" s="523" t="str">
        <x:f>IF(ISBLANK('_SCHEDULE'!A114),"",'_SCHEDULE'!A114)</x:f>
      </x:c>
      <x:c r="B146" s="523" t="str">
        <x:f>IF(ISBLANK('_SCHEDULE'!B114),"",IF('_CONFIG'!$B$2="pt-BR",IF('_SCHEDULE'!B114="scheduled","programado",IF('_SCHEDULE'!B114="rejected","rejeitado",'_SCHEDULE'!B114)),'_SCHEDULE'!B114))</x:f>
      </x:c>
      <x:c r="C146" s="523" t="str">
        <x:f>IF(ISBLANK('_SCHEDULE'!C114),"",'_SCHEDULE'!C114)</x:f>
      </x:c>
      <x:c r="D146" s="523" t="str">
        <x:f>IF(ISBLANK('_SCHEDULE'!D114),"",'_SCHEDULE'!D114)</x:f>
      </x:c>
      <x:c r="E146" s="530" t="str">
        <x:f>IF(ISBLANK('_SCHEDULE'!E114),"",'_SCHEDULE'!E114)</x:f>
      </x:c>
      <x:c r="F146" s="530" t="str">
        <x:f>IF(ISBLANK('_SCHEDULE'!F114),"",'_SCHEDULE'!F114)</x:f>
      </x:c>
      <x:c r="G146" s="530" t="str">
        <x:f>IF(ISBLANK('_SCHEDULE'!G114),"",'_SCHEDULE'!G114)</x:f>
      </x:c>
      <x:c r="H146" s="530" t="str">
        <x:f>IF(ISBLANK('_SCHEDULE'!H114),"",'_SCHEDULE'!H114)</x:f>
      </x:c>
      <x:c r="I146" s="530" t="str">
        <x:f>IF(ISBLANK('_SCHEDULE'!I114),"",'_SCHEDULE'!I114)</x:f>
      </x:c>
      <x:c r="J146" s="530" t="str">
        <x:f>IF(ISBLANK('_SCHEDULE'!J114),"",'_SCHEDULE'!J114)</x:f>
      </x:c>
      <x:c r="K146" s="530" t="str">
        <x:f>IF(ISBLANK('_SCHEDULE'!K114),"",'_SCHEDULE'!K114)</x:f>
      </x:c>
      <x:c r="L146" s="530" t="str">
        <x:f>IF(ISBLANK('_SCHEDULE'!L114),"",'_SCHEDULE'!L114)</x:f>
      </x:c>
      <x:c r="M146" s="530" t="str">
        <x:f>IF(ISBLANK('_SCHEDULE'!M114),"",'_SCHEDULE'!M114)</x:f>
      </x:c>
      <x:c r="N146" s="530" t="str">
        <x:f>IF(ISBLANK('_SCHEDULE'!N114),"",'_SCHEDULE'!N114)</x:f>
      </x:c>
      <x:c r="O146" s="530" t="str">
        <x:f>IF(ISBLANK('_SCHEDULE'!O114),"",'_SCHEDULE'!O114)</x:f>
      </x:c>
      <x:c r="P146" s="530" t="str">
        <x:f>IF(ISBLANK('_SCHEDULE'!P114),"",'_SCHEDULE'!P114)</x:f>
      </x:c>
      <x:c r="Q146" s="530" t="str">
        <x:f>IF(ISBLANK('_SCHEDULE'!Q114),"",'_SCHEDULE'!Q114)</x:f>
      </x:c>
      <x:c r="R146" s="530" t="str">
        <x:f>IF(ISBLANK('_SCHEDULE'!R114),"",'_SCHEDULE'!R114)</x:f>
      </x:c>
      <x:c r="S146" s="523" t="str">
        <x:f>IF(ISBLANK('_SCHEDULE'!S114),"",'_SCHEDULE'!S114)</x:f>
      </x:c>
      <x:c r="T146" s="38"/>
      <x:c r="U146" s="38"/>
      <x:c r="V146" s="38"/>
      <x:c r="W146" s="38"/>
      <x:c r="X146" s="38"/>
      <x:c r="Y146" s="38"/>
      <x:c r="Z146" s="38"/>
      <x:c r="AA146" s="38"/>
      <x:c r="AB146" s="38"/>
      <x:c r="AC146" s="38"/>
      <x:c r="AD146" s="38"/>
      <x:c r="AE146" s="38"/>
      <x:c r="AF146" s="38"/>
      <x:c r="AG146" s="38"/>
      <x:c r="AH146" s="38"/>
      <x:c r="AI146" s="38"/>
      <x:c r="AJ146" s="38"/>
      <x:c r="AK146" s="38"/>
      <x:c r="AL146" s="38"/>
      <x:c r="AM146" s="38"/>
    </x:row>
    <x:row r="147">
      <x:c r="A147" s="523" t="str">
        <x:f>IF(ISBLANK('_SCHEDULE'!A115),"",'_SCHEDULE'!A115)</x:f>
      </x:c>
      <x:c r="B147" s="523" t="str">
        <x:f>IF(ISBLANK('_SCHEDULE'!B115),"",IF('_CONFIG'!$B$2="pt-BR",IF('_SCHEDULE'!B115="scheduled","programado",IF('_SCHEDULE'!B115="rejected","rejeitado",'_SCHEDULE'!B115)),'_SCHEDULE'!B115))</x:f>
      </x:c>
      <x:c r="C147" s="523" t="str">
        <x:f>IF(ISBLANK('_SCHEDULE'!C115),"",'_SCHEDULE'!C115)</x:f>
      </x:c>
      <x:c r="D147" s="523" t="str">
        <x:f>IF(ISBLANK('_SCHEDULE'!D115),"",'_SCHEDULE'!D115)</x:f>
      </x:c>
      <x:c r="E147" s="530" t="str">
        <x:f>IF(ISBLANK('_SCHEDULE'!E115),"",'_SCHEDULE'!E115)</x:f>
      </x:c>
      <x:c r="F147" s="530" t="str">
        <x:f>IF(ISBLANK('_SCHEDULE'!F115),"",'_SCHEDULE'!F115)</x:f>
      </x:c>
      <x:c r="G147" s="530" t="str">
        <x:f>IF(ISBLANK('_SCHEDULE'!G115),"",'_SCHEDULE'!G115)</x:f>
      </x:c>
      <x:c r="H147" s="530" t="str">
        <x:f>IF(ISBLANK('_SCHEDULE'!H115),"",'_SCHEDULE'!H115)</x:f>
      </x:c>
      <x:c r="I147" s="530" t="str">
        <x:f>IF(ISBLANK('_SCHEDULE'!I115),"",'_SCHEDULE'!I115)</x:f>
      </x:c>
      <x:c r="J147" s="530" t="str">
        <x:f>IF(ISBLANK('_SCHEDULE'!J115),"",'_SCHEDULE'!J115)</x:f>
      </x:c>
      <x:c r="K147" s="530" t="str">
        <x:f>IF(ISBLANK('_SCHEDULE'!K115),"",'_SCHEDULE'!K115)</x:f>
      </x:c>
      <x:c r="L147" s="530" t="str">
        <x:f>IF(ISBLANK('_SCHEDULE'!L115),"",'_SCHEDULE'!L115)</x:f>
      </x:c>
      <x:c r="M147" s="530" t="str">
        <x:f>IF(ISBLANK('_SCHEDULE'!M115),"",'_SCHEDULE'!M115)</x:f>
      </x:c>
      <x:c r="N147" s="530" t="str">
        <x:f>IF(ISBLANK('_SCHEDULE'!N115),"",'_SCHEDULE'!N115)</x:f>
      </x:c>
      <x:c r="O147" s="530" t="str">
        <x:f>IF(ISBLANK('_SCHEDULE'!O115),"",'_SCHEDULE'!O115)</x:f>
      </x:c>
      <x:c r="P147" s="530" t="str">
        <x:f>IF(ISBLANK('_SCHEDULE'!P115),"",'_SCHEDULE'!P115)</x:f>
      </x:c>
      <x:c r="Q147" s="530" t="str">
        <x:f>IF(ISBLANK('_SCHEDULE'!Q115),"",'_SCHEDULE'!Q115)</x:f>
      </x:c>
      <x:c r="R147" s="530" t="str">
        <x:f>IF(ISBLANK('_SCHEDULE'!R115),"",'_SCHEDULE'!R115)</x:f>
      </x:c>
      <x:c r="S147" s="523" t="str">
        <x:f>IF(ISBLANK('_SCHEDULE'!S115),"",'_SCHEDULE'!S115)</x:f>
      </x:c>
      <x:c r="T147" s="38"/>
      <x:c r="U147" s="38"/>
      <x:c r="V147" s="38"/>
      <x:c r="W147" s="38"/>
      <x:c r="X147" s="38"/>
      <x:c r="Y147" s="38"/>
      <x:c r="Z147" s="38"/>
      <x:c r="AA147" s="38"/>
      <x:c r="AB147" s="38"/>
      <x:c r="AC147" s="38"/>
      <x:c r="AD147" s="38"/>
      <x:c r="AE147" s="38"/>
      <x:c r="AF147" s="38"/>
      <x:c r="AG147" s="38"/>
      <x:c r="AH147" s="38"/>
      <x:c r="AI147" s="38"/>
      <x:c r="AJ147" s="38"/>
      <x:c r="AK147" s="38"/>
      <x:c r="AL147" s="38"/>
      <x:c r="AM147" s="38"/>
    </x:row>
    <x:row r="148">
      <x:c r="A148" s="523" t="str">
        <x:f>IF(ISBLANK('_SCHEDULE'!A116),"",'_SCHEDULE'!A116)</x:f>
      </x:c>
      <x:c r="B148" s="523" t="str">
        <x:f>IF(ISBLANK('_SCHEDULE'!B116),"",IF('_CONFIG'!$B$2="pt-BR",IF('_SCHEDULE'!B116="scheduled","programado",IF('_SCHEDULE'!B116="rejected","rejeitado",'_SCHEDULE'!B116)),'_SCHEDULE'!B116))</x:f>
      </x:c>
      <x:c r="C148" s="523" t="str">
        <x:f>IF(ISBLANK('_SCHEDULE'!C116),"",'_SCHEDULE'!C116)</x:f>
      </x:c>
      <x:c r="D148" s="523" t="str">
        <x:f>IF(ISBLANK('_SCHEDULE'!D116),"",'_SCHEDULE'!D116)</x:f>
      </x:c>
      <x:c r="E148" s="530" t="str">
        <x:f>IF(ISBLANK('_SCHEDULE'!E116),"",'_SCHEDULE'!E116)</x:f>
      </x:c>
      <x:c r="F148" s="530" t="str">
        <x:f>IF(ISBLANK('_SCHEDULE'!F116),"",'_SCHEDULE'!F116)</x:f>
      </x:c>
      <x:c r="G148" s="530" t="str">
        <x:f>IF(ISBLANK('_SCHEDULE'!G116),"",'_SCHEDULE'!G116)</x:f>
      </x:c>
      <x:c r="H148" s="530" t="str">
        <x:f>IF(ISBLANK('_SCHEDULE'!H116),"",'_SCHEDULE'!H116)</x:f>
      </x:c>
      <x:c r="I148" s="530" t="str">
        <x:f>IF(ISBLANK('_SCHEDULE'!I116),"",'_SCHEDULE'!I116)</x:f>
      </x:c>
      <x:c r="J148" s="530" t="str">
        <x:f>IF(ISBLANK('_SCHEDULE'!J116),"",'_SCHEDULE'!J116)</x:f>
      </x:c>
      <x:c r="K148" s="530" t="str">
        <x:f>IF(ISBLANK('_SCHEDULE'!K116),"",'_SCHEDULE'!K116)</x:f>
      </x:c>
      <x:c r="L148" s="530" t="str">
        <x:f>IF(ISBLANK('_SCHEDULE'!L116),"",'_SCHEDULE'!L116)</x:f>
      </x:c>
      <x:c r="M148" s="530" t="str">
        <x:f>IF(ISBLANK('_SCHEDULE'!M116),"",'_SCHEDULE'!M116)</x:f>
      </x:c>
      <x:c r="N148" s="530" t="str">
        <x:f>IF(ISBLANK('_SCHEDULE'!N116),"",'_SCHEDULE'!N116)</x:f>
      </x:c>
      <x:c r="O148" s="530" t="str">
        <x:f>IF(ISBLANK('_SCHEDULE'!O116),"",'_SCHEDULE'!O116)</x:f>
      </x:c>
      <x:c r="P148" s="530" t="str">
        <x:f>IF(ISBLANK('_SCHEDULE'!P116),"",'_SCHEDULE'!P116)</x:f>
      </x:c>
      <x:c r="Q148" s="530" t="str">
        <x:f>IF(ISBLANK('_SCHEDULE'!Q116),"",'_SCHEDULE'!Q116)</x:f>
      </x:c>
      <x:c r="R148" s="530" t="str">
        <x:f>IF(ISBLANK('_SCHEDULE'!R116),"",'_SCHEDULE'!R116)</x:f>
      </x:c>
      <x:c r="S148" s="523" t="str">
        <x:f>IF(ISBLANK('_SCHEDULE'!S116),"",'_SCHEDULE'!S116)</x:f>
      </x:c>
      <x:c r="T148" s="38"/>
      <x:c r="U148" s="38"/>
      <x:c r="V148" s="38"/>
      <x:c r="W148" s="38"/>
      <x:c r="X148" s="38"/>
      <x:c r="Y148" s="38"/>
      <x:c r="Z148" s="38"/>
      <x:c r="AA148" s="38"/>
      <x:c r="AB148" s="38"/>
      <x:c r="AC148" s="38"/>
      <x:c r="AD148" s="38"/>
      <x:c r="AE148" s="38"/>
      <x:c r="AF148" s="38"/>
      <x:c r="AG148" s="38"/>
      <x:c r="AH148" s="38"/>
      <x:c r="AI148" s="38"/>
      <x:c r="AJ148" s="38"/>
      <x:c r="AK148" s="38"/>
      <x:c r="AL148" s="38"/>
      <x:c r="AM148" s="38"/>
    </x:row>
    <x:row r="149">
      <x:c r="A149" s="523" t="str">
        <x:f>IF(ISBLANK('_SCHEDULE'!A117),"",'_SCHEDULE'!A117)</x:f>
      </x:c>
      <x:c r="B149" s="523" t="str">
        <x:f>IF(ISBLANK('_SCHEDULE'!B117),"",IF('_CONFIG'!$B$2="pt-BR",IF('_SCHEDULE'!B117="scheduled","programado",IF('_SCHEDULE'!B117="rejected","rejeitado",'_SCHEDULE'!B117)),'_SCHEDULE'!B117))</x:f>
      </x:c>
      <x:c r="C149" s="523" t="str">
        <x:f>IF(ISBLANK('_SCHEDULE'!C117),"",'_SCHEDULE'!C117)</x:f>
      </x:c>
      <x:c r="D149" s="523" t="str">
        <x:f>IF(ISBLANK('_SCHEDULE'!D117),"",'_SCHEDULE'!D117)</x:f>
      </x:c>
      <x:c r="E149" s="530" t="str">
        <x:f>IF(ISBLANK('_SCHEDULE'!E117),"",'_SCHEDULE'!E117)</x:f>
      </x:c>
      <x:c r="F149" s="530" t="str">
        <x:f>IF(ISBLANK('_SCHEDULE'!F117),"",'_SCHEDULE'!F117)</x:f>
      </x:c>
      <x:c r="G149" s="530" t="str">
        <x:f>IF(ISBLANK('_SCHEDULE'!G117),"",'_SCHEDULE'!G117)</x:f>
      </x:c>
      <x:c r="H149" s="530" t="str">
        <x:f>IF(ISBLANK('_SCHEDULE'!H117),"",'_SCHEDULE'!H117)</x:f>
      </x:c>
      <x:c r="I149" s="530" t="str">
        <x:f>IF(ISBLANK('_SCHEDULE'!I117),"",'_SCHEDULE'!I117)</x:f>
      </x:c>
      <x:c r="J149" s="530" t="str">
        <x:f>IF(ISBLANK('_SCHEDULE'!J117),"",'_SCHEDULE'!J117)</x:f>
      </x:c>
      <x:c r="K149" s="530" t="str">
        <x:f>IF(ISBLANK('_SCHEDULE'!K117),"",'_SCHEDULE'!K117)</x:f>
      </x:c>
      <x:c r="L149" s="530" t="str">
        <x:f>IF(ISBLANK('_SCHEDULE'!L117),"",'_SCHEDULE'!L117)</x:f>
      </x:c>
      <x:c r="M149" s="530" t="str">
        <x:f>IF(ISBLANK('_SCHEDULE'!M117),"",'_SCHEDULE'!M117)</x:f>
      </x:c>
      <x:c r="N149" s="530" t="str">
        <x:f>IF(ISBLANK('_SCHEDULE'!N117),"",'_SCHEDULE'!N117)</x:f>
      </x:c>
      <x:c r="O149" s="530" t="str">
        <x:f>IF(ISBLANK('_SCHEDULE'!O117),"",'_SCHEDULE'!O117)</x:f>
      </x:c>
      <x:c r="P149" s="530" t="str">
        <x:f>IF(ISBLANK('_SCHEDULE'!P117),"",'_SCHEDULE'!P117)</x:f>
      </x:c>
      <x:c r="Q149" s="530" t="str">
        <x:f>IF(ISBLANK('_SCHEDULE'!Q117),"",'_SCHEDULE'!Q117)</x:f>
      </x:c>
      <x:c r="R149" s="530" t="str">
        <x:f>IF(ISBLANK('_SCHEDULE'!R117),"",'_SCHEDULE'!R117)</x:f>
      </x:c>
      <x:c r="S149" s="523" t="str">
        <x:f>IF(ISBLANK('_SCHEDULE'!S117),"",'_SCHEDULE'!S117)</x:f>
      </x:c>
      <x:c r="T149" s="38"/>
      <x:c r="U149" s="38"/>
      <x:c r="V149" s="38"/>
      <x:c r="W149" s="38"/>
      <x:c r="X149" s="38"/>
      <x:c r="Y149" s="38"/>
      <x:c r="Z149" s="38"/>
      <x:c r="AA149" s="38"/>
      <x:c r="AB149" s="38"/>
      <x:c r="AC149" s="38"/>
      <x:c r="AD149" s="38"/>
      <x:c r="AE149" s="38"/>
      <x:c r="AF149" s="38"/>
      <x:c r="AG149" s="38"/>
      <x:c r="AH149" s="38"/>
      <x:c r="AI149" s="38"/>
      <x:c r="AJ149" s="38"/>
      <x:c r="AK149" s="38"/>
      <x:c r="AL149" s="38"/>
      <x:c r="AM149" s="38"/>
    </x:row>
    <x:row r="150">
      <x:c r="A150" s="523" t="str">
        <x:f>IF(ISBLANK('_SCHEDULE'!A118),"",'_SCHEDULE'!A118)</x:f>
      </x:c>
      <x:c r="B150" s="523" t="str">
        <x:f>IF(ISBLANK('_SCHEDULE'!B118),"",IF('_CONFIG'!$B$2="pt-BR",IF('_SCHEDULE'!B118="scheduled","programado",IF('_SCHEDULE'!B118="rejected","rejeitado",'_SCHEDULE'!B118)),'_SCHEDULE'!B118))</x:f>
      </x:c>
      <x:c r="C150" s="523" t="str">
        <x:f>IF(ISBLANK('_SCHEDULE'!C118),"",'_SCHEDULE'!C118)</x:f>
      </x:c>
      <x:c r="D150" s="523" t="str">
        <x:f>IF(ISBLANK('_SCHEDULE'!D118),"",'_SCHEDULE'!D118)</x:f>
      </x:c>
      <x:c r="E150" s="530" t="str">
        <x:f>IF(ISBLANK('_SCHEDULE'!E118),"",'_SCHEDULE'!E118)</x:f>
      </x:c>
      <x:c r="F150" s="530" t="str">
        <x:f>IF(ISBLANK('_SCHEDULE'!F118),"",'_SCHEDULE'!F118)</x:f>
      </x:c>
      <x:c r="G150" s="530" t="str">
        <x:f>IF(ISBLANK('_SCHEDULE'!G118),"",'_SCHEDULE'!G118)</x:f>
      </x:c>
      <x:c r="H150" s="530" t="str">
        <x:f>IF(ISBLANK('_SCHEDULE'!H118),"",'_SCHEDULE'!H118)</x:f>
      </x:c>
      <x:c r="I150" s="530" t="str">
        <x:f>IF(ISBLANK('_SCHEDULE'!I118),"",'_SCHEDULE'!I118)</x:f>
      </x:c>
      <x:c r="J150" s="530" t="str">
        <x:f>IF(ISBLANK('_SCHEDULE'!J118),"",'_SCHEDULE'!J118)</x:f>
      </x:c>
      <x:c r="K150" s="530" t="str">
        <x:f>IF(ISBLANK('_SCHEDULE'!K118),"",'_SCHEDULE'!K118)</x:f>
      </x:c>
      <x:c r="L150" s="530" t="str">
        <x:f>IF(ISBLANK('_SCHEDULE'!L118),"",'_SCHEDULE'!L118)</x:f>
      </x:c>
      <x:c r="M150" s="530" t="str">
        <x:f>IF(ISBLANK('_SCHEDULE'!M118),"",'_SCHEDULE'!M118)</x:f>
      </x:c>
      <x:c r="N150" s="530" t="str">
        <x:f>IF(ISBLANK('_SCHEDULE'!N118),"",'_SCHEDULE'!N118)</x:f>
      </x:c>
      <x:c r="O150" s="530" t="str">
        <x:f>IF(ISBLANK('_SCHEDULE'!O118),"",'_SCHEDULE'!O118)</x:f>
      </x:c>
      <x:c r="P150" s="530" t="str">
        <x:f>IF(ISBLANK('_SCHEDULE'!P118),"",'_SCHEDULE'!P118)</x:f>
      </x:c>
      <x:c r="Q150" s="530" t="str">
        <x:f>IF(ISBLANK('_SCHEDULE'!Q118),"",'_SCHEDULE'!Q118)</x:f>
      </x:c>
      <x:c r="R150" s="530" t="str">
        <x:f>IF(ISBLANK('_SCHEDULE'!R118),"",'_SCHEDULE'!R118)</x:f>
      </x:c>
      <x:c r="S150" s="523" t="str">
        <x:f>IF(ISBLANK('_SCHEDULE'!S118),"",'_SCHEDULE'!S118)</x:f>
      </x:c>
      <x:c r="T150" s="38"/>
      <x:c r="U150" s="38"/>
      <x:c r="V150" s="38"/>
      <x:c r="W150" s="38"/>
      <x:c r="X150" s="38"/>
      <x:c r="Y150" s="38"/>
      <x:c r="Z150" s="38"/>
      <x:c r="AA150" s="38"/>
      <x:c r="AB150" s="38"/>
      <x:c r="AC150" s="38"/>
      <x:c r="AD150" s="38"/>
      <x:c r="AE150" s="38"/>
      <x:c r="AF150" s="38"/>
      <x:c r="AG150" s="38"/>
      <x:c r="AH150" s="38"/>
      <x:c r="AI150" s="38"/>
      <x:c r="AJ150" s="38"/>
      <x:c r="AK150" s="38"/>
      <x:c r="AL150" s="38"/>
      <x:c r="AM150" s="38"/>
    </x:row>
    <x:row r="151">
      <x:c r="A151" s="523" t="str">
        <x:f>IF(ISBLANK('_SCHEDULE'!A119),"",'_SCHEDULE'!A119)</x:f>
      </x:c>
      <x:c r="B151" s="523" t="str">
        <x:f>IF(ISBLANK('_SCHEDULE'!B119),"",IF('_CONFIG'!$B$2="pt-BR",IF('_SCHEDULE'!B119="scheduled","programado",IF('_SCHEDULE'!B119="rejected","rejeitado",'_SCHEDULE'!B119)),'_SCHEDULE'!B119))</x:f>
      </x:c>
      <x:c r="C151" s="523" t="str">
        <x:f>IF(ISBLANK('_SCHEDULE'!C119),"",'_SCHEDULE'!C119)</x:f>
      </x:c>
      <x:c r="D151" s="523" t="str">
        <x:f>IF(ISBLANK('_SCHEDULE'!D119),"",'_SCHEDULE'!D119)</x:f>
      </x:c>
      <x:c r="E151" s="530" t="str">
        <x:f>IF(ISBLANK('_SCHEDULE'!E119),"",'_SCHEDULE'!E119)</x:f>
      </x:c>
      <x:c r="F151" s="530" t="str">
        <x:f>IF(ISBLANK('_SCHEDULE'!F119),"",'_SCHEDULE'!F119)</x:f>
      </x:c>
      <x:c r="G151" s="530" t="str">
        <x:f>IF(ISBLANK('_SCHEDULE'!G119),"",'_SCHEDULE'!G119)</x:f>
      </x:c>
      <x:c r="H151" s="530" t="str">
        <x:f>IF(ISBLANK('_SCHEDULE'!H119),"",'_SCHEDULE'!H119)</x:f>
      </x:c>
      <x:c r="I151" s="530" t="str">
        <x:f>IF(ISBLANK('_SCHEDULE'!I119),"",'_SCHEDULE'!I119)</x:f>
      </x:c>
      <x:c r="J151" s="530" t="str">
        <x:f>IF(ISBLANK('_SCHEDULE'!J119),"",'_SCHEDULE'!J119)</x:f>
      </x:c>
      <x:c r="K151" s="530" t="str">
        <x:f>IF(ISBLANK('_SCHEDULE'!K119),"",'_SCHEDULE'!K119)</x:f>
      </x:c>
      <x:c r="L151" s="530" t="str">
        <x:f>IF(ISBLANK('_SCHEDULE'!L119),"",'_SCHEDULE'!L119)</x:f>
      </x:c>
      <x:c r="M151" s="530" t="str">
        <x:f>IF(ISBLANK('_SCHEDULE'!M119),"",'_SCHEDULE'!M119)</x:f>
      </x:c>
      <x:c r="N151" s="530" t="str">
        <x:f>IF(ISBLANK('_SCHEDULE'!N119),"",'_SCHEDULE'!N119)</x:f>
      </x:c>
      <x:c r="O151" s="530" t="str">
        <x:f>IF(ISBLANK('_SCHEDULE'!O119),"",'_SCHEDULE'!O119)</x:f>
      </x:c>
      <x:c r="P151" s="530" t="str">
        <x:f>IF(ISBLANK('_SCHEDULE'!P119),"",'_SCHEDULE'!P119)</x:f>
      </x:c>
      <x:c r="Q151" s="530" t="str">
        <x:f>IF(ISBLANK('_SCHEDULE'!Q119),"",'_SCHEDULE'!Q119)</x:f>
      </x:c>
      <x:c r="R151" s="530" t="str">
        <x:f>IF(ISBLANK('_SCHEDULE'!R119),"",'_SCHEDULE'!R119)</x:f>
      </x:c>
      <x:c r="S151" s="523" t="str">
        <x:f>IF(ISBLANK('_SCHEDULE'!S119),"",'_SCHEDULE'!S119)</x:f>
      </x:c>
      <x:c r="T151" s="38"/>
      <x:c r="U151" s="38"/>
      <x:c r="V151" s="38"/>
      <x:c r="W151" s="38"/>
      <x:c r="X151" s="38"/>
      <x:c r="Y151" s="38"/>
      <x:c r="Z151" s="38"/>
      <x:c r="AA151" s="38"/>
      <x:c r="AB151" s="38"/>
      <x:c r="AC151" s="38"/>
      <x:c r="AD151" s="38"/>
      <x:c r="AE151" s="38"/>
      <x:c r="AF151" s="38"/>
      <x:c r="AG151" s="38"/>
      <x:c r="AH151" s="38"/>
      <x:c r="AI151" s="38"/>
      <x:c r="AJ151" s="38"/>
      <x:c r="AK151" s="38"/>
      <x:c r="AL151" s="38"/>
      <x:c r="AM151" s="38"/>
    </x:row>
    <x:row r="152">
      <x:c r="A152" s="523" t="str">
        <x:f>IF(ISBLANK('_SCHEDULE'!A120),"",'_SCHEDULE'!A120)</x:f>
      </x:c>
      <x:c r="B152" s="523" t="str">
        <x:f>IF(ISBLANK('_SCHEDULE'!B120),"",IF('_CONFIG'!$B$2="pt-BR",IF('_SCHEDULE'!B120="scheduled","programado",IF('_SCHEDULE'!B120="rejected","rejeitado",'_SCHEDULE'!B120)),'_SCHEDULE'!B120))</x:f>
      </x:c>
      <x:c r="C152" s="523" t="str">
        <x:f>IF(ISBLANK('_SCHEDULE'!C120),"",'_SCHEDULE'!C120)</x:f>
      </x:c>
      <x:c r="D152" s="523" t="str">
        <x:f>IF(ISBLANK('_SCHEDULE'!D120),"",'_SCHEDULE'!D120)</x:f>
      </x:c>
      <x:c r="E152" s="530" t="str">
        <x:f>IF(ISBLANK('_SCHEDULE'!E120),"",'_SCHEDULE'!E120)</x:f>
      </x:c>
      <x:c r="F152" s="530" t="str">
        <x:f>IF(ISBLANK('_SCHEDULE'!F120),"",'_SCHEDULE'!F120)</x:f>
      </x:c>
      <x:c r="G152" s="530" t="str">
        <x:f>IF(ISBLANK('_SCHEDULE'!G120),"",'_SCHEDULE'!G120)</x:f>
      </x:c>
      <x:c r="H152" s="530" t="str">
        <x:f>IF(ISBLANK('_SCHEDULE'!H120),"",'_SCHEDULE'!H120)</x:f>
      </x:c>
      <x:c r="I152" s="530" t="str">
        <x:f>IF(ISBLANK('_SCHEDULE'!I120),"",'_SCHEDULE'!I120)</x:f>
      </x:c>
      <x:c r="J152" s="530" t="str">
        <x:f>IF(ISBLANK('_SCHEDULE'!J120),"",'_SCHEDULE'!J120)</x:f>
      </x:c>
      <x:c r="K152" s="530" t="str">
        <x:f>IF(ISBLANK('_SCHEDULE'!K120),"",'_SCHEDULE'!K120)</x:f>
      </x:c>
      <x:c r="L152" s="530" t="str">
        <x:f>IF(ISBLANK('_SCHEDULE'!L120),"",'_SCHEDULE'!L120)</x:f>
      </x:c>
      <x:c r="M152" s="530" t="str">
        <x:f>IF(ISBLANK('_SCHEDULE'!M120),"",'_SCHEDULE'!M120)</x:f>
      </x:c>
      <x:c r="N152" s="530" t="str">
        <x:f>IF(ISBLANK('_SCHEDULE'!N120),"",'_SCHEDULE'!N120)</x:f>
      </x:c>
      <x:c r="O152" s="530" t="str">
        <x:f>IF(ISBLANK('_SCHEDULE'!O120),"",'_SCHEDULE'!O120)</x:f>
      </x:c>
      <x:c r="P152" s="530" t="str">
        <x:f>IF(ISBLANK('_SCHEDULE'!P120),"",'_SCHEDULE'!P120)</x:f>
      </x:c>
      <x:c r="Q152" s="530" t="str">
        <x:f>IF(ISBLANK('_SCHEDULE'!Q120),"",'_SCHEDULE'!Q120)</x:f>
      </x:c>
      <x:c r="R152" s="530" t="str">
        <x:f>IF(ISBLANK('_SCHEDULE'!R120),"",'_SCHEDULE'!R120)</x:f>
      </x:c>
      <x:c r="S152" s="523" t="str">
        <x:f>IF(ISBLANK('_SCHEDULE'!S120),"",'_SCHEDULE'!S120)</x:f>
      </x:c>
      <x:c r="T152" s="38"/>
      <x:c r="U152" s="38"/>
      <x:c r="V152" s="38"/>
      <x:c r="W152" s="38"/>
      <x:c r="X152" s="38"/>
      <x:c r="Y152" s="38"/>
      <x:c r="Z152" s="38"/>
      <x:c r="AA152" s="38"/>
      <x:c r="AB152" s="38"/>
      <x:c r="AC152" s="38"/>
      <x:c r="AD152" s="38"/>
      <x:c r="AE152" s="38"/>
      <x:c r="AF152" s="38"/>
      <x:c r="AG152" s="38"/>
      <x:c r="AH152" s="38"/>
      <x:c r="AI152" s="38"/>
      <x:c r="AJ152" s="38"/>
      <x:c r="AK152" s="38"/>
      <x:c r="AL152" s="38"/>
      <x:c r="AM152" s="38"/>
    </x:row>
    <x:row r="153">
      <x:c r="A153" s="523" t="str">
        <x:f>IF(ISBLANK('_SCHEDULE'!A121),"",'_SCHEDULE'!A121)</x:f>
      </x:c>
      <x:c r="B153" s="523" t="str">
        <x:f>IF(ISBLANK('_SCHEDULE'!B121),"",IF('_CONFIG'!$B$2="pt-BR",IF('_SCHEDULE'!B121="scheduled","programado",IF('_SCHEDULE'!B121="rejected","rejeitado",'_SCHEDULE'!B121)),'_SCHEDULE'!B121))</x:f>
      </x:c>
      <x:c r="C153" s="523" t="str">
        <x:f>IF(ISBLANK('_SCHEDULE'!C121),"",'_SCHEDULE'!C121)</x:f>
      </x:c>
      <x:c r="D153" s="523" t="str">
        <x:f>IF(ISBLANK('_SCHEDULE'!D121),"",'_SCHEDULE'!D121)</x:f>
      </x:c>
      <x:c r="E153" s="530" t="str">
        <x:f>IF(ISBLANK('_SCHEDULE'!E121),"",'_SCHEDULE'!E121)</x:f>
      </x:c>
      <x:c r="F153" s="530" t="str">
        <x:f>IF(ISBLANK('_SCHEDULE'!F121),"",'_SCHEDULE'!F121)</x:f>
      </x:c>
      <x:c r="G153" s="530" t="str">
        <x:f>IF(ISBLANK('_SCHEDULE'!G121),"",'_SCHEDULE'!G121)</x:f>
      </x:c>
      <x:c r="H153" s="530" t="str">
        <x:f>IF(ISBLANK('_SCHEDULE'!H121),"",'_SCHEDULE'!H121)</x:f>
      </x:c>
      <x:c r="I153" s="530" t="str">
        <x:f>IF(ISBLANK('_SCHEDULE'!I121),"",'_SCHEDULE'!I121)</x:f>
      </x:c>
      <x:c r="J153" s="530" t="str">
        <x:f>IF(ISBLANK('_SCHEDULE'!J121),"",'_SCHEDULE'!J121)</x:f>
      </x:c>
      <x:c r="K153" s="530" t="str">
        <x:f>IF(ISBLANK('_SCHEDULE'!K121),"",'_SCHEDULE'!K121)</x:f>
      </x:c>
      <x:c r="L153" s="530" t="str">
        <x:f>IF(ISBLANK('_SCHEDULE'!L121),"",'_SCHEDULE'!L121)</x:f>
      </x:c>
      <x:c r="M153" s="530" t="str">
        <x:f>IF(ISBLANK('_SCHEDULE'!M121),"",'_SCHEDULE'!M121)</x:f>
      </x:c>
      <x:c r="N153" s="530" t="str">
        <x:f>IF(ISBLANK('_SCHEDULE'!N121),"",'_SCHEDULE'!N121)</x:f>
      </x:c>
      <x:c r="O153" s="530" t="str">
        <x:f>IF(ISBLANK('_SCHEDULE'!O121),"",'_SCHEDULE'!O121)</x:f>
      </x:c>
      <x:c r="P153" s="530" t="str">
        <x:f>IF(ISBLANK('_SCHEDULE'!P121),"",'_SCHEDULE'!P121)</x:f>
      </x:c>
      <x:c r="Q153" s="530" t="str">
        <x:f>IF(ISBLANK('_SCHEDULE'!Q121),"",'_SCHEDULE'!Q121)</x:f>
      </x:c>
      <x:c r="R153" s="530" t="str">
        <x:f>IF(ISBLANK('_SCHEDULE'!R121),"",'_SCHEDULE'!R121)</x:f>
      </x:c>
      <x:c r="S153" s="523" t="str">
        <x:f>IF(ISBLANK('_SCHEDULE'!S121),"",'_SCHEDULE'!S121)</x:f>
      </x:c>
      <x:c r="T153" s="38"/>
      <x:c r="U153" s="38"/>
      <x:c r="V153" s="38"/>
      <x:c r="W153" s="38"/>
      <x:c r="X153" s="38"/>
      <x:c r="Y153" s="38"/>
      <x:c r="Z153" s="38"/>
      <x:c r="AA153" s="38"/>
      <x:c r="AB153" s="38"/>
      <x:c r="AC153" s="38"/>
      <x:c r="AD153" s="38"/>
      <x:c r="AE153" s="38"/>
      <x:c r="AF153" s="38"/>
      <x:c r="AG153" s="38"/>
      <x:c r="AH153" s="38"/>
      <x:c r="AI153" s="38"/>
      <x:c r="AJ153" s="38"/>
      <x:c r="AK153" s="38"/>
      <x:c r="AL153" s="38"/>
      <x:c r="AM153" s="38"/>
    </x:row>
    <x:row r="154">
      <x:c r="A154" s="523" t="str">
        <x:f>IF(ISBLANK('_SCHEDULE'!A122),"",'_SCHEDULE'!A122)</x:f>
      </x:c>
      <x:c r="B154" s="523" t="str">
        <x:f>IF(ISBLANK('_SCHEDULE'!B122),"",IF('_CONFIG'!$B$2="pt-BR",IF('_SCHEDULE'!B122="scheduled","programado",IF('_SCHEDULE'!B122="rejected","rejeitado",'_SCHEDULE'!B122)),'_SCHEDULE'!B122))</x:f>
      </x:c>
      <x:c r="C154" s="523" t="str">
        <x:f>IF(ISBLANK('_SCHEDULE'!C122),"",'_SCHEDULE'!C122)</x:f>
      </x:c>
      <x:c r="D154" s="523" t="str">
        <x:f>IF(ISBLANK('_SCHEDULE'!D122),"",'_SCHEDULE'!D122)</x:f>
      </x:c>
      <x:c r="E154" s="530" t="str">
        <x:f>IF(ISBLANK('_SCHEDULE'!E122),"",'_SCHEDULE'!E122)</x:f>
      </x:c>
      <x:c r="F154" s="530" t="str">
        <x:f>IF(ISBLANK('_SCHEDULE'!F122),"",'_SCHEDULE'!F122)</x:f>
      </x:c>
      <x:c r="G154" s="530" t="str">
        <x:f>IF(ISBLANK('_SCHEDULE'!G122),"",'_SCHEDULE'!G122)</x:f>
      </x:c>
      <x:c r="H154" s="530" t="str">
        <x:f>IF(ISBLANK('_SCHEDULE'!H122),"",'_SCHEDULE'!H122)</x:f>
      </x:c>
      <x:c r="I154" s="530" t="str">
        <x:f>IF(ISBLANK('_SCHEDULE'!I122),"",'_SCHEDULE'!I122)</x:f>
      </x:c>
      <x:c r="J154" s="530" t="str">
        <x:f>IF(ISBLANK('_SCHEDULE'!J122),"",'_SCHEDULE'!J122)</x:f>
      </x:c>
      <x:c r="K154" s="530" t="str">
        <x:f>IF(ISBLANK('_SCHEDULE'!K122),"",'_SCHEDULE'!K122)</x:f>
      </x:c>
      <x:c r="L154" s="530" t="str">
        <x:f>IF(ISBLANK('_SCHEDULE'!L122),"",'_SCHEDULE'!L122)</x:f>
      </x:c>
      <x:c r="M154" s="530" t="str">
        <x:f>IF(ISBLANK('_SCHEDULE'!M122),"",'_SCHEDULE'!M122)</x:f>
      </x:c>
      <x:c r="N154" s="530" t="str">
        <x:f>IF(ISBLANK('_SCHEDULE'!N122),"",'_SCHEDULE'!N122)</x:f>
      </x:c>
      <x:c r="O154" s="530" t="str">
        <x:f>IF(ISBLANK('_SCHEDULE'!O122),"",'_SCHEDULE'!O122)</x:f>
      </x:c>
      <x:c r="P154" s="530" t="str">
        <x:f>IF(ISBLANK('_SCHEDULE'!P122),"",'_SCHEDULE'!P122)</x:f>
      </x:c>
      <x:c r="Q154" s="530" t="str">
        <x:f>IF(ISBLANK('_SCHEDULE'!Q122),"",'_SCHEDULE'!Q122)</x:f>
      </x:c>
      <x:c r="R154" s="530" t="str">
        <x:f>IF(ISBLANK('_SCHEDULE'!R122),"",'_SCHEDULE'!R122)</x:f>
      </x:c>
      <x:c r="S154" s="523" t="str">
        <x:f>IF(ISBLANK('_SCHEDULE'!S122),"",'_SCHEDULE'!S122)</x:f>
      </x:c>
      <x:c r="T154" s="38"/>
      <x:c r="U154" s="38"/>
      <x:c r="V154" s="38"/>
      <x:c r="W154" s="38"/>
      <x:c r="X154" s="38"/>
      <x:c r="Y154" s="38"/>
      <x:c r="Z154" s="38"/>
      <x:c r="AA154" s="38"/>
      <x:c r="AB154" s="38"/>
      <x:c r="AC154" s="38"/>
      <x:c r="AD154" s="38"/>
      <x:c r="AE154" s="38"/>
      <x:c r="AF154" s="38"/>
      <x:c r="AG154" s="38"/>
      <x:c r="AH154" s="38"/>
      <x:c r="AI154" s="38"/>
      <x:c r="AJ154" s="38"/>
      <x:c r="AK154" s="38"/>
      <x:c r="AL154" s="38"/>
      <x:c r="AM154" s="38"/>
    </x:row>
    <x:row r="155">
      <x:c r="A155" s="523" t="str">
        <x:f>IF(ISBLANK('_SCHEDULE'!A123),"",'_SCHEDULE'!A123)</x:f>
      </x:c>
      <x:c r="B155" s="523" t="str">
        <x:f>IF(ISBLANK('_SCHEDULE'!B123),"",IF('_CONFIG'!$B$2="pt-BR",IF('_SCHEDULE'!B123="scheduled","programado",IF('_SCHEDULE'!B123="rejected","rejeitado",'_SCHEDULE'!B123)),'_SCHEDULE'!B123))</x:f>
      </x:c>
      <x:c r="C155" s="523" t="str">
        <x:f>IF(ISBLANK('_SCHEDULE'!C123),"",'_SCHEDULE'!C123)</x:f>
      </x:c>
      <x:c r="D155" s="523" t="str">
        <x:f>IF(ISBLANK('_SCHEDULE'!D123),"",'_SCHEDULE'!D123)</x:f>
      </x:c>
      <x:c r="E155" s="530" t="str">
        <x:f>IF(ISBLANK('_SCHEDULE'!E123),"",'_SCHEDULE'!E123)</x:f>
      </x:c>
      <x:c r="F155" s="530" t="str">
        <x:f>IF(ISBLANK('_SCHEDULE'!F123),"",'_SCHEDULE'!F123)</x:f>
      </x:c>
      <x:c r="G155" s="530" t="str">
        <x:f>IF(ISBLANK('_SCHEDULE'!G123),"",'_SCHEDULE'!G123)</x:f>
      </x:c>
      <x:c r="H155" s="530" t="str">
        <x:f>IF(ISBLANK('_SCHEDULE'!H123),"",'_SCHEDULE'!H123)</x:f>
      </x:c>
      <x:c r="I155" s="530" t="str">
        <x:f>IF(ISBLANK('_SCHEDULE'!I123),"",'_SCHEDULE'!I123)</x:f>
      </x:c>
      <x:c r="J155" s="530" t="str">
        <x:f>IF(ISBLANK('_SCHEDULE'!J123),"",'_SCHEDULE'!J123)</x:f>
      </x:c>
      <x:c r="K155" s="530" t="str">
        <x:f>IF(ISBLANK('_SCHEDULE'!K123),"",'_SCHEDULE'!K123)</x:f>
      </x:c>
      <x:c r="L155" s="530" t="str">
        <x:f>IF(ISBLANK('_SCHEDULE'!L123),"",'_SCHEDULE'!L123)</x:f>
      </x:c>
      <x:c r="M155" s="530" t="str">
        <x:f>IF(ISBLANK('_SCHEDULE'!M123),"",'_SCHEDULE'!M123)</x:f>
      </x:c>
      <x:c r="N155" s="530" t="str">
        <x:f>IF(ISBLANK('_SCHEDULE'!N123),"",'_SCHEDULE'!N123)</x:f>
      </x:c>
      <x:c r="O155" s="530" t="str">
        <x:f>IF(ISBLANK('_SCHEDULE'!O123),"",'_SCHEDULE'!O123)</x:f>
      </x:c>
      <x:c r="P155" s="530" t="str">
        <x:f>IF(ISBLANK('_SCHEDULE'!P123),"",'_SCHEDULE'!P123)</x:f>
      </x:c>
      <x:c r="Q155" s="530" t="str">
        <x:f>IF(ISBLANK('_SCHEDULE'!Q123),"",'_SCHEDULE'!Q123)</x:f>
      </x:c>
      <x:c r="R155" s="530" t="str">
        <x:f>IF(ISBLANK('_SCHEDULE'!R123),"",'_SCHEDULE'!R123)</x:f>
      </x:c>
      <x:c r="S155" s="523" t="str">
        <x:f>IF(ISBLANK('_SCHEDULE'!S123),"",'_SCHEDULE'!S123)</x:f>
      </x:c>
      <x:c r="T155" s="38"/>
      <x:c r="U155" s="38"/>
      <x:c r="V155" s="38"/>
      <x:c r="W155" s="38"/>
      <x:c r="X155" s="38"/>
      <x:c r="Y155" s="38"/>
      <x:c r="Z155" s="38"/>
      <x:c r="AA155" s="38"/>
      <x:c r="AB155" s="38"/>
      <x:c r="AC155" s="38"/>
      <x:c r="AD155" s="38"/>
      <x:c r="AE155" s="38"/>
      <x:c r="AF155" s="38"/>
      <x:c r="AG155" s="38"/>
      <x:c r="AH155" s="38"/>
      <x:c r="AI155" s="38"/>
      <x:c r="AJ155" s="38"/>
      <x:c r="AK155" s="38"/>
      <x:c r="AL155" s="38"/>
      <x:c r="AM155" s="38"/>
    </x:row>
    <x:row r="156">
      <x:c r="A156" s="523" t="str">
        <x:f>IF(ISBLANK('_SCHEDULE'!A124),"",'_SCHEDULE'!A124)</x:f>
      </x:c>
      <x:c r="B156" s="523" t="str">
        <x:f>IF(ISBLANK('_SCHEDULE'!B124),"",IF('_CONFIG'!$B$2="pt-BR",IF('_SCHEDULE'!B124="scheduled","programado",IF('_SCHEDULE'!B124="rejected","rejeitado",'_SCHEDULE'!B124)),'_SCHEDULE'!B124))</x:f>
      </x:c>
      <x:c r="C156" s="523" t="str">
        <x:f>IF(ISBLANK('_SCHEDULE'!C124),"",'_SCHEDULE'!C124)</x:f>
      </x:c>
      <x:c r="D156" s="523" t="str">
        <x:f>IF(ISBLANK('_SCHEDULE'!D124),"",'_SCHEDULE'!D124)</x:f>
      </x:c>
      <x:c r="E156" s="530" t="str">
        <x:f>IF(ISBLANK('_SCHEDULE'!E124),"",'_SCHEDULE'!E124)</x:f>
      </x:c>
      <x:c r="F156" s="530" t="str">
        <x:f>IF(ISBLANK('_SCHEDULE'!F124),"",'_SCHEDULE'!F124)</x:f>
      </x:c>
      <x:c r="G156" s="530" t="str">
        <x:f>IF(ISBLANK('_SCHEDULE'!G124),"",'_SCHEDULE'!G124)</x:f>
      </x:c>
      <x:c r="H156" s="530" t="str">
        <x:f>IF(ISBLANK('_SCHEDULE'!H124),"",'_SCHEDULE'!H124)</x:f>
      </x:c>
      <x:c r="I156" s="530" t="str">
        <x:f>IF(ISBLANK('_SCHEDULE'!I124),"",'_SCHEDULE'!I124)</x:f>
      </x:c>
      <x:c r="J156" s="530" t="str">
        <x:f>IF(ISBLANK('_SCHEDULE'!J124),"",'_SCHEDULE'!J124)</x:f>
      </x:c>
      <x:c r="K156" s="530" t="str">
        <x:f>IF(ISBLANK('_SCHEDULE'!K124),"",'_SCHEDULE'!K124)</x:f>
      </x:c>
      <x:c r="L156" s="530" t="str">
        <x:f>IF(ISBLANK('_SCHEDULE'!L124),"",'_SCHEDULE'!L124)</x:f>
      </x:c>
      <x:c r="M156" s="530" t="str">
        <x:f>IF(ISBLANK('_SCHEDULE'!M124),"",'_SCHEDULE'!M124)</x:f>
      </x:c>
      <x:c r="N156" s="530" t="str">
        <x:f>IF(ISBLANK('_SCHEDULE'!N124),"",'_SCHEDULE'!N124)</x:f>
      </x:c>
      <x:c r="O156" s="530" t="str">
        <x:f>IF(ISBLANK('_SCHEDULE'!O124),"",'_SCHEDULE'!O124)</x:f>
      </x:c>
      <x:c r="P156" s="530" t="str">
        <x:f>IF(ISBLANK('_SCHEDULE'!P124),"",'_SCHEDULE'!P124)</x:f>
      </x:c>
      <x:c r="Q156" s="530" t="str">
        <x:f>IF(ISBLANK('_SCHEDULE'!Q124),"",'_SCHEDULE'!Q124)</x:f>
      </x:c>
      <x:c r="R156" s="530" t="str">
        <x:f>IF(ISBLANK('_SCHEDULE'!R124),"",'_SCHEDULE'!R124)</x:f>
      </x:c>
      <x:c r="S156" s="523" t="str">
        <x:f>IF(ISBLANK('_SCHEDULE'!S124),"",'_SCHEDULE'!S124)</x:f>
      </x:c>
      <x:c r="T156" s="38"/>
      <x:c r="U156" s="38"/>
      <x:c r="V156" s="38"/>
      <x:c r="W156" s="38"/>
      <x:c r="X156" s="38"/>
      <x:c r="Y156" s="38"/>
      <x:c r="Z156" s="38"/>
      <x:c r="AA156" s="38"/>
      <x:c r="AB156" s="38"/>
      <x:c r="AC156" s="38"/>
      <x:c r="AD156" s="38"/>
      <x:c r="AE156" s="38"/>
      <x:c r="AF156" s="38"/>
      <x:c r="AG156" s="38"/>
      <x:c r="AH156" s="38"/>
      <x:c r="AI156" s="38"/>
      <x:c r="AJ156" s="38"/>
      <x:c r="AK156" s="38"/>
      <x:c r="AL156" s="38"/>
      <x:c r="AM156" s="38"/>
    </x:row>
    <x:row r="157">
      <x:c r="A157" s="523" t="str">
        <x:f>IF(ISBLANK('_SCHEDULE'!A125),"",'_SCHEDULE'!A125)</x:f>
      </x:c>
      <x:c r="B157" s="523" t="str">
        <x:f>IF(ISBLANK('_SCHEDULE'!B125),"",IF('_CONFIG'!$B$2="pt-BR",IF('_SCHEDULE'!B125="scheduled","programado",IF('_SCHEDULE'!B125="rejected","rejeitado",'_SCHEDULE'!B125)),'_SCHEDULE'!B125))</x:f>
      </x:c>
      <x:c r="C157" s="523" t="str">
        <x:f>IF(ISBLANK('_SCHEDULE'!C125),"",'_SCHEDULE'!C125)</x:f>
      </x:c>
      <x:c r="D157" s="523" t="str">
        <x:f>IF(ISBLANK('_SCHEDULE'!D125),"",'_SCHEDULE'!D125)</x:f>
      </x:c>
      <x:c r="E157" s="530" t="str">
        <x:f>IF(ISBLANK('_SCHEDULE'!E125),"",'_SCHEDULE'!E125)</x:f>
      </x:c>
      <x:c r="F157" s="530" t="str">
        <x:f>IF(ISBLANK('_SCHEDULE'!F125),"",'_SCHEDULE'!F125)</x:f>
      </x:c>
      <x:c r="G157" s="530" t="str">
        <x:f>IF(ISBLANK('_SCHEDULE'!G125),"",'_SCHEDULE'!G125)</x:f>
      </x:c>
      <x:c r="H157" s="530" t="str">
        <x:f>IF(ISBLANK('_SCHEDULE'!H125),"",'_SCHEDULE'!H125)</x:f>
      </x:c>
      <x:c r="I157" s="530" t="str">
        <x:f>IF(ISBLANK('_SCHEDULE'!I125),"",'_SCHEDULE'!I125)</x:f>
      </x:c>
      <x:c r="J157" s="530" t="str">
        <x:f>IF(ISBLANK('_SCHEDULE'!J125),"",'_SCHEDULE'!J125)</x:f>
      </x:c>
      <x:c r="K157" s="530" t="str">
        <x:f>IF(ISBLANK('_SCHEDULE'!K125),"",'_SCHEDULE'!K125)</x:f>
      </x:c>
      <x:c r="L157" s="530" t="str">
        <x:f>IF(ISBLANK('_SCHEDULE'!L125),"",'_SCHEDULE'!L125)</x:f>
      </x:c>
      <x:c r="M157" s="530" t="str">
        <x:f>IF(ISBLANK('_SCHEDULE'!M125),"",'_SCHEDULE'!M125)</x:f>
      </x:c>
      <x:c r="N157" s="530" t="str">
        <x:f>IF(ISBLANK('_SCHEDULE'!N125),"",'_SCHEDULE'!N125)</x:f>
      </x:c>
      <x:c r="O157" s="530" t="str">
        <x:f>IF(ISBLANK('_SCHEDULE'!O125),"",'_SCHEDULE'!O125)</x:f>
      </x:c>
      <x:c r="P157" s="530" t="str">
        <x:f>IF(ISBLANK('_SCHEDULE'!P125),"",'_SCHEDULE'!P125)</x:f>
      </x:c>
      <x:c r="Q157" s="530" t="str">
        <x:f>IF(ISBLANK('_SCHEDULE'!Q125),"",'_SCHEDULE'!Q125)</x:f>
      </x:c>
      <x:c r="R157" s="530" t="str">
        <x:f>IF(ISBLANK('_SCHEDULE'!R125),"",'_SCHEDULE'!R125)</x:f>
      </x:c>
      <x:c r="S157" s="523" t="str">
        <x:f>IF(ISBLANK('_SCHEDULE'!S125),"",'_SCHEDULE'!S125)</x:f>
      </x:c>
      <x:c r="T157" s="38"/>
      <x:c r="U157" s="38"/>
      <x:c r="V157" s="38"/>
      <x:c r="W157" s="38"/>
      <x:c r="X157" s="38"/>
      <x:c r="Y157" s="38"/>
      <x:c r="Z157" s="38"/>
      <x:c r="AA157" s="38"/>
      <x:c r="AB157" s="38"/>
      <x:c r="AC157" s="38"/>
      <x:c r="AD157" s="38"/>
      <x:c r="AE157" s="38"/>
      <x:c r="AF157" s="38"/>
      <x:c r="AG157" s="38"/>
      <x:c r="AH157" s="38"/>
      <x:c r="AI157" s="38"/>
      <x:c r="AJ157" s="38"/>
      <x:c r="AK157" s="38"/>
      <x:c r="AL157" s="38"/>
      <x:c r="AM157" s="38"/>
    </x:row>
    <x:row r="158">
      <x:c r="A158" s="523" t="str">
        <x:f>IF(ISBLANK('_SCHEDULE'!A126),"",'_SCHEDULE'!A126)</x:f>
      </x:c>
      <x:c r="B158" s="523" t="str">
        <x:f>IF(ISBLANK('_SCHEDULE'!B126),"",IF('_CONFIG'!$B$2="pt-BR",IF('_SCHEDULE'!B126="scheduled","programado",IF('_SCHEDULE'!B126="rejected","rejeitado",'_SCHEDULE'!B126)),'_SCHEDULE'!B126))</x:f>
      </x:c>
      <x:c r="C158" s="523" t="str">
        <x:f>IF(ISBLANK('_SCHEDULE'!C126),"",'_SCHEDULE'!C126)</x:f>
      </x:c>
      <x:c r="D158" s="523" t="str">
        <x:f>IF(ISBLANK('_SCHEDULE'!D126),"",'_SCHEDULE'!D126)</x:f>
      </x:c>
      <x:c r="E158" s="530" t="str">
        <x:f>IF(ISBLANK('_SCHEDULE'!E126),"",'_SCHEDULE'!E126)</x:f>
      </x:c>
      <x:c r="F158" s="530" t="str">
        <x:f>IF(ISBLANK('_SCHEDULE'!F126),"",'_SCHEDULE'!F126)</x:f>
      </x:c>
      <x:c r="G158" s="530" t="str">
        <x:f>IF(ISBLANK('_SCHEDULE'!G126),"",'_SCHEDULE'!G126)</x:f>
      </x:c>
      <x:c r="H158" s="530" t="str">
        <x:f>IF(ISBLANK('_SCHEDULE'!H126),"",'_SCHEDULE'!H126)</x:f>
      </x:c>
      <x:c r="I158" s="530" t="str">
        <x:f>IF(ISBLANK('_SCHEDULE'!I126),"",'_SCHEDULE'!I126)</x:f>
      </x:c>
      <x:c r="J158" s="530" t="str">
        <x:f>IF(ISBLANK('_SCHEDULE'!J126),"",'_SCHEDULE'!J126)</x:f>
      </x:c>
      <x:c r="K158" s="530" t="str">
        <x:f>IF(ISBLANK('_SCHEDULE'!K126),"",'_SCHEDULE'!K126)</x:f>
      </x:c>
      <x:c r="L158" s="530" t="str">
        <x:f>IF(ISBLANK('_SCHEDULE'!L126),"",'_SCHEDULE'!L126)</x:f>
      </x:c>
      <x:c r="M158" s="530" t="str">
        <x:f>IF(ISBLANK('_SCHEDULE'!M126),"",'_SCHEDULE'!M126)</x:f>
      </x:c>
      <x:c r="N158" s="530" t="str">
        <x:f>IF(ISBLANK('_SCHEDULE'!N126),"",'_SCHEDULE'!N126)</x:f>
      </x:c>
      <x:c r="O158" s="530" t="str">
        <x:f>IF(ISBLANK('_SCHEDULE'!O126),"",'_SCHEDULE'!O126)</x:f>
      </x:c>
      <x:c r="P158" s="530" t="str">
        <x:f>IF(ISBLANK('_SCHEDULE'!P126),"",'_SCHEDULE'!P126)</x:f>
      </x:c>
      <x:c r="Q158" s="530" t="str">
        <x:f>IF(ISBLANK('_SCHEDULE'!Q126),"",'_SCHEDULE'!Q126)</x:f>
      </x:c>
      <x:c r="R158" s="530" t="str">
        <x:f>IF(ISBLANK('_SCHEDULE'!R126),"",'_SCHEDULE'!R126)</x:f>
      </x:c>
      <x:c r="S158" s="523" t="str">
        <x:f>IF(ISBLANK('_SCHEDULE'!S126),"",'_SCHEDULE'!S126)</x:f>
      </x:c>
      <x:c r="T158" s="38"/>
      <x:c r="U158" s="38"/>
      <x:c r="V158" s="38"/>
      <x:c r="W158" s="38"/>
      <x:c r="X158" s="38"/>
      <x:c r="Y158" s="38"/>
      <x:c r="Z158" s="38"/>
      <x:c r="AA158" s="38"/>
      <x:c r="AB158" s="38"/>
      <x:c r="AC158" s="38"/>
      <x:c r="AD158" s="38"/>
      <x:c r="AE158" s="38"/>
      <x:c r="AF158" s="38"/>
      <x:c r="AG158" s="38"/>
      <x:c r="AH158" s="38"/>
      <x:c r="AI158" s="38"/>
      <x:c r="AJ158" s="38"/>
      <x:c r="AK158" s="38"/>
      <x:c r="AL158" s="38"/>
      <x:c r="AM158" s="38"/>
    </x:row>
    <x:row r="159">
      <x:c r="A159" s="523" t="str">
        <x:f>IF(ISBLANK('_SCHEDULE'!A127),"",'_SCHEDULE'!A127)</x:f>
      </x:c>
      <x:c r="B159" s="523" t="str">
        <x:f>IF(ISBLANK('_SCHEDULE'!B127),"",IF('_CONFIG'!$B$2="pt-BR",IF('_SCHEDULE'!B127="scheduled","programado",IF('_SCHEDULE'!B127="rejected","rejeitado",'_SCHEDULE'!B127)),'_SCHEDULE'!B127))</x:f>
      </x:c>
      <x:c r="C159" s="523" t="str">
        <x:f>IF(ISBLANK('_SCHEDULE'!C127),"",'_SCHEDULE'!C127)</x:f>
      </x:c>
      <x:c r="D159" s="523" t="str">
        <x:f>IF(ISBLANK('_SCHEDULE'!D127),"",'_SCHEDULE'!D127)</x:f>
      </x:c>
      <x:c r="E159" s="530" t="str">
        <x:f>IF(ISBLANK('_SCHEDULE'!E127),"",'_SCHEDULE'!E127)</x:f>
      </x:c>
      <x:c r="F159" s="530" t="str">
        <x:f>IF(ISBLANK('_SCHEDULE'!F127),"",'_SCHEDULE'!F127)</x:f>
      </x:c>
      <x:c r="G159" s="530" t="str">
        <x:f>IF(ISBLANK('_SCHEDULE'!G127),"",'_SCHEDULE'!G127)</x:f>
      </x:c>
      <x:c r="H159" s="530" t="str">
        <x:f>IF(ISBLANK('_SCHEDULE'!H127),"",'_SCHEDULE'!H127)</x:f>
      </x:c>
      <x:c r="I159" s="530" t="str">
        <x:f>IF(ISBLANK('_SCHEDULE'!I127),"",'_SCHEDULE'!I127)</x:f>
      </x:c>
      <x:c r="J159" s="530" t="str">
        <x:f>IF(ISBLANK('_SCHEDULE'!J127),"",'_SCHEDULE'!J127)</x:f>
      </x:c>
      <x:c r="K159" s="530" t="str">
        <x:f>IF(ISBLANK('_SCHEDULE'!K127),"",'_SCHEDULE'!K127)</x:f>
      </x:c>
      <x:c r="L159" s="530" t="str">
        <x:f>IF(ISBLANK('_SCHEDULE'!L127),"",'_SCHEDULE'!L127)</x:f>
      </x:c>
      <x:c r="M159" s="530" t="str">
        <x:f>IF(ISBLANK('_SCHEDULE'!M127),"",'_SCHEDULE'!M127)</x:f>
      </x:c>
      <x:c r="N159" s="530" t="str">
        <x:f>IF(ISBLANK('_SCHEDULE'!N127),"",'_SCHEDULE'!N127)</x:f>
      </x:c>
      <x:c r="O159" s="530" t="str">
        <x:f>IF(ISBLANK('_SCHEDULE'!O127),"",'_SCHEDULE'!O127)</x:f>
      </x:c>
      <x:c r="P159" s="530" t="str">
        <x:f>IF(ISBLANK('_SCHEDULE'!P127),"",'_SCHEDULE'!P127)</x:f>
      </x:c>
      <x:c r="Q159" s="530" t="str">
        <x:f>IF(ISBLANK('_SCHEDULE'!Q127),"",'_SCHEDULE'!Q127)</x:f>
      </x:c>
      <x:c r="R159" s="530" t="str">
        <x:f>IF(ISBLANK('_SCHEDULE'!R127),"",'_SCHEDULE'!R127)</x:f>
      </x:c>
      <x:c r="S159" s="523" t="str">
        <x:f>IF(ISBLANK('_SCHEDULE'!S127),"",'_SCHEDULE'!S127)</x:f>
      </x:c>
      <x:c r="T159" s="38"/>
      <x:c r="U159" s="38"/>
      <x:c r="V159" s="38"/>
      <x:c r="W159" s="38"/>
      <x:c r="X159" s="38"/>
      <x:c r="Y159" s="38"/>
      <x:c r="Z159" s="38"/>
      <x:c r="AA159" s="38"/>
      <x:c r="AB159" s="38"/>
      <x:c r="AC159" s="38"/>
      <x:c r="AD159" s="38"/>
      <x:c r="AE159" s="38"/>
      <x:c r="AF159" s="38"/>
      <x:c r="AG159" s="38"/>
      <x:c r="AH159" s="38"/>
      <x:c r="AI159" s="38"/>
      <x:c r="AJ159" s="38"/>
      <x:c r="AK159" s="38"/>
      <x:c r="AL159" s="38"/>
      <x:c r="AM159" s="38"/>
    </x:row>
    <x:row r="160">
      <x:c r="A160" s="523" t="str">
        <x:f>IF(ISBLANK('_SCHEDULE'!A128),"",'_SCHEDULE'!A128)</x:f>
      </x:c>
      <x:c r="B160" s="523" t="str">
        <x:f>IF(ISBLANK('_SCHEDULE'!B128),"",IF('_CONFIG'!$B$2="pt-BR",IF('_SCHEDULE'!B128="scheduled","programado",IF('_SCHEDULE'!B128="rejected","rejeitado",'_SCHEDULE'!B128)),'_SCHEDULE'!B128))</x:f>
      </x:c>
      <x:c r="C160" s="523" t="str">
        <x:f>IF(ISBLANK('_SCHEDULE'!C128),"",'_SCHEDULE'!C128)</x:f>
      </x:c>
      <x:c r="D160" s="523" t="str">
        <x:f>IF(ISBLANK('_SCHEDULE'!D128),"",'_SCHEDULE'!D128)</x:f>
      </x:c>
      <x:c r="E160" s="530" t="str">
        <x:f>IF(ISBLANK('_SCHEDULE'!E128),"",'_SCHEDULE'!E128)</x:f>
      </x:c>
      <x:c r="F160" s="530" t="str">
        <x:f>IF(ISBLANK('_SCHEDULE'!F128),"",'_SCHEDULE'!F128)</x:f>
      </x:c>
      <x:c r="G160" s="530" t="str">
        <x:f>IF(ISBLANK('_SCHEDULE'!G128),"",'_SCHEDULE'!G128)</x:f>
      </x:c>
      <x:c r="H160" s="530" t="str">
        <x:f>IF(ISBLANK('_SCHEDULE'!H128),"",'_SCHEDULE'!H128)</x:f>
      </x:c>
      <x:c r="I160" s="530" t="str">
        <x:f>IF(ISBLANK('_SCHEDULE'!I128),"",'_SCHEDULE'!I128)</x:f>
      </x:c>
      <x:c r="J160" s="530" t="str">
        <x:f>IF(ISBLANK('_SCHEDULE'!J128),"",'_SCHEDULE'!J128)</x:f>
      </x:c>
      <x:c r="K160" s="530" t="str">
        <x:f>IF(ISBLANK('_SCHEDULE'!K128),"",'_SCHEDULE'!K128)</x:f>
      </x:c>
      <x:c r="L160" s="530" t="str">
        <x:f>IF(ISBLANK('_SCHEDULE'!L128),"",'_SCHEDULE'!L128)</x:f>
      </x:c>
      <x:c r="M160" s="530" t="str">
        <x:f>IF(ISBLANK('_SCHEDULE'!M128),"",'_SCHEDULE'!M128)</x:f>
      </x:c>
      <x:c r="N160" s="530" t="str">
        <x:f>IF(ISBLANK('_SCHEDULE'!N128),"",'_SCHEDULE'!N128)</x:f>
      </x:c>
      <x:c r="O160" s="530" t="str">
        <x:f>IF(ISBLANK('_SCHEDULE'!O128),"",'_SCHEDULE'!O128)</x:f>
      </x:c>
      <x:c r="P160" s="530" t="str">
        <x:f>IF(ISBLANK('_SCHEDULE'!P128),"",'_SCHEDULE'!P128)</x:f>
      </x:c>
      <x:c r="Q160" s="530" t="str">
        <x:f>IF(ISBLANK('_SCHEDULE'!Q128),"",'_SCHEDULE'!Q128)</x:f>
      </x:c>
      <x:c r="R160" s="530" t="str">
        <x:f>IF(ISBLANK('_SCHEDULE'!R128),"",'_SCHEDULE'!R128)</x:f>
      </x:c>
      <x:c r="S160" s="523" t="str">
        <x:f>IF(ISBLANK('_SCHEDULE'!S128),"",'_SCHEDULE'!S128)</x:f>
      </x:c>
      <x:c r="T160" s="38"/>
      <x:c r="U160" s="38"/>
      <x:c r="V160" s="38"/>
      <x:c r="W160" s="38"/>
      <x:c r="X160" s="38"/>
      <x:c r="Y160" s="38"/>
      <x:c r="Z160" s="38"/>
      <x:c r="AA160" s="38"/>
      <x:c r="AB160" s="38"/>
      <x:c r="AC160" s="38"/>
      <x:c r="AD160" s="38"/>
      <x:c r="AE160" s="38"/>
      <x:c r="AF160" s="38"/>
      <x:c r="AG160" s="38"/>
      <x:c r="AH160" s="38"/>
      <x:c r="AI160" s="38"/>
      <x:c r="AJ160" s="38"/>
      <x:c r="AK160" s="38"/>
      <x:c r="AL160" s="38"/>
      <x:c r="AM160" s="38"/>
    </x:row>
    <x:row r="161">
      <x:c r="A161" s="523" t="str">
        <x:f>IF(ISBLANK('_SCHEDULE'!A129),"",'_SCHEDULE'!A129)</x:f>
      </x:c>
      <x:c r="B161" s="523" t="str">
        <x:f>IF(ISBLANK('_SCHEDULE'!B129),"",IF('_CONFIG'!$B$2="pt-BR",IF('_SCHEDULE'!B129="scheduled","programado",IF('_SCHEDULE'!B129="rejected","rejeitado",'_SCHEDULE'!B129)),'_SCHEDULE'!B129))</x:f>
      </x:c>
      <x:c r="C161" s="523" t="str">
        <x:f>IF(ISBLANK('_SCHEDULE'!C129),"",'_SCHEDULE'!C129)</x:f>
      </x:c>
      <x:c r="D161" s="523" t="str">
        <x:f>IF(ISBLANK('_SCHEDULE'!D129),"",'_SCHEDULE'!D129)</x:f>
      </x:c>
      <x:c r="E161" s="530" t="str">
        <x:f>IF(ISBLANK('_SCHEDULE'!E129),"",'_SCHEDULE'!E129)</x:f>
      </x:c>
      <x:c r="F161" s="530" t="str">
        <x:f>IF(ISBLANK('_SCHEDULE'!F129),"",'_SCHEDULE'!F129)</x:f>
      </x:c>
      <x:c r="G161" s="530" t="str">
        <x:f>IF(ISBLANK('_SCHEDULE'!G129),"",'_SCHEDULE'!G129)</x:f>
      </x:c>
      <x:c r="H161" s="530" t="str">
        <x:f>IF(ISBLANK('_SCHEDULE'!H129),"",'_SCHEDULE'!H129)</x:f>
      </x:c>
      <x:c r="I161" s="530" t="str">
        <x:f>IF(ISBLANK('_SCHEDULE'!I129),"",'_SCHEDULE'!I129)</x:f>
      </x:c>
      <x:c r="J161" s="530" t="str">
        <x:f>IF(ISBLANK('_SCHEDULE'!J129),"",'_SCHEDULE'!J129)</x:f>
      </x:c>
      <x:c r="K161" s="530" t="str">
        <x:f>IF(ISBLANK('_SCHEDULE'!K129),"",'_SCHEDULE'!K129)</x:f>
      </x:c>
      <x:c r="L161" s="530" t="str">
        <x:f>IF(ISBLANK('_SCHEDULE'!L129),"",'_SCHEDULE'!L129)</x:f>
      </x:c>
      <x:c r="M161" s="530" t="str">
        <x:f>IF(ISBLANK('_SCHEDULE'!M129),"",'_SCHEDULE'!M129)</x:f>
      </x:c>
      <x:c r="N161" s="530" t="str">
        <x:f>IF(ISBLANK('_SCHEDULE'!N129),"",'_SCHEDULE'!N129)</x:f>
      </x:c>
      <x:c r="O161" s="530" t="str">
        <x:f>IF(ISBLANK('_SCHEDULE'!O129),"",'_SCHEDULE'!O129)</x:f>
      </x:c>
      <x:c r="P161" s="530" t="str">
        <x:f>IF(ISBLANK('_SCHEDULE'!P129),"",'_SCHEDULE'!P129)</x:f>
      </x:c>
      <x:c r="Q161" s="530" t="str">
        <x:f>IF(ISBLANK('_SCHEDULE'!Q129),"",'_SCHEDULE'!Q129)</x:f>
      </x:c>
      <x:c r="R161" s="530" t="str">
        <x:f>IF(ISBLANK('_SCHEDULE'!R129),"",'_SCHEDULE'!R129)</x:f>
      </x:c>
      <x:c r="S161" s="523" t="str">
        <x:f>IF(ISBLANK('_SCHEDULE'!S129),"",'_SCHEDULE'!S129)</x:f>
      </x:c>
      <x:c r="T161" s="38"/>
      <x:c r="U161" s="38"/>
      <x:c r="V161" s="38"/>
      <x:c r="W161" s="38"/>
      <x:c r="X161" s="38"/>
      <x:c r="Y161" s="38"/>
      <x:c r="Z161" s="38"/>
      <x:c r="AA161" s="38"/>
      <x:c r="AB161" s="38"/>
      <x:c r="AC161" s="38"/>
      <x:c r="AD161" s="38"/>
      <x:c r="AE161" s="38"/>
      <x:c r="AF161" s="38"/>
      <x:c r="AG161" s="38"/>
      <x:c r="AH161" s="38"/>
      <x:c r="AI161" s="38"/>
      <x:c r="AJ161" s="38"/>
      <x:c r="AK161" s="38"/>
      <x:c r="AL161" s="38"/>
      <x:c r="AM161" s="38"/>
    </x:row>
    <x:row r="162">
      <x:c r="A162" s="523" t="str">
        <x:f>IF(ISBLANK('_SCHEDULE'!A130),"",'_SCHEDULE'!A130)</x:f>
      </x:c>
      <x:c r="B162" s="523" t="str">
        <x:f>IF(ISBLANK('_SCHEDULE'!B130),"",IF('_CONFIG'!$B$2="pt-BR",IF('_SCHEDULE'!B130="scheduled","programado",IF('_SCHEDULE'!B130="rejected","rejeitado",'_SCHEDULE'!B130)),'_SCHEDULE'!B130))</x:f>
      </x:c>
      <x:c r="C162" s="523" t="str">
        <x:f>IF(ISBLANK('_SCHEDULE'!C130),"",'_SCHEDULE'!C130)</x:f>
      </x:c>
      <x:c r="D162" s="523" t="str">
        <x:f>IF(ISBLANK('_SCHEDULE'!D130),"",'_SCHEDULE'!D130)</x:f>
      </x:c>
      <x:c r="E162" s="530" t="str">
        <x:f>IF(ISBLANK('_SCHEDULE'!E130),"",'_SCHEDULE'!E130)</x:f>
      </x:c>
      <x:c r="F162" s="530" t="str">
        <x:f>IF(ISBLANK('_SCHEDULE'!F130),"",'_SCHEDULE'!F130)</x:f>
      </x:c>
      <x:c r="G162" s="530" t="str">
        <x:f>IF(ISBLANK('_SCHEDULE'!G130),"",'_SCHEDULE'!G130)</x:f>
      </x:c>
      <x:c r="H162" s="530" t="str">
        <x:f>IF(ISBLANK('_SCHEDULE'!H130),"",'_SCHEDULE'!H130)</x:f>
      </x:c>
      <x:c r="I162" s="530" t="str">
        <x:f>IF(ISBLANK('_SCHEDULE'!I130),"",'_SCHEDULE'!I130)</x:f>
      </x:c>
      <x:c r="J162" s="530" t="str">
        <x:f>IF(ISBLANK('_SCHEDULE'!J130),"",'_SCHEDULE'!J130)</x:f>
      </x:c>
      <x:c r="K162" s="530" t="str">
        <x:f>IF(ISBLANK('_SCHEDULE'!K130),"",'_SCHEDULE'!K130)</x:f>
      </x:c>
      <x:c r="L162" s="530" t="str">
        <x:f>IF(ISBLANK('_SCHEDULE'!L130),"",'_SCHEDULE'!L130)</x:f>
      </x:c>
      <x:c r="M162" s="530" t="str">
        <x:f>IF(ISBLANK('_SCHEDULE'!M130),"",'_SCHEDULE'!M130)</x:f>
      </x:c>
      <x:c r="N162" s="530" t="str">
        <x:f>IF(ISBLANK('_SCHEDULE'!N130),"",'_SCHEDULE'!N130)</x:f>
      </x:c>
      <x:c r="O162" s="530" t="str">
        <x:f>IF(ISBLANK('_SCHEDULE'!O130),"",'_SCHEDULE'!O130)</x:f>
      </x:c>
      <x:c r="P162" s="530" t="str">
        <x:f>IF(ISBLANK('_SCHEDULE'!P130),"",'_SCHEDULE'!P130)</x:f>
      </x:c>
      <x:c r="Q162" s="530" t="str">
        <x:f>IF(ISBLANK('_SCHEDULE'!Q130),"",'_SCHEDULE'!Q130)</x:f>
      </x:c>
      <x:c r="R162" s="530" t="str">
        <x:f>IF(ISBLANK('_SCHEDULE'!R130),"",'_SCHEDULE'!R130)</x:f>
      </x:c>
      <x:c r="S162" s="523" t="str">
        <x:f>IF(ISBLANK('_SCHEDULE'!S130),"",'_SCHEDULE'!S130)</x:f>
      </x:c>
      <x:c r="T162" s="38"/>
      <x:c r="U162" s="38"/>
      <x:c r="V162" s="38"/>
      <x:c r="W162" s="38"/>
      <x:c r="X162" s="38"/>
      <x:c r="Y162" s="38"/>
      <x:c r="Z162" s="38"/>
      <x:c r="AA162" s="38"/>
      <x:c r="AB162" s="38"/>
      <x:c r="AC162" s="38"/>
      <x:c r="AD162" s="38"/>
      <x:c r="AE162" s="38"/>
      <x:c r="AF162" s="38"/>
      <x:c r="AG162" s="38"/>
      <x:c r="AH162" s="38"/>
      <x:c r="AI162" s="38"/>
      <x:c r="AJ162" s="38"/>
      <x:c r="AK162" s="38"/>
      <x:c r="AL162" s="38"/>
      <x:c r="AM162" s="38"/>
    </x:row>
    <x:row r="163">
      <x:c r="A163" s="523" t="str">
        <x:f>IF(ISBLANK('_SCHEDULE'!A131),"",'_SCHEDULE'!A131)</x:f>
      </x:c>
      <x:c r="B163" s="523" t="str">
        <x:f>IF(ISBLANK('_SCHEDULE'!B131),"",IF('_CONFIG'!$B$2="pt-BR",IF('_SCHEDULE'!B131="scheduled","programado",IF('_SCHEDULE'!B131="rejected","rejeitado",'_SCHEDULE'!B131)),'_SCHEDULE'!B131))</x:f>
      </x:c>
      <x:c r="C163" s="523" t="str">
        <x:f>IF(ISBLANK('_SCHEDULE'!C131),"",'_SCHEDULE'!C131)</x:f>
      </x:c>
      <x:c r="D163" s="523" t="str">
        <x:f>IF(ISBLANK('_SCHEDULE'!D131),"",'_SCHEDULE'!D131)</x:f>
      </x:c>
      <x:c r="E163" s="530" t="str">
        <x:f>IF(ISBLANK('_SCHEDULE'!E131),"",'_SCHEDULE'!E131)</x:f>
      </x:c>
      <x:c r="F163" s="530" t="str">
        <x:f>IF(ISBLANK('_SCHEDULE'!F131),"",'_SCHEDULE'!F131)</x:f>
      </x:c>
      <x:c r="G163" s="530" t="str">
        <x:f>IF(ISBLANK('_SCHEDULE'!G131),"",'_SCHEDULE'!G131)</x:f>
      </x:c>
      <x:c r="H163" s="530" t="str">
        <x:f>IF(ISBLANK('_SCHEDULE'!H131),"",'_SCHEDULE'!H131)</x:f>
      </x:c>
      <x:c r="I163" s="530" t="str">
        <x:f>IF(ISBLANK('_SCHEDULE'!I131),"",'_SCHEDULE'!I131)</x:f>
      </x:c>
      <x:c r="J163" s="530" t="str">
        <x:f>IF(ISBLANK('_SCHEDULE'!J131),"",'_SCHEDULE'!J131)</x:f>
      </x:c>
      <x:c r="K163" s="530" t="str">
        <x:f>IF(ISBLANK('_SCHEDULE'!K131),"",'_SCHEDULE'!K131)</x:f>
      </x:c>
      <x:c r="L163" s="530" t="str">
        <x:f>IF(ISBLANK('_SCHEDULE'!L131),"",'_SCHEDULE'!L131)</x:f>
      </x:c>
      <x:c r="M163" s="530" t="str">
        <x:f>IF(ISBLANK('_SCHEDULE'!M131),"",'_SCHEDULE'!M131)</x:f>
      </x:c>
      <x:c r="N163" s="530" t="str">
        <x:f>IF(ISBLANK('_SCHEDULE'!N131),"",'_SCHEDULE'!N131)</x:f>
      </x:c>
      <x:c r="O163" s="530" t="str">
        <x:f>IF(ISBLANK('_SCHEDULE'!O131),"",'_SCHEDULE'!O131)</x:f>
      </x:c>
      <x:c r="P163" s="530" t="str">
        <x:f>IF(ISBLANK('_SCHEDULE'!P131),"",'_SCHEDULE'!P131)</x:f>
      </x:c>
      <x:c r="Q163" s="530" t="str">
        <x:f>IF(ISBLANK('_SCHEDULE'!Q131),"",'_SCHEDULE'!Q131)</x:f>
      </x:c>
      <x:c r="R163" s="530" t="str">
        <x:f>IF(ISBLANK('_SCHEDULE'!R131),"",'_SCHEDULE'!R131)</x:f>
      </x:c>
      <x:c r="S163" s="523" t="str">
        <x:f>IF(ISBLANK('_SCHEDULE'!S131),"",'_SCHEDULE'!S131)</x:f>
      </x:c>
      <x:c r="T163" s="38"/>
      <x:c r="U163" s="38"/>
      <x:c r="V163" s="38"/>
      <x:c r="W163" s="38"/>
      <x:c r="X163" s="38"/>
      <x:c r="Y163" s="38"/>
      <x:c r="Z163" s="38"/>
      <x:c r="AA163" s="38"/>
      <x:c r="AB163" s="38"/>
      <x:c r="AC163" s="38"/>
      <x:c r="AD163" s="38"/>
      <x:c r="AE163" s="38"/>
      <x:c r="AF163" s="38"/>
      <x:c r="AG163" s="38"/>
      <x:c r="AH163" s="38"/>
      <x:c r="AI163" s="38"/>
      <x:c r="AJ163" s="38"/>
      <x:c r="AK163" s="38"/>
      <x:c r="AL163" s="38"/>
      <x:c r="AM163" s="38"/>
    </x:row>
    <x:row r="164">
      <x:c r="A164" s="523" t="str">
        <x:f>IF(ISBLANK('_SCHEDULE'!A132),"",'_SCHEDULE'!A132)</x:f>
      </x:c>
      <x:c r="B164" s="523" t="str">
        <x:f>IF(ISBLANK('_SCHEDULE'!B132),"",IF('_CONFIG'!$B$2="pt-BR",IF('_SCHEDULE'!B132="scheduled","programado",IF('_SCHEDULE'!B132="rejected","rejeitado",'_SCHEDULE'!B132)),'_SCHEDULE'!B132))</x:f>
      </x:c>
      <x:c r="C164" s="523" t="str">
        <x:f>IF(ISBLANK('_SCHEDULE'!C132),"",'_SCHEDULE'!C132)</x:f>
      </x:c>
      <x:c r="D164" s="523" t="str">
        <x:f>IF(ISBLANK('_SCHEDULE'!D132),"",'_SCHEDULE'!D132)</x:f>
      </x:c>
      <x:c r="E164" s="530" t="str">
        <x:f>IF(ISBLANK('_SCHEDULE'!E132),"",'_SCHEDULE'!E132)</x:f>
      </x:c>
      <x:c r="F164" s="530" t="str">
        <x:f>IF(ISBLANK('_SCHEDULE'!F132),"",'_SCHEDULE'!F132)</x:f>
      </x:c>
      <x:c r="G164" s="530" t="str">
        <x:f>IF(ISBLANK('_SCHEDULE'!G132),"",'_SCHEDULE'!G132)</x:f>
      </x:c>
      <x:c r="H164" s="530" t="str">
        <x:f>IF(ISBLANK('_SCHEDULE'!H132),"",'_SCHEDULE'!H132)</x:f>
      </x:c>
      <x:c r="I164" s="530" t="str">
        <x:f>IF(ISBLANK('_SCHEDULE'!I132),"",'_SCHEDULE'!I132)</x:f>
      </x:c>
      <x:c r="J164" s="530" t="str">
        <x:f>IF(ISBLANK('_SCHEDULE'!J132),"",'_SCHEDULE'!J132)</x:f>
      </x:c>
      <x:c r="K164" s="530" t="str">
        <x:f>IF(ISBLANK('_SCHEDULE'!K132),"",'_SCHEDULE'!K132)</x:f>
      </x:c>
      <x:c r="L164" s="530" t="str">
        <x:f>IF(ISBLANK('_SCHEDULE'!L132),"",'_SCHEDULE'!L132)</x:f>
      </x:c>
      <x:c r="M164" s="530" t="str">
        <x:f>IF(ISBLANK('_SCHEDULE'!M132),"",'_SCHEDULE'!M132)</x:f>
      </x:c>
      <x:c r="N164" s="530" t="str">
        <x:f>IF(ISBLANK('_SCHEDULE'!N132),"",'_SCHEDULE'!N132)</x:f>
      </x:c>
      <x:c r="O164" s="530" t="str">
        <x:f>IF(ISBLANK('_SCHEDULE'!O132),"",'_SCHEDULE'!O132)</x:f>
      </x:c>
      <x:c r="P164" s="530" t="str">
        <x:f>IF(ISBLANK('_SCHEDULE'!P132),"",'_SCHEDULE'!P132)</x:f>
      </x:c>
      <x:c r="Q164" s="530" t="str">
        <x:f>IF(ISBLANK('_SCHEDULE'!Q132),"",'_SCHEDULE'!Q132)</x:f>
      </x:c>
      <x:c r="R164" s="530" t="str">
        <x:f>IF(ISBLANK('_SCHEDULE'!R132),"",'_SCHEDULE'!R132)</x:f>
      </x:c>
      <x:c r="S164" s="523" t="str">
        <x:f>IF(ISBLANK('_SCHEDULE'!S132),"",'_SCHEDULE'!S132)</x:f>
      </x:c>
      <x:c r="T164" s="38"/>
      <x:c r="U164" s="38"/>
      <x:c r="V164" s="38"/>
      <x:c r="W164" s="38"/>
      <x:c r="X164" s="38"/>
      <x:c r="Y164" s="38"/>
      <x:c r="Z164" s="38"/>
      <x:c r="AA164" s="38"/>
      <x:c r="AB164" s="38"/>
      <x:c r="AC164" s="38"/>
      <x:c r="AD164" s="38"/>
      <x:c r="AE164" s="38"/>
      <x:c r="AF164" s="38"/>
      <x:c r="AG164" s="38"/>
      <x:c r="AH164" s="38"/>
      <x:c r="AI164" s="38"/>
      <x:c r="AJ164" s="38"/>
      <x:c r="AK164" s="38"/>
      <x:c r="AL164" s="38"/>
      <x:c r="AM164" s="38"/>
    </x:row>
    <x:row r="165">
      <x:c r="A165" s="523" t="str">
        <x:f>IF(ISBLANK('_SCHEDULE'!A133),"",'_SCHEDULE'!A133)</x:f>
      </x:c>
      <x:c r="B165" s="523" t="str">
        <x:f>IF(ISBLANK('_SCHEDULE'!B133),"",IF('_CONFIG'!$B$2="pt-BR",IF('_SCHEDULE'!B133="scheduled","programado",IF('_SCHEDULE'!B133="rejected","rejeitado",'_SCHEDULE'!B133)),'_SCHEDULE'!B133))</x:f>
      </x:c>
      <x:c r="C165" s="523" t="str">
        <x:f>IF(ISBLANK('_SCHEDULE'!C133),"",'_SCHEDULE'!C133)</x:f>
      </x:c>
      <x:c r="D165" s="523" t="str">
        <x:f>IF(ISBLANK('_SCHEDULE'!D133),"",'_SCHEDULE'!D133)</x:f>
      </x:c>
      <x:c r="E165" s="530" t="str">
        <x:f>IF(ISBLANK('_SCHEDULE'!E133),"",'_SCHEDULE'!E133)</x:f>
      </x:c>
      <x:c r="F165" s="530" t="str">
        <x:f>IF(ISBLANK('_SCHEDULE'!F133),"",'_SCHEDULE'!F133)</x:f>
      </x:c>
      <x:c r="G165" s="530" t="str">
        <x:f>IF(ISBLANK('_SCHEDULE'!G133),"",'_SCHEDULE'!G133)</x:f>
      </x:c>
      <x:c r="H165" s="530" t="str">
        <x:f>IF(ISBLANK('_SCHEDULE'!H133),"",'_SCHEDULE'!H133)</x:f>
      </x:c>
      <x:c r="I165" s="530" t="str">
        <x:f>IF(ISBLANK('_SCHEDULE'!I133),"",'_SCHEDULE'!I133)</x:f>
      </x:c>
      <x:c r="J165" s="530" t="str">
        <x:f>IF(ISBLANK('_SCHEDULE'!J133),"",'_SCHEDULE'!J133)</x:f>
      </x:c>
      <x:c r="K165" s="530" t="str">
        <x:f>IF(ISBLANK('_SCHEDULE'!K133),"",'_SCHEDULE'!K133)</x:f>
      </x:c>
      <x:c r="L165" s="530" t="str">
        <x:f>IF(ISBLANK('_SCHEDULE'!L133),"",'_SCHEDULE'!L133)</x:f>
      </x:c>
      <x:c r="M165" s="530" t="str">
        <x:f>IF(ISBLANK('_SCHEDULE'!M133),"",'_SCHEDULE'!M133)</x:f>
      </x:c>
      <x:c r="N165" s="530" t="str">
        <x:f>IF(ISBLANK('_SCHEDULE'!N133),"",'_SCHEDULE'!N133)</x:f>
      </x:c>
      <x:c r="O165" s="530" t="str">
        <x:f>IF(ISBLANK('_SCHEDULE'!O133),"",'_SCHEDULE'!O133)</x:f>
      </x:c>
      <x:c r="P165" s="530" t="str">
        <x:f>IF(ISBLANK('_SCHEDULE'!P133),"",'_SCHEDULE'!P133)</x:f>
      </x:c>
      <x:c r="Q165" s="530" t="str">
        <x:f>IF(ISBLANK('_SCHEDULE'!Q133),"",'_SCHEDULE'!Q133)</x:f>
      </x:c>
      <x:c r="R165" s="530" t="str">
        <x:f>IF(ISBLANK('_SCHEDULE'!R133),"",'_SCHEDULE'!R133)</x:f>
      </x:c>
      <x:c r="S165" s="523" t="str">
        <x:f>IF(ISBLANK('_SCHEDULE'!S133),"",'_SCHEDULE'!S133)</x:f>
      </x:c>
      <x:c r="T165" s="38"/>
      <x:c r="U165" s="38"/>
      <x:c r="V165" s="38"/>
      <x:c r="W165" s="38"/>
      <x:c r="X165" s="38"/>
      <x:c r="Y165" s="38"/>
      <x:c r="Z165" s="38"/>
      <x:c r="AA165" s="38"/>
      <x:c r="AB165" s="38"/>
      <x:c r="AC165" s="38"/>
      <x:c r="AD165" s="38"/>
      <x:c r="AE165" s="38"/>
      <x:c r="AF165" s="38"/>
      <x:c r="AG165" s="38"/>
      <x:c r="AH165" s="38"/>
      <x:c r="AI165" s="38"/>
      <x:c r="AJ165" s="38"/>
      <x:c r="AK165" s="38"/>
      <x:c r="AL165" s="38"/>
      <x:c r="AM165" s="38"/>
    </x:row>
    <x:row r="166">
      <x:c r="A166" s="523" t="str">
        <x:f>IF(ISBLANK('_SCHEDULE'!A134),"",'_SCHEDULE'!A134)</x:f>
      </x:c>
      <x:c r="B166" s="523" t="str">
        <x:f>IF(ISBLANK('_SCHEDULE'!B134),"",IF('_CONFIG'!$B$2="pt-BR",IF('_SCHEDULE'!B134="scheduled","programado",IF('_SCHEDULE'!B134="rejected","rejeitado",'_SCHEDULE'!B134)),'_SCHEDULE'!B134))</x:f>
      </x:c>
      <x:c r="C166" s="523" t="str">
        <x:f>IF(ISBLANK('_SCHEDULE'!C134),"",'_SCHEDULE'!C134)</x:f>
      </x:c>
      <x:c r="D166" s="523" t="str">
        <x:f>IF(ISBLANK('_SCHEDULE'!D134),"",'_SCHEDULE'!D134)</x:f>
      </x:c>
      <x:c r="E166" s="530" t="str">
        <x:f>IF(ISBLANK('_SCHEDULE'!E134),"",'_SCHEDULE'!E134)</x:f>
      </x:c>
      <x:c r="F166" s="530" t="str">
        <x:f>IF(ISBLANK('_SCHEDULE'!F134),"",'_SCHEDULE'!F134)</x:f>
      </x:c>
      <x:c r="G166" s="530" t="str">
        <x:f>IF(ISBLANK('_SCHEDULE'!G134),"",'_SCHEDULE'!G134)</x:f>
      </x:c>
      <x:c r="H166" s="530" t="str">
        <x:f>IF(ISBLANK('_SCHEDULE'!H134),"",'_SCHEDULE'!H134)</x:f>
      </x:c>
      <x:c r="I166" s="530" t="str">
        <x:f>IF(ISBLANK('_SCHEDULE'!I134),"",'_SCHEDULE'!I134)</x:f>
      </x:c>
      <x:c r="J166" s="530" t="str">
        <x:f>IF(ISBLANK('_SCHEDULE'!J134),"",'_SCHEDULE'!J134)</x:f>
      </x:c>
      <x:c r="K166" s="530" t="str">
        <x:f>IF(ISBLANK('_SCHEDULE'!K134),"",'_SCHEDULE'!K134)</x:f>
      </x:c>
      <x:c r="L166" s="530" t="str">
        <x:f>IF(ISBLANK('_SCHEDULE'!L134),"",'_SCHEDULE'!L134)</x:f>
      </x:c>
      <x:c r="M166" s="530" t="str">
        <x:f>IF(ISBLANK('_SCHEDULE'!M134),"",'_SCHEDULE'!M134)</x:f>
      </x:c>
      <x:c r="N166" s="530" t="str">
        <x:f>IF(ISBLANK('_SCHEDULE'!N134),"",'_SCHEDULE'!N134)</x:f>
      </x:c>
      <x:c r="O166" s="530" t="str">
        <x:f>IF(ISBLANK('_SCHEDULE'!O134),"",'_SCHEDULE'!O134)</x:f>
      </x:c>
      <x:c r="P166" s="530" t="str">
        <x:f>IF(ISBLANK('_SCHEDULE'!P134),"",'_SCHEDULE'!P134)</x:f>
      </x:c>
      <x:c r="Q166" s="530" t="str">
        <x:f>IF(ISBLANK('_SCHEDULE'!Q134),"",'_SCHEDULE'!Q134)</x:f>
      </x:c>
      <x:c r="R166" s="530" t="str">
        <x:f>IF(ISBLANK('_SCHEDULE'!R134),"",'_SCHEDULE'!R134)</x:f>
      </x:c>
      <x:c r="S166" s="523" t="str">
        <x:f>IF(ISBLANK('_SCHEDULE'!S134),"",'_SCHEDULE'!S134)</x:f>
      </x:c>
      <x:c r="T166" s="38"/>
      <x:c r="U166" s="38"/>
      <x:c r="V166" s="38"/>
      <x:c r="W166" s="38"/>
      <x:c r="X166" s="38"/>
      <x:c r="Y166" s="38"/>
      <x:c r="Z166" s="38"/>
      <x:c r="AA166" s="38"/>
      <x:c r="AB166" s="38"/>
      <x:c r="AC166" s="38"/>
      <x:c r="AD166" s="38"/>
      <x:c r="AE166" s="38"/>
      <x:c r="AF166" s="38"/>
      <x:c r="AG166" s="38"/>
      <x:c r="AH166" s="38"/>
      <x:c r="AI166" s="38"/>
      <x:c r="AJ166" s="38"/>
      <x:c r="AK166" s="38"/>
      <x:c r="AL166" s="38"/>
      <x:c r="AM166" s="38"/>
    </x:row>
    <x:row r="167">
      <x:c r="A167" s="523" t="str">
        <x:f>IF(ISBLANK('_SCHEDULE'!A135),"",'_SCHEDULE'!A135)</x:f>
      </x:c>
      <x:c r="B167" s="523" t="str">
        <x:f>IF(ISBLANK('_SCHEDULE'!B135),"",IF('_CONFIG'!$B$2="pt-BR",IF('_SCHEDULE'!B135="scheduled","programado",IF('_SCHEDULE'!B135="rejected","rejeitado",'_SCHEDULE'!B135)),'_SCHEDULE'!B135))</x:f>
      </x:c>
      <x:c r="C167" s="523" t="str">
        <x:f>IF(ISBLANK('_SCHEDULE'!C135),"",'_SCHEDULE'!C135)</x:f>
      </x:c>
      <x:c r="D167" s="523" t="str">
        <x:f>IF(ISBLANK('_SCHEDULE'!D135),"",'_SCHEDULE'!D135)</x:f>
      </x:c>
      <x:c r="E167" s="530" t="str">
        <x:f>IF(ISBLANK('_SCHEDULE'!E135),"",'_SCHEDULE'!E135)</x:f>
      </x:c>
      <x:c r="F167" s="530" t="str">
        <x:f>IF(ISBLANK('_SCHEDULE'!F135),"",'_SCHEDULE'!F135)</x:f>
      </x:c>
      <x:c r="G167" s="530" t="str">
        <x:f>IF(ISBLANK('_SCHEDULE'!G135),"",'_SCHEDULE'!G135)</x:f>
      </x:c>
      <x:c r="H167" s="530" t="str">
        <x:f>IF(ISBLANK('_SCHEDULE'!H135),"",'_SCHEDULE'!H135)</x:f>
      </x:c>
      <x:c r="I167" s="530" t="str">
        <x:f>IF(ISBLANK('_SCHEDULE'!I135),"",'_SCHEDULE'!I135)</x:f>
      </x:c>
      <x:c r="J167" s="530" t="str">
        <x:f>IF(ISBLANK('_SCHEDULE'!J135),"",'_SCHEDULE'!J135)</x:f>
      </x:c>
      <x:c r="K167" s="530" t="str">
        <x:f>IF(ISBLANK('_SCHEDULE'!K135),"",'_SCHEDULE'!K135)</x:f>
      </x:c>
      <x:c r="L167" s="530" t="str">
        <x:f>IF(ISBLANK('_SCHEDULE'!L135),"",'_SCHEDULE'!L135)</x:f>
      </x:c>
      <x:c r="M167" s="530" t="str">
        <x:f>IF(ISBLANK('_SCHEDULE'!M135),"",'_SCHEDULE'!M135)</x:f>
      </x:c>
      <x:c r="N167" s="530" t="str">
        <x:f>IF(ISBLANK('_SCHEDULE'!N135),"",'_SCHEDULE'!N135)</x:f>
      </x:c>
      <x:c r="O167" s="530" t="str">
        <x:f>IF(ISBLANK('_SCHEDULE'!O135),"",'_SCHEDULE'!O135)</x:f>
      </x:c>
      <x:c r="P167" s="530" t="str">
        <x:f>IF(ISBLANK('_SCHEDULE'!P135),"",'_SCHEDULE'!P135)</x:f>
      </x:c>
      <x:c r="Q167" s="530" t="str">
        <x:f>IF(ISBLANK('_SCHEDULE'!Q135),"",'_SCHEDULE'!Q135)</x:f>
      </x:c>
      <x:c r="R167" s="530" t="str">
        <x:f>IF(ISBLANK('_SCHEDULE'!R135),"",'_SCHEDULE'!R135)</x:f>
      </x:c>
      <x:c r="S167" s="523" t="str">
        <x:f>IF(ISBLANK('_SCHEDULE'!S135),"",'_SCHEDULE'!S135)</x:f>
      </x:c>
      <x:c r="T167" s="38"/>
      <x:c r="U167" s="38"/>
      <x:c r="V167" s="38"/>
      <x:c r="W167" s="38"/>
      <x:c r="X167" s="38"/>
      <x:c r="Y167" s="38"/>
      <x:c r="Z167" s="38"/>
      <x:c r="AA167" s="38"/>
      <x:c r="AB167" s="38"/>
      <x:c r="AC167" s="38"/>
      <x:c r="AD167" s="38"/>
      <x:c r="AE167" s="38"/>
      <x:c r="AF167" s="38"/>
      <x:c r="AG167" s="38"/>
      <x:c r="AH167" s="38"/>
      <x:c r="AI167" s="38"/>
      <x:c r="AJ167" s="38"/>
      <x:c r="AK167" s="38"/>
      <x:c r="AL167" s="38"/>
      <x:c r="AM167" s="38"/>
    </x:row>
    <x:row r="168">
      <x:c r="A168" s="523" t="str">
        <x:f>IF(ISBLANK('_SCHEDULE'!A136),"",'_SCHEDULE'!A136)</x:f>
      </x:c>
      <x:c r="B168" s="523" t="str">
        <x:f>IF(ISBLANK('_SCHEDULE'!B136),"",IF('_CONFIG'!$B$2="pt-BR",IF('_SCHEDULE'!B136="scheduled","programado",IF('_SCHEDULE'!B136="rejected","rejeitado",'_SCHEDULE'!B136)),'_SCHEDULE'!B136))</x:f>
      </x:c>
      <x:c r="C168" s="523" t="str">
        <x:f>IF(ISBLANK('_SCHEDULE'!C136),"",'_SCHEDULE'!C136)</x:f>
      </x:c>
      <x:c r="D168" s="523" t="str">
        <x:f>IF(ISBLANK('_SCHEDULE'!D136),"",'_SCHEDULE'!D136)</x:f>
      </x:c>
      <x:c r="E168" s="530" t="str">
        <x:f>IF(ISBLANK('_SCHEDULE'!E136),"",'_SCHEDULE'!E136)</x:f>
      </x:c>
      <x:c r="F168" s="530" t="str">
        <x:f>IF(ISBLANK('_SCHEDULE'!F136),"",'_SCHEDULE'!F136)</x:f>
      </x:c>
      <x:c r="G168" s="530" t="str">
        <x:f>IF(ISBLANK('_SCHEDULE'!G136),"",'_SCHEDULE'!G136)</x:f>
      </x:c>
      <x:c r="H168" s="530" t="str">
        <x:f>IF(ISBLANK('_SCHEDULE'!H136),"",'_SCHEDULE'!H136)</x:f>
      </x:c>
      <x:c r="I168" s="530" t="str">
        <x:f>IF(ISBLANK('_SCHEDULE'!I136),"",'_SCHEDULE'!I136)</x:f>
      </x:c>
      <x:c r="J168" s="530" t="str">
        <x:f>IF(ISBLANK('_SCHEDULE'!J136),"",'_SCHEDULE'!J136)</x:f>
      </x:c>
      <x:c r="K168" s="530" t="str">
        <x:f>IF(ISBLANK('_SCHEDULE'!K136),"",'_SCHEDULE'!K136)</x:f>
      </x:c>
      <x:c r="L168" s="530" t="str">
        <x:f>IF(ISBLANK('_SCHEDULE'!L136),"",'_SCHEDULE'!L136)</x:f>
      </x:c>
      <x:c r="M168" s="530" t="str">
        <x:f>IF(ISBLANK('_SCHEDULE'!M136),"",'_SCHEDULE'!M136)</x:f>
      </x:c>
      <x:c r="N168" s="530" t="str">
        <x:f>IF(ISBLANK('_SCHEDULE'!N136),"",'_SCHEDULE'!N136)</x:f>
      </x:c>
      <x:c r="O168" s="530" t="str">
        <x:f>IF(ISBLANK('_SCHEDULE'!O136),"",'_SCHEDULE'!O136)</x:f>
      </x:c>
      <x:c r="P168" s="530" t="str">
        <x:f>IF(ISBLANK('_SCHEDULE'!P136),"",'_SCHEDULE'!P136)</x:f>
      </x:c>
      <x:c r="Q168" s="530" t="str">
        <x:f>IF(ISBLANK('_SCHEDULE'!Q136),"",'_SCHEDULE'!Q136)</x:f>
      </x:c>
      <x:c r="R168" s="530" t="str">
        <x:f>IF(ISBLANK('_SCHEDULE'!R136),"",'_SCHEDULE'!R136)</x:f>
      </x:c>
      <x:c r="S168" s="523" t="str">
        <x:f>IF(ISBLANK('_SCHEDULE'!S136),"",'_SCHEDULE'!S136)</x:f>
      </x:c>
      <x:c r="T168" s="38"/>
      <x:c r="U168" s="38"/>
      <x:c r="V168" s="38"/>
      <x:c r="W168" s="38"/>
      <x:c r="X168" s="38"/>
      <x:c r="Y168" s="38"/>
      <x:c r="Z168" s="38"/>
      <x:c r="AA168" s="38"/>
      <x:c r="AB168" s="38"/>
      <x:c r="AC168" s="38"/>
      <x:c r="AD168" s="38"/>
      <x:c r="AE168" s="38"/>
      <x:c r="AF168" s="38"/>
      <x:c r="AG168" s="38"/>
      <x:c r="AH168" s="38"/>
      <x:c r="AI168" s="38"/>
      <x:c r="AJ168" s="38"/>
      <x:c r="AK168" s="38"/>
      <x:c r="AL168" s="38"/>
      <x:c r="AM168" s="38"/>
    </x:row>
    <x:row r="169">
      <x:c r="A169" s="523" t="str">
        <x:f>IF(ISBLANK('_SCHEDULE'!A137),"",'_SCHEDULE'!A137)</x:f>
      </x:c>
      <x:c r="B169" s="523" t="str">
        <x:f>IF(ISBLANK('_SCHEDULE'!B137),"",IF('_CONFIG'!$B$2="pt-BR",IF('_SCHEDULE'!B137="scheduled","programado",IF('_SCHEDULE'!B137="rejected","rejeitado",'_SCHEDULE'!B137)),'_SCHEDULE'!B137))</x:f>
      </x:c>
      <x:c r="C169" s="523" t="str">
        <x:f>IF(ISBLANK('_SCHEDULE'!C137),"",'_SCHEDULE'!C137)</x:f>
      </x:c>
      <x:c r="D169" s="523" t="str">
        <x:f>IF(ISBLANK('_SCHEDULE'!D137),"",'_SCHEDULE'!D137)</x:f>
      </x:c>
      <x:c r="E169" s="530" t="str">
        <x:f>IF(ISBLANK('_SCHEDULE'!E137),"",'_SCHEDULE'!E137)</x:f>
      </x:c>
      <x:c r="F169" s="530" t="str">
        <x:f>IF(ISBLANK('_SCHEDULE'!F137),"",'_SCHEDULE'!F137)</x:f>
      </x:c>
      <x:c r="G169" s="530" t="str">
        <x:f>IF(ISBLANK('_SCHEDULE'!G137),"",'_SCHEDULE'!G137)</x:f>
      </x:c>
      <x:c r="H169" s="530" t="str">
        <x:f>IF(ISBLANK('_SCHEDULE'!H137),"",'_SCHEDULE'!H137)</x:f>
      </x:c>
      <x:c r="I169" s="530" t="str">
        <x:f>IF(ISBLANK('_SCHEDULE'!I137),"",'_SCHEDULE'!I137)</x:f>
      </x:c>
      <x:c r="J169" s="530" t="str">
        <x:f>IF(ISBLANK('_SCHEDULE'!J137),"",'_SCHEDULE'!J137)</x:f>
      </x:c>
      <x:c r="K169" s="530" t="str">
        <x:f>IF(ISBLANK('_SCHEDULE'!K137),"",'_SCHEDULE'!K137)</x:f>
      </x:c>
      <x:c r="L169" s="530" t="str">
        <x:f>IF(ISBLANK('_SCHEDULE'!L137),"",'_SCHEDULE'!L137)</x:f>
      </x:c>
      <x:c r="M169" s="530" t="str">
        <x:f>IF(ISBLANK('_SCHEDULE'!M137),"",'_SCHEDULE'!M137)</x:f>
      </x:c>
      <x:c r="N169" s="530" t="str">
        <x:f>IF(ISBLANK('_SCHEDULE'!N137),"",'_SCHEDULE'!N137)</x:f>
      </x:c>
      <x:c r="O169" s="530" t="str">
        <x:f>IF(ISBLANK('_SCHEDULE'!O137),"",'_SCHEDULE'!O137)</x:f>
      </x:c>
      <x:c r="P169" s="530" t="str">
        <x:f>IF(ISBLANK('_SCHEDULE'!P137),"",'_SCHEDULE'!P137)</x:f>
      </x:c>
      <x:c r="Q169" s="530" t="str">
        <x:f>IF(ISBLANK('_SCHEDULE'!Q137),"",'_SCHEDULE'!Q137)</x:f>
      </x:c>
      <x:c r="R169" s="530" t="str">
        <x:f>IF(ISBLANK('_SCHEDULE'!R137),"",'_SCHEDULE'!R137)</x:f>
      </x:c>
      <x:c r="S169" s="523" t="str">
        <x:f>IF(ISBLANK('_SCHEDULE'!S137),"",'_SCHEDULE'!S137)</x:f>
      </x:c>
      <x:c r="T169" s="38"/>
      <x:c r="U169" s="38"/>
      <x:c r="V169" s="38"/>
      <x:c r="W169" s="38"/>
      <x:c r="X169" s="38"/>
      <x:c r="Y169" s="38"/>
      <x:c r="Z169" s="38"/>
      <x:c r="AA169" s="38"/>
      <x:c r="AB169" s="38"/>
      <x:c r="AC169" s="38"/>
      <x:c r="AD169" s="38"/>
      <x:c r="AE169" s="38"/>
      <x:c r="AF169" s="38"/>
      <x:c r="AG169" s="38"/>
      <x:c r="AH169" s="38"/>
      <x:c r="AI169" s="38"/>
      <x:c r="AJ169" s="38"/>
      <x:c r="AK169" s="38"/>
      <x:c r="AL169" s="38"/>
      <x:c r="AM169" s="38"/>
    </x:row>
    <x:row r="170">
      <x:c r="A170" s="523" t="str">
        <x:f>IF(ISBLANK('_SCHEDULE'!A138),"",'_SCHEDULE'!A138)</x:f>
      </x:c>
      <x:c r="B170" s="523" t="str">
        <x:f>IF(ISBLANK('_SCHEDULE'!B138),"",IF('_CONFIG'!$B$2="pt-BR",IF('_SCHEDULE'!B138="scheduled","programado",IF('_SCHEDULE'!B138="rejected","rejeitado",'_SCHEDULE'!B138)),'_SCHEDULE'!B138))</x:f>
      </x:c>
      <x:c r="C170" s="523" t="str">
        <x:f>IF(ISBLANK('_SCHEDULE'!C138),"",'_SCHEDULE'!C138)</x:f>
      </x:c>
      <x:c r="D170" s="523" t="str">
        <x:f>IF(ISBLANK('_SCHEDULE'!D138),"",'_SCHEDULE'!D138)</x:f>
      </x:c>
      <x:c r="E170" s="530" t="str">
        <x:f>IF(ISBLANK('_SCHEDULE'!E138),"",'_SCHEDULE'!E138)</x:f>
      </x:c>
      <x:c r="F170" s="530" t="str">
        <x:f>IF(ISBLANK('_SCHEDULE'!F138),"",'_SCHEDULE'!F138)</x:f>
      </x:c>
      <x:c r="G170" s="530" t="str">
        <x:f>IF(ISBLANK('_SCHEDULE'!G138),"",'_SCHEDULE'!G138)</x:f>
      </x:c>
      <x:c r="H170" s="530" t="str">
        <x:f>IF(ISBLANK('_SCHEDULE'!H138),"",'_SCHEDULE'!H138)</x:f>
      </x:c>
      <x:c r="I170" s="530" t="str">
        <x:f>IF(ISBLANK('_SCHEDULE'!I138),"",'_SCHEDULE'!I138)</x:f>
      </x:c>
      <x:c r="J170" s="530" t="str">
        <x:f>IF(ISBLANK('_SCHEDULE'!J138),"",'_SCHEDULE'!J138)</x:f>
      </x:c>
      <x:c r="K170" s="530" t="str">
        <x:f>IF(ISBLANK('_SCHEDULE'!K138),"",'_SCHEDULE'!K138)</x:f>
      </x:c>
      <x:c r="L170" s="530" t="str">
        <x:f>IF(ISBLANK('_SCHEDULE'!L138),"",'_SCHEDULE'!L138)</x:f>
      </x:c>
      <x:c r="M170" s="530" t="str">
        <x:f>IF(ISBLANK('_SCHEDULE'!M138),"",'_SCHEDULE'!M138)</x:f>
      </x:c>
      <x:c r="N170" s="530" t="str">
        <x:f>IF(ISBLANK('_SCHEDULE'!N138),"",'_SCHEDULE'!N138)</x:f>
      </x:c>
      <x:c r="O170" s="530" t="str">
        <x:f>IF(ISBLANK('_SCHEDULE'!O138),"",'_SCHEDULE'!O138)</x:f>
      </x:c>
      <x:c r="P170" s="530" t="str">
        <x:f>IF(ISBLANK('_SCHEDULE'!P138),"",'_SCHEDULE'!P138)</x:f>
      </x:c>
      <x:c r="Q170" s="530" t="str">
        <x:f>IF(ISBLANK('_SCHEDULE'!Q138),"",'_SCHEDULE'!Q138)</x:f>
      </x:c>
      <x:c r="R170" s="530" t="str">
        <x:f>IF(ISBLANK('_SCHEDULE'!R138),"",'_SCHEDULE'!R138)</x:f>
      </x:c>
      <x:c r="S170" s="523" t="str">
        <x:f>IF(ISBLANK('_SCHEDULE'!S138),"",'_SCHEDULE'!S138)</x:f>
      </x:c>
      <x:c r="T170" s="38"/>
      <x:c r="U170" s="38"/>
      <x:c r="V170" s="38"/>
      <x:c r="W170" s="38"/>
      <x:c r="X170" s="38"/>
      <x:c r="Y170" s="38"/>
      <x:c r="Z170" s="38"/>
      <x:c r="AA170" s="38"/>
      <x:c r="AB170" s="38"/>
      <x:c r="AC170" s="38"/>
      <x:c r="AD170" s="38"/>
      <x:c r="AE170" s="38"/>
      <x:c r="AF170" s="38"/>
      <x:c r="AG170" s="38"/>
      <x:c r="AH170" s="38"/>
      <x:c r="AI170" s="38"/>
      <x:c r="AJ170" s="38"/>
      <x:c r="AK170" s="38"/>
      <x:c r="AL170" s="38"/>
      <x:c r="AM170" s="38"/>
    </x:row>
    <x:row r="171">
      <x:c r="A171" s="523" t="str">
        <x:f>IF(ISBLANK('_SCHEDULE'!A139),"",'_SCHEDULE'!A139)</x:f>
      </x:c>
      <x:c r="B171" s="523" t="str">
        <x:f>IF(ISBLANK('_SCHEDULE'!B139),"",IF('_CONFIG'!$B$2="pt-BR",IF('_SCHEDULE'!B139="scheduled","programado",IF('_SCHEDULE'!B139="rejected","rejeitado",'_SCHEDULE'!B139)),'_SCHEDULE'!B139))</x:f>
      </x:c>
      <x:c r="C171" s="523" t="str">
        <x:f>IF(ISBLANK('_SCHEDULE'!C139),"",'_SCHEDULE'!C139)</x:f>
      </x:c>
      <x:c r="D171" s="523" t="str">
        <x:f>IF(ISBLANK('_SCHEDULE'!D139),"",'_SCHEDULE'!D139)</x:f>
      </x:c>
      <x:c r="E171" s="530" t="str">
        <x:f>IF(ISBLANK('_SCHEDULE'!E139),"",'_SCHEDULE'!E139)</x:f>
      </x:c>
      <x:c r="F171" s="530" t="str">
        <x:f>IF(ISBLANK('_SCHEDULE'!F139),"",'_SCHEDULE'!F139)</x:f>
      </x:c>
      <x:c r="G171" s="530" t="str">
        <x:f>IF(ISBLANK('_SCHEDULE'!G139),"",'_SCHEDULE'!G139)</x:f>
      </x:c>
      <x:c r="H171" s="530" t="str">
        <x:f>IF(ISBLANK('_SCHEDULE'!H139),"",'_SCHEDULE'!H139)</x:f>
      </x:c>
      <x:c r="I171" s="530" t="str">
        <x:f>IF(ISBLANK('_SCHEDULE'!I139),"",'_SCHEDULE'!I139)</x:f>
      </x:c>
      <x:c r="J171" s="530" t="str">
        <x:f>IF(ISBLANK('_SCHEDULE'!J139),"",'_SCHEDULE'!J139)</x:f>
      </x:c>
      <x:c r="K171" s="530" t="str">
        <x:f>IF(ISBLANK('_SCHEDULE'!K139),"",'_SCHEDULE'!K139)</x:f>
      </x:c>
      <x:c r="L171" s="530" t="str">
        <x:f>IF(ISBLANK('_SCHEDULE'!L139),"",'_SCHEDULE'!L139)</x:f>
      </x:c>
      <x:c r="M171" s="530" t="str">
        <x:f>IF(ISBLANK('_SCHEDULE'!M139),"",'_SCHEDULE'!M139)</x:f>
      </x:c>
      <x:c r="N171" s="530" t="str">
        <x:f>IF(ISBLANK('_SCHEDULE'!N139),"",'_SCHEDULE'!N139)</x:f>
      </x:c>
      <x:c r="O171" s="530" t="str">
        <x:f>IF(ISBLANK('_SCHEDULE'!O139),"",'_SCHEDULE'!O139)</x:f>
      </x:c>
      <x:c r="P171" s="530" t="str">
        <x:f>IF(ISBLANK('_SCHEDULE'!P139),"",'_SCHEDULE'!P139)</x:f>
      </x:c>
      <x:c r="Q171" s="530" t="str">
        <x:f>IF(ISBLANK('_SCHEDULE'!Q139),"",'_SCHEDULE'!Q139)</x:f>
      </x:c>
      <x:c r="R171" s="530" t="str">
        <x:f>IF(ISBLANK('_SCHEDULE'!R139),"",'_SCHEDULE'!R139)</x:f>
      </x:c>
      <x:c r="S171" s="523" t="str">
        <x:f>IF(ISBLANK('_SCHEDULE'!S139),"",'_SCHEDULE'!S139)</x:f>
      </x:c>
      <x:c r="T171" s="38"/>
      <x:c r="U171" s="38"/>
      <x:c r="V171" s="38"/>
      <x:c r="W171" s="38"/>
      <x:c r="X171" s="38"/>
      <x:c r="Y171" s="38"/>
      <x:c r="Z171" s="38"/>
      <x:c r="AA171" s="38"/>
      <x:c r="AB171" s="38"/>
      <x:c r="AC171" s="38"/>
      <x:c r="AD171" s="38"/>
      <x:c r="AE171" s="38"/>
      <x:c r="AF171" s="38"/>
      <x:c r="AG171" s="38"/>
      <x:c r="AH171" s="38"/>
      <x:c r="AI171" s="38"/>
      <x:c r="AJ171" s="38"/>
      <x:c r="AK171" s="38"/>
      <x:c r="AL171" s="38"/>
      <x:c r="AM171" s="38"/>
    </x:row>
    <x:row r="172">
      <x:c r="A172" s="523" t="str">
        <x:f>IF(ISBLANK('_SCHEDULE'!A140),"",'_SCHEDULE'!A140)</x:f>
      </x:c>
      <x:c r="B172" s="523" t="str">
        <x:f>IF(ISBLANK('_SCHEDULE'!B140),"",IF('_CONFIG'!$B$2="pt-BR",IF('_SCHEDULE'!B140="scheduled","programado",IF('_SCHEDULE'!B140="rejected","rejeitado",'_SCHEDULE'!B140)),'_SCHEDULE'!B140))</x:f>
      </x:c>
      <x:c r="C172" s="523" t="str">
        <x:f>IF(ISBLANK('_SCHEDULE'!C140),"",'_SCHEDULE'!C140)</x:f>
      </x:c>
      <x:c r="D172" s="523" t="str">
        <x:f>IF(ISBLANK('_SCHEDULE'!D140),"",'_SCHEDULE'!D140)</x:f>
      </x:c>
      <x:c r="E172" s="530" t="str">
        <x:f>IF(ISBLANK('_SCHEDULE'!E140),"",'_SCHEDULE'!E140)</x:f>
      </x:c>
      <x:c r="F172" s="530" t="str">
        <x:f>IF(ISBLANK('_SCHEDULE'!F140),"",'_SCHEDULE'!F140)</x:f>
      </x:c>
      <x:c r="G172" s="530" t="str">
        <x:f>IF(ISBLANK('_SCHEDULE'!G140),"",'_SCHEDULE'!G140)</x:f>
      </x:c>
      <x:c r="H172" s="530" t="str">
        <x:f>IF(ISBLANK('_SCHEDULE'!H140),"",'_SCHEDULE'!H140)</x:f>
      </x:c>
      <x:c r="I172" s="530" t="str">
        <x:f>IF(ISBLANK('_SCHEDULE'!I140),"",'_SCHEDULE'!I140)</x:f>
      </x:c>
      <x:c r="J172" s="530" t="str">
        <x:f>IF(ISBLANK('_SCHEDULE'!J140),"",'_SCHEDULE'!J140)</x:f>
      </x:c>
      <x:c r="K172" s="530" t="str">
        <x:f>IF(ISBLANK('_SCHEDULE'!K140),"",'_SCHEDULE'!K140)</x:f>
      </x:c>
      <x:c r="L172" s="530" t="str">
        <x:f>IF(ISBLANK('_SCHEDULE'!L140),"",'_SCHEDULE'!L140)</x:f>
      </x:c>
      <x:c r="M172" s="530" t="str">
        <x:f>IF(ISBLANK('_SCHEDULE'!M140),"",'_SCHEDULE'!M140)</x:f>
      </x:c>
      <x:c r="N172" s="530" t="str">
        <x:f>IF(ISBLANK('_SCHEDULE'!N140),"",'_SCHEDULE'!N140)</x:f>
      </x:c>
      <x:c r="O172" s="530" t="str">
        <x:f>IF(ISBLANK('_SCHEDULE'!O140),"",'_SCHEDULE'!O140)</x:f>
      </x:c>
      <x:c r="P172" s="530" t="str">
        <x:f>IF(ISBLANK('_SCHEDULE'!P140),"",'_SCHEDULE'!P140)</x:f>
      </x:c>
      <x:c r="Q172" s="530" t="str">
        <x:f>IF(ISBLANK('_SCHEDULE'!Q140),"",'_SCHEDULE'!Q140)</x:f>
      </x:c>
      <x:c r="R172" s="530" t="str">
        <x:f>IF(ISBLANK('_SCHEDULE'!R140),"",'_SCHEDULE'!R140)</x:f>
      </x:c>
      <x:c r="S172" s="523" t="str">
        <x:f>IF(ISBLANK('_SCHEDULE'!S140),"",'_SCHEDULE'!S140)</x:f>
      </x:c>
      <x:c r="T172" s="38"/>
      <x:c r="U172" s="38"/>
      <x:c r="V172" s="38"/>
      <x:c r="W172" s="38"/>
      <x:c r="X172" s="38"/>
      <x:c r="Y172" s="38"/>
      <x:c r="Z172" s="38"/>
      <x:c r="AA172" s="38"/>
      <x:c r="AB172" s="38"/>
      <x:c r="AC172" s="38"/>
      <x:c r="AD172" s="38"/>
      <x:c r="AE172" s="38"/>
      <x:c r="AF172" s="38"/>
      <x:c r="AG172" s="38"/>
      <x:c r="AH172" s="38"/>
      <x:c r="AI172" s="38"/>
      <x:c r="AJ172" s="38"/>
      <x:c r="AK172" s="38"/>
      <x:c r="AL172" s="38"/>
      <x:c r="AM172" s="38"/>
    </x:row>
    <x:row r="173">
      <x:c r="A173" s="523" t="str">
        <x:f>IF(ISBLANK('_SCHEDULE'!A141),"",'_SCHEDULE'!A141)</x:f>
      </x:c>
      <x:c r="B173" s="523" t="str">
        <x:f>IF(ISBLANK('_SCHEDULE'!B141),"",IF('_CONFIG'!$B$2="pt-BR",IF('_SCHEDULE'!B141="scheduled","programado",IF('_SCHEDULE'!B141="rejected","rejeitado",'_SCHEDULE'!B141)),'_SCHEDULE'!B141))</x:f>
      </x:c>
      <x:c r="C173" s="523" t="str">
        <x:f>IF(ISBLANK('_SCHEDULE'!C141),"",'_SCHEDULE'!C141)</x:f>
      </x:c>
      <x:c r="D173" s="523" t="str">
        <x:f>IF(ISBLANK('_SCHEDULE'!D141),"",'_SCHEDULE'!D141)</x:f>
      </x:c>
      <x:c r="E173" s="530" t="str">
        <x:f>IF(ISBLANK('_SCHEDULE'!E141),"",'_SCHEDULE'!E141)</x:f>
      </x:c>
      <x:c r="F173" s="530" t="str">
        <x:f>IF(ISBLANK('_SCHEDULE'!F141),"",'_SCHEDULE'!F141)</x:f>
      </x:c>
      <x:c r="G173" s="530" t="str">
        <x:f>IF(ISBLANK('_SCHEDULE'!G141),"",'_SCHEDULE'!G141)</x:f>
      </x:c>
      <x:c r="H173" s="530" t="str">
        <x:f>IF(ISBLANK('_SCHEDULE'!H141),"",'_SCHEDULE'!H141)</x:f>
      </x:c>
      <x:c r="I173" s="530" t="str">
        <x:f>IF(ISBLANK('_SCHEDULE'!I141),"",'_SCHEDULE'!I141)</x:f>
      </x:c>
      <x:c r="J173" s="530" t="str">
        <x:f>IF(ISBLANK('_SCHEDULE'!J141),"",'_SCHEDULE'!J141)</x:f>
      </x:c>
      <x:c r="K173" s="530" t="str">
        <x:f>IF(ISBLANK('_SCHEDULE'!K141),"",'_SCHEDULE'!K141)</x:f>
      </x:c>
      <x:c r="L173" s="530" t="str">
        <x:f>IF(ISBLANK('_SCHEDULE'!L141),"",'_SCHEDULE'!L141)</x:f>
      </x:c>
      <x:c r="M173" s="530" t="str">
        <x:f>IF(ISBLANK('_SCHEDULE'!M141),"",'_SCHEDULE'!M141)</x:f>
      </x:c>
      <x:c r="N173" s="530" t="str">
        <x:f>IF(ISBLANK('_SCHEDULE'!N141),"",'_SCHEDULE'!N141)</x:f>
      </x:c>
      <x:c r="O173" s="530" t="str">
        <x:f>IF(ISBLANK('_SCHEDULE'!O141),"",'_SCHEDULE'!O141)</x:f>
      </x:c>
      <x:c r="P173" s="530" t="str">
        <x:f>IF(ISBLANK('_SCHEDULE'!P141),"",'_SCHEDULE'!P141)</x:f>
      </x:c>
      <x:c r="Q173" s="530" t="str">
        <x:f>IF(ISBLANK('_SCHEDULE'!Q141),"",'_SCHEDULE'!Q141)</x:f>
      </x:c>
      <x:c r="R173" s="530" t="str">
        <x:f>IF(ISBLANK('_SCHEDULE'!R141),"",'_SCHEDULE'!R141)</x:f>
      </x:c>
      <x:c r="S173" s="523" t="str">
        <x:f>IF(ISBLANK('_SCHEDULE'!S141),"",'_SCHEDULE'!S141)</x:f>
      </x:c>
      <x:c r="T173" s="38"/>
      <x:c r="U173" s="38"/>
      <x:c r="V173" s="38"/>
      <x:c r="W173" s="38"/>
      <x:c r="X173" s="38"/>
      <x:c r="Y173" s="38"/>
      <x:c r="Z173" s="38"/>
      <x:c r="AA173" s="38"/>
      <x:c r="AB173" s="38"/>
      <x:c r="AC173" s="38"/>
      <x:c r="AD173" s="38"/>
      <x:c r="AE173" s="38"/>
      <x:c r="AF173" s="38"/>
      <x:c r="AG173" s="38"/>
      <x:c r="AH173" s="38"/>
      <x:c r="AI173" s="38"/>
      <x:c r="AJ173" s="38"/>
      <x:c r="AK173" s="38"/>
      <x:c r="AL173" s="38"/>
      <x:c r="AM173" s="38"/>
    </x:row>
    <x:row r="174">
      <x:c r="A174" s="523" t="str">
        <x:f>IF(ISBLANK('_SCHEDULE'!A142),"",'_SCHEDULE'!A142)</x:f>
      </x:c>
      <x:c r="B174" s="523" t="str">
        <x:f>IF(ISBLANK('_SCHEDULE'!B142),"",IF('_CONFIG'!$B$2="pt-BR",IF('_SCHEDULE'!B142="scheduled","programado",IF('_SCHEDULE'!B142="rejected","rejeitado",'_SCHEDULE'!B142)),'_SCHEDULE'!B142))</x:f>
      </x:c>
      <x:c r="C174" s="523" t="str">
        <x:f>IF(ISBLANK('_SCHEDULE'!C142),"",'_SCHEDULE'!C142)</x:f>
      </x:c>
      <x:c r="D174" s="523" t="str">
        <x:f>IF(ISBLANK('_SCHEDULE'!D142),"",'_SCHEDULE'!D142)</x:f>
      </x:c>
      <x:c r="E174" s="530" t="str">
        <x:f>IF(ISBLANK('_SCHEDULE'!E142),"",'_SCHEDULE'!E142)</x:f>
      </x:c>
      <x:c r="F174" s="530" t="str">
        <x:f>IF(ISBLANK('_SCHEDULE'!F142),"",'_SCHEDULE'!F142)</x:f>
      </x:c>
      <x:c r="G174" s="530" t="str">
        <x:f>IF(ISBLANK('_SCHEDULE'!G142),"",'_SCHEDULE'!G142)</x:f>
      </x:c>
      <x:c r="H174" s="530" t="str">
        <x:f>IF(ISBLANK('_SCHEDULE'!H142),"",'_SCHEDULE'!H142)</x:f>
      </x:c>
      <x:c r="I174" s="530" t="str">
        <x:f>IF(ISBLANK('_SCHEDULE'!I142),"",'_SCHEDULE'!I142)</x:f>
      </x:c>
      <x:c r="J174" s="530" t="str">
        <x:f>IF(ISBLANK('_SCHEDULE'!J142),"",'_SCHEDULE'!J142)</x:f>
      </x:c>
      <x:c r="K174" s="530" t="str">
        <x:f>IF(ISBLANK('_SCHEDULE'!K142),"",'_SCHEDULE'!K142)</x:f>
      </x:c>
      <x:c r="L174" s="530" t="str">
        <x:f>IF(ISBLANK('_SCHEDULE'!L142),"",'_SCHEDULE'!L142)</x:f>
      </x:c>
      <x:c r="M174" s="530" t="str">
        <x:f>IF(ISBLANK('_SCHEDULE'!M142),"",'_SCHEDULE'!M142)</x:f>
      </x:c>
      <x:c r="N174" s="530" t="str">
        <x:f>IF(ISBLANK('_SCHEDULE'!N142),"",'_SCHEDULE'!N142)</x:f>
      </x:c>
      <x:c r="O174" s="530" t="str">
        <x:f>IF(ISBLANK('_SCHEDULE'!O142),"",'_SCHEDULE'!O142)</x:f>
      </x:c>
      <x:c r="P174" s="530" t="str">
        <x:f>IF(ISBLANK('_SCHEDULE'!P142),"",'_SCHEDULE'!P142)</x:f>
      </x:c>
      <x:c r="Q174" s="530" t="str">
        <x:f>IF(ISBLANK('_SCHEDULE'!Q142),"",'_SCHEDULE'!Q142)</x:f>
      </x:c>
      <x:c r="R174" s="530" t="str">
        <x:f>IF(ISBLANK('_SCHEDULE'!R142),"",'_SCHEDULE'!R142)</x:f>
      </x:c>
      <x:c r="S174" s="523" t="str">
        <x:f>IF(ISBLANK('_SCHEDULE'!S142),"",'_SCHEDULE'!S142)</x:f>
      </x:c>
      <x:c r="T174" s="38"/>
      <x:c r="U174" s="38"/>
      <x:c r="V174" s="38"/>
      <x:c r="W174" s="38"/>
      <x:c r="X174" s="38"/>
      <x:c r="Y174" s="38"/>
      <x:c r="Z174" s="38"/>
      <x:c r="AA174" s="38"/>
      <x:c r="AB174" s="38"/>
      <x:c r="AC174" s="38"/>
      <x:c r="AD174" s="38"/>
      <x:c r="AE174" s="38"/>
      <x:c r="AF174" s="38"/>
      <x:c r="AG174" s="38"/>
      <x:c r="AH174" s="38"/>
      <x:c r="AI174" s="38"/>
      <x:c r="AJ174" s="38"/>
      <x:c r="AK174" s="38"/>
      <x:c r="AL174" s="38"/>
      <x:c r="AM174" s="38"/>
    </x:row>
    <x:row r="175">
      <x:c r="A175" s="523" t="str">
        <x:f>IF(ISBLANK('_SCHEDULE'!A143),"",'_SCHEDULE'!A143)</x:f>
      </x:c>
      <x:c r="B175" s="523" t="str">
        <x:f>IF(ISBLANK('_SCHEDULE'!B143),"",IF('_CONFIG'!$B$2="pt-BR",IF('_SCHEDULE'!B143="scheduled","programado",IF('_SCHEDULE'!B143="rejected","rejeitado",'_SCHEDULE'!B143)),'_SCHEDULE'!B143))</x:f>
      </x:c>
      <x:c r="C175" s="523" t="str">
        <x:f>IF(ISBLANK('_SCHEDULE'!C143),"",'_SCHEDULE'!C143)</x:f>
      </x:c>
      <x:c r="D175" s="523" t="str">
        <x:f>IF(ISBLANK('_SCHEDULE'!D143),"",'_SCHEDULE'!D143)</x:f>
      </x:c>
      <x:c r="E175" s="530" t="str">
        <x:f>IF(ISBLANK('_SCHEDULE'!E143),"",'_SCHEDULE'!E143)</x:f>
      </x:c>
      <x:c r="F175" s="530" t="str">
        <x:f>IF(ISBLANK('_SCHEDULE'!F143),"",'_SCHEDULE'!F143)</x:f>
      </x:c>
      <x:c r="G175" s="530" t="str">
        <x:f>IF(ISBLANK('_SCHEDULE'!G143),"",'_SCHEDULE'!G143)</x:f>
      </x:c>
      <x:c r="H175" s="530" t="str">
        <x:f>IF(ISBLANK('_SCHEDULE'!H143),"",'_SCHEDULE'!H143)</x:f>
      </x:c>
      <x:c r="I175" s="530" t="str">
        <x:f>IF(ISBLANK('_SCHEDULE'!I143),"",'_SCHEDULE'!I143)</x:f>
      </x:c>
      <x:c r="J175" s="530" t="str">
        <x:f>IF(ISBLANK('_SCHEDULE'!J143),"",'_SCHEDULE'!J143)</x:f>
      </x:c>
      <x:c r="K175" s="530" t="str">
        <x:f>IF(ISBLANK('_SCHEDULE'!K143),"",'_SCHEDULE'!K143)</x:f>
      </x:c>
      <x:c r="L175" s="530" t="str">
        <x:f>IF(ISBLANK('_SCHEDULE'!L143),"",'_SCHEDULE'!L143)</x:f>
      </x:c>
      <x:c r="M175" s="530" t="str">
        <x:f>IF(ISBLANK('_SCHEDULE'!M143),"",'_SCHEDULE'!M143)</x:f>
      </x:c>
      <x:c r="N175" s="530" t="str">
        <x:f>IF(ISBLANK('_SCHEDULE'!N143),"",'_SCHEDULE'!N143)</x:f>
      </x:c>
      <x:c r="O175" s="530" t="str">
        <x:f>IF(ISBLANK('_SCHEDULE'!O143),"",'_SCHEDULE'!O143)</x:f>
      </x:c>
      <x:c r="P175" s="530" t="str">
        <x:f>IF(ISBLANK('_SCHEDULE'!P143),"",'_SCHEDULE'!P143)</x:f>
      </x:c>
      <x:c r="Q175" s="530" t="str">
        <x:f>IF(ISBLANK('_SCHEDULE'!Q143),"",'_SCHEDULE'!Q143)</x:f>
      </x:c>
      <x:c r="R175" s="530" t="str">
        <x:f>IF(ISBLANK('_SCHEDULE'!R143),"",'_SCHEDULE'!R143)</x:f>
      </x:c>
      <x:c r="S175" s="523" t="str">
        <x:f>IF(ISBLANK('_SCHEDULE'!S143),"",'_SCHEDULE'!S143)</x:f>
      </x:c>
      <x:c r="T175" s="38"/>
      <x:c r="U175" s="38"/>
      <x:c r="V175" s="38"/>
      <x:c r="W175" s="38"/>
      <x:c r="X175" s="38"/>
      <x:c r="Y175" s="38"/>
      <x:c r="Z175" s="38"/>
      <x:c r="AA175" s="38"/>
      <x:c r="AB175" s="38"/>
      <x:c r="AC175" s="38"/>
      <x:c r="AD175" s="38"/>
      <x:c r="AE175" s="38"/>
      <x:c r="AF175" s="38"/>
      <x:c r="AG175" s="38"/>
      <x:c r="AH175" s="38"/>
      <x:c r="AI175" s="38"/>
      <x:c r="AJ175" s="38"/>
      <x:c r="AK175" s="38"/>
      <x:c r="AL175" s="38"/>
      <x:c r="AM175" s="38"/>
    </x:row>
    <x:row r="176">
      <x:c r="A176" s="523" t="str">
        <x:f>IF(ISBLANK('_SCHEDULE'!A144),"",'_SCHEDULE'!A144)</x:f>
      </x:c>
      <x:c r="B176" s="523" t="str">
        <x:f>IF(ISBLANK('_SCHEDULE'!B144),"",IF('_CONFIG'!$B$2="pt-BR",IF('_SCHEDULE'!B144="scheduled","programado",IF('_SCHEDULE'!B144="rejected","rejeitado",'_SCHEDULE'!B144)),'_SCHEDULE'!B144))</x:f>
      </x:c>
      <x:c r="C176" s="523" t="str">
        <x:f>IF(ISBLANK('_SCHEDULE'!C144),"",'_SCHEDULE'!C144)</x:f>
      </x:c>
      <x:c r="D176" s="523" t="str">
        <x:f>IF(ISBLANK('_SCHEDULE'!D144),"",'_SCHEDULE'!D144)</x:f>
      </x:c>
      <x:c r="E176" s="530" t="str">
        <x:f>IF(ISBLANK('_SCHEDULE'!E144),"",'_SCHEDULE'!E144)</x:f>
      </x:c>
      <x:c r="F176" s="530" t="str">
        <x:f>IF(ISBLANK('_SCHEDULE'!F144),"",'_SCHEDULE'!F144)</x:f>
      </x:c>
      <x:c r="G176" s="530" t="str">
        <x:f>IF(ISBLANK('_SCHEDULE'!G144),"",'_SCHEDULE'!G144)</x:f>
      </x:c>
      <x:c r="H176" s="530" t="str">
        <x:f>IF(ISBLANK('_SCHEDULE'!H144),"",'_SCHEDULE'!H144)</x:f>
      </x:c>
      <x:c r="I176" s="530" t="str">
        <x:f>IF(ISBLANK('_SCHEDULE'!I144),"",'_SCHEDULE'!I144)</x:f>
      </x:c>
      <x:c r="J176" s="530" t="str">
        <x:f>IF(ISBLANK('_SCHEDULE'!J144),"",'_SCHEDULE'!J144)</x:f>
      </x:c>
      <x:c r="K176" s="530" t="str">
        <x:f>IF(ISBLANK('_SCHEDULE'!K144),"",'_SCHEDULE'!K144)</x:f>
      </x:c>
      <x:c r="L176" s="530" t="str">
        <x:f>IF(ISBLANK('_SCHEDULE'!L144),"",'_SCHEDULE'!L144)</x:f>
      </x:c>
      <x:c r="M176" s="530" t="str">
        <x:f>IF(ISBLANK('_SCHEDULE'!M144),"",'_SCHEDULE'!M144)</x:f>
      </x:c>
      <x:c r="N176" s="530" t="str">
        <x:f>IF(ISBLANK('_SCHEDULE'!N144),"",'_SCHEDULE'!N144)</x:f>
      </x:c>
      <x:c r="O176" s="530" t="str">
        <x:f>IF(ISBLANK('_SCHEDULE'!O144),"",'_SCHEDULE'!O144)</x:f>
      </x:c>
      <x:c r="P176" s="530" t="str">
        <x:f>IF(ISBLANK('_SCHEDULE'!P144),"",'_SCHEDULE'!P144)</x:f>
      </x:c>
      <x:c r="Q176" s="530" t="str">
        <x:f>IF(ISBLANK('_SCHEDULE'!Q144),"",'_SCHEDULE'!Q144)</x:f>
      </x:c>
      <x:c r="R176" s="530" t="str">
        <x:f>IF(ISBLANK('_SCHEDULE'!R144),"",'_SCHEDULE'!R144)</x:f>
      </x:c>
      <x:c r="S176" s="523" t="str">
        <x:f>IF(ISBLANK('_SCHEDULE'!S144),"",'_SCHEDULE'!S144)</x:f>
      </x:c>
      <x:c r="T176" s="38"/>
      <x:c r="U176" s="38"/>
      <x:c r="V176" s="38"/>
      <x:c r="W176" s="38"/>
      <x:c r="X176" s="38"/>
      <x:c r="Y176" s="38"/>
      <x:c r="Z176" s="38"/>
      <x:c r="AA176" s="38"/>
      <x:c r="AB176" s="38"/>
      <x:c r="AC176" s="38"/>
      <x:c r="AD176" s="38"/>
      <x:c r="AE176" s="38"/>
      <x:c r="AF176" s="38"/>
      <x:c r="AG176" s="38"/>
      <x:c r="AH176" s="38"/>
      <x:c r="AI176" s="38"/>
      <x:c r="AJ176" s="38"/>
      <x:c r="AK176" s="38"/>
      <x:c r="AL176" s="38"/>
      <x:c r="AM176" s="38"/>
    </x:row>
    <x:row r="177">
      <x:c r="A177" s="523" t="str">
        <x:f>IF(ISBLANK('_SCHEDULE'!A145),"",'_SCHEDULE'!A145)</x:f>
      </x:c>
      <x:c r="B177" s="523" t="str">
        <x:f>IF(ISBLANK('_SCHEDULE'!B145),"",IF('_CONFIG'!$B$2="pt-BR",IF('_SCHEDULE'!B145="scheduled","programado",IF('_SCHEDULE'!B145="rejected","rejeitado",'_SCHEDULE'!B145)),'_SCHEDULE'!B145))</x:f>
      </x:c>
      <x:c r="C177" s="523" t="str">
        <x:f>IF(ISBLANK('_SCHEDULE'!C145),"",'_SCHEDULE'!C145)</x:f>
      </x:c>
      <x:c r="D177" s="523" t="str">
        <x:f>IF(ISBLANK('_SCHEDULE'!D145),"",'_SCHEDULE'!D145)</x:f>
      </x:c>
      <x:c r="E177" s="530" t="str">
        <x:f>IF(ISBLANK('_SCHEDULE'!E145),"",'_SCHEDULE'!E145)</x:f>
      </x:c>
      <x:c r="F177" s="530" t="str">
        <x:f>IF(ISBLANK('_SCHEDULE'!F145),"",'_SCHEDULE'!F145)</x:f>
      </x:c>
      <x:c r="G177" s="530" t="str">
        <x:f>IF(ISBLANK('_SCHEDULE'!G145),"",'_SCHEDULE'!G145)</x:f>
      </x:c>
      <x:c r="H177" s="530" t="str">
        <x:f>IF(ISBLANK('_SCHEDULE'!H145),"",'_SCHEDULE'!H145)</x:f>
      </x:c>
      <x:c r="I177" s="530" t="str">
        <x:f>IF(ISBLANK('_SCHEDULE'!I145),"",'_SCHEDULE'!I145)</x:f>
      </x:c>
      <x:c r="J177" s="530" t="str">
        <x:f>IF(ISBLANK('_SCHEDULE'!J145),"",'_SCHEDULE'!J145)</x:f>
      </x:c>
      <x:c r="K177" s="530" t="str">
        <x:f>IF(ISBLANK('_SCHEDULE'!K145),"",'_SCHEDULE'!K145)</x:f>
      </x:c>
      <x:c r="L177" s="530" t="str">
        <x:f>IF(ISBLANK('_SCHEDULE'!L145),"",'_SCHEDULE'!L145)</x:f>
      </x:c>
      <x:c r="M177" s="530" t="str">
        <x:f>IF(ISBLANK('_SCHEDULE'!M145),"",'_SCHEDULE'!M145)</x:f>
      </x:c>
      <x:c r="N177" s="530" t="str">
        <x:f>IF(ISBLANK('_SCHEDULE'!N145),"",'_SCHEDULE'!N145)</x:f>
      </x:c>
      <x:c r="O177" s="530" t="str">
        <x:f>IF(ISBLANK('_SCHEDULE'!O145),"",'_SCHEDULE'!O145)</x:f>
      </x:c>
      <x:c r="P177" s="530" t="str">
        <x:f>IF(ISBLANK('_SCHEDULE'!P145),"",'_SCHEDULE'!P145)</x:f>
      </x:c>
      <x:c r="Q177" s="530" t="str">
        <x:f>IF(ISBLANK('_SCHEDULE'!Q145),"",'_SCHEDULE'!Q145)</x:f>
      </x:c>
      <x:c r="R177" s="530" t="str">
        <x:f>IF(ISBLANK('_SCHEDULE'!R145),"",'_SCHEDULE'!R145)</x:f>
      </x:c>
      <x:c r="S177" s="523" t="str">
        <x:f>IF(ISBLANK('_SCHEDULE'!S145),"",'_SCHEDULE'!S145)</x:f>
      </x:c>
      <x:c r="T177" s="38"/>
      <x:c r="U177" s="38"/>
      <x:c r="V177" s="38"/>
      <x:c r="W177" s="38"/>
      <x:c r="X177" s="38"/>
      <x:c r="Y177" s="38"/>
      <x:c r="Z177" s="38"/>
      <x:c r="AA177" s="38"/>
      <x:c r="AB177" s="38"/>
      <x:c r="AC177" s="38"/>
      <x:c r="AD177" s="38"/>
      <x:c r="AE177" s="38"/>
      <x:c r="AF177" s="38"/>
      <x:c r="AG177" s="38"/>
      <x:c r="AH177" s="38"/>
      <x:c r="AI177" s="38"/>
      <x:c r="AJ177" s="38"/>
      <x:c r="AK177" s="38"/>
      <x:c r="AL177" s="38"/>
      <x:c r="AM177" s="38"/>
    </x:row>
    <x:row r="178">
      <x:c r="A178" s="523" t="str">
        <x:f>IF(ISBLANK('_SCHEDULE'!A146),"",'_SCHEDULE'!A146)</x:f>
      </x:c>
      <x:c r="B178" s="523" t="str">
        <x:f>IF(ISBLANK('_SCHEDULE'!B146),"",IF('_CONFIG'!$B$2="pt-BR",IF('_SCHEDULE'!B146="scheduled","programado",IF('_SCHEDULE'!B146="rejected","rejeitado",'_SCHEDULE'!B146)),'_SCHEDULE'!B146))</x:f>
      </x:c>
      <x:c r="C178" s="523" t="str">
        <x:f>IF(ISBLANK('_SCHEDULE'!C146),"",'_SCHEDULE'!C146)</x:f>
      </x:c>
      <x:c r="D178" s="523" t="str">
        <x:f>IF(ISBLANK('_SCHEDULE'!D146),"",'_SCHEDULE'!D146)</x:f>
      </x:c>
      <x:c r="E178" s="530" t="str">
        <x:f>IF(ISBLANK('_SCHEDULE'!E146),"",'_SCHEDULE'!E146)</x:f>
      </x:c>
      <x:c r="F178" s="530" t="str">
        <x:f>IF(ISBLANK('_SCHEDULE'!F146),"",'_SCHEDULE'!F146)</x:f>
      </x:c>
      <x:c r="G178" s="530" t="str">
        <x:f>IF(ISBLANK('_SCHEDULE'!G146),"",'_SCHEDULE'!G146)</x:f>
      </x:c>
      <x:c r="H178" s="530" t="str">
        <x:f>IF(ISBLANK('_SCHEDULE'!H146),"",'_SCHEDULE'!H146)</x:f>
      </x:c>
      <x:c r="I178" s="530" t="str">
        <x:f>IF(ISBLANK('_SCHEDULE'!I146),"",'_SCHEDULE'!I146)</x:f>
      </x:c>
      <x:c r="J178" s="530" t="str">
        <x:f>IF(ISBLANK('_SCHEDULE'!J146),"",'_SCHEDULE'!J146)</x:f>
      </x:c>
      <x:c r="K178" s="530" t="str">
        <x:f>IF(ISBLANK('_SCHEDULE'!K146),"",'_SCHEDULE'!K146)</x:f>
      </x:c>
      <x:c r="L178" s="530" t="str">
        <x:f>IF(ISBLANK('_SCHEDULE'!L146),"",'_SCHEDULE'!L146)</x:f>
      </x:c>
      <x:c r="M178" s="530" t="str">
        <x:f>IF(ISBLANK('_SCHEDULE'!M146),"",'_SCHEDULE'!M146)</x:f>
      </x:c>
      <x:c r="N178" s="530" t="str">
        <x:f>IF(ISBLANK('_SCHEDULE'!N146),"",'_SCHEDULE'!N146)</x:f>
      </x:c>
      <x:c r="O178" s="530" t="str">
        <x:f>IF(ISBLANK('_SCHEDULE'!O146),"",'_SCHEDULE'!O146)</x:f>
      </x:c>
      <x:c r="P178" s="530" t="str">
        <x:f>IF(ISBLANK('_SCHEDULE'!P146),"",'_SCHEDULE'!P146)</x:f>
      </x:c>
      <x:c r="Q178" s="530" t="str">
        <x:f>IF(ISBLANK('_SCHEDULE'!Q146),"",'_SCHEDULE'!Q146)</x:f>
      </x:c>
      <x:c r="R178" s="530" t="str">
        <x:f>IF(ISBLANK('_SCHEDULE'!R146),"",'_SCHEDULE'!R146)</x:f>
      </x:c>
      <x:c r="S178" s="523" t="str">
        <x:f>IF(ISBLANK('_SCHEDULE'!S146),"",'_SCHEDULE'!S146)</x:f>
      </x:c>
      <x:c r="T178" s="38"/>
      <x:c r="U178" s="38"/>
      <x:c r="V178" s="38"/>
      <x:c r="W178" s="38"/>
      <x:c r="X178" s="38"/>
      <x:c r="Y178" s="38"/>
      <x:c r="Z178" s="38"/>
      <x:c r="AA178" s="38"/>
      <x:c r="AB178" s="38"/>
      <x:c r="AC178" s="38"/>
      <x:c r="AD178" s="38"/>
      <x:c r="AE178" s="38"/>
      <x:c r="AF178" s="38"/>
      <x:c r="AG178" s="38"/>
      <x:c r="AH178" s="38"/>
      <x:c r="AI178" s="38"/>
      <x:c r="AJ178" s="38"/>
      <x:c r="AK178" s="38"/>
      <x:c r="AL178" s="38"/>
      <x:c r="AM178" s="38"/>
    </x:row>
    <x:row r="179">
      <x:c r="A179" s="523" t="str">
        <x:f>IF(ISBLANK('_SCHEDULE'!A147),"",'_SCHEDULE'!A147)</x:f>
      </x:c>
      <x:c r="B179" s="523" t="str">
        <x:f>IF(ISBLANK('_SCHEDULE'!B147),"",IF('_CONFIG'!$B$2="pt-BR",IF('_SCHEDULE'!B147="scheduled","programado",IF('_SCHEDULE'!B147="rejected","rejeitado",'_SCHEDULE'!B147)),'_SCHEDULE'!B147))</x:f>
      </x:c>
      <x:c r="C179" s="523" t="str">
        <x:f>IF(ISBLANK('_SCHEDULE'!C147),"",'_SCHEDULE'!C147)</x:f>
      </x:c>
      <x:c r="D179" s="523" t="str">
        <x:f>IF(ISBLANK('_SCHEDULE'!D147),"",'_SCHEDULE'!D147)</x:f>
      </x:c>
      <x:c r="E179" s="530" t="str">
        <x:f>IF(ISBLANK('_SCHEDULE'!E147),"",'_SCHEDULE'!E147)</x:f>
      </x:c>
      <x:c r="F179" s="530" t="str">
        <x:f>IF(ISBLANK('_SCHEDULE'!F147),"",'_SCHEDULE'!F147)</x:f>
      </x:c>
      <x:c r="G179" s="530" t="str">
        <x:f>IF(ISBLANK('_SCHEDULE'!G147),"",'_SCHEDULE'!G147)</x:f>
      </x:c>
      <x:c r="H179" s="530" t="str">
        <x:f>IF(ISBLANK('_SCHEDULE'!H147),"",'_SCHEDULE'!H147)</x:f>
      </x:c>
      <x:c r="I179" s="530" t="str">
        <x:f>IF(ISBLANK('_SCHEDULE'!I147),"",'_SCHEDULE'!I147)</x:f>
      </x:c>
      <x:c r="J179" s="530" t="str">
        <x:f>IF(ISBLANK('_SCHEDULE'!J147),"",'_SCHEDULE'!J147)</x:f>
      </x:c>
      <x:c r="K179" s="530" t="str">
        <x:f>IF(ISBLANK('_SCHEDULE'!K147),"",'_SCHEDULE'!K147)</x:f>
      </x:c>
      <x:c r="L179" s="530" t="str">
        <x:f>IF(ISBLANK('_SCHEDULE'!L147),"",'_SCHEDULE'!L147)</x:f>
      </x:c>
      <x:c r="M179" s="530" t="str">
        <x:f>IF(ISBLANK('_SCHEDULE'!M147),"",'_SCHEDULE'!M147)</x:f>
      </x:c>
      <x:c r="N179" s="530" t="str">
        <x:f>IF(ISBLANK('_SCHEDULE'!N147),"",'_SCHEDULE'!N147)</x:f>
      </x:c>
      <x:c r="O179" s="530" t="str">
        <x:f>IF(ISBLANK('_SCHEDULE'!O147),"",'_SCHEDULE'!O147)</x:f>
      </x:c>
      <x:c r="P179" s="530" t="str">
        <x:f>IF(ISBLANK('_SCHEDULE'!P147),"",'_SCHEDULE'!P147)</x:f>
      </x:c>
      <x:c r="Q179" s="530" t="str">
        <x:f>IF(ISBLANK('_SCHEDULE'!Q147),"",'_SCHEDULE'!Q147)</x:f>
      </x:c>
      <x:c r="R179" s="530" t="str">
        <x:f>IF(ISBLANK('_SCHEDULE'!R147),"",'_SCHEDULE'!R147)</x:f>
      </x:c>
      <x:c r="S179" s="523" t="str">
        <x:f>IF(ISBLANK('_SCHEDULE'!S147),"",'_SCHEDULE'!S147)</x:f>
      </x:c>
      <x:c r="T179" s="38"/>
      <x:c r="U179" s="38"/>
      <x:c r="V179" s="38"/>
      <x:c r="W179" s="38"/>
      <x:c r="X179" s="38"/>
      <x:c r="Y179" s="38"/>
      <x:c r="Z179" s="38"/>
      <x:c r="AA179" s="38"/>
      <x:c r="AB179" s="38"/>
      <x:c r="AC179" s="38"/>
      <x:c r="AD179" s="38"/>
      <x:c r="AE179" s="38"/>
      <x:c r="AF179" s="38"/>
      <x:c r="AG179" s="38"/>
      <x:c r="AH179" s="38"/>
      <x:c r="AI179" s="38"/>
      <x:c r="AJ179" s="38"/>
      <x:c r="AK179" s="38"/>
      <x:c r="AL179" s="38"/>
      <x:c r="AM179" s="38"/>
    </x:row>
    <x:row r="180">
      <x:c r="A180" s="523" t="str">
        <x:f>IF(ISBLANK('_SCHEDULE'!A148),"",'_SCHEDULE'!A148)</x:f>
      </x:c>
      <x:c r="B180" s="523" t="str">
        <x:f>IF(ISBLANK('_SCHEDULE'!B148),"",IF('_CONFIG'!$B$2="pt-BR",IF('_SCHEDULE'!B148="scheduled","programado",IF('_SCHEDULE'!B148="rejected","rejeitado",'_SCHEDULE'!B148)),'_SCHEDULE'!B148))</x:f>
      </x:c>
      <x:c r="C180" s="523" t="str">
        <x:f>IF(ISBLANK('_SCHEDULE'!C148),"",'_SCHEDULE'!C148)</x:f>
      </x:c>
      <x:c r="D180" s="523" t="str">
        <x:f>IF(ISBLANK('_SCHEDULE'!D148),"",'_SCHEDULE'!D148)</x:f>
      </x:c>
      <x:c r="E180" s="530" t="str">
        <x:f>IF(ISBLANK('_SCHEDULE'!E148),"",'_SCHEDULE'!E148)</x:f>
      </x:c>
      <x:c r="F180" s="530" t="str">
        <x:f>IF(ISBLANK('_SCHEDULE'!F148),"",'_SCHEDULE'!F148)</x:f>
      </x:c>
      <x:c r="G180" s="530" t="str">
        <x:f>IF(ISBLANK('_SCHEDULE'!G148),"",'_SCHEDULE'!G148)</x:f>
      </x:c>
      <x:c r="H180" s="530" t="str">
        <x:f>IF(ISBLANK('_SCHEDULE'!H148),"",'_SCHEDULE'!H148)</x:f>
      </x:c>
      <x:c r="I180" s="530" t="str">
        <x:f>IF(ISBLANK('_SCHEDULE'!I148),"",'_SCHEDULE'!I148)</x:f>
      </x:c>
      <x:c r="J180" s="530" t="str">
        <x:f>IF(ISBLANK('_SCHEDULE'!J148),"",'_SCHEDULE'!J148)</x:f>
      </x:c>
      <x:c r="K180" s="530" t="str">
        <x:f>IF(ISBLANK('_SCHEDULE'!K148),"",'_SCHEDULE'!K148)</x:f>
      </x:c>
      <x:c r="L180" s="530" t="str">
        <x:f>IF(ISBLANK('_SCHEDULE'!L148),"",'_SCHEDULE'!L148)</x:f>
      </x:c>
      <x:c r="M180" s="530" t="str">
        <x:f>IF(ISBLANK('_SCHEDULE'!M148),"",'_SCHEDULE'!M148)</x:f>
      </x:c>
      <x:c r="N180" s="530" t="str">
        <x:f>IF(ISBLANK('_SCHEDULE'!N148),"",'_SCHEDULE'!N148)</x:f>
      </x:c>
      <x:c r="O180" s="530" t="str">
        <x:f>IF(ISBLANK('_SCHEDULE'!O148),"",'_SCHEDULE'!O148)</x:f>
      </x:c>
      <x:c r="P180" s="530" t="str">
        <x:f>IF(ISBLANK('_SCHEDULE'!P148),"",'_SCHEDULE'!P148)</x:f>
      </x:c>
      <x:c r="Q180" s="530" t="str">
        <x:f>IF(ISBLANK('_SCHEDULE'!Q148),"",'_SCHEDULE'!Q148)</x:f>
      </x:c>
      <x:c r="R180" s="530" t="str">
        <x:f>IF(ISBLANK('_SCHEDULE'!R148),"",'_SCHEDULE'!R148)</x:f>
      </x:c>
      <x:c r="S180" s="523" t="str">
        <x:f>IF(ISBLANK('_SCHEDULE'!S148),"",'_SCHEDULE'!S148)</x:f>
      </x:c>
      <x:c r="T180" s="38"/>
      <x:c r="U180" s="38"/>
      <x:c r="V180" s="38"/>
      <x:c r="W180" s="38"/>
      <x:c r="X180" s="38"/>
      <x:c r="Y180" s="38"/>
      <x:c r="Z180" s="38"/>
      <x:c r="AA180" s="38"/>
      <x:c r="AB180" s="38"/>
      <x:c r="AC180" s="38"/>
      <x:c r="AD180" s="38"/>
      <x:c r="AE180" s="38"/>
      <x:c r="AF180" s="38"/>
      <x:c r="AG180" s="38"/>
      <x:c r="AH180" s="38"/>
      <x:c r="AI180" s="38"/>
      <x:c r="AJ180" s="38"/>
      <x:c r="AK180" s="38"/>
      <x:c r="AL180" s="38"/>
      <x:c r="AM180" s="38"/>
    </x:row>
    <x:row r="181">
      <x:c r="A181" s="523" t="str">
        <x:f>IF(ISBLANK('_SCHEDULE'!A149),"",'_SCHEDULE'!A149)</x:f>
      </x:c>
      <x:c r="B181" s="523" t="str">
        <x:f>IF(ISBLANK('_SCHEDULE'!B149),"",IF('_CONFIG'!$B$2="pt-BR",IF('_SCHEDULE'!B149="scheduled","programado",IF('_SCHEDULE'!B149="rejected","rejeitado",'_SCHEDULE'!B149)),'_SCHEDULE'!B149))</x:f>
      </x:c>
      <x:c r="C181" s="523" t="str">
        <x:f>IF(ISBLANK('_SCHEDULE'!C149),"",'_SCHEDULE'!C149)</x:f>
      </x:c>
      <x:c r="D181" s="523" t="str">
        <x:f>IF(ISBLANK('_SCHEDULE'!D149),"",'_SCHEDULE'!D149)</x:f>
      </x:c>
      <x:c r="E181" s="530" t="str">
        <x:f>IF(ISBLANK('_SCHEDULE'!E149),"",'_SCHEDULE'!E149)</x:f>
      </x:c>
      <x:c r="F181" s="530" t="str">
        <x:f>IF(ISBLANK('_SCHEDULE'!F149),"",'_SCHEDULE'!F149)</x:f>
      </x:c>
      <x:c r="G181" s="530" t="str">
        <x:f>IF(ISBLANK('_SCHEDULE'!G149),"",'_SCHEDULE'!G149)</x:f>
      </x:c>
      <x:c r="H181" s="530" t="str">
        <x:f>IF(ISBLANK('_SCHEDULE'!H149),"",'_SCHEDULE'!H149)</x:f>
      </x:c>
      <x:c r="I181" s="530" t="str">
        <x:f>IF(ISBLANK('_SCHEDULE'!I149),"",'_SCHEDULE'!I149)</x:f>
      </x:c>
      <x:c r="J181" s="530" t="str">
        <x:f>IF(ISBLANK('_SCHEDULE'!J149),"",'_SCHEDULE'!J149)</x:f>
      </x:c>
      <x:c r="K181" s="530" t="str">
        <x:f>IF(ISBLANK('_SCHEDULE'!K149),"",'_SCHEDULE'!K149)</x:f>
      </x:c>
      <x:c r="L181" s="530" t="str">
        <x:f>IF(ISBLANK('_SCHEDULE'!L149),"",'_SCHEDULE'!L149)</x:f>
      </x:c>
      <x:c r="M181" s="530" t="str">
        <x:f>IF(ISBLANK('_SCHEDULE'!M149),"",'_SCHEDULE'!M149)</x:f>
      </x:c>
      <x:c r="N181" s="530" t="str">
        <x:f>IF(ISBLANK('_SCHEDULE'!N149),"",'_SCHEDULE'!N149)</x:f>
      </x:c>
      <x:c r="O181" s="530" t="str">
        <x:f>IF(ISBLANK('_SCHEDULE'!O149),"",'_SCHEDULE'!O149)</x:f>
      </x:c>
      <x:c r="P181" s="530" t="str">
        <x:f>IF(ISBLANK('_SCHEDULE'!P149),"",'_SCHEDULE'!P149)</x:f>
      </x:c>
      <x:c r="Q181" s="530" t="str">
        <x:f>IF(ISBLANK('_SCHEDULE'!Q149),"",'_SCHEDULE'!Q149)</x:f>
      </x:c>
      <x:c r="R181" s="530" t="str">
        <x:f>IF(ISBLANK('_SCHEDULE'!R149),"",'_SCHEDULE'!R149)</x:f>
      </x:c>
      <x:c r="S181" s="523" t="str">
        <x:f>IF(ISBLANK('_SCHEDULE'!S149),"",'_SCHEDULE'!S149)</x:f>
      </x:c>
      <x:c r="T181" s="38"/>
      <x:c r="U181" s="38"/>
      <x:c r="V181" s="38"/>
      <x:c r="W181" s="38"/>
      <x:c r="X181" s="38"/>
      <x:c r="Y181" s="38"/>
      <x:c r="Z181" s="38"/>
      <x:c r="AA181" s="38"/>
      <x:c r="AB181" s="38"/>
      <x:c r="AC181" s="38"/>
      <x:c r="AD181" s="38"/>
      <x:c r="AE181" s="38"/>
      <x:c r="AF181" s="38"/>
      <x:c r="AG181" s="38"/>
      <x:c r="AH181" s="38"/>
      <x:c r="AI181" s="38"/>
      <x:c r="AJ181" s="38"/>
      <x:c r="AK181" s="38"/>
      <x:c r="AL181" s="38"/>
      <x:c r="AM181" s="38"/>
    </x:row>
    <x:row r="182">
      <x:c r="A182" s="523" t="str">
        <x:f>IF(ISBLANK('_SCHEDULE'!A150),"",'_SCHEDULE'!A150)</x:f>
      </x:c>
      <x:c r="B182" s="523" t="str">
        <x:f>IF(ISBLANK('_SCHEDULE'!B150),"",IF('_CONFIG'!$B$2="pt-BR",IF('_SCHEDULE'!B150="scheduled","programado",IF('_SCHEDULE'!B150="rejected","rejeitado",'_SCHEDULE'!B150)),'_SCHEDULE'!B150))</x:f>
      </x:c>
      <x:c r="C182" s="523" t="str">
        <x:f>IF(ISBLANK('_SCHEDULE'!C150),"",'_SCHEDULE'!C150)</x:f>
      </x:c>
      <x:c r="D182" s="523" t="str">
        <x:f>IF(ISBLANK('_SCHEDULE'!D150),"",'_SCHEDULE'!D150)</x:f>
      </x:c>
      <x:c r="E182" s="530" t="str">
        <x:f>IF(ISBLANK('_SCHEDULE'!E150),"",'_SCHEDULE'!E150)</x:f>
      </x:c>
      <x:c r="F182" s="530" t="str">
        <x:f>IF(ISBLANK('_SCHEDULE'!F150),"",'_SCHEDULE'!F150)</x:f>
      </x:c>
      <x:c r="G182" s="530" t="str">
        <x:f>IF(ISBLANK('_SCHEDULE'!G150),"",'_SCHEDULE'!G150)</x:f>
      </x:c>
      <x:c r="H182" s="530" t="str">
        <x:f>IF(ISBLANK('_SCHEDULE'!H150),"",'_SCHEDULE'!H150)</x:f>
      </x:c>
      <x:c r="I182" s="530" t="str">
        <x:f>IF(ISBLANK('_SCHEDULE'!I150),"",'_SCHEDULE'!I150)</x:f>
      </x:c>
      <x:c r="J182" s="530" t="str">
        <x:f>IF(ISBLANK('_SCHEDULE'!J150),"",'_SCHEDULE'!J150)</x:f>
      </x:c>
      <x:c r="K182" s="530" t="str">
        <x:f>IF(ISBLANK('_SCHEDULE'!K150),"",'_SCHEDULE'!K150)</x:f>
      </x:c>
      <x:c r="L182" s="530" t="str">
        <x:f>IF(ISBLANK('_SCHEDULE'!L150),"",'_SCHEDULE'!L150)</x:f>
      </x:c>
      <x:c r="M182" s="530" t="str">
        <x:f>IF(ISBLANK('_SCHEDULE'!M150),"",'_SCHEDULE'!M150)</x:f>
      </x:c>
      <x:c r="N182" s="530" t="str">
        <x:f>IF(ISBLANK('_SCHEDULE'!N150),"",'_SCHEDULE'!N150)</x:f>
      </x:c>
      <x:c r="O182" s="530" t="str">
        <x:f>IF(ISBLANK('_SCHEDULE'!O150),"",'_SCHEDULE'!O150)</x:f>
      </x:c>
      <x:c r="P182" s="530" t="str">
        <x:f>IF(ISBLANK('_SCHEDULE'!P150),"",'_SCHEDULE'!P150)</x:f>
      </x:c>
      <x:c r="Q182" s="530" t="str">
        <x:f>IF(ISBLANK('_SCHEDULE'!Q150),"",'_SCHEDULE'!Q150)</x:f>
      </x:c>
      <x:c r="R182" s="530" t="str">
        <x:f>IF(ISBLANK('_SCHEDULE'!R150),"",'_SCHEDULE'!R150)</x:f>
      </x:c>
      <x:c r="S182" s="523" t="str">
        <x:f>IF(ISBLANK('_SCHEDULE'!S150),"",'_SCHEDULE'!S150)</x:f>
      </x:c>
      <x:c r="T182" s="38"/>
      <x:c r="U182" s="38"/>
      <x:c r="V182" s="38"/>
      <x:c r="W182" s="38"/>
      <x:c r="X182" s="38"/>
      <x:c r="Y182" s="38"/>
      <x:c r="Z182" s="38"/>
      <x:c r="AA182" s="38"/>
      <x:c r="AB182" s="38"/>
      <x:c r="AC182" s="38"/>
      <x:c r="AD182" s="38"/>
      <x:c r="AE182" s="38"/>
      <x:c r="AF182" s="38"/>
      <x:c r="AG182" s="38"/>
      <x:c r="AH182" s="38"/>
      <x:c r="AI182" s="38"/>
      <x:c r="AJ182" s="38"/>
      <x:c r="AK182" s="38"/>
      <x:c r="AL182" s="38"/>
      <x:c r="AM182" s="38"/>
    </x:row>
    <x:row r="183">
      <x:c r="A183" s="523" t="str">
        <x:f>IF(ISBLANK('_SCHEDULE'!A151),"",'_SCHEDULE'!A151)</x:f>
      </x:c>
      <x:c r="B183" s="523" t="str">
        <x:f>IF(ISBLANK('_SCHEDULE'!B151),"",IF('_CONFIG'!$B$2="pt-BR",IF('_SCHEDULE'!B151="scheduled","programado",IF('_SCHEDULE'!B151="rejected","rejeitado",'_SCHEDULE'!B151)),'_SCHEDULE'!B151))</x:f>
      </x:c>
      <x:c r="C183" s="523" t="str">
        <x:f>IF(ISBLANK('_SCHEDULE'!C151),"",'_SCHEDULE'!C151)</x:f>
      </x:c>
      <x:c r="D183" s="523" t="str">
        <x:f>IF(ISBLANK('_SCHEDULE'!D151),"",'_SCHEDULE'!D151)</x:f>
      </x:c>
      <x:c r="E183" s="530" t="str">
        <x:f>IF(ISBLANK('_SCHEDULE'!E151),"",'_SCHEDULE'!E151)</x:f>
      </x:c>
      <x:c r="F183" s="530" t="str">
        <x:f>IF(ISBLANK('_SCHEDULE'!F151),"",'_SCHEDULE'!F151)</x:f>
      </x:c>
      <x:c r="G183" s="530" t="str">
        <x:f>IF(ISBLANK('_SCHEDULE'!G151),"",'_SCHEDULE'!G151)</x:f>
      </x:c>
      <x:c r="H183" s="530" t="str">
        <x:f>IF(ISBLANK('_SCHEDULE'!H151),"",'_SCHEDULE'!H151)</x:f>
      </x:c>
      <x:c r="I183" s="530" t="str">
        <x:f>IF(ISBLANK('_SCHEDULE'!I151),"",'_SCHEDULE'!I151)</x:f>
      </x:c>
      <x:c r="J183" s="530" t="str">
        <x:f>IF(ISBLANK('_SCHEDULE'!J151),"",'_SCHEDULE'!J151)</x:f>
      </x:c>
      <x:c r="K183" s="530" t="str">
        <x:f>IF(ISBLANK('_SCHEDULE'!K151),"",'_SCHEDULE'!K151)</x:f>
      </x:c>
      <x:c r="L183" s="530" t="str">
        <x:f>IF(ISBLANK('_SCHEDULE'!L151),"",'_SCHEDULE'!L151)</x:f>
      </x:c>
      <x:c r="M183" s="530" t="str">
        <x:f>IF(ISBLANK('_SCHEDULE'!M151),"",'_SCHEDULE'!M151)</x:f>
      </x:c>
      <x:c r="N183" s="530" t="str">
        <x:f>IF(ISBLANK('_SCHEDULE'!N151),"",'_SCHEDULE'!N151)</x:f>
      </x:c>
      <x:c r="O183" s="530" t="str">
        <x:f>IF(ISBLANK('_SCHEDULE'!O151),"",'_SCHEDULE'!O151)</x:f>
      </x:c>
      <x:c r="P183" s="530" t="str">
        <x:f>IF(ISBLANK('_SCHEDULE'!P151),"",'_SCHEDULE'!P151)</x:f>
      </x:c>
      <x:c r="Q183" s="530" t="str">
        <x:f>IF(ISBLANK('_SCHEDULE'!Q151),"",'_SCHEDULE'!Q151)</x:f>
      </x:c>
      <x:c r="R183" s="530" t="str">
        <x:f>IF(ISBLANK('_SCHEDULE'!R151),"",'_SCHEDULE'!R151)</x:f>
      </x:c>
      <x:c r="S183" s="523" t="str">
        <x:f>IF(ISBLANK('_SCHEDULE'!S151),"",'_SCHEDULE'!S151)</x:f>
      </x:c>
      <x:c r="T183" s="38"/>
      <x:c r="U183" s="38"/>
      <x:c r="V183" s="38"/>
      <x:c r="W183" s="38"/>
      <x:c r="X183" s="38"/>
      <x:c r="Y183" s="38"/>
      <x:c r="Z183" s="38"/>
      <x:c r="AA183" s="38"/>
      <x:c r="AB183" s="38"/>
      <x:c r="AC183" s="38"/>
      <x:c r="AD183" s="38"/>
      <x:c r="AE183" s="38"/>
      <x:c r="AF183" s="38"/>
      <x:c r="AG183" s="38"/>
      <x:c r="AH183" s="38"/>
      <x:c r="AI183" s="38"/>
      <x:c r="AJ183" s="38"/>
      <x:c r="AK183" s="38"/>
      <x:c r="AL183" s="38"/>
      <x:c r="AM183" s="38"/>
    </x:row>
    <x:row r="184">
      <x:c r="A184" s="523" t="str">
        <x:f>IF(ISBLANK('_SCHEDULE'!A152),"",'_SCHEDULE'!A152)</x:f>
      </x:c>
      <x:c r="B184" s="523" t="str">
        <x:f>IF(ISBLANK('_SCHEDULE'!B152),"",IF('_CONFIG'!$B$2="pt-BR",IF('_SCHEDULE'!B152="scheduled","programado",IF('_SCHEDULE'!B152="rejected","rejeitado",'_SCHEDULE'!B152)),'_SCHEDULE'!B152))</x:f>
      </x:c>
      <x:c r="C184" s="523" t="str">
        <x:f>IF(ISBLANK('_SCHEDULE'!C152),"",'_SCHEDULE'!C152)</x:f>
      </x:c>
      <x:c r="D184" s="523" t="str">
        <x:f>IF(ISBLANK('_SCHEDULE'!D152),"",'_SCHEDULE'!D152)</x:f>
      </x:c>
      <x:c r="E184" s="530" t="str">
        <x:f>IF(ISBLANK('_SCHEDULE'!E152),"",'_SCHEDULE'!E152)</x:f>
      </x:c>
      <x:c r="F184" s="530" t="str">
        <x:f>IF(ISBLANK('_SCHEDULE'!F152),"",'_SCHEDULE'!F152)</x:f>
      </x:c>
      <x:c r="G184" s="530" t="str">
        <x:f>IF(ISBLANK('_SCHEDULE'!G152),"",'_SCHEDULE'!G152)</x:f>
      </x:c>
      <x:c r="H184" s="530" t="str">
        <x:f>IF(ISBLANK('_SCHEDULE'!H152),"",'_SCHEDULE'!H152)</x:f>
      </x:c>
      <x:c r="I184" s="530" t="str">
        <x:f>IF(ISBLANK('_SCHEDULE'!I152),"",'_SCHEDULE'!I152)</x:f>
      </x:c>
      <x:c r="J184" s="530" t="str">
        <x:f>IF(ISBLANK('_SCHEDULE'!J152),"",'_SCHEDULE'!J152)</x:f>
      </x:c>
      <x:c r="K184" s="530" t="str">
        <x:f>IF(ISBLANK('_SCHEDULE'!K152),"",'_SCHEDULE'!K152)</x:f>
      </x:c>
      <x:c r="L184" s="530" t="str">
        <x:f>IF(ISBLANK('_SCHEDULE'!L152),"",'_SCHEDULE'!L152)</x:f>
      </x:c>
      <x:c r="M184" s="530" t="str">
        <x:f>IF(ISBLANK('_SCHEDULE'!M152),"",'_SCHEDULE'!M152)</x:f>
      </x:c>
      <x:c r="N184" s="530" t="str">
        <x:f>IF(ISBLANK('_SCHEDULE'!N152),"",'_SCHEDULE'!N152)</x:f>
      </x:c>
      <x:c r="O184" s="530" t="str">
        <x:f>IF(ISBLANK('_SCHEDULE'!O152),"",'_SCHEDULE'!O152)</x:f>
      </x:c>
      <x:c r="P184" s="530" t="str">
        <x:f>IF(ISBLANK('_SCHEDULE'!P152),"",'_SCHEDULE'!P152)</x:f>
      </x:c>
      <x:c r="Q184" s="530" t="str">
        <x:f>IF(ISBLANK('_SCHEDULE'!Q152),"",'_SCHEDULE'!Q152)</x:f>
      </x:c>
      <x:c r="R184" s="530" t="str">
        <x:f>IF(ISBLANK('_SCHEDULE'!R152),"",'_SCHEDULE'!R152)</x:f>
      </x:c>
      <x:c r="S184" s="523" t="str">
        <x:f>IF(ISBLANK('_SCHEDULE'!S152),"",'_SCHEDULE'!S152)</x:f>
      </x:c>
      <x:c r="T184" s="38"/>
      <x:c r="U184" s="38"/>
      <x:c r="V184" s="38"/>
      <x:c r="W184" s="38"/>
      <x:c r="X184" s="38"/>
      <x:c r="Y184" s="38"/>
      <x:c r="Z184" s="38"/>
      <x:c r="AA184" s="38"/>
      <x:c r="AB184" s="38"/>
      <x:c r="AC184" s="38"/>
      <x:c r="AD184" s="38"/>
      <x:c r="AE184" s="38"/>
      <x:c r="AF184" s="38"/>
      <x:c r="AG184" s="38"/>
      <x:c r="AH184" s="38"/>
      <x:c r="AI184" s="38"/>
      <x:c r="AJ184" s="38"/>
      <x:c r="AK184" s="38"/>
      <x:c r="AL184" s="38"/>
      <x:c r="AM184" s="38"/>
    </x:row>
    <x:row r="185">
      <x:c r="A185" s="523" t="str">
        <x:f>IF(ISBLANK('_SCHEDULE'!A153),"",'_SCHEDULE'!A153)</x:f>
      </x:c>
      <x:c r="B185" s="523" t="str">
        <x:f>IF(ISBLANK('_SCHEDULE'!B153),"",IF('_CONFIG'!$B$2="pt-BR",IF('_SCHEDULE'!B153="scheduled","programado",IF('_SCHEDULE'!B153="rejected","rejeitado",'_SCHEDULE'!B153)),'_SCHEDULE'!B153))</x:f>
      </x:c>
      <x:c r="C185" s="523" t="str">
        <x:f>IF(ISBLANK('_SCHEDULE'!C153),"",'_SCHEDULE'!C153)</x:f>
      </x:c>
      <x:c r="D185" s="523" t="str">
        <x:f>IF(ISBLANK('_SCHEDULE'!D153),"",'_SCHEDULE'!D153)</x:f>
      </x:c>
      <x:c r="E185" s="530" t="str">
        <x:f>IF(ISBLANK('_SCHEDULE'!E153),"",'_SCHEDULE'!E153)</x:f>
      </x:c>
      <x:c r="F185" s="530" t="str">
        <x:f>IF(ISBLANK('_SCHEDULE'!F153),"",'_SCHEDULE'!F153)</x:f>
      </x:c>
      <x:c r="G185" s="530" t="str">
        <x:f>IF(ISBLANK('_SCHEDULE'!G153),"",'_SCHEDULE'!G153)</x:f>
      </x:c>
      <x:c r="H185" s="530" t="str">
        <x:f>IF(ISBLANK('_SCHEDULE'!H153),"",'_SCHEDULE'!H153)</x:f>
      </x:c>
      <x:c r="I185" s="530" t="str">
        <x:f>IF(ISBLANK('_SCHEDULE'!I153),"",'_SCHEDULE'!I153)</x:f>
      </x:c>
      <x:c r="J185" s="530" t="str">
        <x:f>IF(ISBLANK('_SCHEDULE'!J153),"",'_SCHEDULE'!J153)</x:f>
      </x:c>
      <x:c r="K185" s="530" t="str">
        <x:f>IF(ISBLANK('_SCHEDULE'!K153),"",'_SCHEDULE'!K153)</x:f>
      </x:c>
      <x:c r="L185" s="530" t="str">
        <x:f>IF(ISBLANK('_SCHEDULE'!L153),"",'_SCHEDULE'!L153)</x:f>
      </x:c>
      <x:c r="M185" s="530" t="str">
        <x:f>IF(ISBLANK('_SCHEDULE'!M153),"",'_SCHEDULE'!M153)</x:f>
      </x:c>
      <x:c r="N185" s="530" t="str">
        <x:f>IF(ISBLANK('_SCHEDULE'!N153),"",'_SCHEDULE'!N153)</x:f>
      </x:c>
      <x:c r="O185" s="530" t="str">
        <x:f>IF(ISBLANK('_SCHEDULE'!O153),"",'_SCHEDULE'!O153)</x:f>
      </x:c>
      <x:c r="P185" s="530" t="str">
        <x:f>IF(ISBLANK('_SCHEDULE'!P153),"",'_SCHEDULE'!P153)</x:f>
      </x:c>
      <x:c r="Q185" s="530" t="str">
        <x:f>IF(ISBLANK('_SCHEDULE'!Q153),"",'_SCHEDULE'!Q153)</x:f>
      </x:c>
      <x:c r="R185" s="530" t="str">
        <x:f>IF(ISBLANK('_SCHEDULE'!R153),"",'_SCHEDULE'!R153)</x:f>
      </x:c>
      <x:c r="S185" s="523" t="str">
        <x:f>IF(ISBLANK('_SCHEDULE'!S153),"",'_SCHEDULE'!S153)</x:f>
      </x:c>
      <x:c r="T185" s="38"/>
      <x:c r="U185" s="38"/>
      <x:c r="V185" s="38"/>
      <x:c r="W185" s="38"/>
      <x:c r="X185" s="38"/>
      <x:c r="Y185" s="38"/>
      <x:c r="Z185" s="38"/>
      <x:c r="AA185" s="38"/>
      <x:c r="AB185" s="38"/>
      <x:c r="AC185" s="38"/>
      <x:c r="AD185" s="38"/>
      <x:c r="AE185" s="38"/>
      <x:c r="AF185" s="38"/>
      <x:c r="AG185" s="38"/>
      <x:c r="AH185" s="38"/>
      <x:c r="AI185" s="38"/>
      <x:c r="AJ185" s="38"/>
      <x:c r="AK185" s="38"/>
      <x:c r="AL185" s="38"/>
      <x:c r="AM185" s="38"/>
    </x:row>
    <x:row r="186">
      <x:c r="A186" s="523" t="str">
        <x:f>IF(ISBLANK('_SCHEDULE'!A154),"",'_SCHEDULE'!A154)</x:f>
      </x:c>
      <x:c r="B186" s="523" t="str">
        <x:f>IF(ISBLANK('_SCHEDULE'!B154),"",IF('_CONFIG'!$B$2="pt-BR",IF('_SCHEDULE'!B154="scheduled","programado",IF('_SCHEDULE'!B154="rejected","rejeitado",'_SCHEDULE'!B154)),'_SCHEDULE'!B154))</x:f>
      </x:c>
      <x:c r="C186" s="523" t="str">
        <x:f>IF(ISBLANK('_SCHEDULE'!C154),"",'_SCHEDULE'!C154)</x:f>
      </x:c>
      <x:c r="D186" s="523" t="str">
        <x:f>IF(ISBLANK('_SCHEDULE'!D154),"",'_SCHEDULE'!D154)</x:f>
      </x:c>
      <x:c r="E186" s="530" t="str">
        <x:f>IF(ISBLANK('_SCHEDULE'!E154),"",'_SCHEDULE'!E154)</x:f>
      </x:c>
      <x:c r="F186" s="530" t="str">
        <x:f>IF(ISBLANK('_SCHEDULE'!F154),"",'_SCHEDULE'!F154)</x:f>
      </x:c>
      <x:c r="G186" s="530" t="str">
        <x:f>IF(ISBLANK('_SCHEDULE'!G154),"",'_SCHEDULE'!G154)</x:f>
      </x:c>
      <x:c r="H186" s="530" t="str">
        <x:f>IF(ISBLANK('_SCHEDULE'!H154),"",'_SCHEDULE'!H154)</x:f>
      </x:c>
      <x:c r="I186" s="530" t="str">
        <x:f>IF(ISBLANK('_SCHEDULE'!I154),"",'_SCHEDULE'!I154)</x:f>
      </x:c>
      <x:c r="J186" s="530" t="str">
        <x:f>IF(ISBLANK('_SCHEDULE'!J154),"",'_SCHEDULE'!J154)</x:f>
      </x:c>
      <x:c r="K186" s="530" t="str">
        <x:f>IF(ISBLANK('_SCHEDULE'!K154),"",'_SCHEDULE'!K154)</x:f>
      </x:c>
      <x:c r="L186" s="530" t="str">
        <x:f>IF(ISBLANK('_SCHEDULE'!L154),"",'_SCHEDULE'!L154)</x:f>
      </x:c>
      <x:c r="M186" s="530" t="str">
        <x:f>IF(ISBLANK('_SCHEDULE'!M154),"",'_SCHEDULE'!M154)</x:f>
      </x:c>
      <x:c r="N186" s="530" t="str">
        <x:f>IF(ISBLANK('_SCHEDULE'!N154),"",'_SCHEDULE'!N154)</x:f>
      </x:c>
      <x:c r="O186" s="530" t="str">
        <x:f>IF(ISBLANK('_SCHEDULE'!O154),"",'_SCHEDULE'!O154)</x:f>
      </x:c>
      <x:c r="P186" s="530" t="str">
        <x:f>IF(ISBLANK('_SCHEDULE'!P154),"",'_SCHEDULE'!P154)</x:f>
      </x:c>
      <x:c r="Q186" s="530" t="str">
        <x:f>IF(ISBLANK('_SCHEDULE'!Q154),"",'_SCHEDULE'!Q154)</x:f>
      </x:c>
      <x:c r="R186" s="530" t="str">
        <x:f>IF(ISBLANK('_SCHEDULE'!R154),"",'_SCHEDULE'!R154)</x:f>
      </x:c>
      <x:c r="S186" s="523" t="str">
        <x:f>IF(ISBLANK('_SCHEDULE'!S154),"",'_SCHEDULE'!S154)</x:f>
      </x:c>
      <x:c r="T186" s="38"/>
      <x:c r="U186" s="38"/>
      <x:c r="V186" s="38"/>
      <x:c r="W186" s="38"/>
      <x:c r="X186" s="38"/>
      <x:c r="Y186" s="38"/>
      <x:c r="Z186" s="38"/>
      <x:c r="AA186" s="38"/>
      <x:c r="AB186" s="38"/>
      <x:c r="AC186" s="38"/>
      <x:c r="AD186" s="38"/>
      <x:c r="AE186" s="38"/>
      <x:c r="AF186" s="38"/>
      <x:c r="AG186" s="38"/>
      <x:c r="AH186" s="38"/>
      <x:c r="AI186" s="38"/>
      <x:c r="AJ186" s="38"/>
      <x:c r="AK186" s="38"/>
      <x:c r="AL186" s="38"/>
      <x:c r="AM186" s="38"/>
    </x:row>
    <x:row r="187">
      <x:c r="A187" s="523" t="str">
        <x:f>IF(ISBLANK('_SCHEDULE'!A155),"",'_SCHEDULE'!A155)</x:f>
      </x:c>
      <x:c r="B187" s="523" t="str">
        <x:f>IF(ISBLANK('_SCHEDULE'!B155),"",IF('_CONFIG'!$B$2="pt-BR",IF('_SCHEDULE'!B155="scheduled","programado",IF('_SCHEDULE'!B155="rejected","rejeitado",'_SCHEDULE'!B155)),'_SCHEDULE'!B155))</x:f>
      </x:c>
      <x:c r="C187" s="523" t="str">
        <x:f>IF(ISBLANK('_SCHEDULE'!C155),"",'_SCHEDULE'!C155)</x:f>
      </x:c>
      <x:c r="D187" s="523" t="str">
        <x:f>IF(ISBLANK('_SCHEDULE'!D155),"",'_SCHEDULE'!D155)</x:f>
      </x:c>
      <x:c r="E187" s="530" t="str">
        <x:f>IF(ISBLANK('_SCHEDULE'!E155),"",'_SCHEDULE'!E155)</x:f>
      </x:c>
      <x:c r="F187" s="530" t="str">
        <x:f>IF(ISBLANK('_SCHEDULE'!F155),"",'_SCHEDULE'!F155)</x:f>
      </x:c>
      <x:c r="G187" s="530" t="str">
        <x:f>IF(ISBLANK('_SCHEDULE'!G155),"",'_SCHEDULE'!G155)</x:f>
      </x:c>
      <x:c r="H187" s="530" t="str">
        <x:f>IF(ISBLANK('_SCHEDULE'!H155),"",'_SCHEDULE'!H155)</x:f>
      </x:c>
      <x:c r="I187" s="530" t="str">
        <x:f>IF(ISBLANK('_SCHEDULE'!I155),"",'_SCHEDULE'!I155)</x:f>
      </x:c>
      <x:c r="J187" s="530" t="str">
        <x:f>IF(ISBLANK('_SCHEDULE'!J155),"",'_SCHEDULE'!J155)</x:f>
      </x:c>
      <x:c r="K187" s="530" t="str">
        <x:f>IF(ISBLANK('_SCHEDULE'!K155),"",'_SCHEDULE'!K155)</x:f>
      </x:c>
      <x:c r="L187" s="530" t="str">
        <x:f>IF(ISBLANK('_SCHEDULE'!L155),"",'_SCHEDULE'!L155)</x:f>
      </x:c>
      <x:c r="M187" s="530" t="str">
        <x:f>IF(ISBLANK('_SCHEDULE'!M155),"",'_SCHEDULE'!M155)</x:f>
      </x:c>
      <x:c r="N187" s="530" t="str">
        <x:f>IF(ISBLANK('_SCHEDULE'!N155),"",'_SCHEDULE'!N155)</x:f>
      </x:c>
      <x:c r="O187" s="530" t="str">
        <x:f>IF(ISBLANK('_SCHEDULE'!O155),"",'_SCHEDULE'!O155)</x:f>
      </x:c>
      <x:c r="P187" s="530" t="str">
        <x:f>IF(ISBLANK('_SCHEDULE'!P155),"",'_SCHEDULE'!P155)</x:f>
      </x:c>
      <x:c r="Q187" s="530" t="str">
        <x:f>IF(ISBLANK('_SCHEDULE'!Q155),"",'_SCHEDULE'!Q155)</x:f>
      </x:c>
      <x:c r="R187" s="530" t="str">
        <x:f>IF(ISBLANK('_SCHEDULE'!R155),"",'_SCHEDULE'!R155)</x:f>
      </x:c>
      <x:c r="S187" s="523" t="str">
        <x:f>IF(ISBLANK('_SCHEDULE'!S155),"",'_SCHEDULE'!S155)</x:f>
      </x:c>
      <x:c r="T187" s="38"/>
      <x:c r="U187" s="38"/>
      <x:c r="V187" s="38"/>
      <x:c r="W187" s="38"/>
      <x:c r="X187" s="38"/>
      <x:c r="Y187" s="38"/>
      <x:c r="Z187" s="38"/>
      <x:c r="AA187" s="38"/>
      <x:c r="AB187" s="38"/>
      <x:c r="AC187" s="38"/>
      <x:c r="AD187" s="38"/>
      <x:c r="AE187" s="38"/>
      <x:c r="AF187" s="38"/>
      <x:c r="AG187" s="38"/>
      <x:c r="AH187" s="38"/>
      <x:c r="AI187" s="38"/>
      <x:c r="AJ187" s="38"/>
      <x:c r="AK187" s="38"/>
      <x:c r="AL187" s="38"/>
      <x:c r="AM187" s="38"/>
    </x:row>
    <x:row r="188">
      <x:c r="A188" s="523" t="str">
        <x:f>IF(ISBLANK('_SCHEDULE'!A156),"",'_SCHEDULE'!A156)</x:f>
      </x:c>
      <x:c r="B188" s="523" t="str">
        <x:f>IF(ISBLANK('_SCHEDULE'!B156),"",IF('_CONFIG'!$B$2="pt-BR",IF('_SCHEDULE'!B156="scheduled","programado",IF('_SCHEDULE'!B156="rejected","rejeitado",'_SCHEDULE'!B156)),'_SCHEDULE'!B156))</x:f>
      </x:c>
      <x:c r="C188" s="523" t="str">
        <x:f>IF(ISBLANK('_SCHEDULE'!C156),"",'_SCHEDULE'!C156)</x:f>
      </x:c>
      <x:c r="D188" s="523" t="str">
        <x:f>IF(ISBLANK('_SCHEDULE'!D156),"",'_SCHEDULE'!D156)</x:f>
      </x:c>
      <x:c r="E188" s="530" t="str">
        <x:f>IF(ISBLANK('_SCHEDULE'!E156),"",'_SCHEDULE'!E156)</x:f>
      </x:c>
      <x:c r="F188" s="530" t="str">
        <x:f>IF(ISBLANK('_SCHEDULE'!F156),"",'_SCHEDULE'!F156)</x:f>
      </x:c>
      <x:c r="G188" s="530" t="str">
        <x:f>IF(ISBLANK('_SCHEDULE'!G156),"",'_SCHEDULE'!G156)</x:f>
      </x:c>
      <x:c r="H188" s="530" t="str">
        <x:f>IF(ISBLANK('_SCHEDULE'!H156),"",'_SCHEDULE'!H156)</x:f>
      </x:c>
      <x:c r="I188" s="530" t="str">
        <x:f>IF(ISBLANK('_SCHEDULE'!I156),"",'_SCHEDULE'!I156)</x:f>
      </x:c>
      <x:c r="J188" s="530" t="str">
        <x:f>IF(ISBLANK('_SCHEDULE'!J156),"",'_SCHEDULE'!J156)</x:f>
      </x:c>
      <x:c r="K188" s="530" t="str">
        <x:f>IF(ISBLANK('_SCHEDULE'!K156),"",'_SCHEDULE'!K156)</x:f>
      </x:c>
      <x:c r="L188" s="530" t="str">
        <x:f>IF(ISBLANK('_SCHEDULE'!L156),"",'_SCHEDULE'!L156)</x:f>
      </x:c>
      <x:c r="M188" s="530" t="str">
        <x:f>IF(ISBLANK('_SCHEDULE'!M156),"",'_SCHEDULE'!M156)</x:f>
      </x:c>
      <x:c r="N188" s="530" t="str">
        <x:f>IF(ISBLANK('_SCHEDULE'!N156),"",'_SCHEDULE'!N156)</x:f>
      </x:c>
      <x:c r="O188" s="530" t="str">
        <x:f>IF(ISBLANK('_SCHEDULE'!O156),"",'_SCHEDULE'!O156)</x:f>
      </x:c>
      <x:c r="P188" s="530" t="str">
        <x:f>IF(ISBLANK('_SCHEDULE'!P156),"",'_SCHEDULE'!P156)</x:f>
      </x:c>
      <x:c r="Q188" s="530" t="str">
        <x:f>IF(ISBLANK('_SCHEDULE'!Q156),"",'_SCHEDULE'!Q156)</x:f>
      </x:c>
      <x:c r="R188" s="530" t="str">
        <x:f>IF(ISBLANK('_SCHEDULE'!R156),"",'_SCHEDULE'!R156)</x:f>
      </x:c>
      <x:c r="S188" s="523" t="str">
        <x:f>IF(ISBLANK('_SCHEDULE'!S156),"",'_SCHEDULE'!S156)</x:f>
      </x:c>
      <x:c r="T188" s="38"/>
      <x:c r="U188" s="38"/>
      <x:c r="V188" s="38"/>
      <x:c r="W188" s="38"/>
      <x:c r="X188" s="38"/>
      <x:c r="Y188" s="38"/>
      <x:c r="Z188" s="38"/>
      <x:c r="AA188" s="38"/>
      <x:c r="AB188" s="38"/>
      <x:c r="AC188" s="38"/>
      <x:c r="AD188" s="38"/>
      <x:c r="AE188" s="38"/>
      <x:c r="AF188" s="38"/>
      <x:c r="AG188" s="38"/>
      <x:c r="AH188" s="38"/>
      <x:c r="AI188" s="38"/>
      <x:c r="AJ188" s="38"/>
      <x:c r="AK188" s="38"/>
      <x:c r="AL188" s="38"/>
      <x:c r="AM188" s="38"/>
    </x:row>
    <x:row r="189">
      <x:c r="A189" s="523" t="str">
        <x:f>IF(ISBLANK('_SCHEDULE'!A157),"",'_SCHEDULE'!A157)</x:f>
      </x:c>
      <x:c r="B189" s="523" t="str">
        <x:f>IF(ISBLANK('_SCHEDULE'!B157),"",IF('_CONFIG'!$B$2="pt-BR",IF('_SCHEDULE'!B157="scheduled","programado",IF('_SCHEDULE'!B157="rejected","rejeitado",'_SCHEDULE'!B157)),'_SCHEDULE'!B157))</x:f>
      </x:c>
      <x:c r="C189" s="523" t="str">
        <x:f>IF(ISBLANK('_SCHEDULE'!C157),"",'_SCHEDULE'!C157)</x:f>
      </x:c>
      <x:c r="D189" s="523" t="str">
        <x:f>IF(ISBLANK('_SCHEDULE'!D157),"",'_SCHEDULE'!D157)</x:f>
      </x:c>
      <x:c r="E189" s="530" t="str">
        <x:f>IF(ISBLANK('_SCHEDULE'!E157),"",'_SCHEDULE'!E157)</x:f>
      </x:c>
      <x:c r="F189" s="530" t="str">
        <x:f>IF(ISBLANK('_SCHEDULE'!F157),"",'_SCHEDULE'!F157)</x:f>
      </x:c>
      <x:c r="G189" s="530" t="str">
        <x:f>IF(ISBLANK('_SCHEDULE'!G157),"",'_SCHEDULE'!G157)</x:f>
      </x:c>
      <x:c r="H189" s="530" t="str">
        <x:f>IF(ISBLANK('_SCHEDULE'!H157),"",'_SCHEDULE'!H157)</x:f>
      </x:c>
      <x:c r="I189" s="530" t="str">
        <x:f>IF(ISBLANK('_SCHEDULE'!I157),"",'_SCHEDULE'!I157)</x:f>
      </x:c>
      <x:c r="J189" s="530" t="str">
        <x:f>IF(ISBLANK('_SCHEDULE'!J157),"",'_SCHEDULE'!J157)</x:f>
      </x:c>
      <x:c r="K189" s="530" t="str">
        <x:f>IF(ISBLANK('_SCHEDULE'!K157),"",'_SCHEDULE'!K157)</x:f>
      </x:c>
      <x:c r="L189" s="530" t="str">
        <x:f>IF(ISBLANK('_SCHEDULE'!L157),"",'_SCHEDULE'!L157)</x:f>
      </x:c>
      <x:c r="M189" s="530" t="str">
        <x:f>IF(ISBLANK('_SCHEDULE'!M157),"",'_SCHEDULE'!M157)</x:f>
      </x:c>
      <x:c r="N189" s="530" t="str">
        <x:f>IF(ISBLANK('_SCHEDULE'!N157),"",'_SCHEDULE'!N157)</x:f>
      </x:c>
      <x:c r="O189" s="530" t="str">
        <x:f>IF(ISBLANK('_SCHEDULE'!O157),"",'_SCHEDULE'!O157)</x:f>
      </x:c>
      <x:c r="P189" s="530" t="str">
        <x:f>IF(ISBLANK('_SCHEDULE'!P157),"",'_SCHEDULE'!P157)</x:f>
      </x:c>
      <x:c r="Q189" s="530" t="str">
        <x:f>IF(ISBLANK('_SCHEDULE'!Q157),"",'_SCHEDULE'!Q157)</x:f>
      </x:c>
      <x:c r="R189" s="530" t="str">
        <x:f>IF(ISBLANK('_SCHEDULE'!R157),"",'_SCHEDULE'!R157)</x:f>
      </x:c>
      <x:c r="S189" s="523" t="str">
        <x:f>IF(ISBLANK('_SCHEDULE'!S157),"",'_SCHEDULE'!S157)</x:f>
      </x:c>
      <x:c r="T189" s="38"/>
      <x:c r="U189" s="38"/>
      <x:c r="V189" s="38"/>
      <x:c r="W189" s="38"/>
      <x:c r="X189" s="38"/>
      <x:c r="Y189" s="38"/>
      <x:c r="Z189" s="38"/>
      <x:c r="AA189" s="38"/>
      <x:c r="AB189" s="38"/>
      <x:c r="AC189" s="38"/>
      <x:c r="AD189" s="38"/>
      <x:c r="AE189" s="38"/>
      <x:c r="AF189" s="38"/>
      <x:c r="AG189" s="38"/>
      <x:c r="AH189" s="38"/>
      <x:c r="AI189" s="38"/>
      <x:c r="AJ189" s="38"/>
      <x:c r="AK189" s="38"/>
      <x:c r="AL189" s="38"/>
      <x:c r="AM189" s="38"/>
    </x:row>
    <x:row r="190">
      <x:c r="A190" s="523" t="str">
        <x:f>IF(ISBLANK('_SCHEDULE'!A158),"",'_SCHEDULE'!A158)</x:f>
      </x:c>
      <x:c r="B190" s="523" t="str">
        <x:f>IF(ISBLANK('_SCHEDULE'!B158),"",IF('_CONFIG'!$B$2="pt-BR",IF('_SCHEDULE'!B158="scheduled","programado",IF('_SCHEDULE'!B158="rejected","rejeitado",'_SCHEDULE'!B158)),'_SCHEDULE'!B158))</x:f>
      </x:c>
      <x:c r="C190" s="523" t="str">
        <x:f>IF(ISBLANK('_SCHEDULE'!C158),"",'_SCHEDULE'!C158)</x:f>
      </x:c>
      <x:c r="D190" s="523" t="str">
        <x:f>IF(ISBLANK('_SCHEDULE'!D158),"",'_SCHEDULE'!D158)</x:f>
      </x:c>
      <x:c r="E190" s="530" t="str">
        <x:f>IF(ISBLANK('_SCHEDULE'!E158),"",'_SCHEDULE'!E158)</x:f>
      </x:c>
      <x:c r="F190" s="530" t="str">
        <x:f>IF(ISBLANK('_SCHEDULE'!F158),"",'_SCHEDULE'!F158)</x:f>
      </x:c>
      <x:c r="G190" s="530" t="str">
        <x:f>IF(ISBLANK('_SCHEDULE'!G158),"",'_SCHEDULE'!G158)</x:f>
      </x:c>
      <x:c r="H190" s="530" t="str">
        <x:f>IF(ISBLANK('_SCHEDULE'!H158),"",'_SCHEDULE'!H158)</x:f>
      </x:c>
      <x:c r="I190" s="530" t="str">
        <x:f>IF(ISBLANK('_SCHEDULE'!I158),"",'_SCHEDULE'!I158)</x:f>
      </x:c>
      <x:c r="J190" s="530" t="str">
        <x:f>IF(ISBLANK('_SCHEDULE'!J158),"",'_SCHEDULE'!J158)</x:f>
      </x:c>
      <x:c r="K190" s="530" t="str">
        <x:f>IF(ISBLANK('_SCHEDULE'!K158),"",'_SCHEDULE'!K158)</x:f>
      </x:c>
      <x:c r="L190" s="530" t="str">
        <x:f>IF(ISBLANK('_SCHEDULE'!L158),"",'_SCHEDULE'!L158)</x:f>
      </x:c>
      <x:c r="M190" s="530" t="str">
        <x:f>IF(ISBLANK('_SCHEDULE'!M158),"",'_SCHEDULE'!M158)</x:f>
      </x:c>
      <x:c r="N190" s="530" t="str">
        <x:f>IF(ISBLANK('_SCHEDULE'!N158),"",'_SCHEDULE'!N158)</x:f>
      </x:c>
      <x:c r="O190" s="530" t="str">
        <x:f>IF(ISBLANK('_SCHEDULE'!O158),"",'_SCHEDULE'!O158)</x:f>
      </x:c>
      <x:c r="P190" s="530" t="str">
        <x:f>IF(ISBLANK('_SCHEDULE'!P158),"",'_SCHEDULE'!P158)</x:f>
      </x:c>
      <x:c r="Q190" s="530" t="str">
        <x:f>IF(ISBLANK('_SCHEDULE'!Q158),"",'_SCHEDULE'!Q158)</x:f>
      </x:c>
      <x:c r="R190" s="530" t="str">
        <x:f>IF(ISBLANK('_SCHEDULE'!R158),"",'_SCHEDULE'!R158)</x:f>
      </x:c>
      <x:c r="S190" s="523" t="str">
        <x:f>IF(ISBLANK('_SCHEDULE'!S158),"",'_SCHEDULE'!S158)</x:f>
      </x:c>
      <x:c r="T190" s="38"/>
      <x:c r="U190" s="38"/>
      <x:c r="V190" s="38"/>
      <x:c r="W190" s="38"/>
      <x:c r="X190" s="38"/>
      <x:c r="Y190" s="38"/>
      <x:c r="Z190" s="38"/>
      <x:c r="AA190" s="38"/>
      <x:c r="AB190" s="38"/>
      <x:c r="AC190" s="38"/>
      <x:c r="AD190" s="38"/>
      <x:c r="AE190" s="38"/>
      <x:c r="AF190" s="38"/>
      <x:c r="AG190" s="38"/>
      <x:c r="AH190" s="38"/>
      <x:c r="AI190" s="38"/>
      <x:c r="AJ190" s="38"/>
      <x:c r="AK190" s="38"/>
      <x:c r="AL190" s="38"/>
      <x:c r="AM190" s="38"/>
    </x:row>
    <x:row r="191">
      <x:c r="A191" s="523" t="str">
        <x:f>IF(ISBLANK('_SCHEDULE'!A159),"",'_SCHEDULE'!A159)</x:f>
      </x:c>
      <x:c r="B191" s="523" t="str">
        <x:f>IF(ISBLANK('_SCHEDULE'!B159),"",IF('_CONFIG'!$B$2="pt-BR",IF('_SCHEDULE'!B159="scheduled","programado",IF('_SCHEDULE'!B159="rejected","rejeitado",'_SCHEDULE'!B159)),'_SCHEDULE'!B159))</x:f>
      </x:c>
      <x:c r="C191" s="523" t="str">
        <x:f>IF(ISBLANK('_SCHEDULE'!C159),"",'_SCHEDULE'!C159)</x:f>
      </x:c>
      <x:c r="D191" s="523" t="str">
        <x:f>IF(ISBLANK('_SCHEDULE'!D159),"",'_SCHEDULE'!D159)</x:f>
      </x:c>
      <x:c r="E191" s="530" t="str">
        <x:f>IF(ISBLANK('_SCHEDULE'!E159),"",'_SCHEDULE'!E159)</x:f>
      </x:c>
      <x:c r="F191" s="530" t="str">
        <x:f>IF(ISBLANK('_SCHEDULE'!F159),"",'_SCHEDULE'!F159)</x:f>
      </x:c>
      <x:c r="G191" s="530" t="str">
        <x:f>IF(ISBLANK('_SCHEDULE'!G159),"",'_SCHEDULE'!G159)</x:f>
      </x:c>
      <x:c r="H191" s="530" t="str">
        <x:f>IF(ISBLANK('_SCHEDULE'!H159),"",'_SCHEDULE'!H159)</x:f>
      </x:c>
      <x:c r="I191" s="530" t="str">
        <x:f>IF(ISBLANK('_SCHEDULE'!I159),"",'_SCHEDULE'!I159)</x:f>
      </x:c>
      <x:c r="J191" s="530" t="str">
        <x:f>IF(ISBLANK('_SCHEDULE'!J159),"",'_SCHEDULE'!J159)</x:f>
      </x:c>
      <x:c r="K191" s="530" t="str">
        <x:f>IF(ISBLANK('_SCHEDULE'!K159),"",'_SCHEDULE'!K159)</x:f>
      </x:c>
      <x:c r="L191" s="530" t="str">
        <x:f>IF(ISBLANK('_SCHEDULE'!L159),"",'_SCHEDULE'!L159)</x:f>
      </x:c>
      <x:c r="M191" s="530" t="str">
        <x:f>IF(ISBLANK('_SCHEDULE'!M159),"",'_SCHEDULE'!M159)</x:f>
      </x:c>
      <x:c r="N191" s="530" t="str">
        <x:f>IF(ISBLANK('_SCHEDULE'!N159),"",'_SCHEDULE'!N159)</x:f>
      </x:c>
      <x:c r="O191" s="530" t="str">
        <x:f>IF(ISBLANK('_SCHEDULE'!O159),"",'_SCHEDULE'!O159)</x:f>
      </x:c>
      <x:c r="P191" s="530" t="str">
        <x:f>IF(ISBLANK('_SCHEDULE'!P159),"",'_SCHEDULE'!P159)</x:f>
      </x:c>
      <x:c r="Q191" s="530" t="str">
        <x:f>IF(ISBLANK('_SCHEDULE'!Q159),"",'_SCHEDULE'!Q159)</x:f>
      </x:c>
      <x:c r="R191" s="530" t="str">
        <x:f>IF(ISBLANK('_SCHEDULE'!R159),"",'_SCHEDULE'!R159)</x:f>
      </x:c>
      <x:c r="S191" s="523" t="str">
        <x:f>IF(ISBLANK('_SCHEDULE'!S159),"",'_SCHEDULE'!S159)</x:f>
      </x:c>
      <x:c r="T191" s="38"/>
      <x:c r="U191" s="38"/>
      <x:c r="V191" s="38"/>
      <x:c r="W191" s="38"/>
      <x:c r="X191" s="38"/>
      <x:c r="Y191" s="38"/>
      <x:c r="Z191" s="38"/>
      <x:c r="AA191" s="38"/>
      <x:c r="AB191" s="38"/>
      <x:c r="AC191" s="38"/>
      <x:c r="AD191" s="38"/>
      <x:c r="AE191" s="38"/>
      <x:c r="AF191" s="38"/>
      <x:c r="AG191" s="38"/>
      <x:c r="AH191" s="38"/>
      <x:c r="AI191" s="38"/>
      <x:c r="AJ191" s="38"/>
      <x:c r="AK191" s="38"/>
      <x:c r="AL191" s="38"/>
      <x:c r="AM191" s="38"/>
    </x:row>
    <x:row r="192">
      <x:c r="A192" s="523" t="str">
        <x:f>IF(ISBLANK('_SCHEDULE'!A160),"",'_SCHEDULE'!A160)</x:f>
      </x:c>
      <x:c r="B192" s="523" t="str">
        <x:f>IF(ISBLANK('_SCHEDULE'!B160),"",IF('_CONFIG'!$B$2="pt-BR",IF('_SCHEDULE'!B160="scheduled","programado",IF('_SCHEDULE'!B160="rejected","rejeitado",'_SCHEDULE'!B160)),'_SCHEDULE'!B160))</x:f>
      </x:c>
      <x:c r="C192" s="523" t="str">
        <x:f>IF(ISBLANK('_SCHEDULE'!C160),"",'_SCHEDULE'!C160)</x:f>
      </x:c>
      <x:c r="D192" s="523" t="str">
        <x:f>IF(ISBLANK('_SCHEDULE'!D160),"",'_SCHEDULE'!D160)</x:f>
      </x:c>
      <x:c r="E192" s="530" t="str">
        <x:f>IF(ISBLANK('_SCHEDULE'!E160),"",'_SCHEDULE'!E160)</x:f>
      </x:c>
      <x:c r="F192" s="530" t="str">
        <x:f>IF(ISBLANK('_SCHEDULE'!F160),"",'_SCHEDULE'!F160)</x:f>
      </x:c>
      <x:c r="G192" s="530" t="str">
        <x:f>IF(ISBLANK('_SCHEDULE'!G160),"",'_SCHEDULE'!G160)</x:f>
      </x:c>
      <x:c r="H192" s="530" t="str">
        <x:f>IF(ISBLANK('_SCHEDULE'!H160),"",'_SCHEDULE'!H160)</x:f>
      </x:c>
      <x:c r="I192" s="530" t="str">
        <x:f>IF(ISBLANK('_SCHEDULE'!I160),"",'_SCHEDULE'!I160)</x:f>
      </x:c>
      <x:c r="J192" s="530" t="str">
        <x:f>IF(ISBLANK('_SCHEDULE'!J160),"",'_SCHEDULE'!J160)</x:f>
      </x:c>
      <x:c r="K192" s="530" t="str">
        <x:f>IF(ISBLANK('_SCHEDULE'!K160),"",'_SCHEDULE'!K160)</x:f>
      </x:c>
      <x:c r="L192" s="530" t="str">
        <x:f>IF(ISBLANK('_SCHEDULE'!L160),"",'_SCHEDULE'!L160)</x:f>
      </x:c>
      <x:c r="M192" s="530" t="str">
        <x:f>IF(ISBLANK('_SCHEDULE'!M160),"",'_SCHEDULE'!M160)</x:f>
      </x:c>
      <x:c r="N192" s="530" t="str">
        <x:f>IF(ISBLANK('_SCHEDULE'!N160),"",'_SCHEDULE'!N160)</x:f>
      </x:c>
      <x:c r="O192" s="530" t="str">
        <x:f>IF(ISBLANK('_SCHEDULE'!O160),"",'_SCHEDULE'!O160)</x:f>
      </x:c>
      <x:c r="P192" s="530" t="str">
        <x:f>IF(ISBLANK('_SCHEDULE'!P160),"",'_SCHEDULE'!P160)</x:f>
      </x:c>
      <x:c r="Q192" s="530" t="str">
        <x:f>IF(ISBLANK('_SCHEDULE'!Q160),"",'_SCHEDULE'!Q160)</x:f>
      </x:c>
      <x:c r="R192" s="530" t="str">
        <x:f>IF(ISBLANK('_SCHEDULE'!R160),"",'_SCHEDULE'!R160)</x:f>
      </x:c>
      <x:c r="S192" s="523" t="str">
        <x:f>IF(ISBLANK('_SCHEDULE'!S160),"",'_SCHEDULE'!S160)</x:f>
      </x:c>
      <x:c r="T192" s="38"/>
      <x:c r="U192" s="38"/>
      <x:c r="V192" s="38"/>
      <x:c r="W192" s="38"/>
      <x:c r="X192" s="38"/>
      <x:c r="Y192" s="38"/>
      <x:c r="Z192" s="38"/>
      <x:c r="AA192" s="38"/>
      <x:c r="AB192" s="38"/>
      <x:c r="AC192" s="38"/>
      <x:c r="AD192" s="38"/>
      <x:c r="AE192" s="38"/>
      <x:c r="AF192" s="38"/>
      <x:c r="AG192" s="38"/>
      <x:c r="AH192" s="38"/>
      <x:c r="AI192" s="38"/>
      <x:c r="AJ192" s="38"/>
      <x:c r="AK192" s="38"/>
      <x:c r="AL192" s="38"/>
      <x:c r="AM192" s="38"/>
    </x:row>
    <x:row r="193">
      <x:c r="A193" s="523" t="str">
        <x:f>IF(ISBLANK('_SCHEDULE'!A161),"",'_SCHEDULE'!A161)</x:f>
      </x:c>
      <x:c r="B193" s="523" t="str">
        <x:f>IF(ISBLANK('_SCHEDULE'!B161),"",IF('_CONFIG'!$B$2="pt-BR",IF('_SCHEDULE'!B161="scheduled","programado",IF('_SCHEDULE'!B161="rejected","rejeitado",'_SCHEDULE'!B161)),'_SCHEDULE'!B161))</x:f>
      </x:c>
      <x:c r="C193" s="523" t="str">
        <x:f>IF(ISBLANK('_SCHEDULE'!C161),"",'_SCHEDULE'!C161)</x:f>
      </x:c>
      <x:c r="D193" s="523" t="str">
        <x:f>IF(ISBLANK('_SCHEDULE'!D161),"",'_SCHEDULE'!D161)</x:f>
      </x:c>
      <x:c r="E193" s="530" t="str">
        <x:f>IF(ISBLANK('_SCHEDULE'!E161),"",'_SCHEDULE'!E161)</x:f>
      </x:c>
      <x:c r="F193" s="530" t="str">
        <x:f>IF(ISBLANK('_SCHEDULE'!F161),"",'_SCHEDULE'!F161)</x:f>
      </x:c>
      <x:c r="G193" s="530" t="str">
        <x:f>IF(ISBLANK('_SCHEDULE'!G161),"",'_SCHEDULE'!G161)</x:f>
      </x:c>
      <x:c r="H193" s="530" t="str">
        <x:f>IF(ISBLANK('_SCHEDULE'!H161),"",'_SCHEDULE'!H161)</x:f>
      </x:c>
      <x:c r="I193" s="530" t="str">
        <x:f>IF(ISBLANK('_SCHEDULE'!I161),"",'_SCHEDULE'!I161)</x:f>
      </x:c>
      <x:c r="J193" s="530" t="str">
        <x:f>IF(ISBLANK('_SCHEDULE'!J161),"",'_SCHEDULE'!J161)</x:f>
      </x:c>
      <x:c r="K193" s="530" t="str">
        <x:f>IF(ISBLANK('_SCHEDULE'!K161),"",'_SCHEDULE'!K161)</x:f>
      </x:c>
      <x:c r="L193" s="530" t="str">
        <x:f>IF(ISBLANK('_SCHEDULE'!L161),"",'_SCHEDULE'!L161)</x:f>
      </x:c>
      <x:c r="M193" s="530" t="str">
        <x:f>IF(ISBLANK('_SCHEDULE'!M161),"",'_SCHEDULE'!M161)</x:f>
      </x:c>
      <x:c r="N193" s="530" t="str">
        <x:f>IF(ISBLANK('_SCHEDULE'!N161),"",'_SCHEDULE'!N161)</x:f>
      </x:c>
      <x:c r="O193" s="530" t="str">
        <x:f>IF(ISBLANK('_SCHEDULE'!O161),"",'_SCHEDULE'!O161)</x:f>
      </x:c>
      <x:c r="P193" s="530" t="str">
        <x:f>IF(ISBLANK('_SCHEDULE'!P161),"",'_SCHEDULE'!P161)</x:f>
      </x:c>
      <x:c r="Q193" s="530" t="str">
        <x:f>IF(ISBLANK('_SCHEDULE'!Q161),"",'_SCHEDULE'!Q161)</x:f>
      </x:c>
      <x:c r="R193" s="530" t="str">
        <x:f>IF(ISBLANK('_SCHEDULE'!R161),"",'_SCHEDULE'!R161)</x:f>
      </x:c>
      <x:c r="S193" s="523" t="str">
        <x:f>IF(ISBLANK('_SCHEDULE'!S161),"",'_SCHEDULE'!S161)</x:f>
      </x:c>
      <x:c r="T193" s="38"/>
      <x:c r="U193" s="38"/>
      <x:c r="V193" s="38"/>
      <x:c r="W193" s="38"/>
      <x:c r="X193" s="38"/>
      <x:c r="Y193" s="38"/>
      <x:c r="Z193" s="38"/>
      <x:c r="AA193" s="38"/>
      <x:c r="AB193" s="38"/>
      <x:c r="AC193" s="38"/>
      <x:c r="AD193" s="38"/>
      <x:c r="AE193" s="38"/>
      <x:c r="AF193" s="38"/>
      <x:c r="AG193" s="38"/>
      <x:c r="AH193" s="38"/>
      <x:c r="AI193" s="38"/>
      <x:c r="AJ193" s="38"/>
      <x:c r="AK193" s="38"/>
      <x:c r="AL193" s="38"/>
      <x:c r="AM193" s="38"/>
    </x:row>
    <x:row r="194">
      <x:c r="A194" s="523" t="str">
        <x:f>IF(ISBLANK('_SCHEDULE'!A162),"",'_SCHEDULE'!A162)</x:f>
      </x:c>
      <x:c r="B194" s="523" t="str">
        <x:f>IF(ISBLANK('_SCHEDULE'!B162),"",IF('_CONFIG'!$B$2="pt-BR",IF('_SCHEDULE'!B162="scheduled","programado",IF('_SCHEDULE'!B162="rejected","rejeitado",'_SCHEDULE'!B162)),'_SCHEDULE'!B162))</x:f>
      </x:c>
      <x:c r="C194" s="523" t="str">
        <x:f>IF(ISBLANK('_SCHEDULE'!C162),"",'_SCHEDULE'!C162)</x:f>
      </x:c>
      <x:c r="D194" s="523" t="str">
        <x:f>IF(ISBLANK('_SCHEDULE'!D162),"",'_SCHEDULE'!D162)</x:f>
      </x:c>
      <x:c r="E194" s="530" t="str">
        <x:f>IF(ISBLANK('_SCHEDULE'!E162),"",'_SCHEDULE'!E162)</x:f>
      </x:c>
      <x:c r="F194" s="530" t="str">
        <x:f>IF(ISBLANK('_SCHEDULE'!F162),"",'_SCHEDULE'!F162)</x:f>
      </x:c>
      <x:c r="G194" s="530" t="str">
        <x:f>IF(ISBLANK('_SCHEDULE'!G162),"",'_SCHEDULE'!G162)</x:f>
      </x:c>
      <x:c r="H194" s="530" t="str">
        <x:f>IF(ISBLANK('_SCHEDULE'!H162),"",'_SCHEDULE'!H162)</x:f>
      </x:c>
      <x:c r="I194" s="530" t="str">
        <x:f>IF(ISBLANK('_SCHEDULE'!I162),"",'_SCHEDULE'!I162)</x:f>
      </x:c>
      <x:c r="J194" s="530" t="str">
        <x:f>IF(ISBLANK('_SCHEDULE'!J162),"",'_SCHEDULE'!J162)</x:f>
      </x:c>
      <x:c r="K194" s="530" t="str">
        <x:f>IF(ISBLANK('_SCHEDULE'!K162),"",'_SCHEDULE'!K162)</x:f>
      </x:c>
      <x:c r="L194" s="530" t="str">
        <x:f>IF(ISBLANK('_SCHEDULE'!L162),"",'_SCHEDULE'!L162)</x:f>
      </x:c>
      <x:c r="M194" s="530" t="str">
        <x:f>IF(ISBLANK('_SCHEDULE'!M162),"",'_SCHEDULE'!M162)</x:f>
      </x:c>
      <x:c r="N194" s="530" t="str">
        <x:f>IF(ISBLANK('_SCHEDULE'!N162),"",'_SCHEDULE'!N162)</x:f>
      </x:c>
      <x:c r="O194" s="530" t="str">
        <x:f>IF(ISBLANK('_SCHEDULE'!O162),"",'_SCHEDULE'!O162)</x:f>
      </x:c>
      <x:c r="P194" s="530" t="str">
        <x:f>IF(ISBLANK('_SCHEDULE'!P162),"",'_SCHEDULE'!P162)</x:f>
      </x:c>
      <x:c r="Q194" s="530" t="str">
        <x:f>IF(ISBLANK('_SCHEDULE'!Q162),"",'_SCHEDULE'!Q162)</x:f>
      </x:c>
      <x:c r="R194" s="530" t="str">
        <x:f>IF(ISBLANK('_SCHEDULE'!R162),"",'_SCHEDULE'!R162)</x:f>
      </x:c>
      <x:c r="S194" s="523" t="str">
        <x:f>IF(ISBLANK('_SCHEDULE'!S162),"",'_SCHEDULE'!S162)</x:f>
      </x:c>
      <x:c r="T194" s="38"/>
      <x:c r="U194" s="38"/>
      <x:c r="V194" s="38"/>
      <x:c r="W194" s="38"/>
      <x:c r="X194" s="38"/>
      <x:c r="Y194" s="38"/>
      <x:c r="Z194" s="38"/>
      <x:c r="AA194" s="38"/>
      <x:c r="AB194" s="38"/>
      <x:c r="AC194" s="38"/>
      <x:c r="AD194" s="38"/>
      <x:c r="AE194" s="38"/>
      <x:c r="AF194" s="38"/>
      <x:c r="AG194" s="38"/>
      <x:c r="AH194" s="38"/>
      <x:c r="AI194" s="38"/>
      <x:c r="AJ194" s="38"/>
      <x:c r="AK194" s="38"/>
      <x:c r="AL194" s="38"/>
      <x:c r="AM194" s="38"/>
    </x:row>
    <x:row r="195">
      <x:c r="A195" s="523" t="str">
        <x:f>IF(ISBLANK('_SCHEDULE'!A163),"",'_SCHEDULE'!A163)</x:f>
      </x:c>
      <x:c r="B195" s="523" t="str">
        <x:f>IF(ISBLANK('_SCHEDULE'!B163),"",IF('_CONFIG'!$B$2="pt-BR",IF('_SCHEDULE'!B163="scheduled","programado",IF('_SCHEDULE'!B163="rejected","rejeitado",'_SCHEDULE'!B163)),'_SCHEDULE'!B163))</x:f>
      </x:c>
      <x:c r="C195" s="523" t="str">
        <x:f>IF(ISBLANK('_SCHEDULE'!C163),"",'_SCHEDULE'!C163)</x:f>
      </x:c>
      <x:c r="D195" s="523" t="str">
        <x:f>IF(ISBLANK('_SCHEDULE'!D163),"",'_SCHEDULE'!D163)</x:f>
      </x:c>
      <x:c r="E195" s="530" t="str">
        <x:f>IF(ISBLANK('_SCHEDULE'!E163),"",'_SCHEDULE'!E163)</x:f>
      </x:c>
      <x:c r="F195" s="530" t="str">
        <x:f>IF(ISBLANK('_SCHEDULE'!F163),"",'_SCHEDULE'!F163)</x:f>
      </x:c>
      <x:c r="G195" s="530" t="str">
        <x:f>IF(ISBLANK('_SCHEDULE'!G163),"",'_SCHEDULE'!G163)</x:f>
      </x:c>
      <x:c r="H195" s="530" t="str">
        <x:f>IF(ISBLANK('_SCHEDULE'!H163),"",'_SCHEDULE'!H163)</x:f>
      </x:c>
      <x:c r="I195" s="530" t="str">
        <x:f>IF(ISBLANK('_SCHEDULE'!I163),"",'_SCHEDULE'!I163)</x:f>
      </x:c>
      <x:c r="J195" s="530" t="str">
        <x:f>IF(ISBLANK('_SCHEDULE'!J163),"",'_SCHEDULE'!J163)</x:f>
      </x:c>
      <x:c r="K195" s="530" t="str">
        <x:f>IF(ISBLANK('_SCHEDULE'!K163),"",'_SCHEDULE'!K163)</x:f>
      </x:c>
      <x:c r="L195" s="530" t="str">
        <x:f>IF(ISBLANK('_SCHEDULE'!L163),"",'_SCHEDULE'!L163)</x:f>
      </x:c>
      <x:c r="M195" s="530" t="str">
        <x:f>IF(ISBLANK('_SCHEDULE'!M163),"",'_SCHEDULE'!M163)</x:f>
      </x:c>
      <x:c r="N195" s="530" t="str">
        <x:f>IF(ISBLANK('_SCHEDULE'!N163),"",'_SCHEDULE'!N163)</x:f>
      </x:c>
      <x:c r="O195" s="530" t="str">
        <x:f>IF(ISBLANK('_SCHEDULE'!O163),"",'_SCHEDULE'!O163)</x:f>
      </x:c>
      <x:c r="P195" s="530" t="str">
        <x:f>IF(ISBLANK('_SCHEDULE'!P163),"",'_SCHEDULE'!P163)</x:f>
      </x:c>
      <x:c r="Q195" s="530" t="str">
        <x:f>IF(ISBLANK('_SCHEDULE'!Q163),"",'_SCHEDULE'!Q163)</x:f>
      </x:c>
      <x:c r="R195" s="530" t="str">
        <x:f>IF(ISBLANK('_SCHEDULE'!R163),"",'_SCHEDULE'!R163)</x:f>
      </x:c>
      <x:c r="S195" s="523" t="str">
        <x:f>IF(ISBLANK('_SCHEDULE'!S163),"",'_SCHEDULE'!S163)</x:f>
      </x:c>
      <x:c r="T195" s="38"/>
      <x:c r="U195" s="38"/>
      <x:c r="V195" s="38"/>
      <x:c r="W195" s="38"/>
      <x:c r="X195" s="38"/>
      <x:c r="Y195" s="38"/>
      <x:c r="Z195" s="38"/>
      <x:c r="AA195" s="38"/>
      <x:c r="AB195" s="38"/>
      <x:c r="AC195" s="38"/>
      <x:c r="AD195" s="38"/>
      <x:c r="AE195" s="38"/>
      <x:c r="AF195" s="38"/>
      <x:c r="AG195" s="38"/>
      <x:c r="AH195" s="38"/>
      <x:c r="AI195" s="38"/>
      <x:c r="AJ195" s="38"/>
      <x:c r="AK195" s="38"/>
      <x:c r="AL195" s="38"/>
      <x:c r="AM195" s="38"/>
    </x:row>
    <x:row r="196">
      <x:c r="A196" s="523" t="str">
        <x:f>IF(ISBLANK('_SCHEDULE'!A164),"",'_SCHEDULE'!A164)</x:f>
      </x:c>
      <x:c r="B196" s="523" t="str">
        <x:f>IF(ISBLANK('_SCHEDULE'!B164),"",IF('_CONFIG'!$B$2="pt-BR",IF('_SCHEDULE'!B164="scheduled","programado",IF('_SCHEDULE'!B164="rejected","rejeitado",'_SCHEDULE'!B164)),'_SCHEDULE'!B164))</x:f>
      </x:c>
      <x:c r="C196" s="523" t="str">
        <x:f>IF(ISBLANK('_SCHEDULE'!C164),"",'_SCHEDULE'!C164)</x:f>
      </x:c>
      <x:c r="D196" s="523" t="str">
        <x:f>IF(ISBLANK('_SCHEDULE'!D164),"",'_SCHEDULE'!D164)</x:f>
      </x:c>
      <x:c r="E196" s="530" t="str">
        <x:f>IF(ISBLANK('_SCHEDULE'!E164),"",'_SCHEDULE'!E164)</x:f>
      </x:c>
      <x:c r="F196" s="530" t="str">
        <x:f>IF(ISBLANK('_SCHEDULE'!F164),"",'_SCHEDULE'!F164)</x:f>
      </x:c>
      <x:c r="G196" s="530" t="str">
        <x:f>IF(ISBLANK('_SCHEDULE'!G164),"",'_SCHEDULE'!G164)</x:f>
      </x:c>
      <x:c r="H196" s="530" t="str">
        <x:f>IF(ISBLANK('_SCHEDULE'!H164),"",'_SCHEDULE'!H164)</x:f>
      </x:c>
      <x:c r="I196" s="530" t="str">
        <x:f>IF(ISBLANK('_SCHEDULE'!I164),"",'_SCHEDULE'!I164)</x:f>
      </x:c>
      <x:c r="J196" s="530" t="str">
        <x:f>IF(ISBLANK('_SCHEDULE'!J164),"",'_SCHEDULE'!J164)</x:f>
      </x:c>
      <x:c r="K196" s="530" t="str">
        <x:f>IF(ISBLANK('_SCHEDULE'!K164),"",'_SCHEDULE'!K164)</x:f>
      </x:c>
      <x:c r="L196" s="530" t="str">
        <x:f>IF(ISBLANK('_SCHEDULE'!L164),"",'_SCHEDULE'!L164)</x:f>
      </x:c>
      <x:c r="M196" s="530" t="str">
        <x:f>IF(ISBLANK('_SCHEDULE'!M164),"",'_SCHEDULE'!M164)</x:f>
      </x:c>
      <x:c r="N196" s="530" t="str">
        <x:f>IF(ISBLANK('_SCHEDULE'!N164),"",'_SCHEDULE'!N164)</x:f>
      </x:c>
      <x:c r="O196" s="530" t="str">
        <x:f>IF(ISBLANK('_SCHEDULE'!O164),"",'_SCHEDULE'!O164)</x:f>
      </x:c>
      <x:c r="P196" s="530" t="str">
        <x:f>IF(ISBLANK('_SCHEDULE'!P164),"",'_SCHEDULE'!P164)</x:f>
      </x:c>
      <x:c r="Q196" s="530" t="str">
        <x:f>IF(ISBLANK('_SCHEDULE'!Q164),"",'_SCHEDULE'!Q164)</x:f>
      </x:c>
      <x:c r="R196" s="530" t="str">
        <x:f>IF(ISBLANK('_SCHEDULE'!R164),"",'_SCHEDULE'!R164)</x:f>
      </x:c>
      <x:c r="S196" s="523" t="str">
        <x:f>IF(ISBLANK('_SCHEDULE'!S164),"",'_SCHEDULE'!S164)</x:f>
      </x:c>
      <x:c r="T196" s="38"/>
      <x:c r="U196" s="38"/>
      <x:c r="V196" s="38"/>
      <x:c r="W196" s="38"/>
      <x:c r="X196" s="38"/>
      <x:c r="Y196" s="38"/>
      <x:c r="Z196" s="38"/>
      <x:c r="AA196" s="38"/>
      <x:c r="AB196" s="38"/>
      <x:c r="AC196" s="38"/>
      <x:c r="AD196" s="38"/>
      <x:c r="AE196" s="38"/>
      <x:c r="AF196" s="38"/>
      <x:c r="AG196" s="38"/>
      <x:c r="AH196" s="38"/>
      <x:c r="AI196" s="38"/>
      <x:c r="AJ196" s="38"/>
      <x:c r="AK196" s="38"/>
      <x:c r="AL196" s="38"/>
      <x:c r="AM196" s="38"/>
    </x:row>
    <x:row r="197">
      <x:c r="A197" s="523" t="str">
        <x:f>IF(ISBLANK('_SCHEDULE'!A165),"",'_SCHEDULE'!A165)</x:f>
      </x:c>
      <x:c r="B197" s="523" t="str">
        <x:f>IF(ISBLANK('_SCHEDULE'!B165),"",IF('_CONFIG'!$B$2="pt-BR",IF('_SCHEDULE'!B165="scheduled","programado",IF('_SCHEDULE'!B165="rejected","rejeitado",'_SCHEDULE'!B165)),'_SCHEDULE'!B165))</x:f>
      </x:c>
      <x:c r="C197" s="523" t="str">
        <x:f>IF(ISBLANK('_SCHEDULE'!C165),"",'_SCHEDULE'!C165)</x:f>
      </x:c>
      <x:c r="D197" s="523" t="str">
        <x:f>IF(ISBLANK('_SCHEDULE'!D165),"",'_SCHEDULE'!D165)</x:f>
      </x:c>
      <x:c r="E197" s="530" t="str">
        <x:f>IF(ISBLANK('_SCHEDULE'!E165),"",'_SCHEDULE'!E165)</x:f>
      </x:c>
      <x:c r="F197" s="530" t="str">
        <x:f>IF(ISBLANK('_SCHEDULE'!F165),"",'_SCHEDULE'!F165)</x:f>
      </x:c>
      <x:c r="G197" s="530" t="str">
        <x:f>IF(ISBLANK('_SCHEDULE'!G165),"",'_SCHEDULE'!G165)</x:f>
      </x:c>
      <x:c r="H197" s="530" t="str">
        <x:f>IF(ISBLANK('_SCHEDULE'!H165),"",'_SCHEDULE'!H165)</x:f>
      </x:c>
      <x:c r="I197" s="530" t="str">
        <x:f>IF(ISBLANK('_SCHEDULE'!I165),"",'_SCHEDULE'!I165)</x:f>
      </x:c>
      <x:c r="J197" s="530" t="str">
        <x:f>IF(ISBLANK('_SCHEDULE'!J165),"",'_SCHEDULE'!J165)</x:f>
      </x:c>
      <x:c r="K197" s="530" t="str">
        <x:f>IF(ISBLANK('_SCHEDULE'!K165),"",'_SCHEDULE'!K165)</x:f>
      </x:c>
      <x:c r="L197" s="530" t="str">
        <x:f>IF(ISBLANK('_SCHEDULE'!L165),"",'_SCHEDULE'!L165)</x:f>
      </x:c>
      <x:c r="M197" s="530" t="str">
        <x:f>IF(ISBLANK('_SCHEDULE'!M165),"",'_SCHEDULE'!M165)</x:f>
      </x:c>
      <x:c r="N197" s="530" t="str">
        <x:f>IF(ISBLANK('_SCHEDULE'!N165),"",'_SCHEDULE'!N165)</x:f>
      </x:c>
      <x:c r="O197" s="530" t="str">
        <x:f>IF(ISBLANK('_SCHEDULE'!O165),"",'_SCHEDULE'!O165)</x:f>
      </x:c>
      <x:c r="P197" s="530" t="str">
        <x:f>IF(ISBLANK('_SCHEDULE'!P165),"",'_SCHEDULE'!P165)</x:f>
      </x:c>
      <x:c r="Q197" s="530" t="str">
        <x:f>IF(ISBLANK('_SCHEDULE'!Q165),"",'_SCHEDULE'!Q165)</x:f>
      </x:c>
      <x:c r="R197" s="530" t="str">
        <x:f>IF(ISBLANK('_SCHEDULE'!R165),"",'_SCHEDULE'!R165)</x:f>
      </x:c>
      <x:c r="S197" s="523" t="str">
        <x:f>IF(ISBLANK('_SCHEDULE'!S165),"",'_SCHEDULE'!S165)</x:f>
      </x:c>
      <x:c r="T197" s="38"/>
      <x:c r="U197" s="38"/>
      <x:c r="V197" s="38"/>
      <x:c r="W197" s="38"/>
      <x:c r="X197" s="38"/>
      <x:c r="Y197" s="38"/>
      <x:c r="Z197" s="38"/>
      <x:c r="AA197" s="38"/>
      <x:c r="AB197" s="38"/>
      <x:c r="AC197" s="38"/>
      <x:c r="AD197" s="38"/>
      <x:c r="AE197" s="38"/>
      <x:c r="AF197" s="38"/>
      <x:c r="AG197" s="38"/>
      <x:c r="AH197" s="38"/>
      <x:c r="AI197" s="38"/>
      <x:c r="AJ197" s="38"/>
      <x:c r="AK197" s="38"/>
      <x:c r="AL197" s="38"/>
      <x:c r="AM197" s="38"/>
    </x:row>
    <x:row r="198">
      <x:c r="A198" s="523" t="str">
        <x:f>IF(ISBLANK('_SCHEDULE'!A166),"",'_SCHEDULE'!A166)</x:f>
      </x:c>
      <x:c r="B198" s="523" t="str">
        <x:f>IF(ISBLANK('_SCHEDULE'!B166),"",IF('_CONFIG'!$B$2="pt-BR",IF('_SCHEDULE'!B166="scheduled","programado",IF('_SCHEDULE'!B166="rejected","rejeitado",'_SCHEDULE'!B166)),'_SCHEDULE'!B166))</x:f>
      </x:c>
      <x:c r="C198" s="523" t="str">
        <x:f>IF(ISBLANK('_SCHEDULE'!C166),"",'_SCHEDULE'!C166)</x:f>
      </x:c>
      <x:c r="D198" s="523" t="str">
        <x:f>IF(ISBLANK('_SCHEDULE'!D166),"",'_SCHEDULE'!D166)</x:f>
      </x:c>
      <x:c r="E198" s="530" t="str">
        <x:f>IF(ISBLANK('_SCHEDULE'!E166),"",'_SCHEDULE'!E166)</x:f>
      </x:c>
      <x:c r="F198" s="530" t="str">
        <x:f>IF(ISBLANK('_SCHEDULE'!F166),"",'_SCHEDULE'!F166)</x:f>
      </x:c>
      <x:c r="G198" s="530" t="str">
        <x:f>IF(ISBLANK('_SCHEDULE'!G166),"",'_SCHEDULE'!G166)</x:f>
      </x:c>
      <x:c r="H198" s="530" t="str">
        <x:f>IF(ISBLANK('_SCHEDULE'!H166),"",'_SCHEDULE'!H166)</x:f>
      </x:c>
      <x:c r="I198" s="530" t="str">
        <x:f>IF(ISBLANK('_SCHEDULE'!I166),"",'_SCHEDULE'!I166)</x:f>
      </x:c>
      <x:c r="J198" s="530" t="str">
        <x:f>IF(ISBLANK('_SCHEDULE'!J166),"",'_SCHEDULE'!J166)</x:f>
      </x:c>
      <x:c r="K198" s="530" t="str">
        <x:f>IF(ISBLANK('_SCHEDULE'!K166),"",'_SCHEDULE'!K166)</x:f>
      </x:c>
      <x:c r="L198" s="530" t="str">
        <x:f>IF(ISBLANK('_SCHEDULE'!L166),"",'_SCHEDULE'!L166)</x:f>
      </x:c>
      <x:c r="M198" s="530" t="str">
        <x:f>IF(ISBLANK('_SCHEDULE'!M166),"",'_SCHEDULE'!M166)</x:f>
      </x:c>
      <x:c r="N198" s="530" t="str">
        <x:f>IF(ISBLANK('_SCHEDULE'!N166),"",'_SCHEDULE'!N166)</x:f>
      </x:c>
      <x:c r="O198" s="530" t="str">
        <x:f>IF(ISBLANK('_SCHEDULE'!O166),"",'_SCHEDULE'!O166)</x:f>
      </x:c>
      <x:c r="P198" s="530" t="str">
        <x:f>IF(ISBLANK('_SCHEDULE'!P166),"",'_SCHEDULE'!P166)</x:f>
      </x:c>
      <x:c r="Q198" s="530" t="str">
        <x:f>IF(ISBLANK('_SCHEDULE'!Q166),"",'_SCHEDULE'!Q166)</x:f>
      </x:c>
      <x:c r="R198" s="530" t="str">
        <x:f>IF(ISBLANK('_SCHEDULE'!R166),"",'_SCHEDULE'!R166)</x:f>
      </x:c>
      <x:c r="S198" s="523" t="str">
        <x:f>IF(ISBLANK('_SCHEDULE'!S166),"",'_SCHEDULE'!S166)</x:f>
      </x:c>
      <x:c r="T198" s="38"/>
      <x:c r="U198" s="38"/>
      <x:c r="V198" s="38"/>
      <x:c r="W198" s="38"/>
      <x:c r="X198" s="38"/>
      <x:c r="Y198" s="38"/>
      <x:c r="Z198" s="38"/>
      <x:c r="AA198" s="38"/>
      <x:c r="AB198" s="38"/>
      <x:c r="AC198" s="38"/>
      <x:c r="AD198" s="38"/>
      <x:c r="AE198" s="38"/>
      <x:c r="AF198" s="38"/>
      <x:c r="AG198" s="38"/>
      <x:c r="AH198" s="38"/>
      <x:c r="AI198" s="38"/>
      <x:c r="AJ198" s="38"/>
      <x:c r="AK198" s="38"/>
      <x:c r="AL198" s="38"/>
      <x:c r="AM198" s="38"/>
    </x:row>
    <x:row r="199">
      <x:c r="A199" s="523" t="str">
        <x:f>IF(ISBLANK('_SCHEDULE'!A167),"",'_SCHEDULE'!A167)</x:f>
      </x:c>
      <x:c r="B199" s="523" t="str">
        <x:f>IF(ISBLANK('_SCHEDULE'!B167),"",IF('_CONFIG'!$B$2="pt-BR",IF('_SCHEDULE'!B167="scheduled","programado",IF('_SCHEDULE'!B167="rejected","rejeitado",'_SCHEDULE'!B167)),'_SCHEDULE'!B167))</x:f>
      </x:c>
      <x:c r="C199" s="523" t="str">
        <x:f>IF(ISBLANK('_SCHEDULE'!C167),"",'_SCHEDULE'!C167)</x:f>
      </x:c>
      <x:c r="D199" s="523" t="str">
        <x:f>IF(ISBLANK('_SCHEDULE'!D167),"",'_SCHEDULE'!D167)</x:f>
      </x:c>
      <x:c r="E199" s="530" t="str">
        <x:f>IF(ISBLANK('_SCHEDULE'!E167),"",'_SCHEDULE'!E167)</x:f>
      </x:c>
      <x:c r="F199" s="530" t="str">
        <x:f>IF(ISBLANK('_SCHEDULE'!F167),"",'_SCHEDULE'!F167)</x:f>
      </x:c>
      <x:c r="G199" s="530" t="str">
        <x:f>IF(ISBLANK('_SCHEDULE'!G167),"",'_SCHEDULE'!G167)</x:f>
      </x:c>
      <x:c r="H199" s="530" t="str">
        <x:f>IF(ISBLANK('_SCHEDULE'!H167),"",'_SCHEDULE'!H167)</x:f>
      </x:c>
      <x:c r="I199" s="530" t="str">
        <x:f>IF(ISBLANK('_SCHEDULE'!I167),"",'_SCHEDULE'!I167)</x:f>
      </x:c>
      <x:c r="J199" s="530" t="str">
        <x:f>IF(ISBLANK('_SCHEDULE'!J167),"",'_SCHEDULE'!J167)</x:f>
      </x:c>
      <x:c r="K199" s="530" t="str">
        <x:f>IF(ISBLANK('_SCHEDULE'!K167),"",'_SCHEDULE'!K167)</x:f>
      </x:c>
      <x:c r="L199" s="530" t="str">
        <x:f>IF(ISBLANK('_SCHEDULE'!L167),"",'_SCHEDULE'!L167)</x:f>
      </x:c>
      <x:c r="M199" s="530" t="str">
        <x:f>IF(ISBLANK('_SCHEDULE'!M167),"",'_SCHEDULE'!M167)</x:f>
      </x:c>
      <x:c r="N199" s="530" t="str">
        <x:f>IF(ISBLANK('_SCHEDULE'!N167),"",'_SCHEDULE'!N167)</x:f>
      </x:c>
      <x:c r="O199" s="530" t="str">
        <x:f>IF(ISBLANK('_SCHEDULE'!O167),"",'_SCHEDULE'!O167)</x:f>
      </x:c>
      <x:c r="P199" s="530" t="str">
        <x:f>IF(ISBLANK('_SCHEDULE'!P167),"",'_SCHEDULE'!P167)</x:f>
      </x:c>
      <x:c r="Q199" s="530" t="str">
        <x:f>IF(ISBLANK('_SCHEDULE'!Q167),"",'_SCHEDULE'!Q167)</x:f>
      </x:c>
      <x:c r="R199" s="530" t="str">
        <x:f>IF(ISBLANK('_SCHEDULE'!R167),"",'_SCHEDULE'!R167)</x:f>
      </x:c>
      <x:c r="S199" s="523" t="str">
        <x:f>IF(ISBLANK('_SCHEDULE'!S167),"",'_SCHEDULE'!S167)</x:f>
      </x:c>
      <x:c r="T199" s="38"/>
      <x:c r="U199" s="38"/>
      <x:c r="V199" s="38"/>
      <x:c r="W199" s="38"/>
      <x:c r="X199" s="38"/>
      <x:c r="Y199" s="38"/>
      <x:c r="Z199" s="38"/>
      <x:c r="AA199" s="38"/>
      <x:c r="AB199" s="38"/>
      <x:c r="AC199" s="38"/>
      <x:c r="AD199" s="38"/>
      <x:c r="AE199" s="38"/>
      <x:c r="AF199" s="38"/>
      <x:c r="AG199" s="38"/>
      <x:c r="AH199" s="38"/>
      <x:c r="AI199" s="38"/>
      <x:c r="AJ199" s="38"/>
      <x:c r="AK199" s="38"/>
      <x:c r="AL199" s="38"/>
      <x:c r="AM199" s="38"/>
    </x:row>
    <x:row r="200">
      <x:c r="A200" s="523" t="str">
        <x:f>IF(ISBLANK('_SCHEDULE'!A168),"",'_SCHEDULE'!A168)</x:f>
      </x:c>
      <x:c r="B200" s="523" t="str">
        <x:f>IF(ISBLANK('_SCHEDULE'!B168),"",IF('_CONFIG'!$B$2="pt-BR",IF('_SCHEDULE'!B168="scheduled","programado",IF('_SCHEDULE'!B168="rejected","rejeitado",'_SCHEDULE'!B168)),'_SCHEDULE'!B168))</x:f>
      </x:c>
      <x:c r="C200" s="523" t="str">
        <x:f>IF(ISBLANK('_SCHEDULE'!C168),"",'_SCHEDULE'!C168)</x:f>
      </x:c>
      <x:c r="D200" s="523" t="str">
        <x:f>IF(ISBLANK('_SCHEDULE'!D168),"",'_SCHEDULE'!D168)</x:f>
      </x:c>
      <x:c r="E200" s="530" t="str">
        <x:f>IF(ISBLANK('_SCHEDULE'!E168),"",'_SCHEDULE'!E168)</x:f>
      </x:c>
      <x:c r="F200" s="530" t="str">
        <x:f>IF(ISBLANK('_SCHEDULE'!F168),"",'_SCHEDULE'!F168)</x:f>
      </x:c>
      <x:c r="G200" s="530" t="str">
        <x:f>IF(ISBLANK('_SCHEDULE'!G168),"",'_SCHEDULE'!G168)</x:f>
      </x:c>
      <x:c r="H200" s="530" t="str">
        <x:f>IF(ISBLANK('_SCHEDULE'!H168),"",'_SCHEDULE'!H168)</x:f>
      </x:c>
      <x:c r="I200" s="530" t="str">
        <x:f>IF(ISBLANK('_SCHEDULE'!I168),"",'_SCHEDULE'!I168)</x:f>
      </x:c>
      <x:c r="J200" s="530" t="str">
        <x:f>IF(ISBLANK('_SCHEDULE'!J168),"",'_SCHEDULE'!J168)</x:f>
      </x:c>
      <x:c r="K200" s="530" t="str">
        <x:f>IF(ISBLANK('_SCHEDULE'!K168),"",'_SCHEDULE'!K168)</x:f>
      </x:c>
      <x:c r="L200" s="530" t="str">
        <x:f>IF(ISBLANK('_SCHEDULE'!L168),"",'_SCHEDULE'!L168)</x:f>
      </x:c>
      <x:c r="M200" s="530" t="str">
        <x:f>IF(ISBLANK('_SCHEDULE'!M168),"",'_SCHEDULE'!M168)</x:f>
      </x:c>
      <x:c r="N200" s="530" t="str">
        <x:f>IF(ISBLANK('_SCHEDULE'!N168),"",'_SCHEDULE'!N168)</x:f>
      </x:c>
      <x:c r="O200" s="530" t="str">
        <x:f>IF(ISBLANK('_SCHEDULE'!O168),"",'_SCHEDULE'!O168)</x:f>
      </x:c>
      <x:c r="P200" s="530" t="str">
        <x:f>IF(ISBLANK('_SCHEDULE'!P168),"",'_SCHEDULE'!P168)</x:f>
      </x:c>
      <x:c r="Q200" s="530" t="str">
        <x:f>IF(ISBLANK('_SCHEDULE'!Q168),"",'_SCHEDULE'!Q168)</x:f>
      </x:c>
      <x:c r="R200" s="530" t="str">
        <x:f>IF(ISBLANK('_SCHEDULE'!R168),"",'_SCHEDULE'!R168)</x:f>
      </x:c>
      <x:c r="S200" s="523" t="str">
        <x:f>IF(ISBLANK('_SCHEDULE'!S168),"",'_SCHEDULE'!S168)</x:f>
      </x:c>
      <x:c r="T200" s="38"/>
      <x:c r="U200" s="38"/>
      <x:c r="V200" s="38"/>
      <x:c r="W200" s="38"/>
      <x:c r="X200" s="38"/>
      <x:c r="Y200" s="38"/>
      <x:c r="Z200" s="38"/>
      <x:c r="AA200" s="38"/>
      <x:c r="AB200" s="38"/>
      <x:c r="AC200" s="38"/>
      <x:c r="AD200" s="38"/>
      <x:c r="AE200" s="38"/>
      <x:c r="AF200" s="38"/>
      <x:c r="AG200" s="38"/>
      <x:c r="AH200" s="38"/>
      <x:c r="AI200" s="38"/>
      <x:c r="AJ200" s="38"/>
      <x:c r="AK200" s="38"/>
      <x:c r="AL200" s="38"/>
      <x:c r="AM200" s="38"/>
    </x:row>
    <x:row r="201">
      <x:c r="A201" s="523" t="str">
        <x:f>IF(ISBLANK('_SCHEDULE'!A169),"",'_SCHEDULE'!A169)</x:f>
      </x:c>
      <x:c r="B201" s="523" t="str">
        <x:f>IF(ISBLANK('_SCHEDULE'!B169),"",IF('_CONFIG'!$B$2="pt-BR",IF('_SCHEDULE'!B169="scheduled","programado",IF('_SCHEDULE'!B169="rejected","rejeitado",'_SCHEDULE'!B169)),'_SCHEDULE'!B169))</x:f>
      </x:c>
      <x:c r="C201" s="523" t="str">
        <x:f>IF(ISBLANK('_SCHEDULE'!C169),"",'_SCHEDULE'!C169)</x:f>
      </x:c>
      <x:c r="D201" s="523" t="str">
        <x:f>IF(ISBLANK('_SCHEDULE'!D169),"",'_SCHEDULE'!D169)</x:f>
      </x:c>
      <x:c r="E201" s="530" t="str">
        <x:f>IF(ISBLANK('_SCHEDULE'!E169),"",'_SCHEDULE'!E169)</x:f>
      </x:c>
      <x:c r="F201" s="530" t="str">
        <x:f>IF(ISBLANK('_SCHEDULE'!F169),"",'_SCHEDULE'!F169)</x:f>
      </x:c>
      <x:c r="G201" s="530" t="str">
        <x:f>IF(ISBLANK('_SCHEDULE'!G169),"",'_SCHEDULE'!G169)</x:f>
      </x:c>
      <x:c r="H201" s="530" t="str">
        <x:f>IF(ISBLANK('_SCHEDULE'!H169),"",'_SCHEDULE'!H169)</x:f>
      </x:c>
      <x:c r="I201" s="530" t="str">
        <x:f>IF(ISBLANK('_SCHEDULE'!I169),"",'_SCHEDULE'!I169)</x:f>
      </x:c>
      <x:c r="J201" s="530" t="str">
        <x:f>IF(ISBLANK('_SCHEDULE'!J169),"",'_SCHEDULE'!J169)</x:f>
      </x:c>
      <x:c r="K201" s="530" t="str">
        <x:f>IF(ISBLANK('_SCHEDULE'!K169),"",'_SCHEDULE'!K169)</x:f>
      </x:c>
      <x:c r="L201" s="530" t="str">
        <x:f>IF(ISBLANK('_SCHEDULE'!L169),"",'_SCHEDULE'!L169)</x:f>
      </x:c>
      <x:c r="M201" s="530" t="str">
        <x:f>IF(ISBLANK('_SCHEDULE'!M169),"",'_SCHEDULE'!M169)</x:f>
      </x:c>
      <x:c r="N201" s="530" t="str">
        <x:f>IF(ISBLANK('_SCHEDULE'!N169),"",'_SCHEDULE'!N169)</x:f>
      </x:c>
      <x:c r="O201" s="530" t="str">
        <x:f>IF(ISBLANK('_SCHEDULE'!O169),"",'_SCHEDULE'!O169)</x:f>
      </x:c>
      <x:c r="P201" s="530" t="str">
        <x:f>IF(ISBLANK('_SCHEDULE'!P169),"",'_SCHEDULE'!P169)</x:f>
      </x:c>
      <x:c r="Q201" s="530" t="str">
        <x:f>IF(ISBLANK('_SCHEDULE'!Q169),"",'_SCHEDULE'!Q169)</x:f>
      </x:c>
      <x:c r="R201" s="530" t="str">
        <x:f>IF(ISBLANK('_SCHEDULE'!R169),"",'_SCHEDULE'!R169)</x:f>
      </x:c>
      <x:c r="S201" s="523" t="str">
        <x:f>IF(ISBLANK('_SCHEDULE'!S169),"",'_SCHEDULE'!S169)</x:f>
      </x:c>
      <x:c r="T201" s="38"/>
      <x:c r="U201" s="38"/>
      <x:c r="V201" s="38"/>
      <x:c r="W201" s="38"/>
      <x:c r="X201" s="38"/>
      <x:c r="Y201" s="38"/>
      <x:c r="Z201" s="38"/>
      <x:c r="AA201" s="38"/>
      <x:c r="AB201" s="38"/>
      <x:c r="AC201" s="38"/>
      <x:c r="AD201" s="38"/>
      <x:c r="AE201" s="38"/>
      <x:c r="AF201" s="38"/>
      <x:c r="AG201" s="38"/>
      <x:c r="AH201" s="38"/>
      <x:c r="AI201" s="38"/>
      <x:c r="AJ201" s="38"/>
      <x:c r="AK201" s="38"/>
      <x:c r="AL201" s="38"/>
      <x:c r="AM201" s="38"/>
    </x:row>
    <x:row r="202">
      <x:c r="A202" s="523" t="str">
        <x:f>IF(ISBLANK('_SCHEDULE'!A170),"",'_SCHEDULE'!A170)</x:f>
      </x:c>
      <x:c r="B202" s="523" t="str">
        <x:f>IF(ISBLANK('_SCHEDULE'!B170),"",IF('_CONFIG'!$B$2="pt-BR",IF('_SCHEDULE'!B170="scheduled","programado",IF('_SCHEDULE'!B170="rejected","rejeitado",'_SCHEDULE'!B170)),'_SCHEDULE'!B170))</x:f>
      </x:c>
      <x:c r="C202" s="523" t="str">
        <x:f>IF(ISBLANK('_SCHEDULE'!C170),"",'_SCHEDULE'!C170)</x:f>
      </x:c>
      <x:c r="D202" s="523" t="str">
        <x:f>IF(ISBLANK('_SCHEDULE'!D170),"",'_SCHEDULE'!D170)</x:f>
      </x:c>
      <x:c r="E202" s="530" t="str">
        <x:f>IF(ISBLANK('_SCHEDULE'!E170),"",'_SCHEDULE'!E170)</x:f>
      </x:c>
      <x:c r="F202" s="530" t="str">
        <x:f>IF(ISBLANK('_SCHEDULE'!F170),"",'_SCHEDULE'!F170)</x:f>
      </x:c>
      <x:c r="G202" s="530" t="str">
        <x:f>IF(ISBLANK('_SCHEDULE'!G170),"",'_SCHEDULE'!G170)</x:f>
      </x:c>
      <x:c r="H202" s="530" t="str">
        <x:f>IF(ISBLANK('_SCHEDULE'!H170),"",'_SCHEDULE'!H170)</x:f>
      </x:c>
      <x:c r="I202" s="530" t="str">
        <x:f>IF(ISBLANK('_SCHEDULE'!I170),"",'_SCHEDULE'!I170)</x:f>
      </x:c>
      <x:c r="J202" s="530" t="str">
        <x:f>IF(ISBLANK('_SCHEDULE'!J170),"",'_SCHEDULE'!J170)</x:f>
      </x:c>
      <x:c r="K202" s="530" t="str">
        <x:f>IF(ISBLANK('_SCHEDULE'!K170),"",'_SCHEDULE'!K170)</x:f>
      </x:c>
      <x:c r="L202" s="530" t="str">
        <x:f>IF(ISBLANK('_SCHEDULE'!L170),"",'_SCHEDULE'!L170)</x:f>
      </x:c>
      <x:c r="M202" s="530" t="str">
        <x:f>IF(ISBLANK('_SCHEDULE'!M170),"",'_SCHEDULE'!M170)</x:f>
      </x:c>
      <x:c r="N202" s="530" t="str">
        <x:f>IF(ISBLANK('_SCHEDULE'!N170),"",'_SCHEDULE'!N170)</x:f>
      </x:c>
      <x:c r="O202" s="530" t="str">
        <x:f>IF(ISBLANK('_SCHEDULE'!O170),"",'_SCHEDULE'!O170)</x:f>
      </x:c>
      <x:c r="P202" s="530" t="str">
        <x:f>IF(ISBLANK('_SCHEDULE'!P170),"",'_SCHEDULE'!P170)</x:f>
      </x:c>
      <x:c r="Q202" s="530" t="str">
        <x:f>IF(ISBLANK('_SCHEDULE'!Q170),"",'_SCHEDULE'!Q170)</x:f>
      </x:c>
      <x:c r="R202" s="530" t="str">
        <x:f>IF(ISBLANK('_SCHEDULE'!R170),"",'_SCHEDULE'!R170)</x:f>
      </x:c>
      <x:c r="S202" s="523" t="str">
        <x:f>IF(ISBLANK('_SCHEDULE'!S170),"",'_SCHEDULE'!S170)</x:f>
      </x:c>
      <x:c r="T202" s="38"/>
      <x:c r="U202" s="38"/>
      <x:c r="V202" s="38"/>
      <x:c r="W202" s="38"/>
      <x:c r="X202" s="38"/>
      <x:c r="Y202" s="38"/>
      <x:c r="Z202" s="38"/>
      <x:c r="AA202" s="38"/>
      <x:c r="AB202" s="38"/>
      <x:c r="AC202" s="38"/>
      <x:c r="AD202" s="38"/>
      <x:c r="AE202" s="38"/>
      <x:c r="AF202" s="38"/>
      <x:c r="AG202" s="38"/>
      <x:c r="AH202" s="38"/>
      <x:c r="AI202" s="38"/>
      <x:c r="AJ202" s="38"/>
      <x:c r="AK202" s="38"/>
      <x:c r="AL202" s="38"/>
      <x:c r="AM202" s="38"/>
    </x:row>
    <x:row r="203">
      <x:c r="A203" s="523" t="str">
        <x:f>IF(ISBLANK('_SCHEDULE'!A171),"",'_SCHEDULE'!A171)</x:f>
      </x:c>
      <x:c r="B203" s="523" t="str">
        <x:f>IF(ISBLANK('_SCHEDULE'!B171),"",IF('_CONFIG'!$B$2="pt-BR",IF('_SCHEDULE'!B171="scheduled","programado",IF('_SCHEDULE'!B171="rejected","rejeitado",'_SCHEDULE'!B171)),'_SCHEDULE'!B171))</x:f>
      </x:c>
      <x:c r="C203" s="523" t="str">
        <x:f>IF(ISBLANK('_SCHEDULE'!C171),"",'_SCHEDULE'!C171)</x:f>
      </x:c>
      <x:c r="D203" s="523" t="str">
        <x:f>IF(ISBLANK('_SCHEDULE'!D171),"",'_SCHEDULE'!D171)</x:f>
      </x:c>
      <x:c r="E203" s="530" t="str">
        <x:f>IF(ISBLANK('_SCHEDULE'!E171),"",'_SCHEDULE'!E171)</x:f>
      </x:c>
      <x:c r="F203" s="530" t="str">
        <x:f>IF(ISBLANK('_SCHEDULE'!F171),"",'_SCHEDULE'!F171)</x:f>
      </x:c>
      <x:c r="G203" s="530" t="str">
        <x:f>IF(ISBLANK('_SCHEDULE'!G171),"",'_SCHEDULE'!G171)</x:f>
      </x:c>
      <x:c r="H203" s="530" t="str">
        <x:f>IF(ISBLANK('_SCHEDULE'!H171),"",'_SCHEDULE'!H171)</x:f>
      </x:c>
      <x:c r="I203" s="530" t="str">
        <x:f>IF(ISBLANK('_SCHEDULE'!I171),"",'_SCHEDULE'!I171)</x:f>
      </x:c>
      <x:c r="J203" s="530" t="str">
        <x:f>IF(ISBLANK('_SCHEDULE'!J171),"",'_SCHEDULE'!J171)</x:f>
      </x:c>
      <x:c r="K203" s="530" t="str">
        <x:f>IF(ISBLANK('_SCHEDULE'!K171),"",'_SCHEDULE'!K171)</x:f>
      </x:c>
      <x:c r="L203" s="530" t="str">
        <x:f>IF(ISBLANK('_SCHEDULE'!L171),"",'_SCHEDULE'!L171)</x:f>
      </x:c>
      <x:c r="M203" s="530" t="str">
        <x:f>IF(ISBLANK('_SCHEDULE'!M171),"",'_SCHEDULE'!M171)</x:f>
      </x:c>
      <x:c r="N203" s="530" t="str">
        <x:f>IF(ISBLANK('_SCHEDULE'!N171),"",'_SCHEDULE'!N171)</x:f>
      </x:c>
      <x:c r="O203" s="530" t="str">
        <x:f>IF(ISBLANK('_SCHEDULE'!O171),"",'_SCHEDULE'!O171)</x:f>
      </x:c>
      <x:c r="P203" s="530" t="str">
        <x:f>IF(ISBLANK('_SCHEDULE'!P171),"",'_SCHEDULE'!P171)</x:f>
      </x:c>
      <x:c r="Q203" s="530" t="str">
        <x:f>IF(ISBLANK('_SCHEDULE'!Q171),"",'_SCHEDULE'!Q171)</x:f>
      </x:c>
      <x:c r="R203" s="530" t="str">
        <x:f>IF(ISBLANK('_SCHEDULE'!R171),"",'_SCHEDULE'!R171)</x:f>
      </x:c>
      <x:c r="S203" s="523" t="str">
        <x:f>IF(ISBLANK('_SCHEDULE'!S171),"",'_SCHEDULE'!S171)</x:f>
      </x:c>
      <x:c r="T203" s="38"/>
      <x:c r="U203" s="38"/>
      <x:c r="V203" s="38"/>
      <x:c r="W203" s="38"/>
      <x:c r="X203" s="38"/>
      <x:c r="Y203" s="38"/>
      <x:c r="Z203" s="38"/>
      <x:c r="AA203" s="38"/>
      <x:c r="AB203" s="38"/>
      <x:c r="AC203" s="38"/>
      <x:c r="AD203" s="38"/>
      <x:c r="AE203" s="38"/>
      <x:c r="AF203" s="38"/>
      <x:c r="AG203" s="38"/>
      <x:c r="AH203" s="38"/>
      <x:c r="AI203" s="38"/>
      <x:c r="AJ203" s="38"/>
      <x:c r="AK203" s="38"/>
      <x:c r="AL203" s="38"/>
      <x:c r="AM203" s="38"/>
    </x:row>
    <x:row r="204">
      <x:c r="A204" s="523" t="str">
        <x:f>IF(ISBLANK('_SCHEDULE'!A172),"",'_SCHEDULE'!A172)</x:f>
      </x:c>
      <x:c r="B204" s="523" t="str">
        <x:f>IF(ISBLANK('_SCHEDULE'!B172),"",IF('_CONFIG'!$B$2="pt-BR",IF('_SCHEDULE'!B172="scheduled","programado",IF('_SCHEDULE'!B172="rejected","rejeitado",'_SCHEDULE'!B172)),'_SCHEDULE'!B172))</x:f>
      </x:c>
      <x:c r="C204" s="523" t="str">
        <x:f>IF(ISBLANK('_SCHEDULE'!C172),"",'_SCHEDULE'!C172)</x:f>
      </x:c>
      <x:c r="D204" s="523" t="str">
        <x:f>IF(ISBLANK('_SCHEDULE'!D172),"",'_SCHEDULE'!D172)</x:f>
      </x:c>
      <x:c r="E204" s="530" t="str">
        <x:f>IF(ISBLANK('_SCHEDULE'!E172),"",'_SCHEDULE'!E172)</x:f>
      </x:c>
      <x:c r="F204" s="530" t="str">
        <x:f>IF(ISBLANK('_SCHEDULE'!F172),"",'_SCHEDULE'!F172)</x:f>
      </x:c>
      <x:c r="G204" s="530" t="str">
        <x:f>IF(ISBLANK('_SCHEDULE'!G172),"",'_SCHEDULE'!G172)</x:f>
      </x:c>
      <x:c r="H204" s="530" t="str">
        <x:f>IF(ISBLANK('_SCHEDULE'!H172),"",'_SCHEDULE'!H172)</x:f>
      </x:c>
      <x:c r="I204" s="530" t="str">
        <x:f>IF(ISBLANK('_SCHEDULE'!I172),"",'_SCHEDULE'!I172)</x:f>
      </x:c>
      <x:c r="J204" s="530" t="str">
        <x:f>IF(ISBLANK('_SCHEDULE'!J172),"",'_SCHEDULE'!J172)</x:f>
      </x:c>
      <x:c r="K204" s="530" t="str">
        <x:f>IF(ISBLANK('_SCHEDULE'!K172),"",'_SCHEDULE'!K172)</x:f>
      </x:c>
      <x:c r="L204" s="530" t="str">
        <x:f>IF(ISBLANK('_SCHEDULE'!L172),"",'_SCHEDULE'!L172)</x:f>
      </x:c>
      <x:c r="M204" s="530" t="str">
        <x:f>IF(ISBLANK('_SCHEDULE'!M172),"",'_SCHEDULE'!M172)</x:f>
      </x:c>
      <x:c r="N204" s="530" t="str">
        <x:f>IF(ISBLANK('_SCHEDULE'!N172),"",'_SCHEDULE'!N172)</x:f>
      </x:c>
      <x:c r="O204" s="530" t="str">
        <x:f>IF(ISBLANK('_SCHEDULE'!O172),"",'_SCHEDULE'!O172)</x:f>
      </x:c>
      <x:c r="P204" s="530" t="str">
        <x:f>IF(ISBLANK('_SCHEDULE'!P172),"",'_SCHEDULE'!P172)</x:f>
      </x:c>
      <x:c r="Q204" s="530" t="str">
        <x:f>IF(ISBLANK('_SCHEDULE'!Q172),"",'_SCHEDULE'!Q172)</x:f>
      </x:c>
      <x:c r="R204" s="530" t="str">
        <x:f>IF(ISBLANK('_SCHEDULE'!R172),"",'_SCHEDULE'!R172)</x:f>
      </x:c>
      <x:c r="S204" s="523" t="str">
        <x:f>IF(ISBLANK('_SCHEDULE'!S172),"",'_SCHEDULE'!S172)</x:f>
      </x:c>
      <x:c r="T204" s="38"/>
      <x:c r="U204" s="38"/>
      <x:c r="V204" s="38"/>
      <x:c r="W204" s="38"/>
      <x:c r="X204" s="38"/>
      <x:c r="Y204" s="38"/>
      <x:c r="Z204" s="38"/>
      <x:c r="AA204" s="38"/>
      <x:c r="AB204" s="38"/>
      <x:c r="AC204" s="38"/>
      <x:c r="AD204" s="38"/>
      <x:c r="AE204" s="38"/>
      <x:c r="AF204" s="38"/>
      <x:c r="AG204" s="38"/>
      <x:c r="AH204" s="38"/>
      <x:c r="AI204" s="38"/>
      <x:c r="AJ204" s="38"/>
      <x:c r="AK204" s="38"/>
      <x:c r="AL204" s="38"/>
      <x:c r="AM204" s="38"/>
    </x:row>
    <x:row r="205">
      <x:c r="A205" s="523" t="str">
        <x:f>IF(ISBLANK('_SCHEDULE'!A173),"",'_SCHEDULE'!A173)</x:f>
      </x:c>
      <x:c r="B205" s="523" t="str">
        <x:f>IF(ISBLANK('_SCHEDULE'!B173),"",IF('_CONFIG'!$B$2="pt-BR",IF('_SCHEDULE'!B173="scheduled","programado",IF('_SCHEDULE'!B173="rejected","rejeitado",'_SCHEDULE'!B173)),'_SCHEDULE'!B173))</x:f>
      </x:c>
      <x:c r="C205" s="523" t="str">
        <x:f>IF(ISBLANK('_SCHEDULE'!C173),"",'_SCHEDULE'!C173)</x:f>
      </x:c>
      <x:c r="D205" s="523" t="str">
        <x:f>IF(ISBLANK('_SCHEDULE'!D173),"",'_SCHEDULE'!D173)</x:f>
      </x:c>
      <x:c r="E205" s="530" t="str">
        <x:f>IF(ISBLANK('_SCHEDULE'!E173),"",'_SCHEDULE'!E173)</x:f>
      </x:c>
      <x:c r="F205" s="530" t="str">
        <x:f>IF(ISBLANK('_SCHEDULE'!F173),"",'_SCHEDULE'!F173)</x:f>
      </x:c>
      <x:c r="G205" s="530" t="str">
        <x:f>IF(ISBLANK('_SCHEDULE'!G173),"",'_SCHEDULE'!G173)</x:f>
      </x:c>
      <x:c r="H205" s="530" t="str">
        <x:f>IF(ISBLANK('_SCHEDULE'!H173),"",'_SCHEDULE'!H173)</x:f>
      </x:c>
      <x:c r="I205" s="530" t="str">
        <x:f>IF(ISBLANK('_SCHEDULE'!I173),"",'_SCHEDULE'!I173)</x:f>
      </x:c>
      <x:c r="J205" s="530" t="str">
        <x:f>IF(ISBLANK('_SCHEDULE'!J173),"",'_SCHEDULE'!J173)</x:f>
      </x:c>
      <x:c r="K205" s="530" t="str">
        <x:f>IF(ISBLANK('_SCHEDULE'!K173),"",'_SCHEDULE'!K173)</x:f>
      </x:c>
      <x:c r="L205" s="530" t="str">
        <x:f>IF(ISBLANK('_SCHEDULE'!L173),"",'_SCHEDULE'!L173)</x:f>
      </x:c>
      <x:c r="M205" s="530" t="str">
        <x:f>IF(ISBLANK('_SCHEDULE'!M173),"",'_SCHEDULE'!M173)</x:f>
      </x:c>
      <x:c r="N205" s="530" t="str">
        <x:f>IF(ISBLANK('_SCHEDULE'!N173),"",'_SCHEDULE'!N173)</x:f>
      </x:c>
      <x:c r="O205" s="530" t="str">
        <x:f>IF(ISBLANK('_SCHEDULE'!O173),"",'_SCHEDULE'!O173)</x:f>
      </x:c>
      <x:c r="P205" s="530" t="str">
        <x:f>IF(ISBLANK('_SCHEDULE'!P173),"",'_SCHEDULE'!P173)</x:f>
      </x:c>
      <x:c r="Q205" s="530" t="str">
        <x:f>IF(ISBLANK('_SCHEDULE'!Q173),"",'_SCHEDULE'!Q173)</x:f>
      </x:c>
      <x:c r="R205" s="530" t="str">
        <x:f>IF(ISBLANK('_SCHEDULE'!R173),"",'_SCHEDULE'!R173)</x:f>
      </x:c>
      <x:c r="S205" s="523" t="str">
        <x:f>IF(ISBLANK('_SCHEDULE'!S173),"",'_SCHEDULE'!S173)</x:f>
      </x:c>
      <x:c r="T205" s="38"/>
      <x:c r="U205" s="38"/>
      <x:c r="V205" s="38"/>
      <x:c r="W205" s="38"/>
      <x:c r="X205" s="38"/>
      <x:c r="Y205" s="38"/>
      <x:c r="Z205" s="38"/>
      <x:c r="AA205" s="38"/>
      <x:c r="AB205" s="38"/>
      <x:c r="AC205" s="38"/>
      <x:c r="AD205" s="38"/>
      <x:c r="AE205" s="38"/>
      <x:c r="AF205" s="38"/>
      <x:c r="AG205" s="38"/>
      <x:c r="AH205" s="38"/>
      <x:c r="AI205" s="38"/>
      <x:c r="AJ205" s="38"/>
      <x:c r="AK205" s="38"/>
      <x:c r="AL205" s="38"/>
      <x:c r="AM205" s="38"/>
    </x:row>
    <x:row r="206">
      <x:c r="A206" s="523" t="str">
        <x:f>IF(ISBLANK('_SCHEDULE'!A174),"",'_SCHEDULE'!A174)</x:f>
      </x:c>
      <x:c r="B206" s="523" t="str">
        <x:f>IF(ISBLANK('_SCHEDULE'!B174),"",IF('_CONFIG'!$B$2="pt-BR",IF('_SCHEDULE'!B174="scheduled","programado",IF('_SCHEDULE'!B174="rejected","rejeitado",'_SCHEDULE'!B174)),'_SCHEDULE'!B174))</x:f>
      </x:c>
      <x:c r="C206" s="523" t="str">
        <x:f>IF(ISBLANK('_SCHEDULE'!C174),"",'_SCHEDULE'!C174)</x:f>
      </x:c>
      <x:c r="D206" s="523" t="str">
        <x:f>IF(ISBLANK('_SCHEDULE'!D174),"",'_SCHEDULE'!D174)</x:f>
      </x:c>
      <x:c r="E206" s="530" t="str">
        <x:f>IF(ISBLANK('_SCHEDULE'!E174),"",'_SCHEDULE'!E174)</x:f>
      </x:c>
      <x:c r="F206" s="530" t="str">
        <x:f>IF(ISBLANK('_SCHEDULE'!F174),"",'_SCHEDULE'!F174)</x:f>
      </x:c>
      <x:c r="G206" s="530" t="str">
        <x:f>IF(ISBLANK('_SCHEDULE'!G174),"",'_SCHEDULE'!G174)</x:f>
      </x:c>
      <x:c r="H206" s="530" t="str">
        <x:f>IF(ISBLANK('_SCHEDULE'!H174),"",'_SCHEDULE'!H174)</x:f>
      </x:c>
      <x:c r="I206" s="530" t="str">
        <x:f>IF(ISBLANK('_SCHEDULE'!I174),"",'_SCHEDULE'!I174)</x:f>
      </x:c>
      <x:c r="J206" s="530" t="str">
        <x:f>IF(ISBLANK('_SCHEDULE'!J174),"",'_SCHEDULE'!J174)</x:f>
      </x:c>
      <x:c r="K206" s="530" t="str">
        <x:f>IF(ISBLANK('_SCHEDULE'!K174),"",'_SCHEDULE'!K174)</x:f>
      </x:c>
      <x:c r="L206" s="530" t="str">
        <x:f>IF(ISBLANK('_SCHEDULE'!L174),"",'_SCHEDULE'!L174)</x:f>
      </x:c>
      <x:c r="M206" s="530" t="str">
        <x:f>IF(ISBLANK('_SCHEDULE'!M174),"",'_SCHEDULE'!M174)</x:f>
      </x:c>
      <x:c r="N206" s="530" t="str">
        <x:f>IF(ISBLANK('_SCHEDULE'!N174),"",'_SCHEDULE'!N174)</x:f>
      </x:c>
      <x:c r="O206" s="530" t="str">
        <x:f>IF(ISBLANK('_SCHEDULE'!O174),"",'_SCHEDULE'!O174)</x:f>
      </x:c>
      <x:c r="P206" s="530" t="str">
        <x:f>IF(ISBLANK('_SCHEDULE'!P174),"",'_SCHEDULE'!P174)</x:f>
      </x:c>
      <x:c r="Q206" s="530" t="str">
        <x:f>IF(ISBLANK('_SCHEDULE'!Q174),"",'_SCHEDULE'!Q174)</x:f>
      </x:c>
      <x:c r="R206" s="530" t="str">
        <x:f>IF(ISBLANK('_SCHEDULE'!R174),"",'_SCHEDULE'!R174)</x:f>
      </x:c>
      <x:c r="S206" s="523" t="str">
        <x:f>IF(ISBLANK('_SCHEDULE'!S174),"",'_SCHEDULE'!S174)</x:f>
      </x:c>
      <x:c r="T206" s="38"/>
      <x:c r="U206" s="38"/>
      <x:c r="V206" s="38"/>
      <x:c r="W206" s="38"/>
      <x:c r="X206" s="38"/>
      <x:c r="Y206" s="38"/>
      <x:c r="Z206" s="38"/>
      <x:c r="AA206" s="38"/>
      <x:c r="AB206" s="38"/>
      <x:c r="AC206" s="38"/>
      <x:c r="AD206" s="38"/>
      <x:c r="AE206" s="38"/>
      <x:c r="AF206" s="38"/>
      <x:c r="AG206" s="38"/>
      <x:c r="AH206" s="38"/>
      <x:c r="AI206" s="38"/>
      <x:c r="AJ206" s="38"/>
      <x:c r="AK206" s="38"/>
      <x:c r="AL206" s="38"/>
      <x:c r="AM206" s="38"/>
    </x:row>
    <x:row r="207">
      <x:c r="A207" s="523" t="str">
        <x:f>IF(ISBLANK('_SCHEDULE'!A175),"",'_SCHEDULE'!A175)</x:f>
      </x:c>
      <x:c r="B207" s="523" t="str">
        <x:f>IF(ISBLANK('_SCHEDULE'!B175),"",IF('_CONFIG'!$B$2="pt-BR",IF('_SCHEDULE'!B175="scheduled","programado",IF('_SCHEDULE'!B175="rejected","rejeitado",'_SCHEDULE'!B175)),'_SCHEDULE'!B175))</x:f>
      </x:c>
      <x:c r="C207" s="523" t="str">
        <x:f>IF(ISBLANK('_SCHEDULE'!C175),"",'_SCHEDULE'!C175)</x:f>
      </x:c>
      <x:c r="D207" s="523" t="str">
        <x:f>IF(ISBLANK('_SCHEDULE'!D175),"",'_SCHEDULE'!D175)</x:f>
      </x:c>
      <x:c r="E207" s="530" t="str">
        <x:f>IF(ISBLANK('_SCHEDULE'!E175),"",'_SCHEDULE'!E175)</x:f>
      </x:c>
      <x:c r="F207" s="530" t="str">
        <x:f>IF(ISBLANK('_SCHEDULE'!F175),"",'_SCHEDULE'!F175)</x:f>
      </x:c>
      <x:c r="G207" s="530" t="str">
        <x:f>IF(ISBLANK('_SCHEDULE'!G175),"",'_SCHEDULE'!G175)</x:f>
      </x:c>
      <x:c r="H207" s="530" t="str">
        <x:f>IF(ISBLANK('_SCHEDULE'!H175),"",'_SCHEDULE'!H175)</x:f>
      </x:c>
      <x:c r="I207" s="530" t="str">
        <x:f>IF(ISBLANK('_SCHEDULE'!I175),"",'_SCHEDULE'!I175)</x:f>
      </x:c>
      <x:c r="J207" s="530" t="str">
        <x:f>IF(ISBLANK('_SCHEDULE'!J175),"",'_SCHEDULE'!J175)</x:f>
      </x:c>
      <x:c r="K207" s="530" t="str">
        <x:f>IF(ISBLANK('_SCHEDULE'!K175),"",'_SCHEDULE'!K175)</x:f>
      </x:c>
      <x:c r="L207" s="530" t="str">
        <x:f>IF(ISBLANK('_SCHEDULE'!L175),"",'_SCHEDULE'!L175)</x:f>
      </x:c>
      <x:c r="M207" s="530" t="str">
        <x:f>IF(ISBLANK('_SCHEDULE'!M175),"",'_SCHEDULE'!M175)</x:f>
      </x:c>
      <x:c r="N207" s="530" t="str">
        <x:f>IF(ISBLANK('_SCHEDULE'!N175),"",'_SCHEDULE'!N175)</x:f>
      </x:c>
      <x:c r="O207" s="530" t="str">
        <x:f>IF(ISBLANK('_SCHEDULE'!O175),"",'_SCHEDULE'!O175)</x:f>
      </x:c>
      <x:c r="P207" s="530" t="str">
        <x:f>IF(ISBLANK('_SCHEDULE'!P175),"",'_SCHEDULE'!P175)</x:f>
      </x:c>
      <x:c r="Q207" s="530" t="str">
        <x:f>IF(ISBLANK('_SCHEDULE'!Q175),"",'_SCHEDULE'!Q175)</x:f>
      </x:c>
      <x:c r="R207" s="530" t="str">
        <x:f>IF(ISBLANK('_SCHEDULE'!R175),"",'_SCHEDULE'!R175)</x:f>
      </x:c>
      <x:c r="S207" s="523" t="str">
        <x:f>IF(ISBLANK('_SCHEDULE'!S175),"",'_SCHEDULE'!S175)</x:f>
      </x:c>
      <x:c r="T207" s="38"/>
      <x:c r="U207" s="38"/>
      <x:c r="V207" s="38"/>
      <x:c r="W207" s="38"/>
      <x:c r="X207" s="38"/>
      <x:c r="Y207" s="38"/>
      <x:c r="Z207" s="38"/>
      <x:c r="AA207" s="38"/>
      <x:c r="AB207" s="38"/>
      <x:c r="AC207" s="38"/>
      <x:c r="AD207" s="38"/>
      <x:c r="AE207" s="38"/>
      <x:c r="AF207" s="38"/>
      <x:c r="AG207" s="38"/>
      <x:c r="AH207" s="38"/>
      <x:c r="AI207" s="38"/>
      <x:c r="AJ207" s="38"/>
      <x:c r="AK207" s="38"/>
      <x:c r="AL207" s="38"/>
      <x:c r="AM207" s="38"/>
    </x:row>
    <x:row r="208">
      <x:c r="A208" s="523" t="str">
        <x:f>IF(ISBLANK('_SCHEDULE'!A176),"",'_SCHEDULE'!A176)</x:f>
      </x:c>
      <x:c r="B208" s="523" t="str">
        <x:f>IF(ISBLANK('_SCHEDULE'!B176),"",IF('_CONFIG'!$B$2="pt-BR",IF('_SCHEDULE'!B176="scheduled","programado",IF('_SCHEDULE'!B176="rejected","rejeitado",'_SCHEDULE'!B176)),'_SCHEDULE'!B176))</x:f>
      </x:c>
      <x:c r="C208" s="523" t="str">
        <x:f>IF(ISBLANK('_SCHEDULE'!C176),"",'_SCHEDULE'!C176)</x:f>
      </x:c>
      <x:c r="D208" s="523" t="str">
        <x:f>IF(ISBLANK('_SCHEDULE'!D176),"",'_SCHEDULE'!D176)</x:f>
      </x:c>
      <x:c r="E208" s="530" t="str">
        <x:f>IF(ISBLANK('_SCHEDULE'!E176),"",'_SCHEDULE'!E176)</x:f>
      </x:c>
      <x:c r="F208" s="530" t="str">
        <x:f>IF(ISBLANK('_SCHEDULE'!F176),"",'_SCHEDULE'!F176)</x:f>
      </x:c>
      <x:c r="G208" s="530" t="str">
        <x:f>IF(ISBLANK('_SCHEDULE'!G176),"",'_SCHEDULE'!G176)</x:f>
      </x:c>
      <x:c r="H208" s="530" t="str">
        <x:f>IF(ISBLANK('_SCHEDULE'!H176),"",'_SCHEDULE'!H176)</x:f>
      </x:c>
      <x:c r="I208" s="530" t="str">
        <x:f>IF(ISBLANK('_SCHEDULE'!I176),"",'_SCHEDULE'!I176)</x:f>
      </x:c>
      <x:c r="J208" s="530" t="str">
        <x:f>IF(ISBLANK('_SCHEDULE'!J176),"",'_SCHEDULE'!J176)</x:f>
      </x:c>
      <x:c r="K208" s="530" t="str">
        <x:f>IF(ISBLANK('_SCHEDULE'!K176),"",'_SCHEDULE'!K176)</x:f>
      </x:c>
      <x:c r="L208" s="530" t="str">
        <x:f>IF(ISBLANK('_SCHEDULE'!L176),"",'_SCHEDULE'!L176)</x:f>
      </x:c>
      <x:c r="M208" s="530" t="str">
        <x:f>IF(ISBLANK('_SCHEDULE'!M176),"",'_SCHEDULE'!M176)</x:f>
      </x:c>
      <x:c r="N208" s="530" t="str">
        <x:f>IF(ISBLANK('_SCHEDULE'!N176),"",'_SCHEDULE'!N176)</x:f>
      </x:c>
      <x:c r="O208" s="530" t="str">
        <x:f>IF(ISBLANK('_SCHEDULE'!O176),"",'_SCHEDULE'!O176)</x:f>
      </x:c>
      <x:c r="P208" s="530" t="str">
        <x:f>IF(ISBLANK('_SCHEDULE'!P176),"",'_SCHEDULE'!P176)</x:f>
      </x:c>
      <x:c r="Q208" s="530" t="str">
        <x:f>IF(ISBLANK('_SCHEDULE'!Q176),"",'_SCHEDULE'!Q176)</x:f>
      </x:c>
      <x:c r="R208" s="530" t="str">
        <x:f>IF(ISBLANK('_SCHEDULE'!R176),"",'_SCHEDULE'!R176)</x:f>
      </x:c>
      <x:c r="S208" s="523" t="str">
        <x:f>IF(ISBLANK('_SCHEDULE'!S176),"",'_SCHEDULE'!S176)</x:f>
      </x:c>
      <x:c r="T208" s="38"/>
      <x:c r="U208" s="38"/>
      <x:c r="V208" s="38"/>
      <x:c r="W208" s="38"/>
      <x:c r="X208" s="38"/>
      <x:c r="Y208" s="38"/>
      <x:c r="Z208" s="38"/>
      <x:c r="AA208" s="38"/>
      <x:c r="AB208" s="38"/>
      <x:c r="AC208" s="38"/>
      <x:c r="AD208" s="38"/>
      <x:c r="AE208" s="38"/>
      <x:c r="AF208" s="38"/>
      <x:c r="AG208" s="38"/>
      <x:c r="AH208" s="38"/>
      <x:c r="AI208" s="38"/>
      <x:c r="AJ208" s="38"/>
      <x:c r="AK208" s="38"/>
      <x:c r="AL208" s="38"/>
      <x:c r="AM208" s="38"/>
    </x:row>
    <x:row r="209">
      <x:c r="A209" s="523" t="str">
        <x:f>IF(ISBLANK('_SCHEDULE'!A177),"",'_SCHEDULE'!A177)</x:f>
      </x:c>
      <x:c r="B209" s="523" t="str">
        <x:f>IF(ISBLANK('_SCHEDULE'!B177),"",IF('_CONFIG'!$B$2="pt-BR",IF('_SCHEDULE'!B177="scheduled","programado",IF('_SCHEDULE'!B177="rejected","rejeitado",'_SCHEDULE'!B177)),'_SCHEDULE'!B177))</x:f>
      </x:c>
      <x:c r="C209" s="523" t="str">
        <x:f>IF(ISBLANK('_SCHEDULE'!C177),"",'_SCHEDULE'!C177)</x:f>
      </x:c>
      <x:c r="D209" s="523" t="str">
        <x:f>IF(ISBLANK('_SCHEDULE'!D177),"",'_SCHEDULE'!D177)</x:f>
      </x:c>
      <x:c r="E209" s="530" t="str">
        <x:f>IF(ISBLANK('_SCHEDULE'!E177),"",'_SCHEDULE'!E177)</x:f>
      </x:c>
      <x:c r="F209" s="530" t="str">
        <x:f>IF(ISBLANK('_SCHEDULE'!F177),"",'_SCHEDULE'!F177)</x:f>
      </x:c>
      <x:c r="G209" s="530" t="str">
        <x:f>IF(ISBLANK('_SCHEDULE'!G177),"",'_SCHEDULE'!G177)</x:f>
      </x:c>
      <x:c r="H209" s="530" t="str">
        <x:f>IF(ISBLANK('_SCHEDULE'!H177),"",'_SCHEDULE'!H177)</x:f>
      </x:c>
      <x:c r="I209" s="530" t="str">
        <x:f>IF(ISBLANK('_SCHEDULE'!I177),"",'_SCHEDULE'!I177)</x:f>
      </x:c>
      <x:c r="J209" s="530" t="str">
        <x:f>IF(ISBLANK('_SCHEDULE'!J177),"",'_SCHEDULE'!J177)</x:f>
      </x:c>
      <x:c r="K209" s="530" t="str">
        <x:f>IF(ISBLANK('_SCHEDULE'!K177),"",'_SCHEDULE'!K177)</x:f>
      </x:c>
      <x:c r="L209" s="530" t="str">
        <x:f>IF(ISBLANK('_SCHEDULE'!L177),"",'_SCHEDULE'!L177)</x:f>
      </x:c>
      <x:c r="M209" s="530" t="str">
        <x:f>IF(ISBLANK('_SCHEDULE'!M177),"",'_SCHEDULE'!M177)</x:f>
      </x:c>
      <x:c r="N209" s="530" t="str">
        <x:f>IF(ISBLANK('_SCHEDULE'!N177),"",'_SCHEDULE'!N177)</x:f>
      </x:c>
      <x:c r="O209" s="530" t="str">
        <x:f>IF(ISBLANK('_SCHEDULE'!O177),"",'_SCHEDULE'!O177)</x:f>
      </x:c>
      <x:c r="P209" s="530" t="str">
        <x:f>IF(ISBLANK('_SCHEDULE'!P177),"",'_SCHEDULE'!P177)</x:f>
      </x:c>
      <x:c r="Q209" s="530" t="str">
        <x:f>IF(ISBLANK('_SCHEDULE'!Q177),"",'_SCHEDULE'!Q177)</x:f>
      </x:c>
      <x:c r="R209" s="530" t="str">
        <x:f>IF(ISBLANK('_SCHEDULE'!R177),"",'_SCHEDULE'!R177)</x:f>
      </x:c>
      <x:c r="S209" s="523" t="str">
        <x:f>IF(ISBLANK('_SCHEDULE'!S177),"",'_SCHEDULE'!S177)</x:f>
      </x:c>
      <x:c r="T209" s="38"/>
      <x:c r="U209" s="38"/>
      <x:c r="V209" s="38"/>
      <x:c r="W209" s="38"/>
      <x:c r="X209" s="38"/>
      <x:c r="Y209" s="38"/>
      <x:c r="Z209" s="38"/>
      <x:c r="AA209" s="38"/>
      <x:c r="AB209" s="38"/>
      <x:c r="AC209" s="38"/>
      <x:c r="AD209" s="38"/>
      <x:c r="AE209" s="38"/>
      <x:c r="AF209" s="38"/>
      <x:c r="AG209" s="38"/>
      <x:c r="AH209" s="38"/>
      <x:c r="AI209" s="38"/>
      <x:c r="AJ209" s="38"/>
      <x:c r="AK209" s="38"/>
      <x:c r="AL209" s="38"/>
      <x:c r="AM209" s="38"/>
    </x:row>
    <x:row r="210">
      <x:c r="A210" s="523" t="str">
        <x:f>IF(ISBLANK('_SCHEDULE'!A178),"",'_SCHEDULE'!A178)</x:f>
      </x:c>
      <x:c r="B210" s="523" t="str">
        <x:f>IF(ISBLANK('_SCHEDULE'!B178),"",IF('_CONFIG'!$B$2="pt-BR",IF('_SCHEDULE'!B178="scheduled","programado",IF('_SCHEDULE'!B178="rejected","rejeitado",'_SCHEDULE'!B178)),'_SCHEDULE'!B178))</x:f>
      </x:c>
      <x:c r="C210" s="523" t="str">
        <x:f>IF(ISBLANK('_SCHEDULE'!C178),"",'_SCHEDULE'!C178)</x:f>
      </x:c>
      <x:c r="D210" s="523" t="str">
        <x:f>IF(ISBLANK('_SCHEDULE'!D178),"",'_SCHEDULE'!D178)</x:f>
      </x:c>
      <x:c r="E210" s="530" t="str">
        <x:f>IF(ISBLANK('_SCHEDULE'!E178),"",'_SCHEDULE'!E178)</x:f>
      </x:c>
      <x:c r="F210" s="530" t="str">
        <x:f>IF(ISBLANK('_SCHEDULE'!F178),"",'_SCHEDULE'!F178)</x:f>
      </x:c>
      <x:c r="G210" s="530" t="str">
        <x:f>IF(ISBLANK('_SCHEDULE'!G178),"",'_SCHEDULE'!G178)</x:f>
      </x:c>
      <x:c r="H210" s="530" t="str">
        <x:f>IF(ISBLANK('_SCHEDULE'!H178),"",'_SCHEDULE'!H178)</x:f>
      </x:c>
      <x:c r="I210" s="530" t="str">
        <x:f>IF(ISBLANK('_SCHEDULE'!I178),"",'_SCHEDULE'!I178)</x:f>
      </x:c>
      <x:c r="J210" s="530" t="str">
        <x:f>IF(ISBLANK('_SCHEDULE'!J178),"",'_SCHEDULE'!J178)</x:f>
      </x:c>
      <x:c r="K210" s="530" t="str">
        <x:f>IF(ISBLANK('_SCHEDULE'!K178),"",'_SCHEDULE'!K178)</x:f>
      </x:c>
      <x:c r="L210" s="530" t="str">
        <x:f>IF(ISBLANK('_SCHEDULE'!L178),"",'_SCHEDULE'!L178)</x:f>
      </x:c>
      <x:c r="M210" s="530" t="str">
        <x:f>IF(ISBLANK('_SCHEDULE'!M178),"",'_SCHEDULE'!M178)</x:f>
      </x:c>
      <x:c r="N210" s="530" t="str">
        <x:f>IF(ISBLANK('_SCHEDULE'!N178),"",'_SCHEDULE'!N178)</x:f>
      </x:c>
      <x:c r="O210" s="530" t="str">
        <x:f>IF(ISBLANK('_SCHEDULE'!O178),"",'_SCHEDULE'!O178)</x:f>
      </x:c>
      <x:c r="P210" s="530" t="str">
        <x:f>IF(ISBLANK('_SCHEDULE'!P178),"",'_SCHEDULE'!P178)</x:f>
      </x:c>
      <x:c r="Q210" s="530" t="str">
        <x:f>IF(ISBLANK('_SCHEDULE'!Q178),"",'_SCHEDULE'!Q178)</x:f>
      </x:c>
      <x:c r="R210" s="530" t="str">
        <x:f>IF(ISBLANK('_SCHEDULE'!R178),"",'_SCHEDULE'!R178)</x:f>
      </x:c>
      <x:c r="S210" s="523" t="str">
        <x:f>IF(ISBLANK('_SCHEDULE'!S178),"",'_SCHEDULE'!S178)</x:f>
      </x:c>
      <x:c r="T210" s="38"/>
      <x:c r="U210" s="38"/>
      <x:c r="V210" s="38"/>
      <x:c r="W210" s="38"/>
      <x:c r="X210" s="38"/>
      <x:c r="Y210" s="38"/>
      <x:c r="Z210" s="38"/>
      <x:c r="AA210" s="38"/>
      <x:c r="AB210" s="38"/>
      <x:c r="AC210" s="38"/>
      <x:c r="AD210" s="38"/>
      <x:c r="AE210" s="38"/>
      <x:c r="AF210" s="38"/>
      <x:c r="AG210" s="38"/>
      <x:c r="AH210" s="38"/>
      <x:c r="AI210" s="38"/>
      <x:c r="AJ210" s="38"/>
      <x:c r="AK210" s="38"/>
      <x:c r="AL210" s="38"/>
      <x:c r="AM210" s="38"/>
    </x:row>
    <x:row r="211">
      <x:c r="A211" s="523" t="str">
        <x:f>IF(ISBLANK('_SCHEDULE'!A179),"",'_SCHEDULE'!A179)</x:f>
      </x:c>
      <x:c r="B211" s="523" t="str">
        <x:f>IF(ISBLANK('_SCHEDULE'!B179),"",IF('_CONFIG'!$B$2="pt-BR",IF('_SCHEDULE'!B179="scheduled","programado",IF('_SCHEDULE'!B179="rejected","rejeitado",'_SCHEDULE'!B179)),'_SCHEDULE'!B179))</x:f>
      </x:c>
      <x:c r="C211" s="523" t="str">
        <x:f>IF(ISBLANK('_SCHEDULE'!C179),"",'_SCHEDULE'!C179)</x:f>
      </x:c>
      <x:c r="D211" s="523" t="str">
        <x:f>IF(ISBLANK('_SCHEDULE'!D179),"",'_SCHEDULE'!D179)</x:f>
      </x:c>
      <x:c r="E211" s="530" t="str">
        <x:f>IF(ISBLANK('_SCHEDULE'!E179),"",'_SCHEDULE'!E179)</x:f>
      </x:c>
      <x:c r="F211" s="530" t="str">
        <x:f>IF(ISBLANK('_SCHEDULE'!F179),"",'_SCHEDULE'!F179)</x:f>
      </x:c>
      <x:c r="G211" s="530" t="str">
        <x:f>IF(ISBLANK('_SCHEDULE'!G179),"",'_SCHEDULE'!G179)</x:f>
      </x:c>
      <x:c r="H211" s="530" t="str">
        <x:f>IF(ISBLANK('_SCHEDULE'!H179),"",'_SCHEDULE'!H179)</x:f>
      </x:c>
      <x:c r="I211" s="530" t="str">
        <x:f>IF(ISBLANK('_SCHEDULE'!I179),"",'_SCHEDULE'!I179)</x:f>
      </x:c>
      <x:c r="J211" s="530" t="str">
        <x:f>IF(ISBLANK('_SCHEDULE'!J179),"",'_SCHEDULE'!J179)</x:f>
      </x:c>
      <x:c r="K211" s="530" t="str">
        <x:f>IF(ISBLANK('_SCHEDULE'!K179),"",'_SCHEDULE'!K179)</x:f>
      </x:c>
      <x:c r="L211" s="530" t="str">
        <x:f>IF(ISBLANK('_SCHEDULE'!L179),"",'_SCHEDULE'!L179)</x:f>
      </x:c>
      <x:c r="M211" s="530" t="str">
        <x:f>IF(ISBLANK('_SCHEDULE'!M179),"",'_SCHEDULE'!M179)</x:f>
      </x:c>
      <x:c r="N211" s="530" t="str">
        <x:f>IF(ISBLANK('_SCHEDULE'!N179),"",'_SCHEDULE'!N179)</x:f>
      </x:c>
      <x:c r="O211" s="530" t="str">
        <x:f>IF(ISBLANK('_SCHEDULE'!O179),"",'_SCHEDULE'!O179)</x:f>
      </x:c>
      <x:c r="P211" s="530" t="str">
        <x:f>IF(ISBLANK('_SCHEDULE'!P179),"",'_SCHEDULE'!P179)</x:f>
      </x:c>
      <x:c r="Q211" s="530" t="str">
        <x:f>IF(ISBLANK('_SCHEDULE'!Q179),"",'_SCHEDULE'!Q179)</x:f>
      </x:c>
      <x:c r="R211" s="530" t="str">
        <x:f>IF(ISBLANK('_SCHEDULE'!R179),"",'_SCHEDULE'!R179)</x:f>
      </x:c>
      <x:c r="S211" s="523" t="str">
        <x:f>IF(ISBLANK('_SCHEDULE'!S179),"",'_SCHEDULE'!S179)</x:f>
      </x:c>
      <x:c r="T211" s="38"/>
      <x:c r="U211" s="38"/>
      <x:c r="V211" s="38"/>
      <x:c r="W211" s="38"/>
      <x:c r="X211" s="38"/>
      <x:c r="Y211" s="38"/>
      <x:c r="Z211" s="38"/>
      <x:c r="AA211" s="38"/>
      <x:c r="AB211" s="38"/>
      <x:c r="AC211" s="38"/>
      <x:c r="AD211" s="38"/>
      <x:c r="AE211" s="38"/>
      <x:c r="AF211" s="38"/>
      <x:c r="AG211" s="38"/>
      <x:c r="AH211" s="38"/>
      <x:c r="AI211" s="38"/>
      <x:c r="AJ211" s="38"/>
      <x:c r="AK211" s="38"/>
      <x:c r="AL211" s="38"/>
      <x:c r="AM211" s="38"/>
    </x:row>
    <x:row r="212">
      <x:c r="A212" s="523" t="str">
        <x:f>IF(ISBLANK('_SCHEDULE'!A180),"",'_SCHEDULE'!A180)</x:f>
      </x:c>
      <x:c r="B212" s="523" t="str">
        <x:f>IF(ISBLANK('_SCHEDULE'!B180),"",IF('_CONFIG'!$B$2="pt-BR",IF('_SCHEDULE'!B180="scheduled","programado",IF('_SCHEDULE'!B180="rejected","rejeitado",'_SCHEDULE'!B180)),'_SCHEDULE'!B180))</x:f>
      </x:c>
      <x:c r="C212" s="523" t="str">
        <x:f>IF(ISBLANK('_SCHEDULE'!C180),"",'_SCHEDULE'!C180)</x:f>
      </x:c>
      <x:c r="D212" s="523" t="str">
        <x:f>IF(ISBLANK('_SCHEDULE'!D180),"",'_SCHEDULE'!D180)</x:f>
      </x:c>
      <x:c r="E212" s="530" t="str">
        <x:f>IF(ISBLANK('_SCHEDULE'!E180),"",'_SCHEDULE'!E180)</x:f>
      </x:c>
      <x:c r="F212" s="530" t="str">
        <x:f>IF(ISBLANK('_SCHEDULE'!F180),"",'_SCHEDULE'!F180)</x:f>
      </x:c>
      <x:c r="G212" s="530" t="str">
        <x:f>IF(ISBLANK('_SCHEDULE'!G180),"",'_SCHEDULE'!G180)</x:f>
      </x:c>
      <x:c r="H212" s="530" t="str">
        <x:f>IF(ISBLANK('_SCHEDULE'!H180),"",'_SCHEDULE'!H180)</x:f>
      </x:c>
      <x:c r="I212" s="530" t="str">
        <x:f>IF(ISBLANK('_SCHEDULE'!I180),"",'_SCHEDULE'!I180)</x:f>
      </x:c>
      <x:c r="J212" s="530" t="str">
        <x:f>IF(ISBLANK('_SCHEDULE'!J180),"",'_SCHEDULE'!J180)</x:f>
      </x:c>
      <x:c r="K212" s="530" t="str">
        <x:f>IF(ISBLANK('_SCHEDULE'!K180),"",'_SCHEDULE'!K180)</x:f>
      </x:c>
      <x:c r="L212" s="530" t="str">
        <x:f>IF(ISBLANK('_SCHEDULE'!L180),"",'_SCHEDULE'!L180)</x:f>
      </x:c>
      <x:c r="M212" s="530" t="str">
        <x:f>IF(ISBLANK('_SCHEDULE'!M180),"",'_SCHEDULE'!M180)</x:f>
      </x:c>
      <x:c r="N212" s="530" t="str">
        <x:f>IF(ISBLANK('_SCHEDULE'!N180),"",'_SCHEDULE'!N180)</x:f>
      </x:c>
      <x:c r="O212" s="530" t="str">
        <x:f>IF(ISBLANK('_SCHEDULE'!O180),"",'_SCHEDULE'!O180)</x:f>
      </x:c>
      <x:c r="P212" s="530" t="str">
        <x:f>IF(ISBLANK('_SCHEDULE'!P180),"",'_SCHEDULE'!P180)</x:f>
      </x:c>
      <x:c r="Q212" s="530" t="str">
        <x:f>IF(ISBLANK('_SCHEDULE'!Q180),"",'_SCHEDULE'!Q180)</x:f>
      </x:c>
      <x:c r="R212" s="530" t="str">
        <x:f>IF(ISBLANK('_SCHEDULE'!R180),"",'_SCHEDULE'!R180)</x:f>
      </x:c>
      <x:c r="S212" s="523" t="str">
        <x:f>IF(ISBLANK('_SCHEDULE'!S180),"",'_SCHEDULE'!S180)</x:f>
      </x:c>
      <x:c r="T212" s="38"/>
      <x:c r="U212" s="38"/>
      <x:c r="V212" s="38"/>
      <x:c r="W212" s="38"/>
      <x:c r="X212" s="38"/>
      <x:c r="Y212" s="38"/>
      <x:c r="Z212" s="38"/>
      <x:c r="AA212" s="38"/>
      <x:c r="AB212" s="38"/>
      <x:c r="AC212" s="38"/>
      <x:c r="AD212" s="38"/>
      <x:c r="AE212" s="38"/>
      <x:c r="AF212" s="38"/>
      <x:c r="AG212" s="38"/>
      <x:c r="AH212" s="38"/>
      <x:c r="AI212" s="38"/>
      <x:c r="AJ212" s="38"/>
      <x:c r="AK212" s="38"/>
      <x:c r="AL212" s="38"/>
      <x:c r="AM212" s="38"/>
    </x:row>
    <x:row r="213">
      <x:c r="A213" s="523" t="str">
        <x:f>IF(ISBLANK('_SCHEDULE'!A181),"",'_SCHEDULE'!A181)</x:f>
      </x:c>
      <x:c r="B213" s="523" t="str">
        <x:f>IF(ISBLANK('_SCHEDULE'!B181),"",IF('_CONFIG'!$B$2="pt-BR",IF('_SCHEDULE'!B181="scheduled","programado",IF('_SCHEDULE'!B181="rejected","rejeitado",'_SCHEDULE'!B181)),'_SCHEDULE'!B181))</x:f>
      </x:c>
      <x:c r="C213" s="523" t="str">
        <x:f>IF(ISBLANK('_SCHEDULE'!C181),"",'_SCHEDULE'!C181)</x:f>
      </x:c>
      <x:c r="D213" s="523" t="str">
        <x:f>IF(ISBLANK('_SCHEDULE'!D181),"",'_SCHEDULE'!D181)</x:f>
      </x:c>
      <x:c r="E213" s="530" t="str">
        <x:f>IF(ISBLANK('_SCHEDULE'!E181),"",'_SCHEDULE'!E181)</x:f>
      </x:c>
      <x:c r="F213" s="530" t="str">
        <x:f>IF(ISBLANK('_SCHEDULE'!F181),"",'_SCHEDULE'!F181)</x:f>
      </x:c>
      <x:c r="G213" s="530" t="str">
        <x:f>IF(ISBLANK('_SCHEDULE'!G181),"",'_SCHEDULE'!G181)</x:f>
      </x:c>
      <x:c r="H213" s="530" t="str">
        <x:f>IF(ISBLANK('_SCHEDULE'!H181),"",'_SCHEDULE'!H181)</x:f>
      </x:c>
      <x:c r="I213" s="530" t="str">
        <x:f>IF(ISBLANK('_SCHEDULE'!I181),"",'_SCHEDULE'!I181)</x:f>
      </x:c>
      <x:c r="J213" s="530" t="str">
        <x:f>IF(ISBLANK('_SCHEDULE'!J181),"",'_SCHEDULE'!J181)</x:f>
      </x:c>
      <x:c r="K213" s="530" t="str">
        <x:f>IF(ISBLANK('_SCHEDULE'!K181),"",'_SCHEDULE'!K181)</x:f>
      </x:c>
      <x:c r="L213" s="530" t="str">
        <x:f>IF(ISBLANK('_SCHEDULE'!L181),"",'_SCHEDULE'!L181)</x:f>
      </x:c>
      <x:c r="M213" s="530" t="str">
        <x:f>IF(ISBLANK('_SCHEDULE'!M181),"",'_SCHEDULE'!M181)</x:f>
      </x:c>
      <x:c r="N213" s="530" t="str">
        <x:f>IF(ISBLANK('_SCHEDULE'!N181),"",'_SCHEDULE'!N181)</x:f>
      </x:c>
      <x:c r="O213" s="530" t="str">
        <x:f>IF(ISBLANK('_SCHEDULE'!O181),"",'_SCHEDULE'!O181)</x:f>
      </x:c>
      <x:c r="P213" s="530" t="str">
        <x:f>IF(ISBLANK('_SCHEDULE'!P181),"",'_SCHEDULE'!P181)</x:f>
      </x:c>
      <x:c r="Q213" s="530" t="str">
        <x:f>IF(ISBLANK('_SCHEDULE'!Q181),"",'_SCHEDULE'!Q181)</x:f>
      </x:c>
      <x:c r="R213" s="530" t="str">
        <x:f>IF(ISBLANK('_SCHEDULE'!R181),"",'_SCHEDULE'!R181)</x:f>
      </x:c>
      <x:c r="S213" s="523" t="str">
        <x:f>IF(ISBLANK('_SCHEDULE'!S181),"",'_SCHEDULE'!S181)</x:f>
      </x:c>
      <x:c r="T213" s="38"/>
      <x:c r="U213" s="38"/>
      <x:c r="V213" s="38"/>
      <x:c r="W213" s="38"/>
      <x:c r="X213" s="38"/>
      <x:c r="Y213" s="38"/>
      <x:c r="Z213" s="38"/>
      <x:c r="AA213" s="38"/>
      <x:c r="AB213" s="38"/>
      <x:c r="AC213" s="38"/>
      <x:c r="AD213" s="38"/>
      <x:c r="AE213" s="38"/>
      <x:c r="AF213" s="38"/>
      <x:c r="AG213" s="38"/>
      <x:c r="AH213" s="38"/>
      <x:c r="AI213" s="38"/>
      <x:c r="AJ213" s="38"/>
      <x:c r="AK213" s="38"/>
      <x:c r="AL213" s="38"/>
      <x:c r="AM213" s="38"/>
    </x:row>
    <x:row r="214">
      <x:c r="A214" s="523" t="str">
        <x:f>IF(ISBLANK('_SCHEDULE'!A182),"",'_SCHEDULE'!A182)</x:f>
      </x:c>
      <x:c r="B214" s="523" t="str">
        <x:f>IF(ISBLANK('_SCHEDULE'!B182),"",IF('_CONFIG'!$B$2="pt-BR",IF('_SCHEDULE'!B182="scheduled","programado",IF('_SCHEDULE'!B182="rejected","rejeitado",'_SCHEDULE'!B182)),'_SCHEDULE'!B182))</x:f>
      </x:c>
      <x:c r="C214" s="523" t="str">
        <x:f>IF(ISBLANK('_SCHEDULE'!C182),"",'_SCHEDULE'!C182)</x:f>
      </x:c>
      <x:c r="D214" s="523" t="str">
        <x:f>IF(ISBLANK('_SCHEDULE'!D182),"",'_SCHEDULE'!D182)</x:f>
      </x:c>
      <x:c r="E214" s="530" t="str">
        <x:f>IF(ISBLANK('_SCHEDULE'!E182),"",'_SCHEDULE'!E182)</x:f>
      </x:c>
      <x:c r="F214" s="530" t="str">
        <x:f>IF(ISBLANK('_SCHEDULE'!F182),"",'_SCHEDULE'!F182)</x:f>
      </x:c>
      <x:c r="G214" s="530" t="str">
        <x:f>IF(ISBLANK('_SCHEDULE'!G182),"",'_SCHEDULE'!G182)</x:f>
      </x:c>
      <x:c r="H214" s="530" t="str">
        <x:f>IF(ISBLANK('_SCHEDULE'!H182),"",'_SCHEDULE'!H182)</x:f>
      </x:c>
      <x:c r="I214" s="530" t="str">
        <x:f>IF(ISBLANK('_SCHEDULE'!I182),"",'_SCHEDULE'!I182)</x:f>
      </x:c>
      <x:c r="J214" s="530" t="str">
        <x:f>IF(ISBLANK('_SCHEDULE'!J182),"",'_SCHEDULE'!J182)</x:f>
      </x:c>
      <x:c r="K214" s="530" t="str">
        <x:f>IF(ISBLANK('_SCHEDULE'!K182),"",'_SCHEDULE'!K182)</x:f>
      </x:c>
      <x:c r="L214" s="530" t="str">
        <x:f>IF(ISBLANK('_SCHEDULE'!L182),"",'_SCHEDULE'!L182)</x:f>
      </x:c>
      <x:c r="M214" s="530" t="str">
        <x:f>IF(ISBLANK('_SCHEDULE'!M182),"",'_SCHEDULE'!M182)</x:f>
      </x:c>
      <x:c r="N214" s="530" t="str">
        <x:f>IF(ISBLANK('_SCHEDULE'!N182),"",'_SCHEDULE'!N182)</x:f>
      </x:c>
      <x:c r="O214" s="530" t="str">
        <x:f>IF(ISBLANK('_SCHEDULE'!O182),"",'_SCHEDULE'!O182)</x:f>
      </x:c>
      <x:c r="P214" s="530" t="str">
        <x:f>IF(ISBLANK('_SCHEDULE'!P182),"",'_SCHEDULE'!P182)</x:f>
      </x:c>
      <x:c r="Q214" s="530" t="str">
        <x:f>IF(ISBLANK('_SCHEDULE'!Q182),"",'_SCHEDULE'!Q182)</x:f>
      </x:c>
      <x:c r="R214" s="530" t="str">
        <x:f>IF(ISBLANK('_SCHEDULE'!R182),"",'_SCHEDULE'!R182)</x:f>
      </x:c>
      <x:c r="S214" s="523" t="str">
        <x:f>IF(ISBLANK('_SCHEDULE'!S182),"",'_SCHEDULE'!S182)</x:f>
      </x:c>
      <x:c r="T214" s="38"/>
      <x:c r="U214" s="38"/>
      <x:c r="V214" s="38"/>
      <x:c r="W214" s="38"/>
      <x:c r="X214" s="38"/>
      <x:c r="Y214" s="38"/>
      <x:c r="Z214" s="38"/>
      <x:c r="AA214" s="38"/>
      <x:c r="AB214" s="38"/>
      <x:c r="AC214" s="38"/>
      <x:c r="AD214" s="38"/>
      <x:c r="AE214" s="38"/>
      <x:c r="AF214" s="38"/>
      <x:c r="AG214" s="38"/>
      <x:c r="AH214" s="38"/>
      <x:c r="AI214" s="38"/>
      <x:c r="AJ214" s="38"/>
      <x:c r="AK214" s="38"/>
      <x:c r="AL214" s="38"/>
      <x:c r="AM214" s="38"/>
    </x:row>
    <x:row r="215">
      <x:c r="A215" s="523" t="str">
        <x:f>IF(ISBLANK('_SCHEDULE'!A183),"",'_SCHEDULE'!A183)</x:f>
      </x:c>
      <x:c r="B215" s="523" t="str">
        <x:f>IF(ISBLANK('_SCHEDULE'!B183),"",IF('_CONFIG'!$B$2="pt-BR",IF('_SCHEDULE'!B183="scheduled","programado",IF('_SCHEDULE'!B183="rejected","rejeitado",'_SCHEDULE'!B183)),'_SCHEDULE'!B183))</x:f>
      </x:c>
      <x:c r="C215" s="523" t="str">
        <x:f>IF(ISBLANK('_SCHEDULE'!C183),"",'_SCHEDULE'!C183)</x:f>
      </x:c>
      <x:c r="D215" s="523" t="str">
        <x:f>IF(ISBLANK('_SCHEDULE'!D183),"",'_SCHEDULE'!D183)</x:f>
      </x:c>
      <x:c r="E215" s="530" t="str">
        <x:f>IF(ISBLANK('_SCHEDULE'!E183),"",'_SCHEDULE'!E183)</x:f>
      </x:c>
      <x:c r="F215" s="530" t="str">
        <x:f>IF(ISBLANK('_SCHEDULE'!F183),"",'_SCHEDULE'!F183)</x:f>
      </x:c>
      <x:c r="G215" s="530" t="str">
        <x:f>IF(ISBLANK('_SCHEDULE'!G183),"",'_SCHEDULE'!G183)</x:f>
      </x:c>
      <x:c r="H215" s="530" t="str">
        <x:f>IF(ISBLANK('_SCHEDULE'!H183),"",'_SCHEDULE'!H183)</x:f>
      </x:c>
      <x:c r="I215" s="530" t="str">
        <x:f>IF(ISBLANK('_SCHEDULE'!I183),"",'_SCHEDULE'!I183)</x:f>
      </x:c>
      <x:c r="J215" s="530" t="str">
        <x:f>IF(ISBLANK('_SCHEDULE'!J183),"",'_SCHEDULE'!J183)</x:f>
      </x:c>
      <x:c r="K215" s="530" t="str">
        <x:f>IF(ISBLANK('_SCHEDULE'!K183),"",'_SCHEDULE'!K183)</x:f>
      </x:c>
      <x:c r="L215" s="530" t="str">
        <x:f>IF(ISBLANK('_SCHEDULE'!L183),"",'_SCHEDULE'!L183)</x:f>
      </x:c>
      <x:c r="M215" s="530" t="str">
        <x:f>IF(ISBLANK('_SCHEDULE'!M183),"",'_SCHEDULE'!M183)</x:f>
      </x:c>
      <x:c r="N215" s="530" t="str">
        <x:f>IF(ISBLANK('_SCHEDULE'!N183),"",'_SCHEDULE'!N183)</x:f>
      </x:c>
      <x:c r="O215" s="530" t="str">
        <x:f>IF(ISBLANK('_SCHEDULE'!O183),"",'_SCHEDULE'!O183)</x:f>
      </x:c>
      <x:c r="P215" s="530" t="str">
        <x:f>IF(ISBLANK('_SCHEDULE'!P183),"",'_SCHEDULE'!P183)</x:f>
      </x:c>
      <x:c r="Q215" s="530" t="str">
        <x:f>IF(ISBLANK('_SCHEDULE'!Q183),"",'_SCHEDULE'!Q183)</x:f>
      </x:c>
      <x:c r="R215" s="530" t="str">
        <x:f>IF(ISBLANK('_SCHEDULE'!R183),"",'_SCHEDULE'!R183)</x:f>
      </x:c>
      <x:c r="S215" s="523" t="str">
        <x:f>IF(ISBLANK('_SCHEDULE'!S183),"",'_SCHEDULE'!S183)</x:f>
      </x:c>
      <x:c r="T215" s="38"/>
      <x:c r="U215" s="38"/>
      <x:c r="V215" s="38"/>
      <x:c r="W215" s="38"/>
      <x:c r="X215" s="38"/>
      <x:c r="Y215" s="38"/>
      <x:c r="Z215" s="38"/>
      <x:c r="AA215" s="38"/>
      <x:c r="AB215" s="38"/>
      <x:c r="AC215" s="38"/>
      <x:c r="AD215" s="38"/>
      <x:c r="AE215" s="38"/>
      <x:c r="AF215" s="38"/>
      <x:c r="AG215" s="38"/>
      <x:c r="AH215" s="38"/>
      <x:c r="AI215" s="38"/>
      <x:c r="AJ215" s="38"/>
      <x:c r="AK215" s="38"/>
      <x:c r="AL215" s="38"/>
      <x:c r="AM215" s="38"/>
    </x:row>
    <x:row r="216">
      <x:c r="A216" s="523" t="str">
        <x:f>IF(ISBLANK('_SCHEDULE'!A184),"",'_SCHEDULE'!A184)</x:f>
      </x:c>
      <x:c r="B216" s="523" t="str">
        <x:f>IF(ISBLANK('_SCHEDULE'!B184),"",IF('_CONFIG'!$B$2="pt-BR",IF('_SCHEDULE'!B184="scheduled","programado",IF('_SCHEDULE'!B184="rejected","rejeitado",'_SCHEDULE'!B184)),'_SCHEDULE'!B184))</x:f>
      </x:c>
      <x:c r="C216" s="523" t="str">
        <x:f>IF(ISBLANK('_SCHEDULE'!C184),"",'_SCHEDULE'!C184)</x:f>
      </x:c>
      <x:c r="D216" s="523" t="str">
        <x:f>IF(ISBLANK('_SCHEDULE'!D184),"",'_SCHEDULE'!D184)</x:f>
      </x:c>
      <x:c r="E216" s="530" t="str">
        <x:f>IF(ISBLANK('_SCHEDULE'!E184),"",'_SCHEDULE'!E184)</x:f>
      </x:c>
      <x:c r="F216" s="530" t="str">
        <x:f>IF(ISBLANK('_SCHEDULE'!F184),"",'_SCHEDULE'!F184)</x:f>
      </x:c>
      <x:c r="G216" s="530" t="str">
        <x:f>IF(ISBLANK('_SCHEDULE'!G184),"",'_SCHEDULE'!G184)</x:f>
      </x:c>
      <x:c r="H216" s="530" t="str">
        <x:f>IF(ISBLANK('_SCHEDULE'!H184),"",'_SCHEDULE'!H184)</x:f>
      </x:c>
      <x:c r="I216" s="530" t="str">
        <x:f>IF(ISBLANK('_SCHEDULE'!I184),"",'_SCHEDULE'!I184)</x:f>
      </x:c>
      <x:c r="J216" s="530" t="str">
        <x:f>IF(ISBLANK('_SCHEDULE'!J184),"",'_SCHEDULE'!J184)</x:f>
      </x:c>
      <x:c r="K216" s="530" t="str">
        <x:f>IF(ISBLANK('_SCHEDULE'!K184),"",'_SCHEDULE'!K184)</x:f>
      </x:c>
      <x:c r="L216" s="530" t="str">
        <x:f>IF(ISBLANK('_SCHEDULE'!L184),"",'_SCHEDULE'!L184)</x:f>
      </x:c>
      <x:c r="M216" s="530" t="str">
        <x:f>IF(ISBLANK('_SCHEDULE'!M184),"",'_SCHEDULE'!M184)</x:f>
      </x:c>
      <x:c r="N216" s="530" t="str">
        <x:f>IF(ISBLANK('_SCHEDULE'!N184),"",'_SCHEDULE'!N184)</x:f>
      </x:c>
      <x:c r="O216" s="530" t="str">
        <x:f>IF(ISBLANK('_SCHEDULE'!O184),"",'_SCHEDULE'!O184)</x:f>
      </x:c>
      <x:c r="P216" s="530" t="str">
        <x:f>IF(ISBLANK('_SCHEDULE'!P184),"",'_SCHEDULE'!P184)</x:f>
      </x:c>
      <x:c r="Q216" s="530" t="str">
        <x:f>IF(ISBLANK('_SCHEDULE'!Q184),"",'_SCHEDULE'!Q184)</x:f>
      </x:c>
      <x:c r="R216" s="530" t="str">
        <x:f>IF(ISBLANK('_SCHEDULE'!R184),"",'_SCHEDULE'!R184)</x:f>
      </x:c>
      <x:c r="S216" s="523" t="str">
        <x:f>IF(ISBLANK('_SCHEDULE'!S184),"",'_SCHEDULE'!S184)</x:f>
      </x:c>
      <x:c r="T216" s="38"/>
      <x:c r="U216" s="38"/>
      <x:c r="V216" s="38"/>
      <x:c r="W216" s="38"/>
      <x:c r="X216" s="38"/>
      <x:c r="Y216" s="38"/>
      <x:c r="Z216" s="38"/>
      <x:c r="AA216" s="38"/>
      <x:c r="AB216" s="38"/>
      <x:c r="AC216" s="38"/>
      <x:c r="AD216" s="38"/>
      <x:c r="AE216" s="38"/>
      <x:c r="AF216" s="38"/>
      <x:c r="AG216" s="38"/>
      <x:c r="AH216" s="38"/>
      <x:c r="AI216" s="38"/>
      <x:c r="AJ216" s="38"/>
      <x:c r="AK216" s="38"/>
      <x:c r="AL216" s="38"/>
      <x:c r="AM216" s="38"/>
    </x:row>
    <x:row r="217">
      <x:c r="A217" s="523" t="str">
        <x:f>IF(ISBLANK('_SCHEDULE'!A185),"",'_SCHEDULE'!A185)</x:f>
      </x:c>
      <x:c r="B217" s="523" t="str">
        <x:f>IF(ISBLANK('_SCHEDULE'!B185),"",IF('_CONFIG'!$B$2="pt-BR",IF('_SCHEDULE'!B185="scheduled","programado",IF('_SCHEDULE'!B185="rejected","rejeitado",'_SCHEDULE'!B185)),'_SCHEDULE'!B185))</x:f>
      </x:c>
      <x:c r="C217" s="523" t="str">
        <x:f>IF(ISBLANK('_SCHEDULE'!C185),"",'_SCHEDULE'!C185)</x:f>
      </x:c>
      <x:c r="D217" s="523" t="str">
        <x:f>IF(ISBLANK('_SCHEDULE'!D185),"",'_SCHEDULE'!D185)</x:f>
      </x:c>
      <x:c r="E217" s="530" t="str">
        <x:f>IF(ISBLANK('_SCHEDULE'!E185),"",'_SCHEDULE'!E185)</x:f>
      </x:c>
      <x:c r="F217" s="530" t="str">
        <x:f>IF(ISBLANK('_SCHEDULE'!F185),"",'_SCHEDULE'!F185)</x:f>
      </x:c>
      <x:c r="G217" s="530" t="str">
        <x:f>IF(ISBLANK('_SCHEDULE'!G185),"",'_SCHEDULE'!G185)</x:f>
      </x:c>
      <x:c r="H217" s="530" t="str">
        <x:f>IF(ISBLANK('_SCHEDULE'!H185),"",'_SCHEDULE'!H185)</x:f>
      </x:c>
      <x:c r="I217" s="530" t="str">
        <x:f>IF(ISBLANK('_SCHEDULE'!I185),"",'_SCHEDULE'!I185)</x:f>
      </x:c>
      <x:c r="J217" s="530" t="str">
        <x:f>IF(ISBLANK('_SCHEDULE'!J185),"",'_SCHEDULE'!J185)</x:f>
      </x:c>
      <x:c r="K217" s="530" t="str">
        <x:f>IF(ISBLANK('_SCHEDULE'!K185),"",'_SCHEDULE'!K185)</x:f>
      </x:c>
      <x:c r="L217" s="530" t="str">
        <x:f>IF(ISBLANK('_SCHEDULE'!L185),"",'_SCHEDULE'!L185)</x:f>
      </x:c>
      <x:c r="M217" s="530" t="str">
        <x:f>IF(ISBLANK('_SCHEDULE'!M185),"",'_SCHEDULE'!M185)</x:f>
      </x:c>
      <x:c r="N217" s="530" t="str">
        <x:f>IF(ISBLANK('_SCHEDULE'!N185),"",'_SCHEDULE'!N185)</x:f>
      </x:c>
      <x:c r="O217" s="530" t="str">
        <x:f>IF(ISBLANK('_SCHEDULE'!O185),"",'_SCHEDULE'!O185)</x:f>
      </x:c>
      <x:c r="P217" s="530" t="str">
        <x:f>IF(ISBLANK('_SCHEDULE'!P185),"",'_SCHEDULE'!P185)</x:f>
      </x:c>
      <x:c r="Q217" s="530" t="str">
        <x:f>IF(ISBLANK('_SCHEDULE'!Q185),"",'_SCHEDULE'!Q185)</x:f>
      </x:c>
      <x:c r="R217" s="530" t="str">
        <x:f>IF(ISBLANK('_SCHEDULE'!R185),"",'_SCHEDULE'!R185)</x:f>
      </x:c>
      <x:c r="S217" s="523" t="str">
        <x:f>IF(ISBLANK('_SCHEDULE'!S185),"",'_SCHEDULE'!S185)</x:f>
      </x:c>
      <x:c r="T217" s="38"/>
      <x:c r="U217" s="38"/>
      <x:c r="V217" s="38"/>
      <x:c r="W217" s="38"/>
      <x:c r="X217" s="38"/>
      <x:c r="Y217" s="38"/>
      <x:c r="Z217" s="38"/>
      <x:c r="AA217" s="38"/>
      <x:c r="AB217" s="38"/>
      <x:c r="AC217" s="38"/>
      <x:c r="AD217" s="38"/>
      <x:c r="AE217" s="38"/>
      <x:c r="AF217" s="38"/>
      <x:c r="AG217" s="38"/>
      <x:c r="AH217" s="38"/>
      <x:c r="AI217" s="38"/>
      <x:c r="AJ217" s="38"/>
      <x:c r="AK217" s="38"/>
      <x:c r="AL217" s="38"/>
      <x:c r="AM217" s="38"/>
    </x:row>
    <x:row r="218">
      <x:c r="A218" s="523" t="str">
        <x:f>IF(ISBLANK('_SCHEDULE'!A186),"",'_SCHEDULE'!A186)</x:f>
      </x:c>
      <x:c r="B218" s="523" t="str">
        <x:f>IF(ISBLANK('_SCHEDULE'!B186),"",IF('_CONFIG'!$B$2="pt-BR",IF('_SCHEDULE'!B186="scheduled","programado",IF('_SCHEDULE'!B186="rejected","rejeitado",'_SCHEDULE'!B186)),'_SCHEDULE'!B186))</x:f>
      </x:c>
      <x:c r="C218" s="523" t="str">
        <x:f>IF(ISBLANK('_SCHEDULE'!C186),"",'_SCHEDULE'!C186)</x:f>
      </x:c>
      <x:c r="D218" s="523" t="str">
        <x:f>IF(ISBLANK('_SCHEDULE'!D186),"",'_SCHEDULE'!D186)</x:f>
      </x:c>
      <x:c r="E218" s="530" t="str">
        <x:f>IF(ISBLANK('_SCHEDULE'!E186),"",'_SCHEDULE'!E186)</x:f>
      </x:c>
      <x:c r="F218" s="530" t="str">
        <x:f>IF(ISBLANK('_SCHEDULE'!F186),"",'_SCHEDULE'!F186)</x:f>
      </x:c>
      <x:c r="G218" s="530" t="str">
        <x:f>IF(ISBLANK('_SCHEDULE'!G186),"",'_SCHEDULE'!G186)</x:f>
      </x:c>
      <x:c r="H218" s="530" t="str">
        <x:f>IF(ISBLANK('_SCHEDULE'!H186),"",'_SCHEDULE'!H186)</x:f>
      </x:c>
      <x:c r="I218" s="530" t="str">
        <x:f>IF(ISBLANK('_SCHEDULE'!I186),"",'_SCHEDULE'!I186)</x:f>
      </x:c>
      <x:c r="J218" s="530" t="str">
        <x:f>IF(ISBLANK('_SCHEDULE'!J186),"",'_SCHEDULE'!J186)</x:f>
      </x:c>
      <x:c r="K218" s="530" t="str">
        <x:f>IF(ISBLANK('_SCHEDULE'!K186),"",'_SCHEDULE'!K186)</x:f>
      </x:c>
      <x:c r="L218" s="530" t="str">
        <x:f>IF(ISBLANK('_SCHEDULE'!L186),"",'_SCHEDULE'!L186)</x:f>
      </x:c>
      <x:c r="M218" s="530" t="str">
        <x:f>IF(ISBLANK('_SCHEDULE'!M186),"",'_SCHEDULE'!M186)</x:f>
      </x:c>
      <x:c r="N218" s="530" t="str">
        <x:f>IF(ISBLANK('_SCHEDULE'!N186),"",'_SCHEDULE'!N186)</x:f>
      </x:c>
      <x:c r="O218" s="530" t="str">
        <x:f>IF(ISBLANK('_SCHEDULE'!O186),"",'_SCHEDULE'!O186)</x:f>
      </x:c>
      <x:c r="P218" s="530" t="str">
        <x:f>IF(ISBLANK('_SCHEDULE'!P186),"",'_SCHEDULE'!P186)</x:f>
      </x:c>
      <x:c r="Q218" s="530" t="str">
        <x:f>IF(ISBLANK('_SCHEDULE'!Q186),"",'_SCHEDULE'!Q186)</x:f>
      </x:c>
      <x:c r="R218" s="530" t="str">
        <x:f>IF(ISBLANK('_SCHEDULE'!R186),"",'_SCHEDULE'!R186)</x:f>
      </x:c>
      <x:c r="S218" s="523" t="str">
        <x:f>IF(ISBLANK('_SCHEDULE'!S186),"",'_SCHEDULE'!S186)</x:f>
      </x:c>
      <x:c r="T218" s="38"/>
      <x:c r="U218" s="38"/>
      <x:c r="V218" s="38"/>
      <x:c r="W218" s="38"/>
      <x:c r="X218" s="38"/>
      <x:c r="Y218" s="38"/>
      <x:c r="Z218" s="38"/>
      <x:c r="AA218" s="38"/>
      <x:c r="AB218" s="38"/>
      <x:c r="AC218" s="38"/>
      <x:c r="AD218" s="38"/>
      <x:c r="AE218" s="38"/>
      <x:c r="AF218" s="38"/>
      <x:c r="AG218" s="38"/>
      <x:c r="AH218" s="38"/>
      <x:c r="AI218" s="38"/>
      <x:c r="AJ218" s="38"/>
      <x:c r="AK218" s="38"/>
      <x:c r="AL218" s="38"/>
      <x:c r="AM218" s="38"/>
    </x:row>
    <x:row r="219">
      <x:c r="A219" s="523" t="str">
        <x:f>IF(ISBLANK('_SCHEDULE'!A187),"",'_SCHEDULE'!A187)</x:f>
      </x:c>
      <x:c r="B219" s="523" t="str">
        <x:f>IF(ISBLANK('_SCHEDULE'!B187),"",IF('_CONFIG'!$B$2="pt-BR",IF('_SCHEDULE'!B187="scheduled","programado",IF('_SCHEDULE'!B187="rejected","rejeitado",'_SCHEDULE'!B187)),'_SCHEDULE'!B187))</x:f>
      </x:c>
      <x:c r="C219" s="523" t="str">
        <x:f>IF(ISBLANK('_SCHEDULE'!C187),"",'_SCHEDULE'!C187)</x:f>
      </x:c>
      <x:c r="D219" s="523" t="str">
        <x:f>IF(ISBLANK('_SCHEDULE'!D187),"",'_SCHEDULE'!D187)</x:f>
      </x:c>
      <x:c r="E219" s="530" t="str">
        <x:f>IF(ISBLANK('_SCHEDULE'!E187),"",'_SCHEDULE'!E187)</x:f>
      </x:c>
      <x:c r="F219" s="530" t="str">
        <x:f>IF(ISBLANK('_SCHEDULE'!F187),"",'_SCHEDULE'!F187)</x:f>
      </x:c>
      <x:c r="G219" s="530" t="str">
        <x:f>IF(ISBLANK('_SCHEDULE'!G187),"",'_SCHEDULE'!G187)</x:f>
      </x:c>
      <x:c r="H219" s="530" t="str">
        <x:f>IF(ISBLANK('_SCHEDULE'!H187),"",'_SCHEDULE'!H187)</x:f>
      </x:c>
      <x:c r="I219" s="530" t="str">
        <x:f>IF(ISBLANK('_SCHEDULE'!I187),"",'_SCHEDULE'!I187)</x:f>
      </x:c>
      <x:c r="J219" s="530" t="str">
        <x:f>IF(ISBLANK('_SCHEDULE'!J187),"",'_SCHEDULE'!J187)</x:f>
      </x:c>
      <x:c r="K219" s="530" t="str">
        <x:f>IF(ISBLANK('_SCHEDULE'!K187),"",'_SCHEDULE'!K187)</x:f>
      </x:c>
      <x:c r="L219" s="530" t="str">
        <x:f>IF(ISBLANK('_SCHEDULE'!L187),"",'_SCHEDULE'!L187)</x:f>
      </x:c>
      <x:c r="M219" s="530" t="str">
        <x:f>IF(ISBLANK('_SCHEDULE'!M187),"",'_SCHEDULE'!M187)</x:f>
      </x:c>
      <x:c r="N219" s="530" t="str">
        <x:f>IF(ISBLANK('_SCHEDULE'!N187),"",'_SCHEDULE'!N187)</x:f>
      </x:c>
      <x:c r="O219" s="530" t="str">
        <x:f>IF(ISBLANK('_SCHEDULE'!O187),"",'_SCHEDULE'!O187)</x:f>
      </x:c>
      <x:c r="P219" s="530" t="str">
        <x:f>IF(ISBLANK('_SCHEDULE'!P187),"",'_SCHEDULE'!P187)</x:f>
      </x:c>
      <x:c r="Q219" s="530" t="str">
        <x:f>IF(ISBLANK('_SCHEDULE'!Q187),"",'_SCHEDULE'!Q187)</x:f>
      </x:c>
      <x:c r="R219" s="530" t="str">
        <x:f>IF(ISBLANK('_SCHEDULE'!R187),"",'_SCHEDULE'!R187)</x:f>
      </x:c>
      <x:c r="S219" s="523" t="str">
        <x:f>IF(ISBLANK('_SCHEDULE'!S187),"",'_SCHEDULE'!S187)</x:f>
      </x:c>
      <x:c r="T219" s="38"/>
      <x:c r="U219" s="38"/>
      <x:c r="V219" s="38"/>
      <x:c r="W219" s="38"/>
      <x:c r="X219" s="38"/>
      <x:c r="Y219" s="38"/>
      <x:c r="Z219" s="38"/>
      <x:c r="AA219" s="38"/>
      <x:c r="AB219" s="38"/>
      <x:c r="AC219" s="38"/>
      <x:c r="AD219" s="38"/>
      <x:c r="AE219" s="38"/>
      <x:c r="AF219" s="38"/>
      <x:c r="AG219" s="38"/>
      <x:c r="AH219" s="38"/>
      <x:c r="AI219" s="38"/>
      <x:c r="AJ219" s="38"/>
      <x:c r="AK219" s="38"/>
      <x:c r="AL219" s="38"/>
      <x:c r="AM219" s="38"/>
    </x:row>
    <x:row r="220">
      <x:c r="A220" s="523" t="str">
        <x:f>IF(ISBLANK('_SCHEDULE'!A188),"",'_SCHEDULE'!A188)</x:f>
      </x:c>
      <x:c r="B220" s="523" t="str">
        <x:f>IF(ISBLANK('_SCHEDULE'!B188),"",IF('_CONFIG'!$B$2="pt-BR",IF('_SCHEDULE'!B188="scheduled","programado",IF('_SCHEDULE'!B188="rejected","rejeitado",'_SCHEDULE'!B188)),'_SCHEDULE'!B188))</x:f>
      </x:c>
      <x:c r="C220" s="523" t="str">
        <x:f>IF(ISBLANK('_SCHEDULE'!C188),"",'_SCHEDULE'!C188)</x:f>
      </x:c>
      <x:c r="D220" s="523" t="str">
        <x:f>IF(ISBLANK('_SCHEDULE'!D188),"",'_SCHEDULE'!D188)</x:f>
      </x:c>
      <x:c r="E220" s="530" t="str">
        <x:f>IF(ISBLANK('_SCHEDULE'!E188),"",'_SCHEDULE'!E188)</x:f>
      </x:c>
      <x:c r="F220" s="530" t="str">
        <x:f>IF(ISBLANK('_SCHEDULE'!F188),"",'_SCHEDULE'!F188)</x:f>
      </x:c>
      <x:c r="G220" s="530" t="str">
        <x:f>IF(ISBLANK('_SCHEDULE'!G188),"",'_SCHEDULE'!G188)</x:f>
      </x:c>
      <x:c r="H220" s="530" t="str">
        <x:f>IF(ISBLANK('_SCHEDULE'!H188),"",'_SCHEDULE'!H188)</x:f>
      </x:c>
      <x:c r="I220" s="530" t="str">
        <x:f>IF(ISBLANK('_SCHEDULE'!I188),"",'_SCHEDULE'!I188)</x:f>
      </x:c>
      <x:c r="J220" s="530" t="str">
        <x:f>IF(ISBLANK('_SCHEDULE'!J188),"",'_SCHEDULE'!J188)</x:f>
      </x:c>
      <x:c r="K220" s="530" t="str">
        <x:f>IF(ISBLANK('_SCHEDULE'!K188),"",'_SCHEDULE'!K188)</x:f>
      </x:c>
      <x:c r="L220" s="530" t="str">
        <x:f>IF(ISBLANK('_SCHEDULE'!L188),"",'_SCHEDULE'!L188)</x:f>
      </x:c>
      <x:c r="M220" s="530" t="str">
        <x:f>IF(ISBLANK('_SCHEDULE'!M188),"",'_SCHEDULE'!M188)</x:f>
      </x:c>
      <x:c r="N220" s="530" t="str">
        <x:f>IF(ISBLANK('_SCHEDULE'!N188),"",'_SCHEDULE'!N188)</x:f>
      </x:c>
      <x:c r="O220" s="530" t="str">
        <x:f>IF(ISBLANK('_SCHEDULE'!O188),"",'_SCHEDULE'!O188)</x:f>
      </x:c>
      <x:c r="P220" s="530" t="str">
        <x:f>IF(ISBLANK('_SCHEDULE'!P188),"",'_SCHEDULE'!P188)</x:f>
      </x:c>
      <x:c r="Q220" s="530" t="str">
        <x:f>IF(ISBLANK('_SCHEDULE'!Q188),"",'_SCHEDULE'!Q188)</x:f>
      </x:c>
      <x:c r="R220" s="530" t="str">
        <x:f>IF(ISBLANK('_SCHEDULE'!R188),"",'_SCHEDULE'!R188)</x:f>
      </x:c>
      <x:c r="S220" s="523" t="str">
        <x:f>IF(ISBLANK('_SCHEDULE'!S188),"",'_SCHEDULE'!S188)</x:f>
      </x:c>
      <x:c r="T220" s="38"/>
      <x:c r="U220" s="38"/>
      <x:c r="V220" s="38"/>
      <x:c r="W220" s="38"/>
      <x:c r="X220" s="38"/>
      <x:c r="Y220" s="38"/>
      <x:c r="Z220" s="38"/>
      <x:c r="AA220" s="38"/>
      <x:c r="AB220" s="38"/>
      <x:c r="AC220" s="38"/>
      <x:c r="AD220" s="38"/>
      <x:c r="AE220" s="38"/>
      <x:c r="AF220" s="38"/>
      <x:c r="AG220" s="38"/>
      <x:c r="AH220" s="38"/>
      <x:c r="AI220" s="38"/>
      <x:c r="AJ220" s="38"/>
      <x:c r="AK220" s="38"/>
      <x:c r="AL220" s="38"/>
      <x:c r="AM220" s="38"/>
    </x:row>
    <x:row r="221">
      <x:c r="A221" s="523" t="str">
        <x:f>IF(ISBLANK('_SCHEDULE'!A189),"",'_SCHEDULE'!A189)</x:f>
      </x:c>
      <x:c r="B221" s="523" t="str">
        <x:f>IF(ISBLANK('_SCHEDULE'!B189),"",IF('_CONFIG'!$B$2="pt-BR",IF('_SCHEDULE'!B189="scheduled","programado",IF('_SCHEDULE'!B189="rejected","rejeitado",'_SCHEDULE'!B189)),'_SCHEDULE'!B189))</x:f>
      </x:c>
      <x:c r="C221" s="523" t="str">
        <x:f>IF(ISBLANK('_SCHEDULE'!C189),"",'_SCHEDULE'!C189)</x:f>
      </x:c>
      <x:c r="D221" s="523" t="str">
        <x:f>IF(ISBLANK('_SCHEDULE'!D189),"",'_SCHEDULE'!D189)</x:f>
      </x:c>
      <x:c r="E221" s="530" t="str">
        <x:f>IF(ISBLANK('_SCHEDULE'!E189),"",'_SCHEDULE'!E189)</x:f>
      </x:c>
      <x:c r="F221" s="530" t="str">
        <x:f>IF(ISBLANK('_SCHEDULE'!F189),"",'_SCHEDULE'!F189)</x:f>
      </x:c>
      <x:c r="G221" s="530" t="str">
        <x:f>IF(ISBLANK('_SCHEDULE'!G189),"",'_SCHEDULE'!G189)</x:f>
      </x:c>
      <x:c r="H221" s="530" t="str">
        <x:f>IF(ISBLANK('_SCHEDULE'!H189),"",'_SCHEDULE'!H189)</x:f>
      </x:c>
      <x:c r="I221" s="530" t="str">
        <x:f>IF(ISBLANK('_SCHEDULE'!I189),"",'_SCHEDULE'!I189)</x:f>
      </x:c>
      <x:c r="J221" s="530" t="str">
        <x:f>IF(ISBLANK('_SCHEDULE'!J189),"",'_SCHEDULE'!J189)</x:f>
      </x:c>
      <x:c r="K221" s="530" t="str">
        <x:f>IF(ISBLANK('_SCHEDULE'!K189),"",'_SCHEDULE'!K189)</x:f>
      </x:c>
      <x:c r="L221" s="530" t="str">
        <x:f>IF(ISBLANK('_SCHEDULE'!L189),"",'_SCHEDULE'!L189)</x:f>
      </x:c>
      <x:c r="M221" s="530" t="str">
        <x:f>IF(ISBLANK('_SCHEDULE'!M189),"",'_SCHEDULE'!M189)</x:f>
      </x:c>
      <x:c r="N221" s="530" t="str">
        <x:f>IF(ISBLANK('_SCHEDULE'!N189),"",'_SCHEDULE'!N189)</x:f>
      </x:c>
      <x:c r="O221" s="530" t="str">
        <x:f>IF(ISBLANK('_SCHEDULE'!O189),"",'_SCHEDULE'!O189)</x:f>
      </x:c>
      <x:c r="P221" s="530" t="str">
        <x:f>IF(ISBLANK('_SCHEDULE'!P189),"",'_SCHEDULE'!P189)</x:f>
      </x:c>
      <x:c r="Q221" s="530" t="str">
        <x:f>IF(ISBLANK('_SCHEDULE'!Q189),"",'_SCHEDULE'!Q189)</x:f>
      </x:c>
      <x:c r="R221" s="530" t="str">
        <x:f>IF(ISBLANK('_SCHEDULE'!R189),"",'_SCHEDULE'!R189)</x:f>
      </x:c>
      <x:c r="S221" s="523" t="str">
        <x:f>IF(ISBLANK('_SCHEDULE'!S189),"",'_SCHEDULE'!S189)</x:f>
      </x:c>
      <x:c r="T221" s="38"/>
      <x:c r="U221" s="38"/>
      <x:c r="V221" s="38"/>
      <x:c r="W221" s="38"/>
      <x:c r="X221" s="38"/>
      <x:c r="Y221" s="38"/>
      <x:c r="Z221" s="38"/>
      <x:c r="AA221" s="38"/>
      <x:c r="AB221" s="38"/>
      <x:c r="AC221" s="38"/>
      <x:c r="AD221" s="38"/>
      <x:c r="AE221" s="38"/>
      <x:c r="AF221" s="38"/>
      <x:c r="AG221" s="38"/>
      <x:c r="AH221" s="38"/>
      <x:c r="AI221" s="38"/>
      <x:c r="AJ221" s="38"/>
      <x:c r="AK221" s="38"/>
      <x:c r="AL221" s="38"/>
      <x:c r="AM221" s="38"/>
    </x:row>
    <x:row r="222">
      <x:c r="A222" s="523" t="str">
        <x:f>IF(ISBLANK('_SCHEDULE'!A190),"",'_SCHEDULE'!A190)</x:f>
      </x:c>
      <x:c r="B222" s="523" t="str">
        <x:f>IF(ISBLANK('_SCHEDULE'!B190),"",IF('_CONFIG'!$B$2="pt-BR",IF('_SCHEDULE'!B190="scheduled","programado",IF('_SCHEDULE'!B190="rejected","rejeitado",'_SCHEDULE'!B190)),'_SCHEDULE'!B190))</x:f>
      </x:c>
      <x:c r="C222" s="523" t="str">
        <x:f>IF(ISBLANK('_SCHEDULE'!C190),"",'_SCHEDULE'!C190)</x:f>
      </x:c>
      <x:c r="D222" s="523" t="str">
        <x:f>IF(ISBLANK('_SCHEDULE'!D190),"",'_SCHEDULE'!D190)</x:f>
      </x:c>
      <x:c r="E222" s="530" t="str">
        <x:f>IF(ISBLANK('_SCHEDULE'!E190),"",'_SCHEDULE'!E190)</x:f>
      </x:c>
      <x:c r="F222" s="530" t="str">
        <x:f>IF(ISBLANK('_SCHEDULE'!F190),"",'_SCHEDULE'!F190)</x:f>
      </x:c>
      <x:c r="G222" s="530" t="str">
        <x:f>IF(ISBLANK('_SCHEDULE'!G190),"",'_SCHEDULE'!G190)</x:f>
      </x:c>
      <x:c r="H222" s="530" t="str">
        <x:f>IF(ISBLANK('_SCHEDULE'!H190),"",'_SCHEDULE'!H190)</x:f>
      </x:c>
      <x:c r="I222" s="530" t="str">
        <x:f>IF(ISBLANK('_SCHEDULE'!I190),"",'_SCHEDULE'!I190)</x:f>
      </x:c>
      <x:c r="J222" s="530" t="str">
        <x:f>IF(ISBLANK('_SCHEDULE'!J190),"",'_SCHEDULE'!J190)</x:f>
      </x:c>
      <x:c r="K222" s="530" t="str">
        <x:f>IF(ISBLANK('_SCHEDULE'!K190),"",'_SCHEDULE'!K190)</x:f>
      </x:c>
      <x:c r="L222" s="530" t="str">
        <x:f>IF(ISBLANK('_SCHEDULE'!L190),"",'_SCHEDULE'!L190)</x:f>
      </x:c>
      <x:c r="M222" s="530" t="str">
        <x:f>IF(ISBLANK('_SCHEDULE'!M190),"",'_SCHEDULE'!M190)</x:f>
      </x:c>
      <x:c r="N222" s="530" t="str">
        <x:f>IF(ISBLANK('_SCHEDULE'!N190),"",'_SCHEDULE'!N190)</x:f>
      </x:c>
      <x:c r="O222" s="530" t="str">
        <x:f>IF(ISBLANK('_SCHEDULE'!O190),"",'_SCHEDULE'!O190)</x:f>
      </x:c>
      <x:c r="P222" s="530" t="str">
        <x:f>IF(ISBLANK('_SCHEDULE'!P190),"",'_SCHEDULE'!P190)</x:f>
      </x:c>
      <x:c r="Q222" s="530" t="str">
        <x:f>IF(ISBLANK('_SCHEDULE'!Q190),"",'_SCHEDULE'!Q190)</x:f>
      </x:c>
      <x:c r="R222" s="530" t="str">
        <x:f>IF(ISBLANK('_SCHEDULE'!R190),"",'_SCHEDULE'!R190)</x:f>
      </x:c>
      <x:c r="S222" s="523" t="str">
        <x:f>IF(ISBLANK('_SCHEDULE'!S190),"",'_SCHEDULE'!S190)</x:f>
      </x:c>
      <x:c r="T222" s="38"/>
      <x:c r="U222" s="38"/>
      <x:c r="V222" s="38"/>
      <x:c r="W222" s="38"/>
      <x:c r="X222" s="38"/>
      <x:c r="Y222" s="38"/>
      <x:c r="Z222" s="38"/>
      <x:c r="AA222" s="38"/>
      <x:c r="AB222" s="38"/>
      <x:c r="AC222" s="38"/>
      <x:c r="AD222" s="38"/>
      <x:c r="AE222" s="38"/>
      <x:c r="AF222" s="38"/>
      <x:c r="AG222" s="38"/>
      <x:c r="AH222" s="38"/>
      <x:c r="AI222" s="38"/>
      <x:c r="AJ222" s="38"/>
      <x:c r="AK222" s="38"/>
      <x:c r="AL222" s="38"/>
      <x:c r="AM222" s="38"/>
    </x:row>
    <x:row r="223">
      <x:c r="A223" s="523" t="str">
        <x:f>IF(ISBLANK('_SCHEDULE'!A191),"",'_SCHEDULE'!A191)</x:f>
      </x:c>
      <x:c r="B223" s="523" t="str">
        <x:f>IF(ISBLANK('_SCHEDULE'!B191),"",IF('_CONFIG'!$B$2="pt-BR",IF('_SCHEDULE'!B191="scheduled","programado",IF('_SCHEDULE'!B191="rejected","rejeitado",'_SCHEDULE'!B191)),'_SCHEDULE'!B191))</x:f>
      </x:c>
      <x:c r="C223" s="523" t="str">
        <x:f>IF(ISBLANK('_SCHEDULE'!C191),"",'_SCHEDULE'!C191)</x:f>
      </x:c>
      <x:c r="D223" s="523" t="str">
        <x:f>IF(ISBLANK('_SCHEDULE'!D191),"",'_SCHEDULE'!D191)</x:f>
      </x:c>
      <x:c r="E223" s="530" t="str">
        <x:f>IF(ISBLANK('_SCHEDULE'!E191),"",'_SCHEDULE'!E191)</x:f>
      </x:c>
      <x:c r="F223" s="530" t="str">
        <x:f>IF(ISBLANK('_SCHEDULE'!F191),"",'_SCHEDULE'!F191)</x:f>
      </x:c>
      <x:c r="G223" s="530" t="str">
        <x:f>IF(ISBLANK('_SCHEDULE'!G191),"",'_SCHEDULE'!G191)</x:f>
      </x:c>
      <x:c r="H223" s="530" t="str">
        <x:f>IF(ISBLANK('_SCHEDULE'!H191),"",'_SCHEDULE'!H191)</x:f>
      </x:c>
      <x:c r="I223" s="530" t="str">
        <x:f>IF(ISBLANK('_SCHEDULE'!I191),"",'_SCHEDULE'!I191)</x:f>
      </x:c>
      <x:c r="J223" s="530" t="str">
        <x:f>IF(ISBLANK('_SCHEDULE'!J191),"",'_SCHEDULE'!J191)</x:f>
      </x:c>
      <x:c r="K223" s="530" t="str">
        <x:f>IF(ISBLANK('_SCHEDULE'!K191),"",'_SCHEDULE'!K191)</x:f>
      </x:c>
      <x:c r="L223" s="530" t="str">
        <x:f>IF(ISBLANK('_SCHEDULE'!L191),"",'_SCHEDULE'!L191)</x:f>
      </x:c>
      <x:c r="M223" s="530" t="str">
        <x:f>IF(ISBLANK('_SCHEDULE'!M191),"",'_SCHEDULE'!M191)</x:f>
      </x:c>
      <x:c r="N223" s="530" t="str">
        <x:f>IF(ISBLANK('_SCHEDULE'!N191),"",'_SCHEDULE'!N191)</x:f>
      </x:c>
      <x:c r="O223" s="530" t="str">
        <x:f>IF(ISBLANK('_SCHEDULE'!O191),"",'_SCHEDULE'!O191)</x:f>
      </x:c>
      <x:c r="P223" s="530" t="str">
        <x:f>IF(ISBLANK('_SCHEDULE'!P191),"",'_SCHEDULE'!P191)</x:f>
      </x:c>
      <x:c r="Q223" s="530" t="str">
        <x:f>IF(ISBLANK('_SCHEDULE'!Q191),"",'_SCHEDULE'!Q191)</x:f>
      </x:c>
      <x:c r="R223" s="530" t="str">
        <x:f>IF(ISBLANK('_SCHEDULE'!R191),"",'_SCHEDULE'!R191)</x:f>
      </x:c>
      <x:c r="S223" s="523" t="str">
        <x:f>IF(ISBLANK('_SCHEDULE'!S191),"",'_SCHEDULE'!S191)</x:f>
      </x:c>
      <x:c r="T223" s="38"/>
      <x:c r="U223" s="38"/>
      <x:c r="V223" s="38"/>
      <x:c r="W223" s="38"/>
      <x:c r="X223" s="38"/>
      <x:c r="Y223" s="38"/>
      <x:c r="Z223" s="38"/>
      <x:c r="AA223" s="38"/>
      <x:c r="AB223" s="38"/>
      <x:c r="AC223" s="38"/>
      <x:c r="AD223" s="38"/>
      <x:c r="AE223" s="38"/>
      <x:c r="AF223" s="38"/>
      <x:c r="AG223" s="38"/>
      <x:c r="AH223" s="38"/>
      <x:c r="AI223" s="38"/>
      <x:c r="AJ223" s="38"/>
      <x:c r="AK223" s="38"/>
      <x:c r="AL223" s="38"/>
      <x:c r="AM223" s="38"/>
    </x:row>
    <x:row r="224">
      <x:c r="A224" s="523" t="str">
        <x:f>IF(ISBLANK('_SCHEDULE'!A192),"",'_SCHEDULE'!A192)</x:f>
      </x:c>
      <x:c r="B224" s="523" t="str">
        <x:f>IF(ISBLANK('_SCHEDULE'!B192),"",IF('_CONFIG'!$B$2="pt-BR",IF('_SCHEDULE'!B192="scheduled","programado",IF('_SCHEDULE'!B192="rejected","rejeitado",'_SCHEDULE'!B192)),'_SCHEDULE'!B192))</x:f>
      </x:c>
      <x:c r="C224" s="523" t="str">
        <x:f>IF(ISBLANK('_SCHEDULE'!C192),"",'_SCHEDULE'!C192)</x:f>
      </x:c>
      <x:c r="D224" s="523" t="str">
        <x:f>IF(ISBLANK('_SCHEDULE'!D192),"",'_SCHEDULE'!D192)</x:f>
      </x:c>
      <x:c r="E224" s="530" t="str">
        <x:f>IF(ISBLANK('_SCHEDULE'!E192),"",'_SCHEDULE'!E192)</x:f>
      </x:c>
      <x:c r="F224" s="530" t="str">
        <x:f>IF(ISBLANK('_SCHEDULE'!F192),"",'_SCHEDULE'!F192)</x:f>
      </x:c>
      <x:c r="G224" s="530" t="str">
        <x:f>IF(ISBLANK('_SCHEDULE'!G192),"",'_SCHEDULE'!G192)</x:f>
      </x:c>
      <x:c r="H224" s="530" t="str">
        <x:f>IF(ISBLANK('_SCHEDULE'!H192),"",'_SCHEDULE'!H192)</x:f>
      </x:c>
      <x:c r="I224" s="530" t="str">
        <x:f>IF(ISBLANK('_SCHEDULE'!I192),"",'_SCHEDULE'!I192)</x:f>
      </x:c>
      <x:c r="J224" s="530" t="str">
        <x:f>IF(ISBLANK('_SCHEDULE'!J192),"",'_SCHEDULE'!J192)</x:f>
      </x:c>
      <x:c r="K224" s="530" t="str">
        <x:f>IF(ISBLANK('_SCHEDULE'!K192),"",'_SCHEDULE'!K192)</x:f>
      </x:c>
      <x:c r="L224" s="530" t="str">
        <x:f>IF(ISBLANK('_SCHEDULE'!L192),"",'_SCHEDULE'!L192)</x:f>
      </x:c>
      <x:c r="M224" s="530" t="str">
        <x:f>IF(ISBLANK('_SCHEDULE'!M192),"",'_SCHEDULE'!M192)</x:f>
      </x:c>
      <x:c r="N224" s="530" t="str">
        <x:f>IF(ISBLANK('_SCHEDULE'!N192),"",'_SCHEDULE'!N192)</x:f>
      </x:c>
      <x:c r="O224" s="530" t="str">
        <x:f>IF(ISBLANK('_SCHEDULE'!O192),"",'_SCHEDULE'!O192)</x:f>
      </x:c>
      <x:c r="P224" s="530" t="str">
        <x:f>IF(ISBLANK('_SCHEDULE'!P192),"",'_SCHEDULE'!P192)</x:f>
      </x:c>
      <x:c r="Q224" s="530" t="str">
        <x:f>IF(ISBLANK('_SCHEDULE'!Q192),"",'_SCHEDULE'!Q192)</x:f>
      </x:c>
      <x:c r="R224" s="530" t="str">
        <x:f>IF(ISBLANK('_SCHEDULE'!R192),"",'_SCHEDULE'!R192)</x:f>
      </x:c>
      <x:c r="S224" s="523" t="str">
        <x:f>IF(ISBLANK('_SCHEDULE'!S192),"",'_SCHEDULE'!S192)</x:f>
      </x:c>
      <x:c r="T224" s="38"/>
      <x:c r="U224" s="38"/>
      <x:c r="V224" s="38"/>
      <x:c r="W224" s="38"/>
      <x:c r="X224" s="38"/>
      <x:c r="Y224" s="38"/>
      <x:c r="Z224" s="38"/>
      <x:c r="AA224" s="38"/>
      <x:c r="AB224" s="38"/>
      <x:c r="AC224" s="38"/>
      <x:c r="AD224" s="38"/>
      <x:c r="AE224" s="38"/>
      <x:c r="AF224" s="38"/>
      <x:c r="AG224" s="38"/>
      <x:c r="AH224" s="38"/>
      <x:c r="AI224" s="38"/>
      <x:c r="AJ224" s="38"/>
      <x:c r="AK224" s="38"/>
      <x:c r="AL224" s="38"/>
      <x:c r="AM224" s="38"/>
    </x:row>
    <x:row r="225">
      <x:c r="A225" s="523" t="str">
        <x:f>IF(ISBLANK('_SCHEDULE'!A193),"",'_SCHEDULE'!A193)</x:f>
      </x:c>
      <x:c r="B225" s="523" t="str">
        <x:f>IF(ISBLANK('_SCHEDULE'!B193),"",IF('_CONFIG'!$B$2="pt-BR",IF('_SCHEDULE'!B193="scheduled","programado",IF('_SCHEDULE'!B193="rejected","rejeitado",'_SCHEDULE'!B193)),'_SCHEDULE'!B193))</x:f>
      </x:c>
      <x:c r="C225" s="523" t="str">
        <x:f>IF(ISBLANK('_SCHEDULE'!C193),"",'_SCHEDULE'!C193)</x:f>
      </x:c>
      <x:c r="D225" s="523" t="str">
        <x:f>IF(ISBLANK('_SCHEDULE'!D193),"",'_SCHEDULE'!D193)</x:f>
      </x:c>
      <x:c r="E225" s="530" t="str">
        <x:f>IF(ISBLANK('_SCHEDULE'!E193),"",'_SCHEDULE'!E193)</x:f>
      </x:c>
      <x:c r="F225" s="530" t="str">
        <x:f>IF(ISBLANK('_SCHEDULE'!F193),"",'_SCHEDULE'!F193)</x:f>
      </x:c>
      <x:c r="G225" s="530" t="str">
        <x:f>IF(ISBLANK('_SCHEDULE'!G193),"",'_SCHEDULE'!G193)</x:f>
      </x:c>
      <x:c r="H225" s="530" t="str">
        <x:f>IF(ISBLANK('_SCHEDULE'!H193),"",'_SCHEDULE'!H193)</x:f>
      </x:c>
      <x:c r="I225" s="530" t="str">
        <x:f>IF(ISBLANK('_SCHEDULE'!I193),"",'_SCHEDULE'!I193)</x:f>
      </x:c>
      <x:c r="J225" s="530" t="str">
        <x:f>IF(ISBLANK('_SCHEDULE'!J193),"",'_SCHEDULE'!J193)</x:f>
      </x:c>
      <x:c r="K225" s="530" t="str">
        <x:f>IF(ISBLANK('_SCHEDULE'!K193),"",'_SCHEDULE'!K193)</x:f>
      </x:c>
      <x:c r="L225" s="530" t="str">
        <x:f>IF(ISBLANK('_SCHEDULE'!L193),"",'_SCHEDULE'!L193)</x:f>
      </x:c>
      <x:c r="M225" s="530" t="str">
        <x:f>IF(ISBLANK('_SCHEDULE'!M193),"",'_SCHEDULE'!M193)</x:f>
      </x:c>
      <x:c r="N225" s="530" t="str">
        <x:f>IF(ISBLANK('_SCHEDULE'!N193),"",'_SCHEDULE'!N193)</x:f>
      </x:c>
      <x:c r="O225" s="530" t="str">
        <x:f>IF(ISBLANK('_SCHEDULE'!O193),"",'_SCHEDULE'!O193)</x:f>
      </x:c>
      <x:c r="P225" s="530" t="str">
        <x:f>IF(ISBLANK('_SCHEDULE'!P193),"",'_SCHEDULE'!P193)</x:f>
      </x:c>
      <x:c r="Q225" s="530" t="str">
        <x:f>IF(ISBLANK('_SCHEDULE'!Q193),"",'_SCHEDULE'!Q193)</x:f>
      </x:c>
      <x:c r="R225" s="530" t="str">
        <x:f>IF(ISBLANK('_SCHEDULE'!R193),"",'_SCHEDULE'!R193)</x:f>
      </x:c>
      <x:c r="S225" s="523" t="str">
        <x:f>IF(ISBLANK('_SCHEDULE'!S193),"",'_SCHEDULE'!S193)</x:f>
      </x:c>
      <x:c r="T225" s="38"/>
      <x:c r="U225" s="38"/>
      <x:c r="V225" s="38"/>
      <x:c r="W225" s="38"/>
      <x:c r="X225" s="38"/>
      <x:c r="Y225" s="38"/>
      <x:c r="Z225" s="38"/>
      <x:c r="AA225" s="38"/>
      <x:c r="AB225" s="38"/>
      <x:c r="AC225" s="38"/>
      <x:c r="AD225" s="38"/>
      <x:c r="AE225" s="38"/>
      <x:c r="AF225" s="38"/>
      <x:c r="AG225" s="38"/>
      <x:c r="AH225" s="38"/>
      <x:c r="AI225" s="38"/>
      <x:c r="AJ225" s="38"/>
      <x:c r="AK225" s="38"/>
      <x:c r="AL225" s="38"/>
      <x:c r="AM225" s="38"/>
    </x:row>
    <x:row r="226">
      <x:c r="A226" s="523" t="str">
        <x:f>IF(ISBLANK('_SCHEDULE'!A194),"",'_SCHEDULE'!A194)</x:f>
      </x:c>
      <x:c r="B226" s="523" t="str">
        <x:f>IF(ISBLANK('_SCHEDULE'!B194),"",IF('_CONFIG'!$B$2="pt-BR",IF('_SCHEDULE'!B194="scheduled","programado",IF('_SCHEDULE'!B194="rejected","rejeitado",'_SCHEDULE'!B194)),'_SCHEDULE'!B194))</x:f>
      </x:c>
      <x:c r="C226" s="523" t="str">
        <x:f>IF(ISBLANK('_SCHEDULE'!C194),"",'_SCHEDULE'!C194)</x:f>
      </x:c>
      <x:c r="D226" s="523" t="str">
        <x:f>IF(ISBLANK('_SCHEDULE'!D194),"",'_SCHEDULE'!D194)</x:f>
      </x:c>
      <x:c r="E226" s="530" t="str">
        <x:f>IF(ISBLANK('_SCHEDULE'!E194),"",'_SCHEDULE'!E194)</x:f>
      </x:c>
      <x:c r="F226" s="530" t="str">
        <x:f>IF(ISBLANK('_SCHEDULE'!F194),"",'_SCHEDULE'!F194)</x:f>
      </x:c>
      <x:c r="G226" s="530" t="str">
        <x:f>IF(ISBLANK('_SCHEDULE'!G194),"",'_SCHEDULE'!G194)</x:f>
      </x:c>
      <x:c r="H226" s="530" t="str">
        <x:f>IF(ISBLANK('_SCHEDULE'!H194),"",'_SCHEDULE'!H194)</x:f>
      </x:c>
      <x:c r="I226" s="530" t="str">
        <x:f>IF(ISBLANK('_SCHEDULE'!I194),"",'_SCHEDULE'!I194)</x:f>
      </x:c>
      <x:c r="J226" s="530" t="str">
        <x:f>IF(ISBLANK('_SCHEDULE'!J194),"",'_SCHEDULE'!J194)</x:f>
      </x:c>
      <x:c r="K226" s="530" t="str">
        <x:f>IF(ISBLANK('_SCHEDULE'!K194),"",'_SCHEDULE'!K194)</x:f>
      </x:c>
      <x:c r="L226" s="530" t="str">
        <x:f>IF(ISBLANK('_SCHEDULE'!L194),"",'_SCHEDULE'!L194)</x:f>
      </x:c>
      <x:c r="M226" s="530" t="str">
        <x:f>IF(ISBLANK('_SCHEDULE'!M194),"",'_SCHEDULE'!M194)</x:f>
      </x:c>
      <x:c r="N226" s="530" t="str">
        <x:f>IF(ISBLANK('_SCHEDULE'!N194),"",'_SCHEDULE'!N194)</x:f>
      </x:c>
      <x:c r="O226" s="530" t="str">
        <x:f>IF(ISBLANK('_SCHEDULE'!O194),"",'_SCHEDULE'!O194)</x:f>
      </x:c>
      <x:c r="P226" s="530" t="str">
        <x:f>IF(ISBLANK('_SCHEDULE'!P194),"",'_SCHEDULE'!P194)</x:f>
      </x:c>
      <x:c r="Q226" s="530" t="str">
        <x:f>IF(ISBLANK('_SCHEDULE'!Q194),"",'_SCHEDULE'!Q194)</x:f>
      </x:c>
      <x:c r="R226" s="530" t="str">
        <x:f>IF(ISBLANK('_SCHEDULE'!R194),"",'_SCHEDULE'!R194)</x:f>
      </x:c>
      <x:c r="S226" s="523" t="str">
        <x:f>IF(ISBLANK('_SCHEDULE'!S194),"",'_SCHEDULE'!S194)</x:f>
      </x:c>
      <x:c r="T226" s="38"/>
      <x:c r="U226" s="38"/>
      <x:c r="V226" s="38"/>
      <x:c r="W226" s="38"/>
      <x:c r="X226" s="38"/>
      <x:c r="Y226" s="38"/>
      <x:c r="Z226" s="38"/>
      <x:c r="AA226" s="38"/>
      <x:c r="AB226" s="38"/>
      <x:c r="AC226" s="38"/>
      <x:c r="AD226" s="38"/>
      <x:c r="AE226" s="38"/>
      <x:c r="AF226" s="38"/>
      <x:c r="AG226" s="38"/>
      <x:c r="AH226" s="38"/>
      <x:c r="AI226" s="38"/>
      <x:c r="AJ226" s="38"/>
      <x:c r="AK226" s="38"/>
      <x:c r="AL226" s="38"/>
      <x:c r="AM226" s="38"/>
    </x:row>
    <x:row r="227">
      <x:c r="A227" s="523" t="str">
        <x:f>IF(ISBLANK('_SCHEDULE'!A195),"",'_SCHEDULE'!A195)</x:f>
      </x:c>
      <x:c r="B227" s="523" t="str">
        <x:f>IF(ISBLANK('_SCHEDULE'!B195),"",IF('_CONFIG'!$B$2="pt-BR",IF('_SCHEDULE'!B195="scheduled","programado",IF('_SCHEDULE'!B195="rejected","rejeitado",'_SCHEDULE'!B195)),'_SCHEDULE'!B195))</x:f>
      </x:c>
      <x:c r="C227" s="523" t="str">
        <x:f>IF(ISBLANK('_SCHEDULE'!C195),"",'_SCHEDULE'!C195)</x:f>
      </x:c>
      <x:c r="D227" s="523" t="str">
        <x:f>IF(ISBLANK('_SCHEDULE'!D195),"",'_SCHEDULE'!D195)</x:f>
      </x:c>
      <x:c r="E227" s="530" t="str">
        <x:f>IF(ISBLANK('_SCHEDULE'!E195),"",'_SCHEDULE'!E195)</x:f>
      </x:c>
      <x:c r="F227" s="530" t="str">
        <x:f>IF(ISBLANK('_SCHEDULE'!F195),"",'_SCHEDULE'!F195)</x:f>
      </x:c>
      <x:c r="G227" s="530" t="str">
        <x:f>IF(ISBLANK('_SCHEDULE'!G195),"",'_SCHEDULE'!G195)</x:f>
      </x:c>
      <x:c r="H227" s="530" t="str">
        <x:f>IF(ISBLANK('_SCHEDULE'!H195),"",'_SCHEDULE'!H195)</x:f>
      </x:c>
      <x:c r="I227" s="530" t="str">
        <x:f>IF(ISBLANK('_SCHEDULE'!I195),"",'_SCHEDULE'!I195)</x:f>
      </x:c>
      <x:c r="J227" s="530" t="str">
        <x:f>IF(ISBLANK('_SCHEDULE'!J195),"",'_SCHEDULE'!J195)</x:f>
      </x:c>
      <x:c r="K227" s="530" t="str">
        <x:f>IF(ISBLANK('_SCHEDULE'!K195),"",'_SCHEDULE'!K195)</x:f>
      </x:c>
      <x:c r="L227" s="530" t="str">
        <x:f>IF(ISBLANK('_SCHEDULE'!L195),"",'_SCHEDULE'!L195)</x:f>
      </x:c>
      <x:c r="M227" s="530" t="str">
        <x:f>IF(ISBLANK('_SCHEDULE'!M195),"",'_SCHEDULE'!M195)</x:f>
      </x:c>
      <x:c r="N227" s="530" t="str">
        <x:f>IF(ISBLANK('_SCHEDULE'!N195),"",'_SCHEDULE'!N195)</x:f>
      </x:c>
      <x:c r="O227" s="530" t="str">
        <x:f>IF(ISBLANK('_SCHEDULE'!O195),"",'_SCHEDULE'!O195)</x:f>
      </x:c>
      <x:c r="P227" s="530" t="str">
        <x:f>IF(ISBLANK('_SCHEDULE'!P195),"",'_SCHEDULE'!P195)</x:f>
      </x:c>
      <x:c r="Q227" s="530" t="str">
        <x:f>IF(ISBLANK('_SCHEDULE'!Q195),"",'_SCHEDULE'!Q195)</x:f>
      </x:c>
      <x:c r="R227" s="530" t="str">
        <x:f>IF(ISBLANK('_SCHEDULE'!R195),"",'_SCHEDULE'!R195)</x:f>
      </x:c>
      <x:c r="S227" s="523" t="str">
        <x:f>IF(ISBLANK('_SCHEDULE'!S195),"",'_SCHEDULE'!S195)</x:f>
      </x:c>
      <x:c r="T227" s="38"/>
      <x:c r="U227" s="38"/>
      <x:c r="V227" s="38"/>
      <x:c r="W227" s="38"/>
      <x:c r="X227" s="38"/>
      <x:c r="Y227" s="38"/>
      <x:c r="Z227" s="38"/>
      <x:c r="AA227" s="38"/>
      <x:c r="AB227" s="38"/>
      <x:c r="AC227" s="38"/>
      <x:c r="AD227" s="38"/>
      <x:c r="AE227" s="38"/>
      <x:c r="AF227" s="38"/>
      <x:c r="AG227" s="38"/>
      <x:c r="AH227" s="38"/>
      <x:c r="AI227" s="38"/>
      <x:c r="AJ227" s="38"/>
      <x:c r="AK227" s="38"/>
      <x:c r="AL227" s="38"/>
      <x:c r="AM227" s="38"/>
    </x:row>
    <x:row r="228">
      <x:c r="A228" s="523" t="str">
        <x:f>IF(ISBLANK('_SCHEDULE'!A196),"",'_SCHEDULE'!A196)</x:f>
      </x:c>
      <x:c r="B228" s="523" t="str">
        <x:f>IF(ISBLANK('_SCHEDULE'!B196),"",IF('_CONFIG'!$B$2="pt-BR",IF('_SCHEDULE'!B196="scheduled","programado",IF('_SCHEDULE'!B196="rejected","rejeitado",'_SCHEDULE'!B196)),'_SCHEDULE'!B196))</x:f>
      </x:c>
      <x:c r="C228" s="523" t="str">
        <x:f>IF(ISBLANK('_SCHEDULE'!C196),"",'_SCHEDULE'!C196)</x:f>
      </x:c>
      <x:c r="D228" s="523" t="str">
        <x:f>IF(ISBLANK('_SCHEDULE'!D196),"",'_SCHEDULE'!D196)</x:f>
      </x:c>
      <x:c r="E228" s="530" t="str">
        <x:f>IF(ISBLANK('_SCHEDULE'!E196),"",'_SCHEDULE'!E196)</x:f>
      </x:c>
      <x:c r="F228" s="530" t="str">
        <x:f>IF(ISBLANK('_SCHEDULE'!F196),"",'_SCHEDULE'!F196)</x:f>
      </x:c>
      <x:c r="G228" s="530" t="str">
        <x:f>IF(ISBLANK('_SCHEDULE'!G196),"",'_SCHEDULE'!G196)</x:f>
      </x:c>
      <x:c r="H228" s="530" t="str">
        <x:f>IF(ISBLANK('_SCHEDULE'!H196),"",'_SCHEDULE'!H196)</x:f>
      </x:c>
      <x:c r="I228" s="530" t="str">
        <x:f>IF(ISBLANK('_SCHEDULE'!I196),"",'_SCHEDULE'!I196)</x:f>
      </x:c>
      <x:c r="J228" s="530" t="str">
        <x:f>IF(ISBLANK('_SCHEDULE'!J196),"",'_SCHEDULE'!J196)</x:f>
      </x:c>
      <x:c r="K228" s="530" t="str">
        <x:f>IF(ISBLANK('_SCHEDULE'!K196),"",'_SCHEDULE'!K196)</x:f>
      </x:c>
      <x:c r="L228" s="530" t="str">
        <x:f>IF(ISBLANK('_SCHEDULE'!L196),"",'_SCHEDULE'!L196)</x:f>
      </x:c>
      <x:c r="M228" s="530" t="str">
        <x:f>IF(ISBLANK('_SCHEDULE'!M196),"",'_SCHEDULE'!M196)</x:f>
      </x:c>
      <x:c r="N228" s="530" t="str">
        <x:f>IF(ISBLANK('_SCHEDULE'!N196),"",'_SCHEDULE'!N196)</x:f>
      </x:c>
      <x:c r="O228" s="530" t="str">
        <x:f>IF(ISBLANK('_SCHEDULE'!O196),"",'_SCHEDULE'!O196)</x:f>
      </x:c>
      <x:c r="P228" s="530" t="str">
        <x:f>IF(ISBLANK('_SCHEDULE'!P196),"",'_SCHEDULE'!P196)</x:f>
      </x:c>
      <x:c r="Q228" s="530" t="str">
        <x:f>IF(ISBLANK('_SCHEDULE'!Q196),"",'_SCHEDULE'!Q196)</x:f>
      </x:c>
      <x:c r="R228" s="530" t="str">
        <x:f>IF(ISBLANK('_SCHEDULE'!R196),"",'_SCHEDULE'!R196)</x:f>
      </x:c>
      <x:c r="S228" s="523" t="str">
        <x:f>IF(ISBLANK('_SCHEDULE'!S196),"",'_SCHEDULE'!S196)</x:f>
      </x:c>
      <x:c r="T228" s="38"/>
      <x:c r="U228" s="38"/>
      <x:c r="V228" s="38"/>
      <x:c r="W228" s="38"/>
      <x:c r="X228" s="38"/>
      <x:c r="Y228" s="38"/>
      <x:c r="Z228" s="38"/>
      <x:c r="AA228" s="38"/>
      <x:c r="AB228" s="38"/>
      <x:c r="AC228" s="38"/>
      <x:c r="AD228" s="38"/>
      <x:c r="AE228" s="38"/>
      <x:c r="AF228" s="38"/>
      <x:c r="AG228" s="38"/>
      <x:c r="AH228" s="38"/>
      <x:c r="AI228" s="38"/>
      <x:c r="AJ228" s="38"/>
      <x:c r="AK228" s="38"/>
      <x:c r="AL228" s="38"/>
      <x:c r="AM228" s="38"/>
    </x:row>
    <x:row r="229">
      <x:c r="A229" s="523" t="str">
        <x:f>IF(ISBLANK('_SCHEDULE'!A197),"",'_SCHEDULE'!A197)</x:f>
      </x:c>
      <x:c r="B229" s="523" t="str">
        <x:f>IF(ISBLANK('_SCHEDULE'!B197),"",IF('_CONFIG'!$B$2="pt-BR",IF('_SCHEDULE'!B197="scheduled","programado",IF('_SCHEDULE'!B197="rejected","rejeitado",'_SCHEDULE'!B197)),'_SCHEDULE'!B197))</x:f>
      </x:c>
      <x:c r="C229" s="523" t="str">
        <x:f>IF(ISBLANK('_SCHEDULE'!C197),"",'_SCHEDULE'!C197)</x:f>
      </x:c>
      <x:c r="D229" s="523" t="str">
        <x:f>IF(ISBLANK('_SCHEDULE'!D197),"",'_SCHEDULE'!D197)</x:f>
      </x:c>
      <x:c r="E229" s="530" t="str">
        <x:f>IF(ISBLANK('_SCHEDULE'!E197),"",'_SCHEDULE'!E197)</x:f>
      </x:c>
      <x:c r="F229" s="530" t="str">
        <x:f>IF(ISBLANK('_SCHEDULE'!F197),"",'_SCHEDULE'!F197)</x:f>
      </x:c>
      <x:c r="G229" s="530" t="str">
        <x:f>IF(ISBLANK('_SCHEDULE'!G197),"",'_SCHEDULE'!G197)</x:f>
      </x:c>
      <x:c r="H229" s="530" t="str">
        <x:f>IF(ISBLANK('_SCHEDULE'!H197),"",'_SCHEDULE'!H197)</x:f>
      </x:c>
      <x:c r="I229" s="530" t="str">
        <x:f>IF(ISBLANK('_SCHEDULE'!I197),"",'_SCHEDULE'!I197)</x:f>
      </x:c>
      <x:c r="J229" s="530" t="str">
        <x:f>IF(ISBLANK('_SCHEDULE'!J197),"",'_SCHEDULE'!J197)</x:f>
      </x:c>
      <x:c r="K229" s="530" t="str">
        <x:f>IF(ISBLANK('_SCHEDULE'!K197),"",'_SCHEDULE'!K197)</x:f>
      </x:c>
      <x:c r="L229" s="530" t="str">
        <x:f>IF(ISBLANK('_SCHEDULE'!L197),"",'_SCHEDULE'!L197)</x:f>
      </x:c>
      <x:c r="M229" s="530" t="str">
        <x:f>IF(ISBLANK('_SCHEDULE'!M197),"",'_SCHEDULE'!M197)</x:f>
      </x:c>
      <x:c r="N229" s="530" t="str">
        <x:f>IF(ISBLANK('_SCHEDULE'!N197),"",'_SCHEDULE'!N197)</x:f>
      </x:c>
      <x:c r="O229" s="530" t="str">
        <x:f>IF(ISBLANK('_SCHEDULE'!O197),"",'_SCHEDULE'!O197)</x:f>
      </x:c>
      <x:c r="P229" s="530" t="str">
        <x:f>IF(ISBLANK('_SCHEDULE'!P197),"",'_SCHEDULE'!P197)</x:f>
      </x:c>
      <x:c r="Q229" s="530" t="str">
        <x:f>IF(ISBLANK('_SCHEDULE'!Q197),"",'_SCHEDULE'!Q197)</x:f>
      </x:c>
      <x:c r="R229" s="530" t="str">
        <x:f>IF(ISBLANK('_SCHEDULE'!R197),"",'_SCHEDULE'!R197)</x:f>
      </x:c>
      <x:c r="S229" s="523" t="str">
        <x:f>IF(ISBLANK('_SCHEDULE'!S197),"",'_SCHEDULE'!S197)</x:f>
      </x:c>
      <x:c r="T229" s="38"/>
      <x:c r="U229" s="38"/>
      <x:c r="V229" s="38"/>
      <x:c r="W229" s="38"/>
      <x:c r="X229" s="38"/>
      <x:c r="Y229" s="38"/>
      <x:c r="Z229" s="38"/>
      <x:c r="AA229" s="38"/>
      <x:c r="AB229" s="38"/>
      <x:c r="AC229" s="38"/>
      <x:c r="AD229" s="38"/>
      <x:c r="AE229" s="38"/>
      <x:c r="AF229" s="38"/>
      <x:c r="AG229" s="38"/>
      <x:c r="AH229" s="38"/>
      <x:c r="AI229" s="38"/>
      <x:c r="AJ229" s="38"/>
      <x:c r="AK229" s="38"/>
      <x:c r="AL229" s="38"/>
      <x:c r="AM229" s="38"/>
    </x:row>
    <x:row r="230">
      <x:c r="A230" s="523" t="str">
        <x:f>IF(ISBLANK('_SCHEDULE'!A198),"",'_SCHEDULE'!A198)</x:f>
      </x:c>
      <x:c r="B230" s="523" t="str">
        <x:f>IF(ISBLANK('_SCHEDULE'!B198),"",IF('_CONFIG'!$B$2="pt-BR",IF('_SCHEDULE'!B198="scheduled","programado",IF('_SCHEDULE'!B198="rejected","rejeitado",'_SCHEDULE'!B198)),'_SCHEDULE'!B198))</x:f>
      </x:c>
      <x:c r="C230" s="523" t="str">
        <x:f>IF(ISBLANK('_SCHEDULE'!C198),"",'_SCHEDULE'!C198)</x:f>
      </x:c>
      <x:c r="D230" s="523" t="str">
        <x:f>IF(ISBLANK('_SCHEDULE'!D198),"",'_SCHEDULE'!D198)</x:f>
      </x:c>
      <x:c r="E230" s="530" t="str">
        <x:f>IF(ISBLANK('_SCHEDULE'!E198),"",'_SCHEDULE'!E198)</x:f>
      </x:c>
      <x:c r="F230" s="530" t="str">
        <x:f>IF(ISBLANK('_SCHEDULE'!F198),"",'_SCHEDULE'!F198)</x:f>
      </x:c>
      <x:c r="G230" s="530" t="str">
        <x:f>IF(ISBLANK('_SCHEDULE'!G198),"",'_SCHEDULE'!G198)</x:f>
      </x:c>
      <x:c r="H230" s="530" t="str">
        <x:f>IF(ISBLANK('_SCHEDULE'!H198),"",'_SCHEDULE'!H198)</x:f>
      </x:c>
      <x:c r="I230" s="530" t="str">
        <x:f>IF(ISBLANK('_SCHEDULE'!I198),"",'_SCHEDULE'!I198)</x:f>
      </x:c>
      <x:c r="J230" s="530" t="str">
        <x:f>IF(ISBLANK('_SCHEDULE'!J198),"",'_SCHEDULE'!J198)</x:f>
      </x:c>
      <x:c r="K230" s="530" t="str">
        <x:f>IF(ISBLANK('_SCHEDULE'!K198),"",'_SCHEDULE'!K198)</x:f>
      </x:c>
      <x:c r="L230" s="530" t="str">
        <x:f>IF(ISBLANK('_SCHEDULE'!L198),"",'_SCHEDULE'!L198)</x:f>
      </x:c>
      <x:c r="M230" s="530" t="str">
        <x:f>IF(ISBLANK('_SCHEDULE'!M198),"",'_SCHEDULE'!M198)</x:f>
      </x:c>
      <x:c r="N230" s="530" t="str">
        <x:f>IF(ISBLANK('_SCHEDULE'!N198),"",'_SCHEDULE'!N198)</x:f>
      </x:c>
      <x:c r="O230" s="530" t="str">
        <x:f>IF(ISBLANK('_SCHEDULE'!O198),"",'_SCHEDULE'!O198)</x:f>
      </x:c>
      <x:c r="P230" s="530" t="str">
        <x:f>IF(ISBLANK('_SCHEDULE'!P198),"",'_SCHEDULE'!P198)</x:f>
      </x:c>
      <x:c r="Q230" s="530" t="str">
        <x:f>IF(ISBLANK('_SCHEDULE'!Q198),"",'_SCHEDULE'!Q198)</x:f>
      </x:c>
      <x:c r="R230" s="530" t="str">
        <x:f>IF(ISBLANK('_SCHEDULE'!R198),"",'_SCHEDULE'!R198)</x:f>
      </x:c>
      <x:c r="S230" s="523" t="str">
        <x:f>IF(ISBLANK('_SCHEDULE'!S198),"",'_SCHEDULE'!S198)</x:f>
      </x:c>
      <x:c r="T230" s="38"/>
      <x:c r="U230" s="38"/>
      <x:c r="V230" s="38"/>
      <x:c r="W230" s="38"/>
      <x:c r="X230" s="38"/>
      <x:c r="Y230" s="38"/>
      <x:c r="Z230" s="38"/>
      <x:c r="AA230" s="38"/>
      <x:c r="AB230" s="38"/>
      <x:c r="AC230" s="38"/>
      <x:c r="AD230" s="38"/>
      <x:c r="AE230" s="38"/>
      <x:c r="AF230" s="38"/>
      <x:c r="AG230" s="38"/>
      <x:c r="AH230" s="38"/>
      <x:c r="AI230" s="38"/>
      <x:c r="AJ230" s="38"/>
      <x:c r="AK230" s="38"/>
      <x:c r="AL230" s="38"/>
      <x:c r="AM230" s="38"/>
    </x:row>
    <x:row r="231">
      <x:c r="A231" s="523" t="str">
        <x:f>IF(ISBLANK('_SCHEDULE'!A199),"",'_SCHEDULE'!A199)</x:f>
      </x:c>
      <x:c r="B231" s="523" t="str">
        <x:f>IF(ISBLANK('_SCHEDULE'!B199),"",IF('_CONFIG'!$B$2="pt-BR",IF('_SCHEDULE'!B199="scheduled","programado",IF('_SCHEDULE'!B199="rejected","rejeitado",'_SCHEDULE'!B199)),'_SCHEDULE'!B199))</x:f>
      </x:c>
      <x:c r="C231" s="523" t="str">
        <x:f>IF(ISBLANK('_SCHEDULE'!C199),"",'_SCHEDULE'!C199)</x:f>
      </x:c>
      <x:c r="D231" s="523" t="str">
        <x:f>IF(ISBLANK('_SCHEDULE'!D199),"",'_SCHEDULE'!D199)</x:f>
      </x:c>
      <x:c r="E231" s="530" t="str">
        <x:f>IF(ISBLANK('_SCHEDULE'!E199),"",'_SCHEDULE'!E199)</x:f>
      </x:c>
      <x:c r="F231" s="530" t="str">
        <x:f>IF(ISBLANK('_SCHEDULE'!F199),"",'_SCHEDULE'!F199)</x:f>
      </x:c>
      <x:c r="G231" s="530" t="str">
        <x:f>IF(ISBLANK('_SCHEDULE'!G199),"",'_SCHEDULE'!G199)</x:f>
      </x:c>
      <x:c r="H231" s="530" t="str">
        <x:f>IF(ISBLANK('_SCHEDULE'!H199),"",'_SCHEDULE'!H199)</x:f>
      </x:c>
      <x:c r="I231" s="530" t="str">
        <x:f>IF(ISBLANK('_SCHEDULE'!I199),"",'_SCHEDULE'!I199)</x:f>
      </x:c>
      <x:c r="J231" s="530" t="str">
        <x:f>IF(ISBLANK('_SCHEDULE'!J199),"",'_SCHEDULE'!J199)</x:f>
      </x:c>
      <x:c r="K231" s="530" t="str">
        <x:f>IF(ISBLANK('_SCHEDULE'!K199),"",'_SCHEDULE'!K199)</x:f>
      </x:c>
      <x:c r="L231" s="530" t="str">
        <x:f>IF(ISBLANK('_SCHEDULE'!L199),"",'_SCHEDULE'!L199)</x:f>
      </x:c>
      <x:c r="M231" s="530" t="str">
        <x:f>IF(ISBLANK('_SCHEDULE'!M199),"",'_SCHEDULE'!M199)</x:f>
      </x:c>
      <x:c r="N231" s="530" t="str">
        <x:f>IF(ISBLANK('_SCHEDULE'!N199),"",'_SCHEDULE'!N199)</x:f>
      </x:c>
      <x:c r="O231" s="530" t="str">
        <x:f>IF(ISBLANK('_SCHEDULE'!O199),"",'_SCHEDULE'!O199)</x:f>
      </x:c>
      <x:c r="P231" s="530" t="str">
        <x:f>IF(ISBLANK('_SCHEDULE'!P199),"",'_SCHEDULE'!P199)</x:f>
      </x:c>
      <x:c r="Q231" s="530" t="str">
        <x:f>IF(ISBLANK('_SCHEDULE'!Q199),"",'_SCHEDULE'!Q199)</x:f>
      </x:c>
      <x:c r="R231" s="530" t="str">
        <x:f>IF(ISBLANK('_SCHEDULE'!R199),"",'_SCHEDULE'!R199)</x:f>
      </x:c>
      <x:c r="S231" s="523" t="str">
        <x:f>IF(ISBLANK('_SCHEDULE'!S199),"",'_SCHEDULE'!S199)</x:f>
      </x:c>
      <x:c r="T231" s="38"/>
      <x:c r="U231" s="38"/>
      <x:c r="V231" s="38"/>
      <x:c r="W231" s="38"/>
      <x:c r="X231" s="38"/>
      <x:c r="Y231" s="38"/>
      <x:c r="Z231" s="38"/>
      <x:c r="AA231" s="38"/>
      <x:c r="AB231" s="38"/>
      <x:c r="AC231" s="38"/>
      <x:c r="AD231" s="38"/>
      <x:c r="AE231" s="38"/>
      <x:c r="AF231" s="38"/>
      <x:c r="AG231" s="38"/>
      <x:c r="AH231" s="38"/>
      <x:c r="AI231" s="38"/>
      <x:c r="AJ231" s="38"/>
      <x:c r="AK231" s="38"/>
      <x:c r="AL231" s="38"/>
      <x:c r="AM231" s="38"/>
    </x:row>
    <x:row r="232">
      <x:c r="A232" s="523" t="str">
        <x:f>IF(ISBLANK('_SCHEDULE'!A200),"",'_SCHEDULE'!A200)</x:f>
      </x:c>
      <x:c r="B232" s="523" t="str">
        <x:f>IF(ISBLANK('_SCHEDULE'!B200),"",IF('_CONFIG'!$B$2="pt-BR",IF('_SCHEDULE'!B200="scheduled","programado",IF('_SCHEDULE'!B200="rejected","rejeitado",'_SCHEDULE'!B200)),'_SCHEDULE'!B200))</x:f>
      </x:c>
      <x:c r="C232" s="523" t="str">
        <x:f>IF(ISBLANK('_SCHEDULE'!C200),"",'_SCHEDULE'!C200)</x:f>
      </x:c>
      <x:c r="D232" s="523" t="str">
        <x:f>IF(ISBLANK('_SCHEDULE'!D200),"",'_SCHEDULE'!D200)</x:f>
      </x:c>
      <x:c r="E232" s="530" t="str">
        <x:f>IF(ISBLANK('_SCHEDULE'!E200),"",'_SCHEDULE'!E200)</x:f>
      </x:c>
      <x:c r="F232" s="530" t="str">
        <x:f>IF(ISBLANK('_SCHEDULE'!F200),"",'_SCHEDULE'!F200)</x:f>
      </x:c>
      <x:c r="G232" s="530" t="str">
        <x:f>IF(ISBLANK('_SCHEDULE'!G200),"",'_SCHEDULE'!G200)</x:f>
      </x:c>
      <x:c r="H232" s="530" t="str">
        <x:f>IF(ISBLANK('_SCHEDULE'!H200),"",'_SCHEDULE'!H200)</x:f>
      </x:c>
      <x:c r="I232" s="530" t="str">
        <x:f>IF(ISBLANK('_SCHEDULE'!I200),"",'_SCHEDULE'!I200)</x:f>
      </x:c>
      <x:c r="J232" s="530" t="str">
        <x:f>IF(ISBLANK('_SCHEDULE'!J200),"",'_SCHEDULE'!J200)</x:f>
      </x:c>
      <x:c r="K232" s="530" t="str">
        <x:f>IF(ISBLANK('_SCHEDULE'!K200),"",'_SCHEDULE'!K200)</x:f>
      </x:c>
      <x:c r="L232" s="530" t="str">
        <x:f>IF(ISBLANK('_SCHEDULE'!L200),"",'_SCHEDULE'!L200)</x:f>
      </x:c>
      <x:c r="M232" s="530" t="str">
        <x:f>IF(ISBLANK('_SCHEDULE'!M200),"",'_SCHEDULE'!M200)</x:f>
      </x:c>
      <x:c r="N232" s="530" t="str">
        <x:f>IF(ISBLANK('_SCHEDULE'!N200),"",'_SCHEDULE'!N200)</x:f>
      </x:c>
      <x:c r="O232" s="530" t="str">
        <x:f>IF(ISBLANK('_SCHEDULE'!O200),"",'_SCHEDULE'!O200)</x:f>
      </x:c>
      <x:c r="P232" s="530" t="str">
        <x:f>IF(ISBLANK('_SCHEDULE'!P200),"",'_SCHEDULE'!P200)</x:f>
      </x:c>
      <x:c r="Q232" s="530" t="str">
        <x:f>IF(ISBLANK('_SCHEDULE'!Q200),"",'_SCHEDULE'!Q200)</x:f>
      </x:c>
      <x:c r="R232" s="530" t="str">
        <x:f>IF(ISBLANK('_SCHEDULE'!R200),"",'_SCHEDULE'!R200)</x:f>
      </x:c>
      <x:c r="S232" s="523" t="str">
        <x:f>IF(ISBLANK('_SCHEDULE'!S200),"",'_SCHEDULE'!S200)</x:f>
      </x:c>
      <x:c r="T232" s="38"/>
      <x:c r="U232" s="38"/>
      <x:c r="V232" s="38"/>
      <x:c r="W232" s="38"/>
      <x:c r="X232" s="38"/>
      <x:c r="Y232" s="38"/>
      <x:c r="Z232" s="38"/>
      <x:c r="AA232" s="38"/>
      <x:c r="AB232" s="38"/>
      <x:c r="AC232" s="38"/>
      <x:c r="AD232" s="38"/>
      <x:c r="AE232" s="38"/>
      <x:c r="AF232" s="38"/>
      <x:c r="AG232" s="38"/>
      <x:c r="AH232" s="38"/>
      <x:c r="AI232" s="38"/>
      <x:c r="AJ232" s="38"/>
      <x:c r="AK232" s="38"/>
      <x:c r="AL232" s="38"/>
      <x:c r="AM232" s="38"/>
    </x:row>
    <x:row r="233">
      <x:c r="A233" s="523" t="str">
        <x:f>IF(ISBLANK('_SCHEDULE'!A201),"",'_SCHEDULE'!A201)</x:f>
      </x:c>
      <x:c r="B233" s="523" t="str">
        <x:f>IF(ISBLANK('_SCHEDULE'!B201),"",IF('_CONFIG'!$B$2="pt-BR",IF('_SCHEDULE'!B201="scheduled","programado",IF('_SCHEDULE'!B201="rejected","rejeitado",'_SCHEDULE'!B201)),'_SCHEDULE'!B201))</x:f>
      </x:c>
      <x:c r="C233" s="523" t="str">
        <x:f>IF(ISBLANK('_SCHEDULE'!C201),"",'_SCHEDULE'!C201)</x:f>
      </x:c>
      <x:c r="D233" s="523" t="str">
        <x:f>IF(ISBLANK('_SCHEDULE'!D201),"",'_SCHEDULE'!D201)</x:f>
      </x:c>
      <x:c r="E233" s="530" t="str">
        <x:f>IF(ISBLANK('_SCHEDULE'!E201),"",'_SCHEDULE'!E201)</x:f>
      </x:c>
      <x:c r="F233" s="530" t="str">
        <x:f>IF(ISBLANK('_SCHEDULE'!F201),"",'_SCHEDULE'!F201)</x:f>
      </x:c>
      <x:c r="G233" s="530" t="str">
        <x:f>IF(ISBLANK('_SCHEDULE'!G201),"",'_SCHEDULE'!G201)</x:f>
      </x:c>
      <x:c r="H233" s="530" t="str">
        <x:f>IF(ISBLANK('_SCHEDULE'!H201),"",'_SCHEDULE'!H201)</x:f>
      </x:c>
      <x:c r="I233" s="530" t="str">
        <x:f>IF(ISBLANK('_SCHEDULE'!I201),"",'_SCHEDULE'!I201)</x:f>
      </x:c>
      <x:c r="J233" s="530" t="str">
        <x:f>IF(ISBLANK('_SCHEDULE'!J201),"",'_SCHEDULE'!J201)</x:f>
      </x:c>
      <x:c r="K233" s="530" t="str">
        <x:f>IF(ISBLANK('_SCHEDULE'!K201),"",'_SCHEDULE'!K201)</x:f>
      </x:c>
      <x:c r="L233" s="530" t="str">
        <x:f>IF(ISBLANK('_SCHEDULE'!L201),"",'_SCHEDULE'!L201)</x:f>
      </x:c>
      <x:c r="M233" s="530" t="str">
        <x:f>IF(ISBLANK('_SCHEDULE'!M201),"",'_SCHEDULE'!M201)</x:f>
      </x:c>
      <x:c r="N233" s="530" t="str">
        <x:f>IF(ISBLANK('_SCHEDULE'!N201),"",'_SCHEDULE'!N201)</x:f>
      </x:c>
      <x:c r="O233" s="530" t="str">
        <x:f>IF(ISBLANK('_SCHEDULE'!O201),"",'_SCHEDULE'!O201)</x:f>
      </x:c>
      <x:c r="P233" s="530" t="str">
        <x:f>IF(ISBLANK('_SCHEDULE'!P201),"",'_SCHEDULE'!P201)</x:f>
      </x:c>
      <x:c r="Q233" s="530" t="str">
        <x:f>IF(ISBLANK('_SCHEDULE'!Q201),"",'_SCHEDULE'!Q201)</x:f>
      </x:c>
      <x:c r="R233" s="530" t="str">
        <x:f>IF(ISBLANK('_SCHEDULE'!R201),"",'_SCHEDULE'!R201)</x:f>
      </x:c>
      <x:c r="S233" s="523" t="str">
        <x:f>IF(ISBLANK('_SCHEDULE'!S201),"",'_SCHEDULE'!S201)</x:f>
      </x:c>
      <x:c r="T233" s="38"/>
      <x:c r="U233" s="38"/>
      <x:c r="V233" s="38"/>
      <x:c r="W233" s="38"/>
      <x:c r="X233" s="38"/>
      <x:c r="Y233" s="38"/>
      <x:c r="Z233" s="38"/>
      <x:c r="AA233" s="38"/>
      <x:c r="AB233" s="38"/>
      <x:c r="AC233" s="38"/>
      <x:c r="AD233" s="38"/>
      <x:c r="AE233" s="38"/>
      <x:c r="AF233" s="38"/>
      <x:c r="AG233" s="38"/>
      <x:c r="AH233" s="38"/>
      <x:c r="AI233" s="38"/>
      <x:c r="AJ233" s="38"/>
      <x:c r="AK233" s="38"/>
      <x:c r="AL233" s="38"/>
      <x:c r="AM233" s="38"/>
    </x:row>
    <x:row r="234">
      <x:c r="A234" s="523" t="str">
        <x:f>IF(ISBLANK('_SCHEDULE'!A202),"",'_SCHEDULE'!A202)</x:f>
      </x:c>
      <x:c r="B234" s="523" t="str">
        <x:f>IF(ISBLANK('_SCHEDULE'!B202),"",IF('_CONFIG'!$B$2="pt-BR",IF('_SCHEDULE'!B202="scheduled","programado",IF('_SCHEDULE'!B202="rejected","rejeitado",'_SCHEDULE'!B202)),'_SCHEDULE'!B202))</x:f>
      </x:c>
      <x:c r="C234" s="523" t="str">
        <x:f>IF(ISBLANK('_SCHEDULE'!C202),"",'_SCHEDULE'!C202)</x:f>
      </x:c>
      <x:c r="D234" s="523" t="str">
        <x:f>IF(ISBLANK('_SCHEDULE'!D202),"",'_SCHEDULE'!D202)</x:f>
      </x:c>
      <x:c r="E234" s="530" t="str">
        <x:f>IF(ISBLANK('_SCHEDULE'!E202),"",'_SCHEDULE'!E202)</x:f>
      </x:c>
      <x:c r="F234" s="530" t="str">
        <x:f>IF(ISBLANK('_SCHEDULE'!F202),"",'_SCHEDULE'!F202)</x:f>
      </x:c>
      <x:c r="G234" s="530" t="str">
        <x:f>IF(ISBLANK('_SCHEDULE'!G202),"",'_SCHEDULE'!G202)</x:f>
      </x:c>
      <x:c r="H234" s="530" t="str">
        <x:f>IF(ISBLANK('_SCHEDULE'!H202),"",'_SCHEDULE'!H202)</x:f>
      </x:c>
      <x:c r="I234" s="530" t="str">
        <x:f>IF(ISBLANK('_SCHEDULE'!I202),"",'_SCHEDULE'!I202)</x:f>
      </x:c>
      <x:c r="J234" s="530" t="str">
        <x:f>IF(ISBLANK('_SCHEDULE'!J202),"",'_SCHEDULE'!J202)</x:f>
      </x:c>
      <x:c r="K234" s="530" t="str">
        <x:f>IF(ISBLANK('_SCHEDULE'!K202),"",'_SCHEDULE'!K202)</x:f>
      </x:c>
      <x:c r="L234" s="530" t="str">
        <x:f>IF(ISBLANK('_SCHEDULE'!L202),"",'_SCHEDULE'!L202)</x:f>
      </x:c>
      <x:c r="M234" s="530" t="str">
        <x:f>IF(ISBLANK('_SCHEDULE'!M202),"",'_SCHEDULE'!M202)</x:f>
      </x:c>
      <x:c r="N234" s="530" t="str">
        <x:f>IF(ISBLANK('_SCHEDULE'!N202),"",'_SCHEDULE'!N202)</x:f>
      </x:c>
      <x:c r="O234" s="530" t="str">
        <x:f>IF(ISBLANK('_SCHEDULE'!O202),"",'_SCHEDULE'!O202)</x:f>
      </x:c>
      <x:c r="P234" s="530" t="str">
        <x:f>IF(ISBLANK('_SCHEDULE'!P202),"",'_SCHEDULE'!P202)</x:f>
      </x:c>
      <x:c r="Q234" s="530" t="str">
        <x:f>IF(ISBLANK('_SCHEDULE'!Q202),"",'_SCHEDULE'!Q202)</x:f>
      </x:c>
      <x:c r="R234" s="530" t="str">
        <x:f>IF(ISBLANK('_SCHEDULE'!R202),"",'_SCHEDULE'!R202)</x:f>
      </x:c>
      <x:c r="S234" s="523" t="str">
        <x:f>IF(ISBLANK('_SCHEDULE'!S202),"",'_SCHEDULE'!S202)</x:f>
      </x:c>
      <x:c r="T234" s="38"/>
      <x:c r="U234" s="38"/>
      <x:c r="V234" s="38"/>
      <x:c r="W234" s="38"/>
      <x:c r="X234" s="38"/>
      <x:c r="Y234" s="38"/>
      <x:c r="Z234" s="38"/>
      <x:c r="AA234" s="38"/>
      <x:c r="AB234" s="38"/>
      <x:c r="AC234" s="38"/>
      <x:c r="AD234" s="38"/>
      <x:c r="AE234" s="38"/>
      <x:c r="AF234" s="38"/>
      <x:c r="AG234" s="38"/>
      <x:c r="AH234" s="38"/>
      <x:c r="AI234" s="38"/>
      <x:c r="AJ234" s="38"/>
      <x:c r="AK234" s="38"/>
      <x:c r="AL234" s="38"/>
      <x:c r="AM234" s="38"/>
    </x:row>
    <x:row r="235">
      <x:c r="A235" s="523" t="str">
        <x:f>IF(ISBLANK('_SCHEDULE'!A203),"",'_SCHEDULE'!A203)</x:f>
      </x:c>
      <x:c r="B235" s="523" t="str">
        <x:f>IF(ISBLANK('_SCHEDULE'!B203),"",IF('_CONFIG'!$B$2="pt-BR",IF('_SCHEDULE'!B203="scheduled","programado",IF('_SCHEDULE'!B203="rejected","rejeitado",'_SCHEDULE'!B203)),'_SCHEDULE'!B203))</x:f>
      </x:c>
      <x:c r="C235" s="523" t="str">
        <x:f>IF(ISBLANK('_SCHEDULE'!C203),"",'_SCHEDULE'!C203)</x:f>
      </x:c>
      <x:c r="D235" s="523" t="str">
        <x:f>IF(ISBLANK('_SCHEDULE'!D203),"",'_SCHEDULE'!D203)</x:f>
      </x:c>
      <x:c r="E235" s="530" t="str">
        <x:f>IF(ISBLANK('_SCHEDULE'!E203),"",'_SCHEDULE'!E203)</x:f>
      </x:c>
      <x:c r="F235" s="530" t="str">
        <x:f>IF(ISBLANK('_SCHEDULE'!F203),"",'_SCHEDULE'!F203)</x:f>
      </x:c>
      <x:c r="G235" s="530" t="str">
        <x:f>IF(ISBLANK('_SCHEDULE'!G203),"",'_SCHEDULE'!G203)</x:f>
      </x:c>
      <x:c r="H235" s="530" t="str">
        <x:f>IF(ISBLANK('_SCHEDULE'!H203),"",'_SCHEDULE'!H203)</x:f>
      </x:c>
      <x:c r="I235" s="530" t="str">
        <x:f>IF(ISBLANK('_SCHEDULE'!I203),"",'_SCHEDULE'!I203)</x:f>
      </x:c>
      <x:c r="J235" s="530" t="str">
        <x:f>IF(ISBLANK('_SCHEDULE'!J203),"",'_SCHEDULE'!J203)</x:f>
      </x:c>
      <x:c r="K235" s="530" t="str">
        <x:f>IF(ISBLANK('_SCHEDULE'!K203),"",'_SCHEDULE'!K203)</x:f>
      </x:c>
      <x:c r="L235" s="530" t="str">
        <x:f>IF(ISBLANK('_SCHEDULE'!L203),"",'_SCHEDULE'!L203)</x:f>
      </x:c>
      <x:c r="M235" s="530" t="str">
        <x:f>IF(ISBLANK('_SCHEDULE'!M203),"",'_SCHEDULE'!M203)</x:f>
      </x:c>
      <x:c r="N235" s="530" t="str">
        <x:f>IF(ISBLANK('_SCHEDULE'!N203),"",'_SCHEDULE'!N203)</x:f>
      </x:c>
      <x:c r="O235" s="530" t="str">
        <x:f>IF(ISBLANK('_SCHEDULE'!O203),"",'_SCHEDULE'!O203)</x:f>
      </x:c>
      <x:c r="P235" s="530" t="str">
        <x:f>IF(ISBLANK('_SCHEDULE'!P203),"",'_SCHEDULE'!P203)</x:f>
      </x:c>
      <x:c r="Q235" s="530" t="str">
        <x:f>IF(ISBLANK('_SCHEDULE'!Q203),"",'_SCHEDULE'!Q203)</x:f>
      </x:c>
      <x:c r="R235" s="530" t="str">
        <x:f>IF(ISBLANK('_SCHEDULE'!R203),"",'_SCHEDULE'!R203)</x:f>
      </x:c>
      <x:c r="S235" s="523" t="str">
        <x:f>IF(ISBLANK('_SCHEDULE'!S203),"",'_SCHEDULE'!S203)</x:f>
      </x:c>
      <x:c r="T235" s="38"/>
      <x:c r="U235" s="38"/>
      <x:c r="V235" s="38"/>
      <x:c r="W235" s="38"/>
      <x:c r="X235" s="38"/>
      <x:c r="Y235" s="38"/>
      <x:c r="Z235" s="38"/>
      <x:c r="AA235" s="38"/>
      <x:c r="AB235" s="38"/>
      <x:c r="AC235" s="38"/>
      <x:c r="AD235" s="38"/>
      <x:c r="AE235" s="38"/>
      <x:c r="AF235" s="38"/>
      <x:c r="AG235" s="38"/>
      <x:c r="AH235" s="38"/>
      <x:c r="AI235" s="38"/>
      <x:c r="AJ235" s="38"/>
      <x:c r="AK235" s="38"/>
      <x:c r="AL235" s="38"/>
      <x:c r="AM235" s="38"/>
    </x:row>
    <x:row r="236">
      <x:c r="A236" s="523" t="str">
        <x:f>IF(ISBLANK('_SCHEDULE'!A204),"",'_SCHEDULE'!A204)</x:f>
      </x:c>
      <x:c r="B236" s="523" t="str">
        <x:f>IF(ISBLANK('_SCHEDULE'!B204),"",IF('_CONFIG'!$B$2="pt-BR",IF('_SCHEDULE'!B204="scheduled","programado",IF('_SCHEDULE'!B204="rejected","rejeitado",'_SCHEDULE'!B204)),'_SCHEDULE'!B204))</x:f>
      </x:c>
      <x:c r="C236" s="523" t="str">
        <x:f>IF(ISBLANK('_SCHEDULE'!C204),"",'_SCHEDULE'!C204)</x:f>
      </x:c>
      <x:c r="D236" s="523" t="str">
        <x:f>IF(ISBLANK('_SCHEDULE'!D204),"",'_SCHEDULE'!D204)</x:f>
      </x:c>
      <x:c r="E236" s="530" t="str">
        <x:f>IF(ISBLANK('_SCHEDULE'!E204),"",'_SCHEDULE'!E204)</x:f>
      </x:c>
      <x:c r="F236" s="530" t="str">
        <x:f>IF(ISBLANK('_SCHEDULE'!F204),"",'_SCHEDULE'!F204)</x:f>
      </x:c>
      <x:c r="G236" s="530" t="str">
        <x:f>IF(ISBLANK('_SCHEDULE'!G204),"",'_SCHEDULE'!G204)</x:f>
      </x:c>
      <x:c r="H236" s="530" t="str">
        <x:f>IF(ISBLANK('_SCHEDULE'!H204),"",'_SCHEDULE'!H204)</x:f>
      </x:c>
      <x:c r="I236" s="530" t="str">
        <x:f>IF(ISBLANK('_SCHEDULE'!I204),"",'_SCHEDULE'!I204)</x:f>
      </x:c>
      <x:c r="J236" s="530" t="str">
        <x:f>IF(ISBLANK('_SCHEDULE'!J204),"",'_SCHEDULE'!J204)</x:f>
      </x:c>
      <x:c r="K236" s="530" t="str">
        <x:f>IF(ISBLANK('_SCHEDULE'!K204),"",'_SCHEDULE'!K204)</x:f>
      </x:c>
      <x:c r="L236" s="530" t="str">
        <x:f>IF(ISBLANK('_SCHEDULE'!L204),"",'_SCHEDULE'!L204)</x:f>
      </x:c>
      <x:c r="M236" s="530" t="str">
        <x:f>IF(ISBLANK('_SCHEDULE'!M204),"",'_SCHEDULE'!M204)</x:f>
      </x:c>
      <x:c r="N236" s="530" t="str">
        <x:f>IF(ISBLANK('_SCHEDULE'!N204),"",'_SCHEDULE'!N204)</x:f>
      </x:c>
      <x:c r="O236" s="530" t="str">
        <x:f>IF(ISBLANK('_SCHEDULE'!O204),"",'_SCHEDULE'!O204)</x:f>
      </x:c>
      <x:c r="P236" s="530" t="str">
        <x:f>IF(ISBLANK('_SCHEDULE'!P204),"",'_SCHEDULE'!P204)</x:f>
      </x:c>
      <x:c r="Q236" s="530" t="str">
        <x:f>IF(ISBLANK('_SCHEDULE'!Q204),"",'_SCHEDULE'!Q204)</x:f>
      </x:c>
      <x:c r="R236" s="530" t="str">
        <x:f>IF(ISBLANK('_SCHEDULE'!R204),"",'_SCHEDULE'!R204)</x:f>
      </x:c>
      <x:c r="S236" s="523" t="str">
        <x:f>IF(ISBLANK('_SCHEDULE'!S204),"",'_SCHEDULE'!S204)</x:f>
      </x:c>
      <x:c r="T236" s="38"/>
      <x:c r="U236" s="38"/>
      <x:c r="V236" s="38"/>
      <x:c r="W236" s="38"/>
      <x:c r="X236" s="38"/>
      <x:c r="Y236" s="38"/>
      <x:c r="Z236" s="38"/>
      <x:c r="AA236" s="38"/>
      <x:c r="AB236" s="38"/>
      <x:c r="AC236" s="38"/>
      <x:c r="AD236" s="38"/>
      <x:c r="AE236" s="38"/>
      <x:c r="AF236" s="38"/>
      <x:c r="AG236" s="38"/>
      <x:c r="AH236" s="38"/>
      <x:c r="AI236" s="38"/>
      <x:c r="AJ236" s="38"/>
      <x:c r="AK236" s="38"/>
      <x:c r="AL236" s="38"/>
      <x:c r="AM236" s="38"/>
    </x:row>
    <x:row r="237">
      <x:c r="A237" s="523" t="str">
        <x:f>IF(ISBLANK('_SCHEDULE'!A205),"",'_SCHEDULE'!A205)</x:f>
      </x:c>
      <x:c r="B237" s="523" t="str">
        <x:f>IF(ISBLANK('_SCHEDULE'!B205),"",IF('_CONFIG'!$B$2="pt-BR",IF('_SCHEDULE'!B205="scheduled","programado",IF('_SCHEDULE'!B205="rejected","rejeitado",'_SCHEDULE'!B205)),'_SCHEDULE'!B205))</x:f>
      </x:c>
      <x:c r="C237" s="523" t="str">
        <x:f>IF(ISBLANK('_SCHEDULE'!C205),"",'_SCHEDULE'!C205)</x:f>
      </x:c>
      <x:c r="D237" s="523" t="str">
        <x:f>IF(ISBLANK('_SCHEDULE'!D205),"",'_SCHEDULE'!D205)</x:f>
      </x:c>
      <x:c r="E237" s="530" t="str">
        <x:f>IF(ISBLANK('_SCHEDULE'!E205),"",'_SCHEDULE'!E205)</x:f>
      </x:c>
      <x:c r="F237" s="530" t="str">
        <x:f>IF(ISBLANK('_SCHEDULE'!F205),"",'_SCHEDULE'!F205)</x:f>
      </x:c>
      <x:c r="G237" s="530" t="str">
        <x:f>IF(ISBLANK('_SCHEDULE'!G205),"",'_SCHEDULE'!G205)</x:f>
      </x:c>
      <x:c r="H237" s="530" t="str">
        <x:f>IF(ISBLANK('_SCHEDULE'!H205),"",'_SCHEDULE'!H205)</x:f>
      </x:c>
      <x:c r="I237" s="530" t="str">
        <x:f>IF(ISBLANK('_SCHEDULE'!I205),"",'_SCHEDULE'!I205)</x:f>
      </x:c>
      <x:c r="J237" s="530" t="str">
        <x:f>IF(ISBLANK('_SCHEDULE'!J205),"",'_SCHEDULE'!J205)</x:f>
      </x:c>
      <x:c r="K237" s="530" t="str">
        <x:f>IF(ISBLANK('_SCHEDULE'!K205),"",'_SCHEDULE'!K205)</x:f>
      </x:c>
      <x:c r="L237" s="530" t="str">
        <x:f>IF(ISBLANK('_SCHEDULE'!L205),"",'_SCHEDULE'!L205)</x:f>
      </x:c>
      <x:c r="M237" s="530" t="str">
        <x:f>IF(ISBLANK('_SCHEDULE'!M205),"",'_SCHEDULE'!M205)</x:f>
      </x:c>
      <x:c r="N237" s="530" t="str">
        <x:f>IF(ISBLANK('_SCHEDULE'!N205),"",'_SCHEDULE'!N205)</x:f>
      </x:c>
      <x:c r="O237" s="530" t="str">
        <x:f>IF(ISBLANK('_SCHEDULE'!O205),"",'_SCHEDULE'!O205)</x:f>
      </x:c>
      <x:c r="P237" s="530" t="str">
        <x:f>IF(ISBLANK('_SCHEDULE'!P205),"",'_SCHEDULE'!P205)</x:f>
      </x:c>
      <x:c r="Q237" s="530" t="str">
        <x:f>IF(ISBLANK('_SCHEDULE'!Q205),"",'_SCHEDULE'!Q205)</x:f>
      </x:c>
      <x:c r="R237" s="530" t="str">
        <x:f>IF(ISBLANK('_SCHEDULE'!R205),"",'_SCHEDULE'!R205)</x:f>
      </x:c>
      <x:c r="S237" s="523" t="str">
        <x:f>IF(ISBLANK('_SCHEDULE'!S205),"",'_SCHEDULE'!S205)</x:f>
      </x:c>
      <x:c r="T237" s="38"/>
      <x:c r="U237" s="38"/>
      <x:c r="V237" s="38"/>
      <x:c r="W237" s="38"/>
      <x:c r="X237" s="38"/>
      <x:c r="Y237" s="38"/>
      <x:c r="Z237" s="38"/>
      <x:c r="AA237" s="38"/>
      <x:c r="AB237" s="38"/>
      <x:c r="AC237" s="38"/>
      <x:c r="AD237" s="38"/>
      <x:c r="AE237" s="38"/>
      <x:c r="AF237" s="38"/>
      <x:c r="AG237" s="38"/>
      <x:c r="AH237" s="38"/>
      <x:c r="AI237" s="38"/>
      <x:c r="AJ237" s="38"/>
      <x:c r="AK237" s="38"/>
      <x:c r="AL237" s="38"/>
      <x:c r="AM237" s="38"/>
    </x:row>
    <x:row r="238">
      <x:c r="A238" s="523" t="str">
        <x:f>IF(ISBLANK('_SCHEDULE'!A206),"",'_SCHEDULE'!A206)</x:f>
      </x:c>
      <x:c r="B238" s="523" t="str">
        <x:f>IF(ISBLANK('_SCHEDULE'!B206),"",IF('_CONFIG'!$B$2="pt-BR",IF('_SCHEDULE'!B206="scheduled","programado",IF('_SCHEDULE'!B206="rejected","rejeitado",'_SCHEDULE'!B206)),'_SCHEDULE'!B206))</x:f>
      </x:c>
      <x:c r="C238" s="523" t="str">
        <x:f>IF(ISBLANK('_SCHEDULE'!C206),"",'_SCHEDULE'!C206)</x:f>
      </x:c>
      <x:c r="D238" s="523" t="str">
        <x:f>IF(ISBLANK('_SCHEDULE'!D206),"",'_SCHEDULE'!D206)</x:f>
      </x:c>
      <x:c r="E238" s="530" t="str">
        <x:f>IF(ISBLANK('_SCHEDULE'!E206),"",'_SCHEDULE'!E206)</x:f>
      </x:c>
      <x:c r="F238" s="530" t="str">
        <x:f>IF(ISBLANK('_SCHEDULE'!F206),"",'_SCHEDULE'!F206)</x:f>
      </x:c>
      <x:c r="G238" s="530" t="str">
        <x:f>IF(ISBLANK('_SCHEDULE'!G206),"",'_SCHEDULE'!G206)</x:f>
      </x:c>
      <x:c r="H238" s="530" t="str">
        <x:f>IF(ISBLANK('_SCHEDULE'!H206),"",'_SCHEDULE'!H206)</x:f>
      </x:c>
      <x:c r="I238" s="530" t="str">
        <x:f>IF(ISBLANK('_SCHEDULE'!I206),"",'_SCHEDULE'!I206)</x:f>
      </x:c>
      <x:c r="J238" s="530" t="str">
        <x:f>IF(ISBLANK('_SCHEDULE'!J206),"",'_SCHEDULE'!J206)</x:f>
      </x:c>
      <x:c r="K238" s="530" t="str">
        <x:f>IF(ISBLANK('_SCHEDULE'!K206),"",'_SCHEDULE'!K206)</x:f>
      </x:c>
      <x:c r="L238" s="530" t="str">
        <x:f>IF(ISBLANK('_SCHEDULE'!L206),"",'_SCHEDULE'!L206)</x:f>
      </x:c>
      <x:c r="M238" s="530" t="str">
        <x:f>IF(ISBLANK('_SCHEDULE'!M206),"",'_SCHEDULE'!M206)</x:f>
      </x:c>
      <x:c r="N238" s="530" t="str">
        <x:f>IF(ISBLANK('_SCHEDULE'!N206),"",'_SCHEDULE'!N206)</x:f>
      </x:c>
      <x:c r="O238" s="530" t="str">
        <x:f>IF(ISBLANK('_SCHEDULE'!O206),"",'_SCHEDULE'!O206)</x:f>
      </x:c>
      <x:c r="P238" s="530" t="str">
        <x:f>IF(ISBLANK('_SCHEDULE'!P206),"",'_SCHEDULE'!P206)</x:f>
      </x:c>
      <x:c r="Q238" s="530" t="str">
        <x:f>IF(ISBLANK('_SCHEDULE'!Q206),"",'_SCHEDULE'!Q206)</x:f>
      </x:c>
      <x:c r="R238" s="530" t="str">
        <x:f>IF(ISBLANK('_SCHEDULE'!R206),"",'_SCHEDULE'!R206)</x:f>
      </x:c>
      <x:c r="S238" s="523" t="str">
        <x:f>IF(ISBLANK('_SCHEDULE'!S206),"",'_SCHEDULE'!S206)</x:f>
      </x:c>
      <x:c r="T238" s="38"/>
      <x:c r="U238" s="38"/>
      <x:c r="V238" s="38"/>
      <x:c r="W238" s="38"/>
      <x:c r="X238" s="38"/>
      <x:c r="Y238" s="38"/>
      <x:c r="Z238" s="38"/>
      <x:c r="AA238" s="38"/>
      <x:c r="AB238" s="38"/>
      <x:c r="AC238" s="38"/>
      <x:c r="AD238" s="38"/>
      <x:c r="AE238" s="38"/>
      <x:c r="AF238" s="38"/>
      <x:c r="AG238" s="38"/>
      <x:c r="AH238" s="38"/>
      <x:c r="AI238" s="38"/>
      <x:c r="AJ238" s="38"/>
      <x:c r="AK238" s="38"/>
      <x:c r="AL238" s="38"/>
      <x:c r="AM238" s="38"/>
    </x:row>
    <x:row r="239">
      <x:c r="A239" s="523" t="str">
        <x:f>IF(ISBLANK('_SCHEDULE'!A207),"",'_SCHEDULE'!A207)</x:f>
      </x:c>
      <x:c r="B239" s="523" t="str">
        <x:f>IF(ISBLANK('_SCHEDULE'!B207),"",IF('_CONFIG'!$B$2="pt-BR",IF('_SCHEDULE'!B207="scheduled","programado",IF('_SCHEDULE'!B207="rejected","rejeitado",'_SCHEDULE'!B207)),'_SCHEDULE'!B207))</x:f>
      </x:c>
      <x:c r="C239" s="523" t="str">
        <x:f>IF(ISBLANK('_SCHEDULE'!C207),"",'_SCHEDULE'!C207)</x:f>
      </x:c>
      <x:c r="D239" s="523" t="str">
        <x:f>IF(ISBLANK('_SCHEDULE'!D207),"",'_SCHEDULE'!D207)</x:f>
      </x:c>
      <x:c r="E239" s="530" t="str">
        <x:f>IF(ISBLANK('_SCHEDULE'!E207),"",'_SCHEDULE'!E207)</x:f>
      </x:c>
      <x:c r="F239" s="530" t="str">
        <x:f>IF(ISBLANK('_SCHEDULE'!F207),"",'_SCHEDULE'!F207)</x:f>
      </x:c>
      <x:c r="G239" s="530" t="str">
        <x:f>IF(ISBLANK('_SCHEDULE'!G207),"",'_SCHEDULE'!G207)</x:f>
      </x:c>
      <x:c r="H239" s="530" t="str">
        <x:f>IF(ISBLANK('_SCHEDULE'!H207),"",'_SCHEDULE'!H207)</x:f>
      </x:c>
      <x:c r="I239" s="530" t="str">
        <x:f>IF(ISBLANK('_SCHEDULE'!I207),"",'_SCHEDULE'!I207)</x:f>
      </x:c>
      <x:c r="J239" s="530" t="str">
        <x:f>IF(ISBLANK('_SCHEDULE'!J207),"",'_SCHEDULE'!J207)</x:f>
      </x:c>
      <x:c r="K239" s="530" t="str">
        <x:f>IF(ISBLANK('_SCHEDULE'!K207),"",'_SCHEDULE'!K207)</x:f>
      </x:c>
      <x:c r="L239" s="530" t="str">
        <x:f>IF(ISBLANK('_SCHEDULE'!L207),"",'_SCHEDULE'!L207)</x:f>
      </x:c>
      <x:c r="M239" s="530" t="str">
        <x:f>IF(ISBLANK('_SCHEDULE'!M207),"",'_SCHEDULE'!M207)</x:f>
      </x:c>
      <x:c r="N239" s="530" t="str">
        <x:f>IF(ISBLANK('_SCHEDULE'!N207),"",'_SCHEDULE'!N207)</x:f>
      </x:c>
      <x:c r="O239" s="530" t="str">
        <x:f>IF(ISBLANK('_SCHEDULE'!O207),"",'_SCHEDULE'!O207)</x:f>
      </x:c>
      <x:c r="P239" s="530" t="str">
        <x:f>IF(ISBLANK('_SCHEDULE'!P207),"",'_SCHEDULE'!P207)</x:f>
      </x:c>
      <x:c r="Q239" s="530" t="str">
        <x:f>IF(ISBLANK('_SCHEDULE'!Q207),"",'_SCHEDULE'!Q207)</x:f>
      </x:c>
      <x:c r="R239" s="530" t="str">
        <x:f>IF(ISBLANK('_SCHEDULE'!R207),"",'_SCHEDULE'!R207)</x:f>
      </x:c>
      <x:c r="S239" s="523" t="str">
        <x:f>IF(ISBLANK('_SCHEDULE'!S207),"",'_SCHEDULE'!S207)</x:f>
      </x:c>
      <x:c r="T239" s="38"/>
      <x:c r="U239" s="38"/>
      <x:c r="V239" s="38"/>
      <x:c r="W239" s="38"/>
      <x:c r="X239" s="38"/>
      <x:c r="Y239" s="38"/>
      <x:c r="Z239" s="38"/>
      <x:c r="AA239" s="38"/>
      <x:c r="AB239" s="38"/>
      <x:c r="AC239" s="38"/>
      <x:c r="AD239" s="38"/>
      <x:c r="AE239" s="38"/>
      <x:c r="AF239" s="38"/>
      <x:c r="AG239" s="38"/>
      <x:c r="AH239" s="38"/>
      <x:c r="AI239" s="38"/>
      <x:c r="AJ239" s="38"/>
      <x:c r="AK239" s="38"/>
      <x:c r="AL239" s="38"/>
      <x:c r="AM239" s="38"/>
    </x:row>
    <x:row r="240">
      <x:c r="A240" s="523" t="str">
        <x:f>IF(ISBLANK('_SCHEDULE'!A208),"",'_SCHEDULE'!A208)</x:f>
      </x:c>
      <x:c r="B240" s="523" t="str">
        <x:f>IF(ISBLANK('_SCHEDULE'!B208),"",IF('_CONFIG'!$B$2="pt-BR",IF('_SCHEDULE'!B208="scheduled","programado",IF('_SCHEDULE'!B208="rejected","rejeitado",'_SCHEDULE'!B208)),'_SCHEDULE'!B208))</x:f>
      </x:c>
      <x:c r="C240" s="523" t="str">
        <x:f>IF(ISBLANK('_SCHEDULE'!C208),"",'_SCHEDULE'!C208)</x:f>
      </x:c>
      <x:c r="D240" s="523" t="str">
        <x:f>IF(ISBLANK('_SCHEDULE'!D208),"",'_SCHEDULE'!D208)</x:f>
      </x:c>
      <x:c r="E240" s="530" t="str">
        <x:f>IF(ISBLANK('_SCHEDULE'!E208),"",'_SCHEDULE'!E208)</x:f>
      </x:c>
      <x:c r="F240" s="530" t="str">
        <x:f>IF(ISBLANK('_SCHEDULE'!F208),"",'_SCHEDULE'!F208)</x:f>
      </x:c>
      <x:c r="G240" s="530" t="str">
        <x:f>IF(ISBLANK('_SCHEDULE'!G208),"",'_SCHEDULE'!G208)</x:f>
      </x:c>
      <x:c r="H240" s="530" t="str">
        <x:f>IF(ISBLANK('_SCHEDULE'!H208),"",'_SCHEDULE'!H208)</x:f>
      </x:c>
      <x:c r="I240" s="530" t="str">
        <x:f>IF(ISBLANK('_SCHEDULE'!I208),"",'_SCHEDULE'!I208)</x:f>
      </x:c>
      <x:c r="J240" s="530" t="str">
        <x:f>IF(ISBLANK('_SCHEDULE'!J208),"",'_SCHEDULE'!J208)</x:f>
      </x:c>
      <x:c r="K240" s="530" t="str">
        <x:f>IF(ISBLANK('_SCHEDULE'!K208),"",'_SCHEDULE'!K208)</x:f>
      </x:c>
      <x:c r="L240" s="530" t="str">
        <x:f>IF(ISBLANK('_SCHEDULE'!L208),"",'_SCHEDULE'!L208)</x:f>
      </x:c>
      <x:c r="M240" s="530" t="str">
        <x:f>IF(ISBLANK('_SCHEDULE'!M208),"",'_SCHEDULE'!M208)</x:f>
      </x:c>
      <x:c r="N240" s="530" t="str">
        <x:f>IF(ISBLANK('_SCHEDULE'!N208),"",'_SCHEDULE'!N208)</x:f>
      </x:c>
      <x:c r="O240" s="530" t="str">
        <x:f>IF(ISBLANK('_SCHEDULE'!O208),"",'_SCHEDULE'!O208)</x:f>
      </x:c>
      <x:c r="P240" s="530" t="str">
        <x:f>IF(ISBLANK('_SCHEDULE'!P208),"",'_SCHEDULE'!P208)</x:f>
      </x:c>
      <x:c r="Q240" s="530" t="str">
        <x:f>IF(ISBLANK('_SCHEDULE'!Q208),"",'_SCHEDULE'!Q208)</x:f>
      </x:c>
      <x:c r="R240" s="530" t="str">
        <x:f>IF(ISBLANK('_SCHEDULE'!R208),"",'_SCHEDULE'!R208)</x:f>
      </x:c>
      <x:c r="S240" s="523" t="str">
        <x:f>IF(ISBLANK('_SCHEDULE'!S208),"",'_SCHEDULE'!S208)</x:f>
      </x:c>
      <x:c r="T240" s="38"/>
      <x:c r="U240" s="38"/>
      <x:c r="V240" s="38"/>
      <x:c r="W240" s="38"/>
      <x:c r="X240" s="38"/>
      <x:c r="Y240" s="38"/>
      <x:c r="Z240" s="38"/>
      <x:c r="AA240" s="38"/>
      <x:c r="AB240" s="38"/>
      <x:c r="AC240" s="38"/>
      <x:c r="AD240" s="38"/>
      <x:c r="AE240" s="38"/>
      <x:c r="AF240" s="38"/>
      <x:c r="AG240" s="38"/>
      <x:c r="AH240" s="38"/>
      <x:c r="AI240" s="38"/>
      <x:c r="AJ240" s="38"/>
      <x:c r="AK240" s="38"/>
      <x:c r="AL240" s="38"/>
      <x:c r="AM240" s="38"/>
    </x:row>
    <x:row r="241">
      <x:c r="A241" s="523" t="str">
        <x:f>IF(ISBLANK('_SCHEDULE'!A209),"",'_SCHEDULE'!A209)</x:f>
      </x:c>
      <x:c r="B241" s="523" t="str">
        <x:f>IF(ISBLANK('_SCHEDULE'!B209),"",IF('_CONFIG'!$B$2="pt-BR",IF('_SCHEDULE'!B209="scheduled","programado",IF('_SCHEDULE'!B209="rejected","rejeitado",'_SCHEDULE'!B209)),'_SCHEDULE'!B209))</x:f>
      </x:c>
      <x:c r="C241" s="523" t="str">
        <x:f>IF(ISBLANK('_SCHEDULE'!C209),"",'_SCHEDULE'!C209)</x:f>
      </x:c>
      <x:c r="D241" s="523" t="str">
        <x:f>IF(ISBLANK('_SCHEDULE'!D209),"",'_SCHEDULE'!D209)</x:f>
      </x:c>
      <x:c r="E241" s="530" t="str">
        <x:f>IF(ISBLANK('_SCHEDULE'!E209),"",'_SCHEDULE'!E209)</x:f>
      </x:c>
      <x:c r="F241" s="530" t="str">
        <x:f>IF(ISBLANK('_SCHEDULE'!F209),"",'_SCHEDULE'!F209)</x:f>
      </x:c>
      <x:c r="G241" s="530" t="str">
        <x:f>IF(ISBLANK('_SCHEDULE'!G209),"",'_SCHEDULE'!G209)</x:f>
      </x:c>
      <x:c r="H241" s="530" t="str">
        <x:f>IF(ISBLANK('_SCHEDULE'!H209),"",'_SCHEDULE'!H209)</x:f>
      </x:c>
      <x:c r="I241" s="530" t="str">
        <x:f>IF(ISBLANK('_SCHEDULE'!I209),"",'_SCHEDULE'!I209)</x:f>
      </x:c>
      <x:c r="J241" s="530" t="str">
        <x:f>IF(ISBLANK('_SCHEDULE'!J209),"",'_SCHEDULE'!J209)</x:f>
      </x:c>
      <x:c r="K241" s="530" t="str">
        <x:f>IF(ISBLANK('_SCHEDULE'!K209),"",'_SCHEDULE'!K209)</x:f>
      </x:c>
      <x:c r="L241" s="530" t="str">
        <x:f>IF(ISBLANK('_SCHEDULE'!L209),"",'_SCHEDULE'!L209)</x:f>
      </x:c>
      <x:c r="M241" s="530" t="str">
        <x:f>IF(ISBLANK('_SCHEDULE'!M209),"",'_SCHEDULE'!M209)</x:f>
      </x:c>
      <x:c r="N241" s="530" t="str">
        <x:f>IF(ISBLANK('_SCHEDULE'!N209),"",'_SCHEDULE'!N209)</x:f>
      </x:c>
      <x:c r="O241" s="530" t="str">
        <x:f>IF(ISBLANK('_SCHEDULE'!O209),"",'_SCHEDULE'!O209)</x:f>
      </x:c>
      <x:c r="P241" s="530" t="str">
        <x:f>IF(ISBLANK('_SCHEDULE'!P209),"",'_SCHEDULE'!P209)</x:f>
      </x:c>
      <x:c r="Q241" s="530" t="str">
        <x:f>IF(ISBLANK('_SCHEDULE'!Q209),"",'_SCHEDULE'!Q209)</x:f>
      </x:c>
      <x:c r="R241" s="530" t="str">
        <x:f>IF(ISBLANK('_SCHEDULE'!R209),"",'_SCHEDULE'!R209)</x:f>
      </x:c>
      <x:c r="S241" s="523" t="str">
        <x:f>IF(ISBLANK('_SCHEDULE'!S209),"",'_SCHEDULE'!S209)</x:f>
      </x:c>
      <x:c r="T241" s="38"/>
      <x:c r="U241" s="38"/>
      <x:c r="V241" s="38"/>
      <x:c r="W241" s="38"/>
      <x:c r="X241" s="38"/>
      <x:c r="Y241" s="38"/>
      <x:c r="Z241" s="38"/>
      <x:c r="AA241" s="38"/>
      <x:c r="AB241" s="38"/>
      <x:c r="AC241" s="38"/>
      <x:c r="AD241" s="38"/>
      <x:c r="AE241" s="38"/>
      <x:c r="AF241" s="38"/>
      <x:c r="AG241" s="38"/>
      <x:c r="AH241" s="38"/>
      <x:c r="AI241" s="38"/>
      <x:c r="AJ241" s="38"/>
      <x:c r="AK241" s="38"/>
      <x:c r="AL241" s="38"/>
      <x:c r="AM241" s="38"/>
    </x:row>
    <x:row r="242">
      <x:c r="A242" s="523" t="str">
        <x:f>IF(ISBLANK('_SCHEDULE'!A210),"",'_SCHEDULE'!A210)</x:f>
      </x:c>
      <x:c r="B242" s="523" t="str">
        <x:f>IF(ISBLANK('_SCHEDULE'!B210),"",IF('_CONFIG'!$B$2="pt-BR",IF('_SCHEDULE'!B210="scheduled","programado",IF('_SCHEDULE'!B210="rejected","rejeitado",'_SCHEDULE'!B210)),'_SCHEDULE'!B210))</x:f>
      </x:c>
      <x:c r="C242" s="523" t="str">
        <x:f>IF(ISBLANK('_SCHEDULE'!C210),"",'_SCHEDULE'!C210)</x:f>
      </x:c>
      <x:c r="D242" s="523" t="str">
        <x:f>IF(ISBLANK('_SCHEDULE'!D210),"",'_SCHEDULE'!D210)</x:f>
      </x:c>
      <x:c r="E242" s="530" t="str">
        <x:f>IF(ISBLANK('_SCHEDULE'!E210),"",'_SCHEDULE'!E210)</x:f>
      </x:c>
      <x:c r="F242" s="530" t="str">
        <x:f>IF(ISBLANK('_SCHEDULE'!F210),"",'_SCHEDULE'!F210)</x:f>
      </x:c>
      <x:c r="G242" s="530" t="str">
        <x:f>IF(ISBLANK('_SCHEDULE'!G210),"",'_SCHEDULE'!G210)</x:f>
      </x:c>
      <x:c r="H242" s="530" t="str">
        <x:f>IF(ISBLANK('_SCHEDULE'!H210),"",'_SCHEDULE'!H210)</x:f>
      </x:c>
      <x:c r="I242" s="530" t="str">
        <x:f>IF(ISBLANK('_SCHEDULE'!I210),"",'_SCHEDULE'!I210)</x:f>
      </x:c>
      <x:c r="J242" s="530" t="str">
        <x:f>IF(ISBLANK('_SCHEDULE'!J210),"",'_SCHEDULE'!J210)</x:f>
      </x:c>
      <x:c r="K242" s="530" t="str">
        <x:f>IF(ISBLANK('_SCHEDULE'!K210),"",'_SCHEDULE'!K210)</x:f>
      </x:c>
      <x:c r="L242" s="530" t="str">
        <x:f>IF(ISBLANK('_SCHEDULE'!L210),"",'_SCHEDULE'!L210)</x:f>
      </x:c>
      <x:c r="M242" s="530" t="str">
        <x:f>IF(ISBLANK('_SCHEDULE'!M210),"",'_SCHEDULE'!M210)</x:f>
      </x:c>
      <x:c r="N242" s="530" t="str">
        <x:f>IF(ISBLANK('_SCHEDULE'!N210),"",'_SCHEDULE'!N210)</x:f>
      </x:c>
      <x:c r="O242" s="530" t="str">
        <x:f>IF(ISBLANK('_SCHEDULE'!O210),"",'_SCHEDULE'!O210)</x:f>
      </x:c>
      <x:c r="P242" s="530" t="str">
        <x:f>IF(ISBLANK('_SCHEDULE'!P210),"",'_SCHEDULE'!P210)</x:f>
      </x:c>
      <x:c r="Q242" s="530" t="str">
        <x:f>IF(ISBLANK('_SCHEDULE'!Q210),"",'_SCHEDULE'!Q210)</x:f>
      </x:c>
      <x:c r="R242" s="530" t="str">
        <x:f>IF(ISBLANK('_SCHEDULE'!R210),"",'_SCHEDULE'!R210)</x:f>
      </x:c>
      <x:c r="S242" s="523" t="str">
        <x:f>IF(ISBLANK('_SCHEDULE'!S210),"",'_SCHEDULE'!S210)</x:f>
      </x:c>
      <x:c r="T242" s="38"/>
      <x:c r="U242" s="38"/>
      <x:c r="V242" s="38"/>
      <x:c r="W242" s="38"/>
      <x:c r="X242" s="38"/>
      <x:c r="Y242" s="38"/>
      <x:c r="Z242" s="38"/>
      <x:c r="AA242" s="38"/>
      <x:c r="AB242" s="38"/>
      <x:c r="AC242" s="38"/>
      <x:c r="AD242" s="38"/>
      <x:c r="AE242" s="38"/>
      <x:c r="AF242" s="38"/>
      <x:c r="AG242" s="38"/>
      <x:c r="AH242" s="38"/>
      <x:c r="AI242" s="38"/>
      <x:c r="AJ242" s="38"/>
      <x:c r="AK242" s="38"/>
      <x:c r="AL242" s="38"/>
      <x:c r="AM242" s="38"/>
    </x:row>
    <x:row r="243">
      <x:c r="A243" s="523" t="str">
        <x:f>IF(ISBLANK('_SCHEDULE'!A211),"",'_SCHEDULE'!A211)</x:f>
      </x:c>
      <x:c r="B243" s="523" t="str">
        <x:f>IF(ISBLANK('_SCHEDULE'!B211),"",IF('_CONFIG'!$B$2="pt-BR",IF('_SCHEDULE'!B211="scheduled","programado",IF('_SCHEDULE'!B211="rejected","rejeitado",'_SCHEDULE'!B211)),'_SCHEDULE'!B211))</x:f>
      </x:c>
      <x:c r="C243" s="523" t="str">
        <x:f>IF(ISBLANK('_SCHEDULE'!C211),"",'_SCHEDULE'!C211)</x:f>
      </x:c>
      <x:c r="D243" s="523" t="str">
        <x:f>IF(ISBLANK('_SCHEDULE'!D211),"",'_SCHEDULE'!D211)</x:f>
      </x:c>
      <x:c r="E243" s="530" t="str">
        <x:f>IF(ISBLANK('_SCHEDULE'!E211),"",'_SCHEDULE'!E211)</x:f>
      </x:c>
      <x:c r="F243" s="530" t="str">
        <x:f>IF(ISBLANK('_SCHEDULE'!F211),"",'_SCHEDULE'!F211)</x:f>
      </x:c>
      <x:c r="G243" s="530" t="str">
        <x:f>IF(ISBLANK('_SCHEDULE'!G211),"",'_SCHEDULE'!G211)</x:f>
      </x:c>
      <x:c r="H243" s="530" t="str">
        <x:f>IF(ISBLANK('_SCHEDULE'!H211),"",'_SCHEDULE'!H211)</x:f>
      </x:c>
      <x:c r="I243" s="530" t="str">
        <x:f>IF(ISBLANK('_SCHEDULE'!I211),"",'_SCHEDULE'!I211)</x:f>
      </x:c>
      <x:c r="J243" s="530" t="str">
        <x:f>IF(ISBLANK('_SCHEDULE'!J211),"",'_SCHEDULE'!J211)</x:f>
      </x:c>
      <x:c r="K243" s="530" t="str">
        <x:f>IF(ISBLANK('_SCHEDULE'!K211),"",'_SCHEDULE'!K211)</x:f>
      </x:c>
      <x:c r="L243" s="530" t="str">
        <x:f>IF(ISBLANK('_SCHEDULE'!L211),"",'_SCHEDULE'!L211)</x:f>
      </x:c>
      <x:c r="M243" s="530" t="str">
        <x:f>IF(ISBLANK('_SCHEDULE'!M211),"",'_SCHEDULE'!M211)</x:f>
      </x:c>
      <x:c r="N243" s="530" t="str">
        <x:f>IF(ISBLANK('_SCHEDULE'!N211),"",'_SCHEDULE'!N211)</x:f>
      </x:c>
      <x:c r="O243" s="530" t="str">
        <x:f>IF(ISBLANK('_SCHEDULE'!O211),"",'_SCHEDULE'!O211)</x:f>
      </x:c>
      <x:c r="P243" s="530" t="str">
        <x:f>IF(ISBLANK('_SCHEDULE'!P211),"",'_SCHEDULE'!P211)</x:f>
      </x:c>
      <x:c r="Q243" s="530" t="str">
        <x:f>IF(ISBLANK('_SCHEDULE'!Q211),"",'_SCHEDULE'!Q211)</x:f>
      </x:c>
      <x:c r="R243" s="530" t="str">
        <x:f>IF(ISBLANK('_SCHEDULE'!R211),"",'_SCHEDULE'!R211)</x:f>
      </x:c>
      <x:c r="S243" s="523" t="str">
        <x:f>IF(ISBLANK('_SCHEDULE'!S211),"",'_SCHEDULE'!S211)</x:f>
      </x:c>
      <x:c r="T243" s="38"/>
      <x:c r="U243" s="38"/>
      <x:c r="V243" s="38"/>
      <x:c r="W243" s="38"/>
      <x:c r="X243" s="38"/>
      <x:c r="Y243" s="38"/>
      <x:c r="Z243" s="38"/>
      <x:c r="AA243" s="38"/>
      <x:c r="AB243" s="38"/>
      <x:c r="AC243" s="38"/>
      <x:c r="AD243" s="38"/>
      <x:c r="AE243" s="38"/>
      <x:c r="AF243" s="38"/>
      <x:c r="AG243" s="38"/>
      <x:c r="AH243" s="38"/>
      <x:c r="AI243" s="38"/>
      <x:c r="AJ243" s="38"/>
      <x:c r="AK243" s="38"/>
      <x:c r="AL243" s="38"/>
      <x:c r="AM243" s="38"/>
    </x:row>
    <x:row r="244">
      <x:c r="A244" s="523" t="str">
        <x:f>IF(ISBLANK('_SCHEDULE'!A212),"",'_SCHEDULE'!A212)</x:f>
      </x:c>
      <x:c r="B244" s="523" t="str">
        <x:f>IF(ISBLANK('_SCHEDULE'!B212),"",IF('_CONFIG'!$B$2="pt-BR",IF('_SCHEDULE'!B212="scheduled","programado",IF('_SCHEDULE'!B212="rejected","rejeitado",'_SCHEDULE'!B212)),'_SCHEDULE'!B212))</x:f>
      </x:c>
      <x:c r="C244" s="523" t="str">
        <x:f>IF(ISBLANK('_SCHEDULE'!C212),"",'_SCHEDULE'!C212)</x:f>
      </x:c>
      <x:c r="D244" s="523" t="str">
        <x:f>IF(ISBLANK('_SCHEDULE'!D212),"",'_SCHEDULE'!D212)</x:f>
      </x:c>
      <x:c r="E244" s="530" t="str">
        <x:f>IF(ISBLANK('_SCHEDULE'!E212),"",'_SCHEDULE'!E212)</x:f>
      </x:c>
      <x:c r="F244" s="530" t="str">
        <x:f>IF(ISBLANK('_SCHEDULE'!F212),"",'_SCHEDULE'!F212)</x:f>
      </x:c>
      <x:c r="G244" s="530" t="str">
        <x:f>IF(ISBLANK('_SCHEDULE'!G212),"",'_SCHEDULE'!G212)</x:f>
      </x:c>
      <x:c r="H244" s="530" t="str">
        <x:f>IF(ISBLANK('_SCHEDULE'!H212),"",'_SCHEDULE'!H212)</x:f>
      </x:c>
      <x:c r="I244" s="530" t="str">
        <x:f>IF(ISBLANK('_SCHEDULE'!I212),"",'_SCHEDULE'!I212)</x:f>
      </x:c>
      <x:c r="J244" s="530" t="str">
        <x:f>IF(ISBLANK('_SCHEDULE'!J212),"",'_SCHEDULE'!J212)</x:f>
      </x:c>
      <x:c r="K244" s="530" t="str">
        <x:f>IF(ISBLANK('_SCHEDULE'!K212),"",'_SCHEDULE'!K212)</x:f>
      </x:c>
      <x:c r="L244" s="530" t="str">
        <x:f>IF(ISBLANK('_SCHEDULE'!L212),"",'_SCHEDULE'!L212)</x:f>
      </x:c>
      <x:c r="M244" s="530" t="str">
        <x:f>IF(ISBLANK('_SCHEDULE'!M212),"",'_SCHEDULE'!M212)</x:f>
      </x:c>
      <x:c r="N244" s="530" t="str">
        <x:f>IF(ISBLANK('_SCHEDULE'!N212),"",'_SCHEDULE'!N212)</x:f>
      </x:c>
      <x:c r="O244" s="530" t="str">
        <x:f>IF(ISBLANK('_SCHEDULE'!O212),"",'_SCHEDULE'!O212)</x:f>
      </x:c>
      <x:c r="P244" s="530" t="str">
        <x:f>IF(ISBLANK('_SCHEDULE'!P212),"",'_SCHEDULE'!P212)</x:f>
      </x:c>
      <x:c r="Q244" s="530" t="str">
        <x:f>IF(ISBLANK('_SCHEDULE'!Q212),"",'_SCHEDULE'!Q212)</x:f>
      </x:c>
      <x:c r="R244" s="530" t="str">
        <x:f>IF(ISBLANK('_SCHEDULE'!R212),"",'_SCHEDULE'!R212)</x:f>
      </x:c>
      <x:c r="S244" s="523" t="str">
        <x:f>IF(ISBLANK('_SCHEDULE'!S212),"",'_SCHEDULE'!S212)</x:f>
      </x:c>
      <x:c r="T244" s="38"/>
      <x:c r="U244" s="38"/>
      <x:c r="V244" s="38"/>
      <x:c r="W244" s="38"/>
      <x:c r="X244" s="38"/>
      <x:c r="Y244" s="38"/>
      <x:c r="Z244" s="38"/>
      <x:c r="AA244" s="38"/>
      <x:c r="AB244" s="38"/>
      <x:c r="AC244" s="38"/>
      <x:c r="AD244" s="38"/>
      <x:c r="AE244" s="38"/>
      <x:c r="AF244" s="38"/>
      <x:c r="AG244" s="38"/>
      <x:c r="AH244" s="38"/>
      <x:c r="AI244" s="38"/>
      <x:c r="AJ244" s="38"/>
      <x:c r="AK244" s="38"/>
      <x:c r="AL244" s="38"/>
      <x:c r="AM244" s="38"/>
    </x:row>
    <x:row r="245">
      <x:c r="A245" s="523" t="str">
        <x:f>IF(ISBLANK('_SCHEDULE'!A213),"",'_SCHEDULE'!A213)</x:f>
      </x:c>
      <x:c r="B245" s="523" t="str">
        <x:f>IF(ISBLANK('_SCHEDULE'!B213),"",IF('_CONFIG'!$B$2="pt-BR",IF('_SCHEDULE'!B213="scheduled","programado",IF('_SCHEDULE'!B213="rejected","rejeitado",'_SCHEDULE'!B213)),'_SCHEDULE'!B213))</x:f>
      </x:c>
      <x:c r="C245" s="523" t="str">
        <x:f>IF(ISBLANK('_SCHEDULE'!C213),"",'_SCHEDULE'!C213)</x:f>
      </x:c>
      <x:c r="D245" s="523" t="str">
        <x:f>IF(ISBLANK('_SCHEDULE'!D213),"",'_SCHEDULE'!D213)</x:f>
      </x:c>
      <x:c r="E245" s="530" t="str">
        <x:f>IF(ISBLANK('_SCHEDULE'!E213),"",'_SCHEDULE'!E213)</x:f>
      </x:c>
      <x:c r="F245" s="530" t="str">
        <x:f>IF(ISBLANK('_SCHEDULE'!F213),"",'_SCHEDULE'!F213)</x:f>
      </x:c>
      <x:c r="G245" s="530" t="str">
        <x:f>IF(ISBLANK('_SCHEDULE'!G213),"",'_SCHEDULE'!G213)</x:f>
      </x:c>
      <x:c r="H245" s="530" t="str">
        <x:f>IF(ISBLANK('_SCHEDULE'!H213),"",'_SCHEDULE'!H213)</x:f>
      </x:c>
      <x:c r="I245" s="530" t="str">
        <x:f>IF(ISBLANK('_SCHEDULE'!I213),"",'_SCHEDULE'!I213)</x:f>
      </x:c>
      <x:c r="J245" s="530" t="str">
        <x:f>IF(ISBLANK('_SCHEDULE'!J213),"",'_SCHEDULE'!J213)</x:f>
      </x:c>
      <x:c r="K245" s="530" t="str">
        <x:f>IF(ISBLANK('_SCHEDULE'!K213),"",'_SCHEDULE'!K213)</x:f>
      </x:c>
      <x:c r="L245" s="530" t="str">
        <x:f>IF(ISBLANK('_SCHEDULE'!L213),"",'_SCHEDULE'!L213)</x:f>
      </x:c>
      <x:c r="M245" s="530" t="str">
        <x:f>IF(ISBLANK('_SCHEDULE'!M213),"",'_SCHEDULE'!M213)</x:f>
      </x:c>
      <x:c r="N245" s="530" t="str">
        <x:f>IF(ISBLANK('_SCHEDULE'!N213),"",'_SCHEDULE'!N213)</x:f>
      </x:c>
      <x:c r="O245" s="530" t="str">
        <x:f>IF(ISBLANK('_SCHEDULE'!O213),"",'_SCHEDULE'!O213)</x:f>
      </x:c>
      <x:c r="P245" s="530" t="str">
        <x:f>IF(ISBLANK('_SCHEDULE'!P213),"",'_SCHEDULE'!P213)</x:f>
      </x:c>
      <x:c r="Q245" s="530" t="str">
        <x:f>IF(ISBLANK('_SCHEDULE'!Q213),"",'_SCHEDULE'!Q213)</x:f>
      </x:c>
      <x:c r="R245" s="530" t="str">
        <x:f>IF(ISBLANK('_SCHEDULE'!R213),"",'_SCHEDULE'!R213)</x:f>
      </x:c>
      <x:c r="S245" s="523" t="str">
        <x:f>IF(ISBLANK('_SCHEDULE'!S213),"",'_SCHEDULE'!S213)</x:f>
      </x:c>
      <x:c r="T245" s="38"/>
      <x:c r="U245" s="38"/>
      <x:c r="V245" s="38"/>
      <x:c r="W245" s="38"/>
      <x:c r="X245" s="38"/>
      <x:c r="Y245" s="38"/>
      <x:c r="Z245" s="38"/>
      <x:c r="AA245" s="38"/>
      <x:c r="AB245" s="38"/>
      <x:c r="AC245" s="38"/>
      <x:c r="AD245" s="38"/>
      <x:c r="AE245" s="38"/>
      <x:c r="AF245" s="38"/>
      <x:c r="AG245" s="38"/>
      <x:c r="AH245" s="38"/>
      <x:c r="AI245" s="38"/>
      <x:c r="AJ245" s="38"/>
      <x:c r="AK245" s="38"/>
      <x:c r="AL245" s="38"/>
      <x:c r="AM245" s="38"/>
    </x:row>
    <x:row r="246">
      <x:c r="A246" s="523" t="str">
        <x:f>IF(ISBLANK('_SCHEDULE'!A214),"",'_SCHEDULE'!A214)</x:f>
      </x:c>
      <x:c r="B246" s="523" t="str">
        <x:f>IF(ISBLANK('_SCHEDULE'!B214),"",IF('_CONFIG'!$B$2="pt-BR",IF('_SCHEDULE'!B214="scheduled","programado",IF('_SCHEDULE'!B214="rejected","rejeitado",'_SCHEDULE'!B214)),'_SCHEDULE'!B214))</x:f>
      </x:c>
      <x:c r="C246" s="523" t="str">
        <x:f>IF(ISBLANK('_SCHEDULE'!C214),"",'_SCHEDULE'!C214)</x:f>
      </x:c>
      <x:c r="D246" s="523" t="str">
        <x:f>IF(ISBLANK('_SCHEDULE'!D214),"",'_SCHEDULE'!D214)</x:f>
      </x:c>
      <x:c r="E246" s="530" t="str">
        <x:f>IF(ISBLANK('_SCHEDULE'!E214),"",'_SCHEDULE'!E214)</x:f>
      </x:c>
      <x:c r="F246" s="530" t="str">
        <x:f>IF(ISBLANK('_SCHEDULE'!F214),"",'_SCHEDULE'!F214)</x:f>
      </x:c>
      <x:c r="G246" s="530" t="str">
        <x:f>IF(ISBLANK('_SCHEDULE'!G214),"",'_SCHEDULE'!G214)</x:f>
      </x:c>
      <x:c r="H246" s="530" t="str">
        <x:f>IF(ISBLANK('_SCHEDULE'!H214),"",'_SCHEDULE'!H214)</x:f>
      </x:c>
      <x:c r="I246" s="530" t="str">
        <x:f>IF(ISBLANK('_SCHEDULE'!I214),"",'_SCHEDULE'!I214)</x:f>
      </x:c>
      <x:c r="J246" s="530" t="str">
        <x:f>IF(ISBLANK('_SCHEDULE'!J214),"",'_SCHEDULE'!J214)</x:f>
      </x:c>
      <x:c r="K246" s="530" t="str">
        <x:f>IF(ISBLANK('_SCHEDULE'!K214),"",'_SCHEDULE'!K214)</x:f>
      </x:c>
      <x:c r="L246" s="530" t="str">
        <x:f>IF(ISBLANK('_SCHEDULE'!L214),"",'_SCHEDULE'!L214)</x:f>
      </x:c>
      <x:c r="M246" s="530" t="str">
        <x:f>IF(ISBLANK('_SCHEDULE'!M214),"",'_SCHEDULE'!M214)</x:f>
      </x:c>
      <x:c r="N246" s="530" t="str">
        <x:f>IF(ISBLANK('_SCHEDULE'!N214),"",'_SCHEDULE'!N214)</x:f>
      </x:c>
      <x:c r="O246" s="530" t="str">
        <x:f>IF(ISBLANK('_SCHEDULE'!O214),"",'_SCHEDULE'!O214)</x:f>
      </x:c>
      <x:c r="P246" s="530" t="str">
        <x:f>IF(ISBLANK('_SCHEDULE'!P214),"",'_SCHEDULE'!P214)</x:f>
      </x:c>
      <x:c r="Q246" s="530" t="str">
        <x:f>IF(ISBLANK('_SCHEDULE'!Q214),"",'_SCHEDULE'!Q214)</x:f>
      </x:c>
      <x:c r="R246" s="530" t="str">
        <x:f>IF(ISBLANK('_SCHEDULE'!R214),"",'_SCHEDULE'!R214)</x:f>
      </x:c>
      <x:c r="S246" s="523" t="str">
        <x:f>IF(ISBLANK('_SCHEDULE'!S214),"",'_SCHEDULE'!S214)</x:f>
      </x:c>
      <x:c r="T246" s="38"/>
      <x:c r="U246" s="38"/>
      <x:c r="V246" s="38"/>
      <x:c r="W246" s="38"/>
      <x:c r="X246" s="38"/>
      <x:c r="Y246" s="38"/>
      <x:c r="Z246" s="38"/>
      <x:c r="AA246" s="38"/>
      <x:c r="AB246" s="38"/>
      <x:c r="AC246" s="38"/>
      <x:c r="AD246" s="38"/>
      <x:c r="AE246" s="38"/>
      <x:c r="AF246" s="38"/>
      <x:c r="AG246" s="38"/>
      <x:c r="AH246" s="38"/>
      <x:c r="AI246" s="38"/>
      <x:c r="AJ246" s="38"/>
      <x:c r="AK246" s="38"/>
      <x:c r="AL246" s="38"/>
      <x:c r="AM246" s="38"/>
    </x:row>
    <x:row r="247">
      <x:c r="A247" s="523" t="str">
        <x:f>IF(ISBLANK('_SCHEDULE'!A215),"",'_SCHEDULE'!A215)</x:f>
      </x:c>
      <x:c r="B247" s="523" t="str">
        <x:f>IF(ISBLANK('_SCHEDULE'!B215),"",IF('_CONFIG'!$B$2="pt-BR",IF('_SCHEDULE'!B215="scheduled","programado",IF('_SCHEDULE'!B215="rejected","rejeitado",'_SCHEDULE'!B215)),'_SCHEDULE'!B215))</x:f>
      </x:c>
      <x:c r="C247" s="523" t="str">
        <x:f>IF(ISBLANK('_SCHEDULE'!C215),"",'_SCHEDULE'!C215)</x:f>
      </x:c>
      <x:c r="D247" s="523" t="str">
        <x:f>IF(ISBLANK('_SCHEDULE'!D215),"",'_SCHEDULE'!D215)</x:f>
      </x:c>
      <x:c r="E247" s="530" t="str">
        <x:f>IF(ISBLANK('_SCHEDULE'!E215),"",'_SCHEDULE'!E215)</x:f>
      </x:c>
      <x:c r="F247" s="530" t="str">
        <x:f>IF(ISBLANK('_SCHEDULE'!F215),"",'_SCHEDULE'!F215)</x:f>
      </x:c>
      <x:c r="G247" s="530" t="str">
        <x:f>IF(ISBLANK('_SCHEDULE'!G215),"",'_SCHEDULE'!G215)</x:f>
      </x:c>
      <x:c r="H247" s="530" t="str">
        <x:f>IF(ISBLANK('_SCHEDULE'!H215),"",'_SCHEDULE'!H215)</x:f>
      </x:c>
      <x:c r="I247" s="530" t="str">
        <x:f>IF(ISBLANK('_SCHEDULE'!I215),"",'_SCHEDULE'!I215)</x:f>
      </x:c>
      <x:c r="J247" s="530" t="str">
        <x:f>IF(ISBLANK('_SCHEDULE'!J215),"",'_SCHEDULE'!J215)</x:f>
      </x:c>
      <x:c r="K247" s="530" t="str">
        <x:f>IF(ISBLANK('_SCHEDULE'!K215),"",'_SCHEDULE'!K215)</x:f>
      </x:c>
      <x:c r="L247" s="530" t="str">
        <x:f>IF(ISBLANK('_SCHEDULE'!L215),"",'_SCHEDULE'!L215)</x:f>
      </x:c>
      <x:c r="M247" s="530" t="str">
        <x:f>IF(ISBLANK('_SCHEDULE'!M215),"",'_SCHEDULE'!M215)</x:f>
      </x:c>
      <x:c r="N247" s="530" t="str">
        <x:f>IF(ISBLANK('_SCHEDULE'!N215),"",'_SCHEDULE'!N215)</x:f>
      </x:c>
      <x:c r="O247" s="530" t="str">
        <x:f>IF(ISBLANK('_SCHEDULE'!O215),"",'_SCHEDULE'!O215)</x:f>
      </x:c>
      <x:c r="P247" s="530" t="str">
        <x:f>IF(ISBLANK('_SCHEDULE'!P215),"",'_SCHEDULE'!P215)</x:f>
      </x:c>
      <x:c r="Q247" s="530" t="str">
        <x:f>IF(ISBLANK('_SCHEDULE'!Q215),"",'_SCHEDULE'!Q215)</x:f>
      </x:c>
      <x:c r="R247" s="530" t="str">
        <x:f>IF(ISBLANK('_SCHEDULE'!R215),"",'_SCHEDULE'!R215)</x:f>
      </x:c>
      <x:c r="S247" s="523" t="str">
        <x:f>IF(ISBLANK('_SCHEDULE'!S215),"",'_SCHEDULE'!S215)</x:f>
      </x:c>
      <x:c r="T247" s="38"/>
      <x:c r="U247" s="38"/>
      <x:c r="V247" s="38"/>
      <x:c r="W247" s="38"/>
      <x:c r="X247" s="38"/>
      <x:c r="Y247" s="38"/>
      <x:c r="Z247" s="38"/>
      <x:c r="AA247" s="38"/>
      <x:c r="AB247" s="38"/>
      <x:c r="AC247" s="38"/>
      <x:c r="AD247" s="38"/>
      <x:c r="AE247" s="38"/>
      <x:c r="AF247" s="38"/>
      <x:c r="AG247" s="38"/>
      <x:c r="AH247" s="38"/>
      <x:c r="AI247" s="38"/>
      <x:c r="AJ247" s="38"/>
      <x:c r="AK247" s="38"/>
      <x:c r="AL247" s="38"/>
      <x:c r="AM247" s="38"/>
    </x:row>
    <x:row r="248">
      <x:c r="A248" s="523" t="str">
        <x:f>IF(ISBLANK('_SCHEDULE'!A216),"",'_SCHEDULE'!A216)</x:f>
      </x:c>
      <x:c r="B248" s="523" t="str">
        <x:f>IF(ISBLANK('_SCHEDULE'!B216),"",IF('_CONFIG'!$B$2="pt-BR",IF('_SCHEDULE'!B216="scheduled","programado",IF('_SCHEDULE'!B216="rejected","rejeitado",'_SCHEDULE'!B216)),'_SCHEDULE'!B216))</x:f>
      </x:c>
      <x:c r="C248" s="523" t="str">
        <x:f>IF(ISBLANK('_SCHEDULE'!C216),"",'_SCHEDULE'!C216)</x:f>
      </x:c>
      <x:c r="D248" s="523" t="str">
        <x:f>IF(ISBLANK('_SCHEDULE'!D216),"",'_SCHEDULE'!D216)</x:f>
      </x:c>
      <x:c r="E248" s="530" t="str">
        <x:f>IF(ISBLANK('_SCHEDULE'!E216),"",'_SCHEDULE'!E216)</x:f>
      </x:c>
      <x:c r="F248" s="530" t="str">
        <x:f>IF(ISBLANK('_SCHEDULE'!F216),"",'_SCHEDULE'!F216)</x:f>
      </x:c>
      <x:c r="G248" s="530" t="str">
        <x:f>IF(ISBLANK('_SCHEDULE'!G216),"",'_SCHEDULE'!G216)</x:f>
      </x:c>
      <x:c r="H248" s="530" t="str">
        <x:f>IF(ISBLANK('_SCHEDULE'!H216),"",'_SCHEDULE'!H216)</x:f>
      </x:c>
      <x:c r="I248" s="530" t="str">
        <x:f>IF(ISBLANK('_SCHEDULE'!I216),"",'_SCHEDULE'!I216)</x:f>
      </x:c>
      <x:c r="J248" s="530" t="str">
        <x:f>IF(ISBLANK('_SCHEDULE'!J216),"",'_SCHEDULE'!J216)</x:f>
      </x:c>
      <x:c r="K248" s="530" t="str">
        <x:f>IF(ISBLANK('_SCHEDULE'!K216),"",'_SCHEDULE'!K216)</x:f>
      </x:c>
      <x:c r="L248" s="530" t="str">
        <x:f>IF(ISBLANK('_SCHEDULE'!L216),"",'_SCHEDULE'!L216)</x:f>
      </x:c>
      <x:c r="M248" s="530" t="str">
        <x:f>IF(ISBLANK('_SCHEDULE'!M216),"",'_SCHEDULE'!M216)</x:f>
      </x:c>
      <x:c r="N248" s="530" t="str">
        <x:f>IF(ISBLANK('_SCHEDULE'!N216),"",'_SCHEDULE'!N216)</x:f>
      </x:c>
      <x:c r="O248" s="530" t="str">
        <x:f>IF(ISBLANK('_SCHEDULE'!O216),"",'_SCHEDULE'!O216)</x:f>
      </x:c>
      <x:c r="P248" s="530" t="str">
        <x:f>IF(ISBLANK('_SCHEDULE'!P216),"",'_SCHEDULE'!P216)</x:f>
      </x:c>
      <x:c r="Q248" s="530" t="str">
        <x:f>IF(ISBLANK('_SCHEDULE'!Q216),"",'_SCHEDULE'!Q216)</x:f>
      </x:c>
      <x:c r="R248" s="530" t="str">
        <x:f>IF(ISBLANK('_SCHEDULE'!R216),"",'_SCHEDULE'!R216)</x:f>
      </x:c>
      <x:c r="S248" s="523" t="str">
        <x:f>IF(ISBLANK('_SCHEDULE'!S216),"",'_SCHEDULE'!S216)</x:f>
      </x:c>
      <x:c r="T248" s="38"/>
      <x:c r="U248" s="38"/>
      <x:c r="V248" s="38"/>
      <x:c r="W248" s="38"/>
      <x:c r="X248" s="38"/>
      <x:c r="Y248" s="38"/>
      <x:c r="Z248" s="38"/>
      <x:c r="AA248" s="38"/>
      <x:c r="AB248" s="38"/>
      <x:c r="AC248" s="38"/>
      <x:c r="AD248" s="38"/>
      <x:c r="AE248" s="38"/>
      <x:c r="AF248" s="38"/>
      <x:c r="AG248" s="38"/>
      <x:c r="AH248" s="38"/>
      <x:c r="AI248" s="38"/>
      <x:c r="AJ248" s="38"/>
      <x:c r="AK248" s="38"/>
      <x:c r="AL248" s="38"/>
      <x:c r="AM248" s="38"/>
    </x:row>
    <x:row r="249">
      <x:c r="A249" s="523" t="str">
        <x:f>IF(ISBLANK('_SCHEDULE'!A217),"",'_SCHEDULE'!A217)</x:f>
      </x:c>
      <x:c r="B249" s="523" t="str">
        <x:f>IF(ISBLANK('_SCHEDULE'!B217),"",IF('_CONFIG'!$B$2="pt-BR",IF('_SCHEDULE'!B217="scheduled","programado",IF('_SCHEDULE'!B217="rejected","rejeitado",'_SCHEDULE'!B217)),'_SCHEDULE'!B217))</x:f>
      </x:c>
      <x:c r="C249" s="523" t="str">
        <x:f>IF(ISBLANK('_SCHEDULE'!C217),"",'_SCHEDULE'!C217)</x:f>
      </x:c>
      <x:c r="D249" s="523" t="str">
        <x:f>IF(ISBLANK('_SCHEDULE'!D217),"",'_SCHEDULE'!D217)</x:f>
      </x:c>
      <x:c r="E249" s="530" t="str">
        <x:f>IF(ISBLANK('_SCHEDULE'!E217),"",'_SCHEDULE'!E217)</x:f>
      </x:c>
      <x:c r="F249" s="530" t="str">
        <x:f>IF(ISBLANK('_SCHEDULE'!F217),"",'_SCHEDULE'!F217)</x:f>
      </x:c>
      <x:c r="G249" s="530" t="str">
        <x:f>IF(ISBLANK('_SCHEDULE'!G217),"",'_SCHEDULE'!G217)</x:f>
      </x:c>
      <x:c r="H249" s="530" t="str">
        <x:f>IF(ISBLANK('_SCHEDULE'!H217),"",'_SCHEDULE'!H217)</x:f>
      </x:c>
      <x:c r="I249" s="530" t="str">
        <x:f>IF(ISBLANK('_SCHEDULE'!I217),"",'_SCHEDULE'!I217)</x:f>
      </x:c>
      <x:c r="J249" s="530" t="str">
        <x:f>IF(ISBLANK('_SCHEDULE'!J217),"",'_SCHEDULE'!J217)</x:f>
      </x:c>
      <x:c r="K249" s="530" t="str">
        <x:f>IF(ISBLANK('_SCHEDULE'!K217),"",'_SCHEDULE'!K217)</x:f>
      </x:c>
      <x:c r="L249" s="530" t="str">
        <x:f>IF(ISBLANK('_SCHEDULE'!L217),"",'_SCHEDULE'!L217)</x:f>
      </x:c>
      <x:c r="M249" s="530" t="str">
        <x:f>IF(ISBLANK('_SCHEDULE'!M217),"",'_SCHEDULE'!M217)</x:f>
      </x:c>
      <x:c r="N249" s="530" t="str">
        <x:f>IF(ISBLANK('_SCHEDULE'!N217),"",'_SCHEDULE'!N217)</x:f>
      </x:c>
      <x:c r="O249" s="530" t="str">
        <x:f>IF(ISBLANK('_SCHEDULE'!O217),"",'_SCHEDULE'!O217)</x:f>
      </x:c>
      <x:c r="P249" s="530" t="str">
        <x:f>IF(ISBLANK('_SCHEDULE'!P217),"",'_SCHEDULE'!P217)</x:f>
      </x:c>
      <x:c r="Q249" s="530" t="str">
        <x:f>IF(ISBLANK('_SCHEDULE'!Q217),"",'_SCHEDULE'!Q217)</x:f>
      </x:c>
      <x:c r="R249" s="530" t="str">
        <x:f>IF(ISBLANK('_SCHEDULE'!R217),"",'_SCHEDULE'!R217)</x:f>
      </x:c>
      <x:c r="S249" s="523" t="str">
        <x:f>IF(ISBLANK('_SCHEDULE'!S217),"",'_SCHEDULE'!S217)</x:f>
      </x:c>
      <x:c r="T249" s="38"/>
      <x:c r="U249" s="38"/>
      <x:c r="V249" s="38"/>
      <x:c r="W249" s="38"/>
      <x:c r="X249" s="38"/>
      <x:c r="Y249" s="38"/>
      <x:c r="Z249" s="38"/>
      <x:c r="AA249" s="38"/>
      <x:c r="AB249" s="38"/>
      <x:c r="AC249" s="38"/>
      <x:c r="AD249" s="38"/>
      <x:c r="AE249" s="38"/>
      <x:c r="AF249" s="38"/>
      <x:c r="AG249" s="38"/>
      <x:c r="AH249" s="38"/>
      <x:c r="AI249" s="38"/>
      <x:c r="AJ249" s="38"/>
      <x:c r="AK249" s="38"/>
      <x:c r="AL249" s="38"/>
      <x:c r="AM249" s="38"/>
    </x:row>
    <x:row r="250">
      <x:c r="A250" s="523" t="str">
        <x:f>IF(ISBLANK('_SCHEDULE'!A218),"",'_SCHEDULE'!A218)</x:f>
      </x:c>
      <x:c r="B250" s="523" t="str">
        <x:f>IF(ISBLANK('_SCHEDULE'!B218),"",IF('_CONFIG'!$B$2="pt-BR",IF('_SCHEDULE'!B218="scheduled","programado",IF('_SCHEDULE'!B218="rejected","rejeitado",'_SCHEDULE'!B218)),'_SCHEDULE'!B218))</x:f>
      </x:c>
      <x:c r="C250" s="523" t="str">
        <x:f>IF(ISBLANK('_SCHEDULE'!C218),"",'_SCHEDULE'!C218)</x:f>
      </x:c>
      <x:c r="D250" s="523" t="str">
        <x:f>IF(ISBLANK('_SCHEDULE'!D218),"",'_SCHEDULE'!D218)</x:f>
      </x:c>
      <x:c r="E250" s="530" t="str">
        <x:f>IF(ISBLANK('_SCHEDULE'!E218),"",'_SCHEDULE'!E218)</x:f>
      </x:c>
      <x:c r="F250" s="530" t="str">
        <x:f>IF(ISBLANK('_SCHEDULE'!F218),"",'_SCHEDULE'!F218)</x:f>
      </x:c>
      <x:c r="G250" s="530" t="str">
        <x:f>IF(ISBLANK('_SCHEDULE'!G218),"",'_SCHEDULE'!G218)</x:f>
      </x:c>
      <x:c r="H250" s="530" t="str">
        <x:f>IF(ISBLANK('_SCHEDULE'!H218),"",'_SCHEDULE'!H218)</x:f>
      </x:c>
      <x:c r="I250" s="530" t="str">
        <x:f>IF(ISBLANK('_SCHEDULE'!I218),"",'_SCHEDULE'!I218)</x:f>
      </x:c>
      <x:c r="J250" s="530" t="str">
        <x:f>IF(ISBLANK('_SCHEDULE'!J218),"",'_SCHEDULE'!J218)</x:f>
      </x:c>
      <x:c r="K250" s="530" t="str">
        <x:f>IF(ISBLANK('_SCHEDULE'!K218),"",'_SCHEDULE'!K218)</x:f>
      </x:c>
      <x:c r="L250" s="530" t="str">
        <x:f>IF(ISBLANK('_SCHEDULE'!L218),"",'_SCHEDULE'!L218)</x:f>
      </x:c>
      <x:c r="M250" s="530" t="str">
        <x:f>IF(ISBLANK('_SCHEDULE'!M218),"",'_SCHEDULE'!M218)</x:f>
      </x:c>
      <x:c r="N250" s="530" t="str">
        <x:f>IF(ISBLANK('_SCHEDULE'!N218),"",'_SCHEDULE'!N218)</x:f>
      </x:c>
      <x:c r="O250" s="530" t="str">
        <x:f>IF(ISBLANK('_SCHEDULE'!O218),"",'_SCHEDULE'!O218)</x:f>
      </x:c>
      <x:c r="P250" s="530" t="str">
        <x:f>IF(ISBLANK('_SCHEDULE'!P218),"",'_SCHEDULE'!P218)</x:f>
      </x:c>
      <x:c r="Q250" s="530" t="str">
        <x:f>IF(ISBLANK('_SCHEDULE'!Q218),"",'_SCHEDULE'!Q218)</x:f>
      </x:c>
      <x:c r="R250" s="530" t="str">
        <x:f>IF(ISBLANK('_SCHEDULE'!R218),"",'_SCHEDULE'!R218)</x:f>
      </x:c>
      <x:c r="S250" s="523" t="str">
        <x:f>IF(ISBLANK('_SCHEDULE'!S218),"",'_SCHEDULE'!S218)</x:f>
      </x:c>
      <x:c r="T250" s="38"/>
      <x:c r="U250" s="38"/>
      <x:c r="V250" s="38"/>
      <x:c r="W250" s="38"/>
      <x:c r="X250" s="38"/>
      <x:c r="Y250" s="38"/>
      <x:c r="Z250" s="38"/>
      <x:c r="AA250" s="38"/>
      <x:c r="AB250" s="38"/>
      <x:c r="AC250" s="38"/>
      <x:c r="AD250" s="38"/>
      <x:c r="AE250" s="38"/>
      <x:c r="AF250" s="38"/>
      <x:c r="AG250" s="38"/>
      <x:c r="AH250" s="38"/>
      <x:c r="AI250" s="38"/>
      <x:c r="AJ250" s="38"/>
      <x:c r="AK250" s="38"/>
      <x:c r="AL250" s="38"/>
      <x:c r="AM250" s="38"/>
    </x:row>
    <x:row r="251">
      <x:c r="A251" s="523" t="str">
        <x:f>IF(ISBLANK('_SCHEDULE'!A219),"",'_SCHEDULE'!A219)</x:f>
      </x:c>
      <x:c r="B251" s="523" t="str">
        <x:f>IF(ISBLANK('_SCHEDULE'!B219),"",IF('_CONFIG'!$B$2="pt-BR",IF('_SCHEDULE'!B219="scheduled","programado",IF('_SCHEDULE'!B219="rejected","rejeitado",'_SCHEDULE'!B219)),'_SCHEDULE'!B219))</x:f>
      </x:c>
      <x:c r="C251" s="523" t="str">
        <x:f>IF(ISBLANK('_SCHEDULE'!C219),"",'_SCHEDULE'!C219)</x:f>
      </x:c>
      <x:c r="D251" s="523" t="str">
        <x:f>IF(ISBLANK('_SCHEDULE'!D219),"",'_SCHEDULE'!D219)</x:f>
      </x:c>
      <x:c r="E251" s="530" t="str">
        <x:f>IF(ISBLANK('_SCHEDULE'!E219),"",'_SCHEDULE'!E219)</x:f>
      </x:c>
      <x:c r="F251" s="530" t="str">
        <x:f>IF(ISBLANK('_SCHEDULE'!F219),"",'_SCHEDULE'!F219)</x:f>
      </x:c>
      <x:c r="G251" s="530" t="str">
        <x:f>IF(ISBLANK('_SCHEDULE'!G219),"",'_SCHEDULE'!G219)</x:f>
      </x:c>
      <x:c r="H251" s="530" t="str">
        <x:f>IF(ISBLANK('_SCHEDULE'!H219),"",'_SCHEDULE'!H219)</x:f>
      </x:c>
      <x:c r="I251" s="530" t="str">
        <x:f>IF(ISBLANK('_SCHEDULE'!I219),"",'_SCHEDULE'!I219)</x:f>
      </x:c>
      <x:c r="J251" s="530" t="str">
        <x:f>IF(ISBLANK('_SCHEDULE'!J219),"",'_SCHEDULE'!J219)</x:f>
      </x:c>
      <x:c r="K251" s="530" t="str">
        <x:f>IF(ISBLANK('_SCHEDULE'!K219),"",'_SCHEDULE'!K219)</x:f>
      </x:c>
      <x:c r="L251" s="530" t="str">
        <x:f>IF(ISBLANK('_SCHEDULE'!L219),"",'_SCHEDULE'!L219)</x:f>
      </x:c>
      <x:c r="M251" s="530" t="str">
        <x:f>IF(ISBLANK('_SCHEDULE'!M219),"",'_SCHEDULE'!M219)</x:f>
      </x:c>
      <x:c r="N251" s="530" t="str">
        <x:f>IF(ISBLANK('_SCHEDULE'!N219),"",'_SCHEDULE'!N219)</x:f>
      </x:c>
      <x:c r="O251" s="530" t="str">
        <x:f>IF(ISBLANK('_SCHEDULE'!O219),"",'_SCHEDULE'!O219)</x:f>
      </x:c>
      <x:c r="P251" s="530" t="str">
        <x:f>IF(ISBLANK('_SCHEDULE'!P219),"",'_SCHEDULE'!P219)</x:f>
      </x:c>
      <x:c r="Q251" s="530" t="str">
        <x:f>IF(ISBLANK('_SCHEDULE'!Q219),"",'_SCHEDULE'!Q219)</x:f>
      </x:c>
      <x:c r="R251" s="530" t="str">
        <x:f>IF(ISBLANK('_SCHEDULE'!R219),"",'_SCHEDULE'!R219)</x:f>
      </x:c>
      <x:c r="S251" s="523" t="str">
        <x:f>IF(ISBLANK('_SCHEDULE'!S219),"",'_SCHEDULE'!S219)</x:f>
      </x:c>
      <x:c r="T251" s="38"/>
      <x:c r="U251" s="38"/>
      <x:c r="V251" s="38"/>
      <x:c r="W251" s="38"/>
      <x:c r="X251" s="38"/>
      <x:c r="Y251" s="38"/>
      <x:c r="Z251" s="38"/>
      <x:c r="AA251" s="38"/>
      <x:c r="AB251" s="38"/>
      <x:c r="AC251" s="38"/>
      <x:c r="AD251" s="38"/>
      <x:c r="AE251" s="38"/>
      <x:c r="AF251" s="38"/>
      <x:c r="AG251" s="38"/>
      <x:c r="AH251" s="38"/>
      <x:c r="AI251" s="38"/>
      <x:c r="AJ251" s="38"/>
      <x:c r="AK251" s="38"/>
      <x:c r="AL251" s="38"/>
      <x:c r="AM251" s="38"/>
    </x:row>
    <x:row r="252">
      <x:c r="A252" s="523" t="str">
        <x:f>IF(ISBLANK('_SCHEDULE'!A220),"",'_SCHEDULE'!A220)</x:f>
      </x:c>
      <x:c r="B252" s="523" t="str">
        <x:f>IF(ISBLANK('_SCHEDULE'!B220),"",IF('_CONFIG'!$B$2="pt-BR",IF('_SCHEDULE'!B220="scheduled","programado",IF('_SCHEDULE'!B220="rejected","rejeitado",'_SCHEDULE'!B220)),'_SCHEDULE'!B220))</x:f>
      </x:c>
      <x:c r="C252" s="523" t="str">
        <x:f>IF(ISBLANK('_SCHEDULE'!C220),"",'_SCHEDULE'!C220)</x:f>
      </x:c>
      <x:c r="D252" s="523" t="str">
        <x:f>IF(ISBLANK('_SCHEDULE'!D220),"",'_SCHEDULE'!D220)</x:f>
      </x:c>
      <x:c r="E252" s="530" t="str">
        <x:f>IF(ISBLANK('_SCHEDULE'!E220),"",'_SCHEDULE'!E220)</x:f>
      </x:c>
      <x:c r="F252" s="530" t="str">
        <x:f>IF(ISBLANK('_SCHEDULE'!F220),"",'_SCHEDULE'!F220)</x:f>
      </x:c>
      <x:c r="G252" s="530" t="str">
        <x:f>IF(ISBLANK('_SCHEDULE'!G220),"",'_SCHEDULE'!G220)</x:f>
      </x:c>
      <x:c r="H252" s="530" t="str">
        <x:f>IF(ISBLANK('_SCHEDULE'!H220),"",'_SCHEDULE'!H220)</x:f>
      </x:c>
      <x:c r="I252" s="530" t="str">
        <x:f>IF(ISBLANK('_SCHEDULE'!I220),"",'_SCHEDULE'!I220)</x:f>
      </x:c>
      <x:c r="J252" s="530" t="str">
        <x:f>IF(ISBLANK('_SCHEDULE'!J220),"",'_SCHEDULE'!J220)</x:f>
      </x:c>
      <x:c r="K252" s="530" t="str">
        <x:f>IF(ISBLANK('_SCHEDULE'!K220),"",'_SCHEDULE'!K220)</x:f>
      </x:c>
      <x:c r="L252" s="530" t="str">
        <x:f>IF(ISBLANK('_SCHEDULE'!L220),"",'_SCHEDULE'!L220)</x:f>
      </x:c>
      <x:c r="M252" s="530" t="str">
        <x:f>IF(ISBLANK('_SCHEDULE'!M220),"",'_SCHEDULE'!M220)</x:f>
      </x:c>
      <x:c r="N252" s="530" t="str">
        <x:f>IF(ISBLANK('_SCHEDULE'!N220),"",'_SCHEDULE'!N220)</x:f>
      </x:c>
      <x:c r="O252" s="530" t="str">
        <x:f>IF(ISBLANK('_SCHEDULE'!O220),"",'_SCHEDULE'!O220)</x:f>
      </x:c>
      <x:c r="P252" s="530" t="str">
        <x:f>IF(ISBLANK('_SCHEDULE'!P220),"",'_SCHEDULE'!P220)</x:f>
      </x:c>
      <x:c r="Q252" s="530" t="str">
        <x:f>IF(ISBLANK('_SCHEDULE'!Q220),"",'_SCHEDULE'!Q220)</x:f>
      </x:c>
      <x:c r="R252" s="530" t="str">
        <x:f>IF(ISBLANK('_SCHEDULE'!R220),"",'_SCHEDULE'!R220)</x:f>
      </x:c>
      <x:c r="S252" s="523" t="str">
        <x:f>IF(ISBLANK('_SCHEDULE'!S220),"",'_SCHEDULE'!S220)</x:f>
      </x:c>
      <x:c r="T252" s="38"/>
      <x:c r="U252" s="38"/>
      <x:c r="V252" s="38"/>
      <x:c r="W252" s="38"/>
      <x:c r="X252" s="38"/>
      <x:c r="Y252" s="38"/>
      <x:c r="Z252" s="38"/>
      <x:c r="AA252" s="38"/>
      <x:c r="AB252" s="38"/>
      <x:c r="AC252" s="38"/>
      <x:c r="AD252" s="38"/>
      <x:c r="AE252" s="38"/>
      <x:c r="AF252" s="38"/>
      <x:c r="AG252" s="38"/>
      <x:c r="AH252" s="38"/>
      <x:c r="AI252" s="38"/>
      <x:c r="AJ252" s="38"/>
      <x:c r="AK252" s="38"/>
      <x:c r="AL252" s="38"/>
      <x:c r="AM252" s="38"/>
    </x:row>
    <x:row r="253">
      <x:c r="A253" s="523" t="str">
        <x:f>IF(ISBLANK('_SCHEDULE'!A221),"",'_SCHEDULE'!A221)</x:f>
      </x:c>
      <x:c r="B253" s="523" t="str">
        <x:f>IF(ISBLANK('_SCHEDULE'!B221),"",IF('_CONFIG'!$B$2="pt-BR",IF('_SCHEDULE'!B221="scheduled","programado",IF('_SCHEDULE'!B221="rejected","rejeitado",'_SCHEDULE'!B221)),'_SCHEDULE'!B221))</x:f>
      </x:c>
      <x:c r="C253" s="523" t="str">
        <x:f>IF(ISBLANK('_SCHEDULE'!C221),"",'_SCHEDULE'!C221)</x:f>
      </x:c>
      <x:c r="D253" s="523" t="str">
        <x:f>IF(ISBLANK('_SCHEDULE'!D221),"",'_SCHEDULE'!D221)</x:f>
      </x:c>
      <x:c r="E253" s="530" t="str">
        <x:f>IF(ISBLANK('_SCHEDULE'!E221),"",'_SCHEDULE'!E221)</x:f>
      </x:c>
      <x:c r="F253" s="530" t="str">
        <x:f>IF(ISBLANK('_SCHEDULE'!F221),"",'_SCHEDULE'!F221)</x:f>
      </x:c>
      <x:c r="G253" s="530" t="str">
        <x:f>IF(ISBLANK('_SCHEDULE'!G221),"",'_SCHEDULE'!G221)</x:f>
      </x:c>
      <x:c r="H253" s="530" t="str">
        <x:f>IF(ISBLANK('_SCHEDULE'!H221),"",'_SCHEDULE'!H221)</x:f>
      </x:c>
      <x:c r="I253" s="530" t="str">
        <x:f>IF(ISBLANK('_SCHEDULE'!I221),"",'_SCHEDULE'!I221)</x:f>
      </x:c>
      <x:c r="J253" s="530" t="str">
        <x:f>IF(ISBLANK('_SCHEDULE'!J221),"",'_SCHEDULE'!J221)</x:f>
      </x:c>
      <x:c r="K253" s="530" t="str">
        <x:f>IF(ISBLANK('_SCHEDULE'!K221),"",'_SCHEDULE'!K221)</x:f>
      </x:c>
      <x:c r="L253" s="530" t="str">
        <x:f>IF(ISBLANK('_SCHEDULE'!L221),"",'_SCHEDULE'!L221)</x:f>
      </x:c>
      <x:c r="M253" s="530" t="str">
        <x:f>IF(ISBLANK('_SCHEDULE'!M221),"",'_SCHEDULE'!M221)</x:f>
      </x:c>
      <x:c r="N253" s="530" t="str">
        <x:f>IF(ISBLANK('_SCHEDULE'!N221),"",'_SCHEDULE'!N221)</x:f>
      </x:c>
      <x:c r="O253" s="530" t="str">
        <x:f>IF(ISBLANK('_SCHEDULE'!O221),"",'_SCHEDULE'!O221)</x:f>
      </x:c>
      <x:c r="P253" s="530" t="str">
        <x:f>IF(ISBLANK('_SCHEDULE'!P221),"",'_SCHEDULE'!P221)</x:f>
      </x:c>
      <x:c r="Q253" s="530" t="str">
        <x:f>IF(ISBLANK('_SCHEDULE'!Q221),"",'_SCHEDULE'!Q221)</x:f>
      </x:c>
      <x:c r="R253" s="530" t="str">
        <x:f>IF(ISBLANK('_SCHEDULE'!R221),"",'_SCHEDULE'!R221)</x:f>
      </x:c>
      <x:c r="S253" s="523" t="str">
        <x:f>IF(ISBLANK('_SCHEDULE'!S221),"",'_SCHEDULE'!S221)</x:f>
      </x:c>
      <x:c r="T253" s="38"/>
      <x:c r="U253" s="38"/>
      <x:c r="V253" s="38"/>
      <x:c r="W253" s="38"/>
      <x:c r="X253" s="38"/>
      <x:c r="Y253" s="38"/>
      <x:c r="Z253" s="38"/>
      <x:c r="AA253" s="38"/>
      <x:c r="AB253" s="38"/>
      <x:c r="AC253" s="38"/>
      <x:c r="AD253" s="38"/>
      <x:c r="AE253" s="38"/>
      <x:c r="AF253" s="38"/>
      <x:c r="AG253" s="38"/>
      <x:c r="AH253" s="38"/>
      <x:c r="AI253" s="38"/>
      <x:c r="AJ253" s="38"/>
      <x:c r="AK253" s="38"/>
      <x:c r="AL253" s="38"/>
      <x:c r="AM253" s="38"/>
    </x:row>
    <x:row r="254">
      <x:c r="A254" s="523" t="str">
        <x:f>IF(ISBLANK('_SCHEDULE'!A222),"",'_SCHEDULE'!A222)</x:f>
      </x:c>
      <x:c r="B254" s="523" t="str">
        <x:f>IF(ISBLANK('_SCHEDULE'!B222),"",IF('_CONFIG'!$B$2="pt-BR",IF('_SCHEDULE'!B222="scheduled","programado",IF('_SCHEDULE'!B222="rejected","rejeitado",'_SCHEDULE'!B222)),'_SCHEDULE'!B222))</x:f>
      </x:c>
      <x:c r="C254" s="523" t="str">
        <x:f>IF(ISBLANK('_SCHEDULE'!C222),"",'_SCHEDULE'!C222)</x:f>
      </x:c>
      <x:c r="D254" s="523" t="str">
        <x:f>IF(ISBLANK('_SCHEDULE'!D222),"",'_SCHEDULE'!D222)</x:f>
      </x:c>
      <x:c r="E254" s="530" t="str">
        <x:f>IF(ISBLANK('_SCHEDULE'!E222),"",'_SCHEDULE'!E222)</x:f>
      </x:c>
      <x:c r="F254" s="530" t="str">
        <x:f>IF(ISBLANK('_SCHEDULE'!F222),"",'_SCHEDULE'!F222)</x:f>
      </x:c>
      <x:c r="G254" s="530" t="str">
        <x:f>IF(ISBLANK('_SCHEDULE'!G222),"",'_SCHEDULE'!G222)</x:f>
      </x:c>
      <x:c r="H254" s="530" t="str">
        <x:f>IF(ISBLANK('_SCHEDULE'!H222),"",'_SCHEDULE'!H222)</x:f>
      </x:c>
      <x:c r="I254" s="530" t="str">
        <x:f>IF(ISBLANK('_SCHEDULE'!I222),"",'_SCHEDULE'!I222)</x:f>
      </x:c>
      <x:c r="J254" s="530" t="str">
        <x:f>IF(ISBLANK('_SCHEDULE'!J222),"",'_SCHEDULE'!J222)</x:f>
      </x:c>
      <x:c r="K254" s="530" t="str">
        <x:f>IF(ISBLANK('_SCHEDULE'!K222),"",'_SCHEDULE'!K222)</x:f>
      </x:c>
      <x:c r="L254" s="530" t="str">
        <x:f>IF(ISBLANK('_SCHEDULE'!L222),"",'_SCHEDULE'!L222)</x:f>
      </x:c>
      <x:c r="M254" s="530" t="str">
        <x:f>IF(ISBLANK('_SCHEDULE'!M222),"",'_SCHEDULE'!M222)</x:f>
      </x:c>
      <x:c r="N254" s="530" t="str">
        <x:f>IF(ISBLANK('_SCHEDULE'!N222),"",'_SCHEDULE'!N222)</x:f>
      </x:c>
      <x:c r="O254" s="530" t="str">
        <x:f>IF(ISBLANK('_SCHEDULE'!O222),"",'_SCHEDULE'!O222)</x:f>
      </x:c>
      <x:c r="P254" s="530" t="str">
        <x:f>IF(ISBLANK('_SCHEDULE'!P222),"",'_SCHEDULE'!P222)</x:f>
      </x:c>
      <x:c r="Q254" s="530" t="str">
        <x:f>IF(ISBLANK('_SCHEDULE'!Q222),"",'_SCHEDULE'!Q222)</x:f>
      </x:c>
      <x:c r="R254" s="530" t="str">
        <x:f>IF(ISBLANK('_SCHEDULE'!R222),"",'_SCHEDULE'!R222)</x:f>
      </x:c>
      <x:c r="S254" s="523" t="str">
        <x:f>IF(ISBLANK('_SCHEDULE'!S222),"",'_SCHEDULE'!S222)</x:f>
      </x:c>
      <x:c r="T254" s="38"/>
      <x:c r="U254" s="38"/>
      <x:c r="V254" s="38"/>
      <x:c r="W254" s="38"/>
      <x:c r="X254" s="38"/>
      <x:c r="Y254" s="38"/>
      <x:c r="Z254" s="38"/>
      <x:c r="AA254" s="38"/>
      <x:c r="AB254" s="38"/>
      <x:c r="AC254" s="38"/>
      <x:c r="AD254" s="38"/>
      <x:c r="AE254" s="38"/>
      <x:c r="AF254" s="38"/>
      <x:c r="AG254" s="38"/>
      <x:c r="AH254" s="38"/>
      <x:c r="AI254" s="38"/>
      <x:c r="AJ254" s="38"/>
      <x:c r="AK254" s="38"/>
      <x:c r="AL254" s="38"/>
      <x:c r="AM254" s="38"/>
    </x:row>
    <x:row r="255">
      <x:c r="A255" s="523" t="str">
        <x:f>IF(ISBLANK('_SCHEDULE'!A223),"",'_SCHEDULE'!A223)</x:f>
      </x:c>
      <x:c r="B255" s="523" t="str">
        <x:f>IF(ISBLANK('_SCHEDULE'!B223),"",IF('_CONFIG'!$B$2="pt-BR",IF('_SCHEDULE'!B223="scheduled","programado",IF('_SCHEDULE'!B223="rejected","rejeitado",'_SCHEDULE'!B223)),'_SCHEDULE'!B223))</x:f>
      </x:c>
      <x:c r="C255" s="523" t="str">
        <x:f>IF(ISBLANK('_SCHEDULE'!C223),"",'_SCHEDULE'!C223)</x:f>
      </x:c>
      <x:c r="D255" s="523" t="str">
        <x:f>IF(ISBLANK('_SCHEDULE'!D223),"",'_SCHEDULE'!D223)</x:f>
      </x:c>
      <x:c r="E255" s="530" t="str">
        <x:f>IF(ISBLANK('_SCHEDULE'!E223),"",'_SCHEDULE'!E223)</x:f>
      </x:c>
      <x:c r="F255" s="530" t="str">
        <x:f>IF(ISBLANK('_SCHEDULE'!F223),"",'_SCHEDULE'!F223)</x:f>
      </x:c>
      <x:c r="G255" s="530" t="str">
        <x:f>IF(ISBLANK('_SCHEDULE'!G223),"",'_SCHEDULE'!G223)</x:f>
      </x:c>
      <x:c r="H255" s="530" t="str">
        <x:f>IF(ISBLANK('_SCHEDULE'!H223),"",'_SCHEDULE'!H223)</x:f>
      </x:c>
      <x:c r="I255" s="530" t="str">
        <x:f>IF(ISBLANK('_SCHEDULE'!I223),"",'_SCHEDULE'!I223)</x:f>
      </x:c>
      <x:c r="J255" s="530" t="str">
        <x:f>IF(ISBLANK('_SCHEDULE'!J223),"",'_SCHEDULE'!J223)</x:f>
      </x:c>
      <x:c r="K255" s="530" t="str">
        <x:f>IF(ISBLANK('_SCHEDULE'!K223),"",'_SCHEDULE'!K223)</x:f>
      </x:c>
      <x:c r="L255" s="530" t="str">
        <x:f>IF(ISBLANK('_SCHEDULE'!L223),"",'_SCHEDULE'!L223)</x:f>
      </x:c>
      <x:c r="M255" s="530" t="str">
        <x:f>IF(ISBLANK('_SCHEDULE'!M223),"",'_SCHEDULE'!M223)</x:f>
      </x:c>
      <x:c r="N255" s="530" t="str">
        <x:f>IF(ISBLANK('_SCHEDULE'!N223),"",'_SCHEDULE'!N223)</x:f>
      </x:c>
      <x:c r="O255" s="530" t="str">
        <x:f>IF(ISBLANK('_SCHEDULE'!O223),"",'_SCHEDULE'!O223)</x:f>
      </x:c>
      <x:c r="P255" s="530" t="str">
        <x:f>IF(ISBLANK('_SCHEDULE'!P223),"",'_SCHEDULE'!P223)</x:f>
      </x:c>
      <x:c r="Q255" s="530" t="str">
        <x:f>IF(ISBLANK('_SCHEDULE'!Q223),"",'_SCHEDULE'!Q223)</x:f>
      </x:c>
      <x:c r="R255" s="530" t="str">
        <x:f>IF(ISBLANK('_SCHEDULE'!R223),"",'_SCHEDULE'!R223)</x:f>
      </x:c>
      <x:c r="S255" s="523" t="str">
        <x:f>IF(ISBLANK('_SCHEDULE'!S223),"",'_SCHEDULE'!S223)</x:f>
      </x:c>
      <x:c r="T255" s="38"/>
      <x:c r="U255" s="38"/>
      <x:c r="V255" s="38"/>
      <x:c r="W255" s="38"/>
      <x:c r="X255" s="38"/>
      <x:c r="Y255" s="38"/>
      <x:c r="Z255" s="38"/>
      <x:c r="AA255" s="38"/>
      <x:c r="AB255" s="38"/>
      <x:c r="AC255" s="38"/>
      <x:c r="AD255" s="38"/>
      <x:c r="AE255" s="38"/>
      <x:c r="AF255" s="38"/>
      <x:c r="AG255" s="38"/>
      <x:c r="AH255" s="38"/>
      <x:c r="AI255" s="38"/>
      <x:c r="AJ255" s="38"/>
      <x:c r="AK255" s="38"/>
      <x:c r="AL255" s="38"/>
      <x:c r="AM255" s="38"/>
    </x:row>
    <x:row r="256">
      <x:c r="A256" s="523" t="str">
        <x:f>IF(ISBLANK('_SCHEDULE'!A224),"",'_SCHEDULE'!A224)</x:f>
      </x:c>
      <x:c r="B256" s="523" t="str">
        <x:f>IF(ISBLANK('_SCHEDULE'!B224),"",IF('_CONFIG'!$B$2="pt-BR",IF('_SCHEDULE'!B224="scheduled","programado",IF('_SCHEDULE'!B224="rejected","rejeitado",'_SCHEDULE'!B224)),'_SCHEDULE'!B224))</x:f>
      </x:c>
      <x:c r="C256" s="523" t="str">
        <x:f>IF(ISBLANK('_SCHEDULE'!C224),"",'_SCHEDULE'!C224)</x:f>
      </x:c>
      <x:c r="D256" s="523" t="str">
        <x:f>IF(ISBLANK('_SCHEDULE'!D224),"",'_SCHEDULE'!D224)</x:f>
      </x:c>
      <x:c r="E256" s="530" t="str">
        <x:f>IF(ISBLANK('_SCHEDULE'!E224),"",'_SCHEDULE'!E224)</x:f>
      </x:c>
      <x:c r="F256" s="530" t="str">
        <x:f>IF(ISBLANK('_SCHEDULE'!F224),"",'_SCHEDULE'!F224)</x:f>
      </x:c>
      <x:c r="G256" s="530" t="str">
        <x:f>IF(ISBLANK('_SCHEDULE'!G224),"",'_SCHEDULE'!G224)</x:f>
      </x:c>
      <x:c r="H256" s="530" t="str">
        <x:f>IF(ISBLANK('_SCHEDULE'!H224),"",'_SCHEDULE'!H224)</x:f>
      </x:c>
      <x:c r="I256" s="530" t="str">
        <x:f>IF(ISBLANK('_SCHEDULE'!I224),"",'_SCHEDULE'!I224)</x:f>
      </x:c>
      <x:c r="J256" s="530" t="str">
        <x:f>IF(ISBLANK('_SCHEDULE'!J224),"",'_SCHEDULE'!J224)</x:f>
      </x:c>
      <x:c r="K256" s="530" t="str">
        <x:f>IF(ISBLANK('_SCHEDULE'!K224),"",'_SCHEDULE'!K224)</x:f>
      </x:c>
      <x:c r="L256" s="530" t="str">
        <x:f>IF(ISBLANK('_SCHEDULE'!L224),"",'_SCHEDULE'!L224)</x:f>
      </x:c>
      <x:c r="M256" s="530" t="str">
        <x:f>IF(ISBLANK('_SCHEDULE'!M224),"",'_SCHEDULE'!M224)</x:f>
      </x:c>
      <x:c r="N256" s="530" t="str">
        <x:f>IF(ISBLANK('_SCHEDULE'!N224),"",'_SCHEDULE'!N224)</x:f>
      </x:c>
      <x:c r="O256" s="530" t="str">
        <x:f>IF(ISBLANK('_SCHEDULE'!O224),"",'_SCHEDULE'!O224)</x:f>
      </x:c>
      <x:c r="P256" s="530" t="str">
        <x:f>IF(ISBLANK('_SCHEDULE'!P224),"",'_SCHEDULE'!P224)</x:f>
      </x:c>
      <x:c r="Q256" s="530" t="str">
        <x:f>IF(ISBLANK('_SCHEDULE'!Q224),"",'_SCHEDULE'!Q224)</x:f>
      </x:c>
      <x:c r="R256" s="530" t="str">
        <x:f>IF(ISBLANK('_SCHEDULE'!R224),"",'_SCHEDULE'!R224)</x:f>
      </x:c>
      <x:c r="S256" s="523" t="str">
        <x:f>IF(ISBLANK('_SCHEDULE'!S224),"",'_SCHEDULE'!S224)</x:f>
      </x:c>
      <x:c r="T256" s="38"/>
      <x:c r="U256" s="38"/>
      <x:c r="V256" s="38"/>
      <x:c r="W256" s="38"/>
      <x:c r="X256" s="38"/>
      <x:c r="Y256" s="38"/>
      <x:c r="Z256" s="38"/>
      <x:c r="AA256" s="38"/>
      <x:c r="AB256" s="38"/>
      <x:c r="AC256" s="38"/>
      <x:c r="AD256" s="38"/>
      <x:c r="AE256" s="38"/>
      <x:c r="AF256" s="38"/>
      <x:c r="AG256" s="38"/>
      <x:c r="AH256" s="38"/>
      <x:c r="AI256" s="38"/>
      <x:c r="AJ256" s="38"/>
      <x:c r="AK256" s="38"/>
      <x:c r="AL256" s="38"/>
      <x:c r="AM256" s="38"/>
    </x:row>
    <x:row r="257">
      <x:c r="A257" s="523" t="str">
        <x:f>IF(ISBLANK('_SCHEDULE'!A225),"",'_SCHEDULE'!A225)</x:f>
      </x:c>
      <x:c r="B257" s="523" t="str">
        <x:f>IF(ISBLANK('_SCHEDULE'!B225),"",IF('_CONFIG'!$B$2="pt-BR",IF('_SCHEDULE'!B225="scheduled","programado",IF('_SCHEDULE'!B225="rejected","rejeitado",'_SCHEDULE'!B225)),'_SCHEDULE'!B225))</x:f>
      </x:c>
      <x:c r="C257" s="523" t="str">
        <x:f>IF(ISBLANK('_SCHEDULE'!C225),"",'_SCHEDULE'!C225)</x:f>
      </x:c>
      <x:c r="D257" s="523" t="str">
        <x:f>IF(ISBLANK('_SCHEDULE'!D225),"",'_SCHEDULE'!D225)</x:f>
      </x:c>
      <x:c r="E257" s="530" t="str">
        <x:f>IF(ISBLANK('_SCHEDULE'!E225),"",'_SCHEDULE'!E225)</x:f>
      </x:c>
      <x:c r="F257" s="530" t="str">
        <x:f>IF(ISBLANK('_SCHEDULE'!F225),"",'_SCHEDULE'!F225)</x:f>
      </x:c>
      <x:c r="G257" s="530" t="str">
        <x:f>IF(ISBLANK('_SCHEDULE'!G225),"",'_SCHEDULE'!G225)</x:f>
      </x:c>
      <x:c r="H257" s="530" t="str">
        <x:f>IF(ISBLANK('_SCHEDULE'!H225),"",'_SCHEDULE'!H225)</x:f>
      </x:c>
      <x:c r="I257" s="530" t="str">
        <x:f>IF(ISBLANK('_SCHEDULE'!I225),"",'_SCHEDULE'!I225)</x:f>
      </x:c>
      <x:c r="J257" s="530" t="str">
        <x:f>IF(ISBLANK('_SCHEDULE'!J225),"",'_SCHEDULE'!J225)</x:f>
      </x:c>
      <x:c r="K257" s="530" t="str">
        <x:f>IF(ISBLANK('_SCHEDULE'!K225),"",'_SCHEDULE'!K225)</x:f>
      </x:c>
      <x:c r="L257" s="530" t="str">
        <x:f>IF(ISBLANK('_SCHEDULE'!L225),"",'_SCHEDULE'!L225)</x:f>
      </x:c>
      <x:c r="M257" s="530" t="str">
        <x:f>IF(ISBLANK('_SCHEDULE'!M225),"",'_SCHEDULE'!M225)</x:f>
      </x:c>
      <x:c r="N257" s="530" t="str">
        <x:f>IF(ISBLANK('_SCHEDULE'!N225),"",'_SCHEDULE'!N225)</x:f>
      </x:c>
      <x:c r="O257" s="530" t="str">
        <x:f>IF(ISBLANK('_SCHEDULE'!O225),"",'_SCHEDULE'!O225)</x:f>
      </x:c>
      <x:c r="P257" s="530" t="str">
        <x:f>IF(ISBLANK('_SCHEDULE'!P225),"",'_SCHEDULE'!P225)</x:f>
      </x:c>
      <x:c r="Q257" s="530" t="str">
        <x:f>IF(ISBLANK('_SCHEDULE'!Q225),"",'_SCHEDULE'!Q225)</x:f>
      </x:c>
      <x:c r="R257" s="530" t="str">
        <x:f>IF(ISBLANK('_SCHEDULE'!R225),"",'_SCHEDULE'!R225)</x:f>
      </x:c>
      <x:c r="S257" s="523" t="str">
        <x:f>IF(ISBLANK('_SCHEDULE'!S225),"",'_SCHEDULE'!S225)</x:f>
      </x:c>
      <x:c r="T257" s="38"/>
      <x:c r="U257" s="38"/>
      <x:c r="V257" s="38"/>
      <x:c r="W257" s="38"/>
      <x:c r="X257" s="38"/>
      <x:c r="Y257" s="38"/>
      <x:c r="Z257" s="38"/>
      <x:c r="AA257" s="38"/>
      <x:c r="AB257" s="38"/>
      <x:c r="AC257" s="38"/>
      <x:c r="AD257" s="38"/>
      <x:c r="AE257" s="38"/>
      <x:c r="AF257" s="38"/>
      <x:c r="AG257" s="38"/>
      <x:c r="AH257" s="38"/>
      <x:c r="AI257" s="38"/>
      <x:c r="AJ257" s="38"/>
      <x:c r="AK257" s="38"/>
      <x:c r="AL257" s="38"/>
      <x:c r="AM257" s="38"/>
    </x:row>
    <x:row r="258">
      <x:c r="A258" s="523" t="str">
        <x:f>IF(ISBLANK('_SCHEDULE'!A226),"",'_SCHEDULE'!A226)</x:f>
      </x:c>
      <x:c r="B258" s="523" t="str">
        <x:f>IF(ISBLANK('_SCHEDULE'!B226),"",IF('_CONFIG'!$B$2="pt-BR",IF('_SCHEDULE'!B226="scheduled","programado",IF('_SCHEDULE'!B226="rejected","rejeitado",'_SCHEDULE'!B226)),'_SCHEDULE'!B226))</x:f>
      </x:c>
      <x:c r="C258" s="523" t="str">
        <x:f>IF(ISBLANK('_SCHEDULE'!C226),"",'_SCHEDULE'!C226)</x:f>
      </x:c>
      <x:c r="D258" s="523" t="str">
        <x:f>IF(ISBLANK('_SCHEDULE'!D226),"",'_SCHEDULE'!D226)</x:f>
      </x:c>
      <x:c r="E258" s="530" t="str">
        <x:f>IF(ISBLANK('_SCHEDULE'!E226),"",'_SCHEDULE'!E226)</x:f>
      </x:c>
      <x:c r="F258" s="530" t="str">
        <x:f>IF(ISBLANK('_SCHEDULE'!F226),"",'_SCHEDULE'!F226)</x:f>
      </x:c>
      <x:c r="G258" s="530" t="str">
        <x:f>IF(ISBLANK('_SCHEDULE'!G226),"",'_SCHEDULE'!G226)</x:f>
      </x:c>
      <x:c r="H258" s="530" t="str">
        <x:f>IF(ISBLANK('_SCHEDULE'!H226),"",'_SCHEDULE'!H226)</x:f>
      </x:c>
      <x:c r="I258" s="530" t="str">
        <x:f>IF(ISBLANK('_SCHEDULE'!I226),"",'_SCHEDULE'!I226)</x:f>
      </x:c>
      <x:c r="J258" s="530" t="str">
        <x:f>IF(ISBLANK('_SCHEDULE'!J226),"",'_SCHEDULE'!J226)</x:f>
      </x:c>
      <x:c r="K258" s="530" t="str">
        <x:f>IF(ISBLANK('_SCHEDULE'!K226),"",'_SCHEDULE'!K226)</x:f>
      </x:c>
      <x:c r="L258" s="530" t="str">
        <x:f>IF(ISBLANK('_SCHEDULE'!L226),"",'_SCHEDULE'!L226)</x:f>
      </x:c>
      <x:c r="M258" s="530" t="str">
        <x:f>IF(ISBLANK('_SCHEDULE'!M226),"",'_SCHEDULE'!M226)</x:f>
      </x:c>
      <x:c r="N258" s="530" t="str">
        <x:f>IF(ISBLANK('_SCHEDULE'!N226),"",'_SCHEDULE'!N226)</x:f>
      </x:c>
      <x:c r="O258" s="530" t="str">
        <x:f>IF(ISBLANK('_SCHEDULE'!O226),"",'_SCHEDULE'!O226)</x:f>
      </x:c>
      <x:c r="P258" s="530" t="str">
        <x:f>IF(ISBLANK('_SCHEDULE'!P226),"",'_SCHEDULE'!P226)</x:f>
      </x:c>
      <x:c r="Q258" s="530" t="str">
        <x:f>IF(ISBLANK('_SCHEDULE'!Q226),"",'_SCHEDULE'!Q226)</x:f>
      </x:c>
      <x:c r="R258" s="530" t="str">
        <x:f>IF(ISBLANK('_SCHEDULE'!R226),"",'_SCHEDULE'!R226)</x:f>
      </x:c>
      <x:c r="S258" s="523" t="str">
        <x:f>IF(ISBLANK('_SCHEDULE'!S226),"",'_SCHEDULE'!S226)</x:f>
      </x:c>
      <x:c r="T258" s="38"/>
      <x:c r="U258" s="38"/>
      <x:c r="V258" s="38"/>
      <x:c r="W258" s="38"/>
      <x:c r="X258" s="38"/>
      <x:c r="Y258" s="38"/>
      <x:c r="Z258" s="38"/>
      <x:c r="AA258" s="38"/>
      <x:c r="AB258" s="38"/>
      <x:c r="AC258" s="38"/>
      <x:c r="AD258" s="38"/>
      <x:c r="AE258" s="38"/>
      <x:c r="AF258" s="38"/>
      <x:c r="AG258" s="38"/>
      <x:c r="AH258" s="38"/>
      <x:c r="AI258" s="38"/>
      <x:c r="AJ258" s="38"/>
      <x:c r="AK258" s="38"/>
      <x:c r="AL258" s="38"/>
      <x:c r="AM258" s="38"/>
    </x:row>
    <x:row r="259">
      <x:c r="A259" s="523" t="str">
        <x:f>IF(ISBLANK('_SCHEDULE'!A227),"",'_SCHEDULE'!A227)</x:f>
      </x:c>
      <x:c r="B259" s="523" t="str">
        <x:f>IF(ISBLANK('_SCHEDULE'!B227),"",IF('_CONFIG'!$B$2="pt-BR",IF('_SCHEDULE'!B227="scheduled","programado",IF('_SCHEDULE'!B227="rejected","rejeitado",'_SCHEDULE'!B227)),'_SCHEDULE'!B227))</x:f>
      </x:c>
      <x:c r="C259" s="523" t="str">
        <x:f>IF(ISBLANK('_SCHEDULE'!C227),"",'_SCHEDULE'!C227)</x:f>
      </x:c>
      <x:c r="D259" s="523" t="str">
        <x:f>IF(ISBLANK('_SCHEDULE'!D227),"",'_SCHEDULE'!D227)</x:f>
      </x:c>
      <x:c r="E259" s="530" t="str">
        <x:f>IF(ISBLANK('_SCHEDULE'!E227),"",'_SCHEDULE'!E227)</x:f>
      </x:c>
      <x:c r="F259" s="530" t="str">
        <x:f>IF(ISBLANK('_SCHEDULE'!F227),"",'_SCHEDULE'!F227)</x:f>
      </x:c>
      <x:c r="G259" s="530" t="str">
        <x:f>IF(ISBLANK('_SCHEDULE'!G227),"",'_SCHEDULE'!G227)</x:f>
      </x:c>
      <x:c r="H259" s="530" t="str">
        <x:f>IF(ISBLANK('_SCHEDULE'!H227),"",'_SCHEDULE'!H227)</x:f>
      </x:c>
      <x:c r="I259" s="530" t="str">
        <x:f>IF(ISBLANK('_SCHEDULE'!I227),"",'_SCHEDULE'!I227)</x:f>
      </x:c>
      <x:c r="J259" s="530" t="str">
        <x:f>IF(ISBLANK('_SCHEDULE'!J227),"",'_SCHEDULE'!J227)</x:f>
      </x:c>
      <x:c r="K259" s="530" t="str">
        <x:f>IF(ISBLANK('_SCHEDULE'!K227),"",'_SCHEDULE'!K227)</x:f>
      </x:c>
      <x:c r="L259" s="530" t="str">
        <x:f>IF(ISBLANK('_SCHEDULE'!L227),"",'_SCHEDULE'!L227)</x:f>
      </x:c>
      <x:c r="M259" s="530" t="str">
        <x:f>IF(ISBLANK('_SCHEDULE'!M227),"",'_SCHEDULE'!M227)</x:f>
      </x:c>
      <x:c r="N259" s="530" t="str">
        <x:f>IF(ISBLANK('_SCHEDULE'!N227),"",'_SCHEDULE'!N227)</x:f>
      </x:c>
      <x:c r="O259" s="530" t="str">
        <x:f>IF(ISBLANK('_SCHEDULE'!O227),"",'_SCHEDULE'!O227)</x:f>
      </x:c>
      <x:c r="P259" s="530" t="str">
        <x:f>IF(ISBLANK('_SCHEDULE'!P227),"",'_SCHEDULE'!P227)</x:f>
      </x:c>
      <x:c r="Q259" s="530" t="str">
        <x:f>IF(ISBLANK('_SCHEDULE'!Q227),"",'_SCHEDULE'!Q227)</x:f>
      </x:c>
      <x:c r="R259" s="530" t="str">
        <x:f>IF(ISBLANK('_SCHEDULE'!R227),"",'_SCHEDULE'!R227)</x:f>
      </x:c>
      <x:c r="S259" s="523" t="str">
        <x:f>IF(ISBLANK('_SCHEDULE'!S227),"",'_SCHEDULE'!S227)</x:f>
      </x:c>
      <x:c r="T259" s="38"/>
      <x:c r="U259" s="38"/>
      <x:c r="V259" s="38"/>
      <x:c r="W259" s="38"/>
      <x:c r="X259" s="38"/>
      <x:c r="Y259" s="38"/>
      <x:c r="Z259" s="38"/>
      <x:c r="AA259" s="38"/>
      <x:c r="AB259" s="38"/>
      <x:c r="AC259" s="38"/>
      <x:c r="AD259" s="38"/>
      <x:c r="AE259" s="38"/>
      <x:c r="AF259" s="38"/>
      <x:c r="AG259" s="38"/>
      <x:c r="AH259" s="38"/>
      <x:c r="AI259" s="38"/>
      <x:c r="AJ259" s="38"/>
      <x:c r="AK259" s="38"/>
      <x:c r="AL259" s="38"/>
      <x:c r="AM259" s="38"/>
    </x:row>
    <x:row r="260">
      <x:c r="A260" s="523" t="str">
        <x:f>IF(ISBLANK('_SCHEDULE'!A228),"",'_SCHEDULE'!A228)</x:f>
      </x:c>
      <x:c r="B260" s="523" t="str">
        <x:f>IF(ISBLANK('_SCHEDULE'!B228),"",IF('_CONFIG'!$B$2="pt-BR",IF('_SCHEDULE'!B228="scheduled","programado",IF('_SCHEDULE'!B228="rejected","rejeitado",'_SCHEDULE'!B228)),'_SCHEDULE'!B228))</x:f>
      </x:c>
      <x:c r="C260" s="523" t="str">
        <x:f>IF(ISBLANK('_SCHEDULE'!C228),"",'_SCHEDULE'!C228)</x:f>
      </x:c>
      <x:c r="D260" s="523" t="str">
        <x:f>IF(ISBLANK('_SCHEDULE'!D228),"",'_SCHEDULE'!D228)</x:f>
      </x:c>
      <x:c r="E260" s="530" t="str">
        <x:f>IF(ISBLANK('_SCHEDULE'!E228),"",'_SCHEDULE'!E228)</x:f>
      </x:c>
      <x:c r="F260" s="530" t="str">
        <x:f>IF(ISBLANK('_SCHEDULE'!F228),"",'_SCHEDULE'!F228)</x:f>
      </x:c>
      <x:c r="G260" s="530" t="str">
        <x:f>IF(ISBLANK('_SCHEDULE'!G228),"",'_SCHEDULE'!G228)</x:f>
      </x:c>
      <x:c r="H260" s="530" t="str">
        <x:f>IF(ISBLANK('_SCHEDULE'!H228),"",'_SCHEDULE'!H228)</x:f>
      </x:c>
      <x:c r="I260" s="530" t="str">
        <x:f>IF(ISBLANK('_SCHEDULE'!I228),"",'_SCHEDULE'!I228)</x:f>
      </x:c>
      <x:c r="J260" s="530" t="str">
        <x:f>IF(ISBLANK('_SCHEDULE'!J228),"",'_SCHEDULE'!J228)</x:f>
      </x:c>
      <x:c r="K260" s="530" t="str">
        <x:f>IF(ISBLANK('_SCHEDULE'!K228),"",'_SCHEDULE'!K228)</x:f>
      </x:c>
      <x:c r="L260" s="530" t="str">
        <x:f>IF(ISBLANK('_SCHEDULE'!L228),"",'_SCHEDULE'!L228)</x:f>
      </x:c>
      <x:c r="M260" s="530" t="str">
        <x:f>IF(ISBLANK('_SCHEDULE'!M228),"",'_SCHEDULE'!M228)</x:f>
      </x:c>
      <x:c r="N260" s="530" t="str">
        <x:f>IF(ISBLANK('_SCHEDULE'!N228),"",'_SCHEDULE'!N228)</x:f>
      </x:c>
      <x:c r="O260" s="530" t="str">
        <x:f>IF(ISBLANK('_SCHEDULE'!O228),"",'_SCHEDULE'!O228)</x:f>
      </x:c>
      <x:c r="P260" s="530" t="str">
        <x:f>IF(ISBLANK('_SCHEDULE'!P228),"",'_SCHEDULE'!P228)</x:f>
      </x:c>
      <x:c r="Q260" s="530" t="str">
        <x:f>IF(ISBLANK('_SCHEDULE'!Q228),"",'_SCHEDULE'!Q228)</x:f>
      </x:c>
      <x:c r="R260" s="530" t="str">
        <x:f>IF(ISBLANK('_SCHEDULE'!R228),"",'_SCHEDULE'!R228)</x:f>
      </x:c>
      <x:c r="S260" s="523" t="str">
        <x:f>IF(ISBLANK('_SCHEDULE'!S228),"",'_SCHEDULE'!S228)</x:f>
      </x:c>
      <x:c r="T260" s="38"/>
      <x:c r="U260" s="38"/>
      <x:c r="V260" s="38"/>
      <x:c r="W260" s="38"/>
      <x:c r="X260" s="38"/>
      <x:c r="Y260" s="38"/>
      <x:c r="Z260" s="38"/>
      <x:c r="AA260" s="38"/>
      <x:c r="AB260" s="38"/>
      <x:c r="AC260" s="38"/>
      <x:c r="AD260" s="38"/>
      <x:c r="AE260" s="38"/>
      <x:c r="AF260" s="38"/>
      <x:c r="AG260" s="38"/>
      <x:c r="AH260" s="38"/>
      <x:c r="AI260" s="38"/>
      <x:c r="AJ260" s="38"/>
      <x:c r="AK260" s="38"/>
      <x:c r="AL260" s="38"/>
      <x:c r="AM260" s="38"/>
    </x:row>
    <x:row r="261">
      <x:c r="A261" s="523" t="str">
        <x:f>IF(ISBLANK('_SCHEDULE'!A229),"",'_SCHEDULE'!A229)</x:f>
      </x:c>
      <x:c r="B261" s="523" t="str">
        <x:f>IF(ISBLANK('_SCHEDULE'!B229),"",IF('_CONFIG'!$B$2="pt-BR",IF('_SCHEDULE'!B229="scheduled","programado",IF('_SCHEDULE'!B229="rejected","rejeitado",'_SCHEDULE'!B229)),'_SCHEDULE'!B229))</x:f>
      </x:c>
      <x:c r="C261" s="523" t="str">
        <x:f>IF(ISBLANK('_SCHEDULE'!C229),"",'_SCHEDULE'!C229)</x:f>
      </x:c>
      <x:c r="D261" s="523" t="str">
        <x:f>IF(ISBLANK('_SCHEDULE'!D229),"",'_SCHEDULE'!D229)</x:f>
      </x:c>
      <x:c r="E261" s="530" t="str">
        <x:f>IF(ISBLANK('_SCHEDULE'!E229),"",'_SCHEDULE'!E229)</x:f>
      </x:c>
      <x:c r="F261" s="530" t="str">
        <x:f>IF(ISBLANK('_SCHEDULE'!F229),"",'_SCHEDULE'!F229)</x:f>
      </x:c>
      <x:c r="G261" s="530" t="str">
        <x:f>IF(ISBLANK('_SCHEDULE'!G229),"",'_SCHEDULE'!G229)</x:f>
      </x:c>
      <x:c r="H261" s="530" t="str">
        <x:f>IF(ISBLANK('_SCHEDULE'!H229),"",'_SCHEDULE'!H229)</x:f>
      </x:c>
      <x:c r="I261" s="530" t="str">
        <x:f>IF(ISBLANK('_SCHEDULE'!I229),"",'_SCHEDULE'!I229)</x:f>
      </x:c>
      <x:c r="J261" s="530" t="str">
        <x:f>IF(ISBLANK('_SCHEDULE'!J229),"",'_SCHEDULE'!J229)</x:f>
      </x:c>
      <x:c r="K261" s="530" t="str">
        <x:f>IF(ISBLANK('_SCHEDULE'!K229),"",'_SCHEDULE'!K229)</x:f>
      </x:c>
      <x:c r="L261" s="530" t="str">
        <x:f>IF(ISBLANK('_SCHEDULE'!L229),"",'_SCHEDULE'!L229)</x:f>
      </x:c>
      <x:c r="M261" s="530" t="str">
        <x:f>IF(ISBLANK('_SCHEDULE'!M229),"",'_SCHEDULE'!M229)</x:f>
      </x:c>
      <x:c r="N261" s="530" t="str">
        <x:f>IF(ISBLANK('_SCHEDULE'!N229),"",'_SCHEDULE'!N229)</x:f>
      </x:c>
      <x:c r="O261" s="530" t="str">
        <x:f>IF(ISBLANK('_SCHEDULE'!O229),"",'_SCHEDULE'!O229)</x:f>
      </x:c>
      <x:c r="P261" s="530" t="str">
        <x:f>IF(ISBLANK('_SCHEDULE'!P229),"",'_SCHEDULE'!P229)</x:f>
      </x:c>
      <x:c r="Q261" s="530" t="str">
        <x:f>IF(ISBLANK('_SCHEDULE'!Q229),"",'_SCHEDULE'!Q229)</x:f>
      </x:c>
      <x:c r="R261" s="530" t="str">
        <x:f>IF(ISBLANK('_SCHEDULE'!R229),"",'_SCHEDULE'!R229)</x:f>
      </x:c>
      <x:c r="S261" s="523" t="str">
        <x:f>IF(ISBLANK('_SCHEDULE'!S229),"",'_SCHEDULE'!S229)</x:f>
      </x:c>
      <x:c r="T261" s="38"/>
      <x:c r="U261" s="38"/>
      <x:c r="V261" s="38"/>
      <x:c r="W261" s="38"/>
      <x:c r="X261" s="38"/>
      <x:c r="Y261" s="38"/>
      <x:c r="Z261" s="38"/>
      <x:c r="AA261" s="38"/>
      <x:c r="AB261" s="38"/>
      <x:c r="AC261" s="38"/>
      <x:c r="AD261" s="38"/>
      <x:c r="AE261" s="38"/>
      <x:c r="AF261" s="38"/>
      <x:c r="AG261" s="38"/>
      <x:c r="AH261" s="38"/>
      <x:c r="AI261" s="38"/>
      <x:c r="AJ261" s="38"/>
      <x:c r="AK261" s="38"/>
      <x:c r="AL261" s="38"/>
      <x:c r="AM261" s="38"/>
    </x:row>
    <x:row r="262">
      <x:c r="A262" s="523" t="str">
        <x:f>IF(ISBLANK('_SCHEDULE'!A230),"",'_SCHEDULE'!A230)</x:f>
      </x:c>
      <x:c r="B262" s="523" t="str">
        <x:f>IF(ISBLANK('_SCHEDULE'!B230),"",IF('_CONFIG'!$B$2="pt-BR",IF('_SCHEDULE'!B230="scheduled","programado",IF('_SCHEDULE'!B230="rejected","rejeitado",'_SCHEDULE'!B230)),'_SCHEDULE'!B230))</x:f>
      </x:c>
      <x:c r="C262" s="523" t="str">
        <x:f>IF(ISBLANK('_SCHEDULE'!C230),"",'_SCHEDULE'!C230)</x:f>
      </x:c>
      <x:c r="D262" s="523" t="str">
        <x:f>IF(ISBLANK('_SCHEDULE'!D230),"",'_SCHEDULE'!D230)</x:f>
      </x:c>
      <x:c r="E262" s="530" t="str">
        <x:f>IF(ISBLANK('_SCHEDULE'!E230),"",'_SCHEDULE'!E230)</x:f>
      </x:c>
      <x:c r="F262" s="530" t="str">
        <x:f>IF(ISBLANK('_SCHEDULE'!F230),"",'_SCHEDULE'!F230)</x:f>
      </x:c>
      <x:c r="G262" s="530" t="str">
        <x:f>IF(ISBLANK('_SCHEDULE'!G230),"",'_SCHEDULE'!G230)</x:f>
      </x:c>
      <x:c r="H262" s="530" t="str">
        <x:f>IF(ISBLANK('_SCHEDULE'!H230),"",'_SCHEDULE'!H230)</x:f>
      </x:c>
      <x:c r="I262" s="530" t="str">
        <x:f>IF(ISBLANK('_SCHEDULE'!I230),"",'_SCHEDULE'!I230)</x:f>
      </x:c>
      <x:c r="J262" s="530" t="str">
        <x:f>IF(ISBLANK('_SCHEDULE'!J230),"",'_SCHEDULE'!J230)</x:f>
      </x:c>
      <x:c r="K262" s="530" t="str">
        <x:f>IF(ISBLANK('_SCHEDULE'!K230),"",'_SCHEDULE'!K230)</x:f>
      </x:c>
      <x:c r="L262" s="530" t="str">
        <x:f>IF(ISBLANK('_SCHEDULE'!L230),"",'_SCHEDULE'!L230)</x:f>
      </x:c>
      <x:c r="M262" s="530" t="str">
        <x:f>IF(ISBLANK('_SCHEDULE'!M230),"",'_SCHEDULE'!M230)</x:f>
      </x:c>
      <x:c r="N262" s="530" t="str">
        <x:f>IF(ISBLANK('_SCHEDULE'!N230),"",'_SCHEDULE'!N230)</x:f>
      </x:c>
      <x:c r="O262" s="530" t="str">
        <x:f>IF(ISBLANK('_SCHEDULE'!O230),"",'_SCHEDULE'!O230)</x:f>
      </x:c>
      <x:c r="P262" s="530" t="str">
        <x:f>IF(ISBLANK('_SCHEDULE'!P230),"",'_SCHEDULE'!P230)</x:f>
      </x:c>
      <x:c r="Q262" s="530" t="str">
        <x:f>IF(ISBLANK('_SCHEDULE'!Q230),"",'_SCHEDULE'!Q230)</x:f>
      </x:c>
      <x:c r="R262" s="530" t="str">
        <x:f>IF(ISBLANK('_SCHEDULE'!R230),"",'_SCHEDULE'!R230)</x:f>
      </x:c>
      <x:c r="S262" s="523" t="str">
        <x:f>IF(ISBLANK('_SCHEDULE'!S230),"",'_SCHEDULE'!S230)</x:f>
      </x:c>
      <x:c r="T262" s="38"/>
      <x:c r="U262" s="38"/>
      <x:c r="V262" s="38"/>
      <x:c r="W262" s="38"/>
      <x:c r="X262" s="38"/>
      <x:c r="Y262" s="38"/>
      <x:c r="Z262" s="38"/>
      <x:c r="AA262" s="38"/>
      <x:c r="AB262" s="38"/>
      <x:c r="AC262" s="38"/>
      <x:c r="AD262" s="38"/>
      <x:c r="AE262" s="38"/>
      <x:c r="AF262" s="38"/>
      <x:c r="AG262" s="38"/>
      <x:c r="AH262" s="38"/>
      <x:c r="AI262" s="38"/>
      <x:c r="AJ262" s="38"/>
      <x:c r="AK262" s="38"/>
      <x:c r="AL262" s="38"/>
      <x:c r="AM262" s="38"/>
    </x:row>
    <x:row r="263">
      <x:c r="A263" s="523" t="str">
        <x:f>IF(ISBLANK('_SCHEDULE'!A231),"",'_SCHEDULE'!A231)</x:f>
      </x:c>
      <x:c r="B263" s="523" t="str">
        <x:f>IF(ISBLANK('_SCHEDULE'!B231),"",IF('_CONFIG'!$B$2="pt-BR",IF('_SCHEDULE'!B231="scheduled","programado",IF('_SCHEDULE'!B231="rejected","rejeitado",'_SCHEDULE'!B231)),'_SCHEDULE'!B231))</x:f>
      </x:c>
      <x:c r="C263" s="523" t="str">
        <x:f>IF(ISBLANK('_SCHEDULE'!C231),"",'_SCHEDULE'!C231)</x:f>
      </x:c>
      <x:c r="D263" s="523" t="str">
        <x:f>IF(ISBLANK('_SCHEDULE'!D231),"",'_SCHEDULE'!D231)</x:f>
      </x:c>
      <x:c r="E263" s="530" t="str">
        <x:f>IF(ISBLANK('_SCHEDULE'!E231),"",'_SCHEDULE'!E231)</x:f>
      </x:c>
      <x:c r="F263" s="530" t="str">
        <x:f>IF(ISBLANK('_SCHEDULE'!F231),"",'_SCHEDULE'!F231)</x:f>
      </x:c>
      <x:c r="G263" s="530" t="str">
        <x:f>IF(ISBLANK('_SCHEDULE'!G231),"",'_SCHEDULE'!G231)</x:f>
      </x:c>
      <x:c r="H263" s="530" t="str">
        <x:f>IF(ISBLANK('_SCHEDULE'!H231),"",'_SCHEDULE'!H231)</x:f>
      </x:c>
      <x:c r="I263" s="530" t="str">
        <x:f>IF(ISBLANK('_SCHEDULE'!I231),"",'_SCHEDULE'!I231)</x:f>
      </x:c>
      <x:c r="J263" s="530" t="str">
        <x:f>IF(ISBLANK('_SCHEDULE'!J231),"",'_SCHEDULE'!J231)</x:f>
      </x:c>
      <x:c r="K263" s="530" t="str">
        <x:f>IF(ISBLANK('_SCHEDULE'!K231),"",'_SCHEDULE'!K231)</x:f>
      </x:c>
      <x:c r="L263" s="530" t="str">
        <x:f>IF(ISBLANK('_SCHEDULE'!L231),"",'_SCHEDULE'!L231)</x:f>
      </x:c>
      <x:c r="M263" s="530" t="str">
        <x:f>IF(ISBLANK('_SCHEDULE'!M231),"",'_SCHEDULE'!M231)</x:f>
      </x:c>
      <x:c r="N263" s="530" t="str">
        <x:f>IF(ISBLANK('_SCHEDULE'!N231),"",'_SCHEDULE'!N231)</x:f>
      </x:c>
      <x:c r="O263" s="530" t="str">
        <x:f>IF(ISBLANK('_SCHEDULE'!O231),"",'_SCHEDULE'!O231)</x:f>
      </x:c>
      <x:c r="P263" s="530" t="str">
        <x:f>IF(ISBLANK('_SCHEDULE'!P231),"",'_SCHEDULE'!P231)</x:f>
      </x:c>
      <x:c r="Q263" s="530" t="str">
        <x:f>IF(ISBLANK('_SCHEDULE'!Q231),"",'_SCHEDULE'!Q231)</x:f>
      </x:c>
      <x:c r="R263" s="530" t="str">
        <x:f>IF(ISBLANK('_SCHEDULE'!R231),"",'_SCHEDULE'!R231)</x:f>
      </x:c>
      <x:c r="S263" s="523" t="str">
        <x:f>IF(ISBLANK('_SCHEDULE'!S231),"",'_SCHEDULE'!S231)</x:f>
      </x:c>
      <x:c r="T263" s="38"/>
      <x:c r="U263" s="38"/>
      <x:c r="V263" s="38"/>
      <x:c r="W263" s="38"/>
      <x:c r="X263" s="38"/>
      <x:c r="Y263" s="38"/>
      <x:c r="Z263" s="38"/>
      <x:c r="AA263" s="38"/>
      <x:c r="AB263" s="38"/>
      <x:c r="AC263" s="38"/>
      <x:c r="AD263" s="38"/>
      <x:c r="AE263" s="38"/>
      <x:c r="AF263" s="38"/>
      <x:c r="AG263" s="38"/>
      <x:c r="AH263" s="38"/>
      <x:c r="AI263" s="38"/>
      <x:c r="AJ263" s="38"/>
      <x:c r="AK263" s="38"/>
      <x:c r="AL263" s="38"/>
      <x:c r="AM263" s="38"/>
    </x:row>
    <x:row r="264">
      <x:c r="A264" s="523" t="str">
        <x:f>IF(ISBLANK('_SCHEDULE'!A232),"",'_SCHEDULE'!A232)</x:f>
      </x:c>
      <x:c r="B264" s="523" t="str">
        <x:f>IF(ISBLANK('_SCHEDULE'!B232),"",IF('_CONFIG'!$B$2="pt-BR",IF('_SCHEDULE'!B232="scheduled","programado",IF('_SCHEDULE'!B232="rejected","rejeitado",'_SCHEDULE'!B232)),'_SCHEDULE'!B232))</x:f>
      </x:c>
      <x:c r="C264" s="523" t="str">
        <x:f>IF(ISBLANK('_SCHEDULE'!C232),"",'_SCHEDULE'!C232)</x:f>
      </x:c>
      <x:c r="D264" s="523" t="str">
        <x:f>IF(ISBLANK('_SCHEDULE'!D232),"",'_SCHEDULE'!D232)</x:f>
      </x:c>
      <x:c r="E264" s="530" t="str">
        <x:f>IF(ISBLANK('_SCHEDULE'!E232),"",'_SCHEDULE'!E232)</x:f>
      </x:c>
      <x:c r="F264" s="530" t="str">
        <x:f>IF(ISBLANK('_SCHEDULE'!F232),"",'_SCHEDULE'!F232)</x:f>
      </x:c>
      <x:c r="G264" s="530" t="str">
        <x:f>IF(ISBLANK('_SCHEDULE'!G232),"",'_SCHEDULE'!G232)</x:f>
      </x:c>
      <x:c r="H264" s="530" t="str">
        <x:f>IF(ISBLANK('_SCHEDULE'!H232),"",'_SCHEDULE'!H232)</x:f>
      </x:c>
      <x:c r="I264" s="530" t="str">
        <x:f>IF(ISBLANK('_SCHEDULE'!I232),"",'_SCHEDULE'!I232)</x:f>
      </x:c>
      <x:c r="J264" s="530" t="str">
        <x:f>IF(ISBLANK('_SCHEDULE'!J232),"",'_SCHEDULE'!J232)</x:f>
      </x:c>
      <x:c r="K264" s="530" t="str">
        <x:f>IF(ISBLANK('_SCHEDULE'!K232),"",'_SCHEDULE'!K232)</x:f>
      </x:c>
      <x:c r="L264" s="530" t="str">
        <x:f>IF(ISBLANK('_SCHEDULE'!L232),"",'_SCHEDULE'!L232)</x:f>
      </x:c>
      <x:c r="M264" s="530" t="str">
        <x:f>IF(ISBLANK('_SCHEDULE'!M232),"",'_SCHEDULE'!M232)</x:f>
      </x:c>
      <x:c r="N264" s="530" t="str">
        <x:f>IF(ISBLANK('_SCHEDULE'!N232),"",'_SCHEDULE'!N232)</x:f>
      </x:c>
      <x:c r="O264" s="530" t="str">
        <x:f>IF(ISBLANK('_SCHEDULE'!O232),"",'_SCHEDULE'!O232)</x:f>
      </x:c>
      <x:c r="P264" s="530" t="str">
        <x:f>IF(ISBLANK('_SCHEDULE'!P232),"",'_SCHEDULE'!P232)</x:f>
      </x:c>
      <x:c r="Q264" s="530" t="str">
        <x:f>IF(ISBLANK('_SCHEDULE'!Q232),"",'_SCHEDULE'!Q232)</x:f>
      </x:c>
      <x:c r="R264" s="530" t="str">
        <x:f>IF(ISBLANK('_SCHEDULE'!R232),"",'_SCHEDULE'!R232)</x:f>
      </x:c>
      <x:c r="S264" s="523" t="str">
        <x:f>IF(ISBLANK('_SCHEDULE'!S232),"",'_SCHEDULE'!S232)</x:f>
      </x:c>
      <x:c r="T264" s="38"/>
      <x:c r="U264" s="38"/>
      <x:c r="V264" s="38"/>
      <x:c r="W264" s="38"/>
      <x:c r="X264" s="38"/>
      <x:c r="Y264" s="38"/>
      <x:c r="Z264" s="38"/>
      <x:c r="AA264" s="38"/>
      <x:c r="AB264" s="38"/>
      <x:c r="AC264" s="38"/>
      <x:c r="AD264" s="38"/>
      <x:c r="AE264" s="38"/>
      <x:c r="AF264" s="38"/>
      <x:c r="AG264" s="38"/>
      <x:c r="AH264" s="38"/>
      <x:c r="AI264" s="38"/>
      <x:c r="AJ264" s="38"/>
      <x:c r="AK264" s="38"/>
      <x:c r="AL264" s="38"/>
      <x:c r="AM264" s="38"/>
    </x:row>
    <x:row r="265">
      <x:c r="A265" s="523" t="str">
        <x:f>IF(ISBLANK('_SCHEDULE'!A233),"",'_SCHEDULE'!A233)</x:f>
      </x:c>
      <x:c r="B265" s="523" t="str">
        <x:f>IF(ISBLANK('_SCHEDULE'!B233),"",IF('_CONFIG'!$B$2="pt-BR",IF('_SCHEDULE'!B233="scheduled","programado",IF('_SCHEDULE'!B233="rejected","rejeitado",'_SCHEDULE'!B233)),'_SCHEDULE'!B233))</x:f>
      </x:c>
      <x:c r="C265" s="523" t="str">
        <x:f>IF(ISBLANK('_SCHEDULE'!C233),"",'_SCHEDULE'!C233)</x:f>
      </x:c>
      <x:c r="D265" s="523" t="str">
        <x:f>IF(ISBLANK('_SCHEDULE'!D233),"",'_SCHEDULE'!D233)</x:f>
      </x:c>
      <x:c r="E265" s="530" t="str">
        <x:f>IF(ISBLANK('_SCHEDULE'!E233),"",'_SCHEDULE'!E233)</x:f>
      </x:c>
      <x:c r="F265" s="530" t="str">
        <x:f>IF(ISBLANK('_SCHEDULE'!F233),"",'_SCHEDULE'!F233)</x:f>
      </x:c>
      <x:c r="G265" s="530" t="str">
        <x:f>IF(ISBLANK('_SCHEDULE'!G233),"",'_SCHEDULE'!G233)</x:f>
      </x:c>
      <x:c r="H265" s="530" t="str">
        <x:f>IF(ISBLANK('_SCHEDULE'!H233),"",'_SCHEDULE'!H233)</x:f>
      </x:c>
      <x:c r="I265" s="530" t="str">
        <x:f>IF(ISBLANK('_SCHEDULE'!I233),"",'_SCHEDULE'!I233)</x:f>
      </x:c>
      <x:c r="J265" s="530" t="str">
        <x:f>IF(ISBLANK('_SCHEDULE'!J233),"",'_SCHEDULE'!J233)</x:f>
      </x:c>
      <x:c r="K265" s="530" t="str">
        <x:f>IF(ISBLANK('_SCHEDULE'!K233),"",'_SCHEDULE'!K233)</x:f>
      </x:c>
      <x:c r="L265" s="530" t="str">
        <x:f>IF(ISBLANK('_SCHEDULE'!L233),"",'_SCHEDULE'!L233)</x:f>
      </x:c>
      <x:c r="M265" s="530" t="str">
        <x:f>IF(ISBLANK('_SCHEDULE'!M233),"",'_SCHEDULE'!M233)</x:f>
      </x:c>
      <x:c r="N265" s="530" t="str">
        <x:f>IF(ISBLANK('_SCHEDULE'!N233),"",'_SCHEDULE'!N233)</x:f>
      </x:c>
      <x:c r="O265" s="530" t="str">
        <x:f>IF(ISBLANK('_SCHEDULE'!O233),"",'_SCHEDULE'!O233)</x:f>
      </x:c>
      <x:c r="P265" s="530" t="str">
        <x:f>IF(ISBLANK('_SCHEDULE'!P233),"",'_SCHEDULE'!P233)</x:f>
      </x:c>
      <x:c r="Q265" s="530" t="str">
        <x:f>IF(ISBLANK('_SCHEDULE'!Q233),"",'_SCHEDULE'!Q233)</x:f>
      </x:c>
      <x:c r="R265" s="530" t="str">
        <x:f>IF(ISBLANK('_SCHEDULE'!R233),"",'_SCHEDULE'!R233)</x:f>
      </x:c>
      <x:c r="S265" s="523" t="str">
        <x:f>IF(ISBLANK('_SCHEDULE'!S233),"",'_SCHEDULE'!S233)</x:f>
      </x:c>
      <x:c r="T265" s="38"/>
      <x:c r="U265" s="38"/>
      <x:c r="V265" s="38"/>
      <x:c r="W265" s="38"/>
      <x:c r="X265" s="38"/>
      <x:c r="Y265" s="38"/>
      <x:c r="Z265" s="38"/>
      <x:c r="AA265" s="38"/>
      <x:c r="AB265" s="38"/>
      <x:c r="AC265" s="38"/>
      <x:c r="AD265" s="38"/>
      <x:c r="AE265" s="38"/>
      <x:c r="AF265" s="38"/>
      <x:c r="AG265" s="38"/>
      <x:c r="AH265" s="38"/>
      <x:c r="AI265" s="38"/>
      <x:c r="AJ265" s="38"/>
      <x:c r="AK265" s="38"/>
      <x:c r="AL265" s="38"/>
      <x:c r="AM265" s="38"/>
    </x:row>
    <x:row r="266">
      <x:c r="A266" s="523" t="str">
        <x:f>IF(ISBLANK('_SCHEDULE'!A234),"",'_SCHEDULE'!A234)</x:f>
      </x:c>
      <x:c r="B266" s="523" t="str">
        <x:f>IF(ISBLANK('_SCHEDULE'!B234),"",IF('_CONFIG'!$B$2="pt-BR",IF('_SCHEDULE'!B234="scheduled","programado",IF('_SCHEDULE'!B234="rejected","rejeitado",'_SCHEDULE'!B234)),'_SCHEDULE'!B234))</x:f>
      </x:c>
      <x:c r="C266" s="523" t="str">
        <x:f>IF(ISBLANK('_SCHEDULE'!C234),"",'_SCHEDULE'!C234)</x:f>
      </x:c>
      <x:c r="D266" s="523" t="str">
        <x:f>IF(ISBLANK('_SCHEDULE'!D234),"",'_SCHEDULE'!D234)</x:f>
      </x:c>
      <x:c r="E266" s="530" t="str">
        <x:f>IF(ISBLANK('_SCHEDULE'!E234),"",'_SCHEDULE'!E234)</x:f>
      </x:c>
      <x:c r="F266" s="530" t="str">
        <x:f>IF(ISBLANK('_SCHEDULE'!F234),"",'_SCHEDULE'!F234)</x:f>
      </x:c>
      <x:c r="G266" s="530" t="str">
        <x:f>IF(ISBLANK('_SCHEDULE'!G234),"",'_SCHEDULE'!G234)</x:f>
      </x:c>
      <x:c r="H266" s="530" t="str">
        <x:f>IF(ISBLANK('_SCHEDULE'!H234),"",'_SCHEDULE'!H234)</x:f>
      </x:c>
      <x:c r="I266" s="530" t="str">
        <x:f>IF(ISBLANK('_SCHEDULE'!I234),"",'_SCHEDULE'!I234)</x:f>
      </x:c>
      <x:c r="J266" s="530" t="str">
        <x:f>IF(ISBLANK('_SCHEDULE'!J234),"",'_SCHEDULE'!J234)</x:f>
      </x:c>
      <x:c r="K266" s="530" t="str">
        <x:f>IF(ISBLANK('_SCHEDULE'!K234),"",'_SCHEDULE'!K234)</x:f>
      </x:c>
      <x:c r="L266" s="530" t="str">
        <x:f>IF(ISBLANK('_SCHEDULE'!L234),"",'_SCHEDULE'!L234)</x:f>
      </x:c>
      <x:c r="M266" s="530" t="str">
        <x:f>IF(ISBLANK('_SCHEDULE'!M234),"",'_SCHEDULE'!M234)</x:f>
      </x:c>
      <x:c r="N266" s="530" t="str">
        <x:f>IF(ISBLANK('_SCHEDULE'!N234),"",'_SCHEDULE'!N234)</x:f>
      </x:c>
      <x:c r="O266" s="530" t="str">
        <x:f>IF(ISBLANK('_SCHEDULE'!O234),"",'_SCHEDULE'!O234)</x:f>
      </x:c>
      <x:c r="P266" s="530" t="str">
        <x:f>IF(ISBLANK('_SCHEDULE'!P234),"",'_SCHEDULE'!P234)</x:f>
      </x:c>
      <x:c r="Q266" s="530" t="str">
        <x:f>IF(ISBLANK('_SCHEDULE'!Q234),"",'_SCHEDULE'!Q234)</x:f>
      </x:c>
      <x:c r="R266" s="530" t="str">
        <x:f>IF(ISBLANK('_SCHEDULE'!R234),"",'_SCHEDULE'!R234)</x:f>
      </x:c>
      <x:c r="S266" s="523" t="str">
        <x:f>IF(ISBLANK('_SCHEDULE'!S234),"",'_SCHEDULE'!S234)</x:f>
      </x:c>
      <x:c r="T266" s="38"/>
      <x:c r="U266" s="38"/>
      <x:c r="V266" s="38"/>
      <x:c r="W266" s="38"/>
      <x:c r="X266" s="38"/>
      <x:c r="Y266" s="38"/>
      <x:c r="Z266" s="38"/>
      <x:c r="AA266" s="38"/>
      <x:c r="AB266" s="38"/>
      <x:c r="AC266" s="38"/>
      <x:c r="AD266" s="38"/>
      <x:c r="AE266" s="38"/>
      <x:c r="AF266" s="38"/>
      <x:c r="AG266" s="38"/>
      <x:c r="AH266" s="38"/>
      <x:c r="AI266" s="38"/>
      <x:c r="AJ266" s="38"/>
      <x:c r="AK266" s="38"/>
      <x:c r="AL266" s="38"/>
      <x:c r="AM266" s="38"/>
    </x:row>
    <x:row r="267">
      <x:c r="A267" s="523" t="str">
        <x:f>IF(ISBLANK('_SCHEDULE'!A235),"",'_SCHEDULE'!A235)</x:f>
      </x:c>
      <x:c r="B267" s="523" t="str">
        <x:f>IF(ISBLANK('_SCHEDULE'!B235),"",IF('_CONFIG'!$B$2="pt-BR",IF('_SCHEDULE'!B235="scheduled","programado",IF('_SCHEDULE'!B235="rejected","rejeitado",'_SCHEDULE'!B235)),'_SCHEDULE'!B235))</x:f>
      </x:c>
      <x:c r="C267" s="523" t="str">
        <x:f>IF(ISBLANK('_SCHEDULE'!C235),"",'_SCHEDULE'!C235)</x:f>
      </x:c>
      <x:c r="D267" s="523" t="str">
        <x:f>IF(ISBLANK('_SCHEDULE'!D235),"",'_SCHEDULE'!D235)</x:f>
      </x:c>
      <x:c r="E267" s="530" t="str">
        <x:f>IF(ISBLANK('_SCHEDULE'!E235),"",'_SCHEDULE'!E235)</x:f>
      </x:c>
      <x:c r="F267" s="530" t="str">
        <x:f>IF(ISBLANK('_SCHEDULE'!F235),"",'_SCHEDULE'!F235)</x:f>
      </x:c>
      <x:c r="G267" s="530" t="str">
        <x:f>IF(ISBLANK('_SCHEDULE'!G235),"",'_SCHEDULE'!G235)</x:f>
      </x:c>
      <x:c r="H267" s="530" t="str">
        <x:f>IF(ISBLANK('_SCHEDULE'!H235),"",'_SCHEDULE'!H235)</x:f>
      </x:c>
      <x:c r="I267" s="530" t="str">
        <x:f>IF(ISBLANK('_SCHEDULE'!I235),"",'_SCHEDULE'!I235)</x:f>
      </x:c>
      <x:c r="J267" s="530" t="str">
        <x:f>IF(ISBLANK('_SCHEDULE'!J235),"",'_SCHEDULE'!J235)</x:f>
      </x:c>
      <x:c r="K267" s="530" t="str">
        <x:f>IF(ISBLANK('_SCHEDULE'!K235),"",'_SCHEDULE'!K235)</x:f>
      </x:c>
      <x:c r="L267" s="530" t="str">
        <x:f>IF(ISBLANK('_SCHEDULE'!L235),"",'_SCHEDULE'!L235)</x:f>
      </x:c>
      <x:c r="M267" s="530" t="str">
        <x:f>IF(ISBLANK('_SCHEDULE'!M235),"",'_SCHEDULE'!M235)</x:f>
      </x:c>
      <x:c r="N267" s="530" t="str">
        <x:f>IF(ISBLANK('_SCHEDULE'!N235),"",'_SCHEDULE'!N235)</x:f>
      </x:c>
      <x:c r="O267" s="530" t="str">
        <x:f>IF(ISBLANK('_SCHEDULE'!O235),"",'_SCHEDULE'!O235)</x:f>
      </x:c>
      <x:c r="P267" s="530" t="str">
        <x:f>IF(ISBLANK('_SCHEDULE'!P235),"",'_SCHEDULE'!P235)</x:f>
      </x:c>
      <x:c r="Q267" s="530" t="str">
        <x:f>IF(ISBLANK('_SCHEDULE'!Q235),"",'_SCHEDULE'!Q235)</x:f>
      </x:c>
      <x:c r="R267" s="530" t="str">
        <x:f>IF(ISBLANK('_SCHEDULE'!R235),"",'_SCHEDULE'!R235)</x:f>
      </x:c>
      <x:c r="S267" s="523" t="str">
        <x:f>IF(ISBLANK('_SCHEDULE'!S235),"",'_SCHEDULE'!S235)</x:f>
      </x:c>
      <x:c r="T267" s="38"/>
      <x:c r="U267" s="38"/>
      <x:c r="V267" s="38"/>
      <x:c r="W267" s="38"/>
      <x:c r="X267" s="38"/>
      <x:c r="Y267" s="38"/>
      <x:c r="Z267" s="38"/>
      <x:c r="AA267" s="38"/>
      <x:c r="AB267" s="38"/>
      <x:c r="AC267" s="38"/>
      <x:c r="AD267" s="38"/>
      <x:c r="AE267" s="38"/>
      <x:c r="AF267" s="38"/>
      <x:c r="AG267" s="38"/>
      <x:c r="AH267" s="38"/>
      <x:c r="AI267" s="38"/>
      <x:c r="AJ267" s="38"/>
      <x:c r="AK267" s="38"/>
      <x:c r="AL267" s="38"/>
      <x:c r="AM267" s="38"/>
    </x:row>
    <x:row r="268">
      <x:c r="A268" s="523" t="str">
        <x:f>IF(ISBLANK('_SCHEDULE'!A236),"",'_SCHEDULE'!A236)</x:f>
      </x:c>
      <x:c r="B268" s="523" t="str">
        <x:f>IF(ISBLANK('_SCHEDULE'!B236),"",IF('_CONFIG'!$B$2="pt-BR",IF('_SCHEDULE'!B236="scheduled","programado",IF('_SCHEDULE'!B236="rejected","rejeitado",'_SCHEDULE'!B236)),'_SCHEDULE'!B236))</x:f>
      </x:c>
      <x:c r="C268" s="523" t="str">
        <x:f>IF(ISBLANK('_SCHEDULE'!C236),"",'_SCHEDULE'!C236)</x:f>
      </x:c>
      <x:c r="D268" s="523" t="str">
        <x:f>IF(ISBLANK('_SCHEDULE'!D236),"",'_SCHEDULE'!D236)</x:f>
      </x:c>
      <x:c r="E268" s="530" t="str">
        <x:f>IF(ISBLANK('_SCHEDULE'!E236),"",'_SCHEDULE'!E236)</x:f>
      </x:c>
      <x:c r="F268" s="530" t="str">
        <x:f>IF(ISBLANK('_SCHEDULE'!F236),"",'_SCHEDULE'!F236)</x:f>
      </x:c>
      <x:c r="G268" s="530" t="str">
        <x:f>IF(ISBLANK('_SCHEDULE'!G236),"",'_SCHEDULE'!G236)</x:f>
      </x:c>
      <x:c r="H268" s="530" t="str">
        <x:f>IF(ISBLANK('_SCHEDULE'!H236),"",'_SCHEDULE'!H236)</x:f>
      </x:c>
      <x:c r="I268" s="530" t="str">
        <x:f>IF(ISBLANK('_SCHEDULE'!I236),"",'_SCHEDULE'!I236)</x:f>
      </x:c>
      <x:c r="J268" s="530" t="str">
        <x:f>IF(ISBLANK('_SCHEDULE'!J236),"",'_SCHEDULE'!J236)</x:f>
      </x:c>
      <x:c r="K268" s="530" t="str">
        <x:f>IF(ISBLANK('_SCHEDULE'!K236),"",'_SCHEDULE'!K236)</x:f>
      </x:c>
      <x:c r="L268" s="530" t="str">
        <x:f>IF(ISBLANK('_SCHEDULE'!L236),"",'_SCHEDULE'!L236)</x:f>
      </x:c>
      <x:c r="M268" s="530" t="str">
        <x:f>IF(ISBLANK('_SCHEDULE'!M236),"",'_SCHEDULE'!M236)</x:f>
      </x:c>
      <x:c r="N268" s="530" t="str">
        <x:f>IF(ISBLANK('_SCHEDULE'!N236),"",'_SCHEDULE'!N236)</x:f>
      </x:c>
      <x:c r="O268" s="530" t="str">
        <x:f>IF(ISBLANK('_SCHEDULE'!O236),"",'_SCHEDULE'!O236)</x:f>
      </x:c>
      <x:c r="P268" s="530" t="str">
        <x:f>IF(ISBLANK('_SCHEDULE'!P236),"",'_SCHEDULE'!P236)</x:f>
      </x:c>
      <x:c r="Q268" s="530" t="str">
        <x:f>IF(ISBLANK('_SCHEDULE'!Q236),"",'_SCHEDULE'!Q236)</x:f>
      </x:c>
      <x:c r="R268" s="530" t="str">
        <x:f>IF(ISBLANK('_SCHEDULE'!R236),"",'_SCHEDULE'!R236)</x:f>
      </x:c>
      <x:c r="S268" s="523" t="str">
        <x:f>IF(ISBLANK('_SCHEDULE'!S236),"",'_SCHEDULE'!S236)</x:f>
      </x:c>
      <x:c r="T268" s="38"/>
      <x:c r="U268" s="38"/>
      <x:c r="V268" s="38"/>
      <x:c r="W268" s="38"/>
      <x:c r="X268" s="38"/>
      <x:c r="Y268" s="38"/>
      <x:c r="Z268" s="38"/>
      <x:c r="AA268" s="38"/>
      <x:c r="AB268" s="38"/>
      <x:c r="AC268" s="38"/>
      <x:c r="AD268" s="38"/>
      <x:c r="AE268" s="38"/>
      <x:c r="AF268" s="38"/>
      <x:c r="AG268" s="38"/>
      <x:c r="AH268" s="38"/>
      <x:c r="AI268" s="38"/>
      <x:c r="AJ268" s="38"/>
      <x:c r="AK268" s="38"/>
      <x:c r="AL268" s="38"/>
      <x:c r="AM268" s="38"/>
    </x:row>
    <x:row r="269">
      <x:c r="A269" s="523" t="str">
        <x:f>IF(ISBLANK('_SCHEDULE'!A237),"",'_SCHEDULE'!A237)</x:f>
      </x:c>
      <x:c r="B269" s="523" t="str">
        <x:f>IF(ISBLANK('_SCHEDULE'!B237),"",IF('_CONFIG'!$B$2="pt-BR",IF('_SCHEDULE'!B237="scheduled","programado",IF('_SCHEDULE'!B237="rejected","rejeitado",'_SCHEDULE'!B237)),'_SCHEDULE'!B237))</x:f>
      </x:c>
      <x:c r="C269" s="523" t="str">
        <x:f>IF(ISBLANK('_SCHEDULE'!C237),"",'_SCHEDULE'!C237)</x:f>
      </x:c>
      <x:c r="D269" s="523" t="str">
        <x:f>IF(ISBLANK('_SCHEDULE'!D237),"",'_SCHEDULE'!D237)</x:f>
      </x:c>
      <x:c r="E269" s="530" t="str">
        <x:f>IF(ISBLANK('_SCHEDULE'!E237),"",'_SCHEDULE'!E237)</x:f>
      </x:c>
      <x:c r="F269" s="530" t="str">
        <x:f>IF(ISBLANK('_SCHEDULE'!F237),"",'_SCHEDULE'!F237)</x:f>
      </x:c>
      <x:c r="G269" s="530" t="str">
        <x:f>IF(ISBLANK('_SCHEDULE'!G237),"",'_SCHEDULE'!G237)</x:f>
      </x:c>
      <x:c r="H269" s="530" t="str">
        <x:f>IF(ISBLANK('_SCHEDULE'!H237),"",'_SCHEDULE'!H237)</x:f>
      </x:c>
      <x:c r="I269" s="530" t="str">
        <x:f>IF(ISBLANK('_SCHEDULE'!I237),"",'_SCHEDULE'!I237)</x:f>
      </x:c>
      <x:c r="J269" s="530" t="str">
        <x:f>IF(ISBLANK('_SCHEDULE'!J237),"",'_SCHEDULE'!J237)</x:f>
      </x:c>
      <x:c r="K269" s="530" t="str">
        <x:f>IF(ISBLANK('_SCHEDULE'!K237),"",'_SCHEDULE'!K237)</x:f>
      </x:c>
      <x:c r="L269" s="530" t="str">
        <x:f>IF(ISBLANK('_SCHEDULE'!L237),"",'_SCHEDULE'!L237)</x:f>
      </x:c>
      <x:c r="M269" s="530" t="str">
        <x:f>IF(ISBLANK('_SCHEDULE'!M237),"",'_SCHEDULE'!M237)</x:f>
      </x:c>
      <x:c r="N269" s="530" t="str">
        <x:f>IF(ISBLANK('_SCHEDULE'!N237),"",'_SCHEDULE'!N237)</x:f>
      </x:c>
      <x:c r="O269" s="530" t="str">
        <x:f>IF(ISBLANK('_SCHEDULE'!O237),"",'_SCHEDULE'!O237)</x:f>
      </x:c>
      <x:c r="P269" s="530" t="str">
        <x:f>IF(ISBLANK('_SCHEDULE'!P237),"",'_SCHEDULE'!P237)</x:f>
      </x:c>
      <x:c r="Q269" s="530" t="str">
        <x:f>IF(ISBLANK('_SCHEDULE'!Q237),"",'_SCHEDULE'!Q237)</x:f>
      </x:c>
      <x:c r="R269" s="530" t="str">
        <x:f>IF(ISBLANK('_SCHEDULE'!R237),"",'_SCHEDULE'!R237)</x:f>
      </x:c>
      <x:c r="S269" s="523" t="str">
        <x:f>IF(ISBLANK('_SCHEDULE'!S237),"",'_SCHEDULE'!S237)</x:f>
      </x:c>
      <x:c r="T269" s="38"/>
      <x:c r="U269" s="38"/>
      <x:c r="V269" s="38"/>
      <x:c r="W269" s="38"/>
      <x:c r="X269" s="38"/>
      <x:c r="Y269" s="38"/>
      <x:c r="Z269" s="38"/>
      <x:c r="AA269" s="38"/>
      <x:c r="AB269" s="38"/>
      <x:c r="AC269" s="38"/>
      <x:c r="AD269" s="38"/>
      <x:c r="AE269" s="38"/>
      <x:c r="AF269" s="38"/>
      <x:c r="AG269" s="38"/>
      <x:c r="AH269" s="38"/>
      <x:c r="AI269" s="38"/>
      <x:c r="AJ269" s="38"/>
      <x:c r="AK269" s="38"/>
      <x:c r="AL269" s="38"/>
      <x:c r="AM269" s="38"/>
    </x:row>
    <x:row r="270">
      <x:c r="A270" s="523" t="str">
        <x:f>IF(ISBLANK('_SCHEDULE'!A238),"",'_SCHEDULE'!A238)</x:f>
      </x:c>
      <x:c r="B270" s="523" t="str">
        <x:f>IF(ISBLANK('_SCHEDULE'!B238),"",IF('_CONFIG'!$B$2="pt-BR",IF('_SCHEDULE'!B238="scheduled","programado",IF('_SCHEDULE'!B238="rejected","rejeitado",'_SCHEDULE'!B238)),'_SCHEDULE'!B238))</x:f>
      </x:c>
      <x:c r="C270" s="523" t="str">
        <x:f>IF(ISBLANK('_SCHEDULE'!C238),"",'_SCHEDULE'!C238)</x:f>
      </x:c>
      <x:c r="D270" s="523" t="str">
        <x:f>IF(ISBLANK('_SCHEDULE'!D238),"",'_SCHEDULE'!D238)</x:f>
      </x:c>
      <x:c r="E270" s="530" t="str">
        <x:f>IF(ISBLANK('_SCHEDULE'!E238),"",'_SCHEDULE'!E238)</x:f>
      </x:c>
      <x:c r="F270" s="530" t="str">
        <x:f>IF(ISBLANK('_SCHEDULE'!F238),"",'_SCHEDULE'!F238)</x:f>
      </x:c>
      <x:c r="G270" s="530" t="str">
        <x:f>IF(ISBLANK('_SCHEDULE'!G238),"",'_SCHEDULE'!G238)</x:f>
      </x:c>
      <x:c r="H270" s="530" t="str">
        <x:f>IF(ISBLANK('_SCHEDULE'!H238),"",'_SCHEDULE'!H238)</x:f>
      </x:c>
      <x:c r="I270" s="530" t="str">
        <x:f>IF(ISBLANK('_SCHEDULE'!I238),"",'_SCHEDULE'!I238)</x:f>
      </x:c>
      <x:c r="J270" s="530" t="str">
        <x:f>IF(ISBLANK('_SCHEDULE'!J238),"",'_SCHEDULE'!J238)</x:f>
      </x:c>
      <x:c r="K270" s="530" t="str">
        <x:f>IF(ISBLANK('_SCHEDULE'!K238),"",'_SCHEDULE'!K238)</x:f>
      </x:c>
      <x:c r="L270" s="530" t="str">
        <x:f>IF(ISBLANK('_SCHEDULE'!L238),"",'_SCHEDULE'!L238)</x:f>
      </x:c>
      <x:c r="M270" s="530" t="str">
        <x:f>IF(ISBLANK('_SCHEDULE'!M238),"",'_SCHEDULE'!M238)</x:f>
      </x:c>
      <x:c r="N270" s="530" t="str">
        <x:f>IF(ISBLANK('_SCHEDULE'!N238),"",'_SCHEDULE'!N238)</x:f>
      </x:c>
      <x:c r="O270" s="530" t="str">
        <x:f>IF(ISBLANK('_SCHEDULE'!O238),"",'_SCHEDULE'!O238)</x:f>
      </x:c>
      <x:c r="P270" s="530" t="str">
        <x:f>IF(ISBLANK('_SCHEDULE'!P238),"",'_SCHEDULE'!P238)</x:f>
      </x:c>
      <x:c r="Q270" s="530" t="str">
        <x:f>IF(ISBLANK('_SCHEDULE'!Q238),"",'_SCHEDULE'!Q238)</x:f>
      </x:c>
      <x:c r="R270" s="530" t="str">
        <x:f>IF(ISBLANK('_SCHEDULE'!R238),"",'_SCHEDULE'!R238)</x:f>
      </x:c>
      <x:c r="S270" s="523" t="str">
        <x:f>IF(ISBLANK('_SCHEDULE'!S238),"",'_SCHEDULE'!S238)</x:f>
      </x:c>
      <x:c r="T270" s="38"/>
      <x:c r="U270" s="38"/>
      <x:c r="V270" s="38"/>
      <x:c r="W270" s="38"/>
      <x:c r="X270" s="38"/>
      <x:c r="Y270" s="38"/>
      <x:c r="Z270" s="38"/>
      <x:c r="AA270" s="38"/>
      <x:c r="AB270" s="38"/>
      <x:c r="AC270" s="38"/>
      <x:c r="AD270" s="38"/>
      <x:c r="AE270" s="38"/>
      <x:c r="AF270" s="38"/>
      <x:c r="AG270" s="38"/>
      <x:c r="AH270" s="38"/>
      <x:c r="AI270" s="38"/>
      <x:c r="AJ270" s="38"/>
      <x:c r="AK270" s="38"/>
      <x:c r="AL270" s="38"/>
      <x:c r="AM270" s="38"/>
    </x:row>
    <x:row r="271">
      <x:c r="A271" s="523" t="str">
        <x:f>IF(ISBLANK('_SCHEDULE'!A239),"",'_SCHEDULE'!A239)</x:f>
      </x:c>
      <x:c r="B271" s="523" t="str">
        <x:f>IF(ISBLANK('_SCHEDULE'!B239),"",IF('_CONFIG'!$B$2="pt-BR",IF('_SCHEDULE'!B239="scheduled","programado",IF('_SCHEDULE'!B239="rejected","rejeitado",'_SCHEDULE'!B239)),'_SCHEDULE'!B239))</x:f>
      </x:c>
      <x:c r="C271" s="523" t="str">
        <x:f>IF(ISBLANK('_SCHEDULE'!C239),"",'_SCHEDULE'!C239)</x:f>
      </x:c>
      <x:c r="D271" s="523" t="str">
        <x:f>IF(ISBLANK('_SCHEDULE'!D239),"",'_SCHEDULE'!D239)</x:f>
      </x:c>
      <x:c r="E271" s="530" t="str">
        <x:f>IF(ISBLANK('_SCHEDULE'!E239),"",'_SCHEDULE'!E239)</x:f>
      </x:c>
      <x:c r="F271" s="530" t="str">
        <x:f>IF(ISBLANK('_SCHEDULE'!F239),"",'_SCHEDULE'!F239)</x:f>
      </x:c>
      <x:c r="G271" s="530" t="str">
        <x:f>IF(ISBLANK('_SCHEDULE'!G239),"",'_SCHEDULE'!G239)</x:f>
      </x:c>
      <x:c r="H271" s="530" t="str">
        <x:f>IF(ISBLANK('_SCHEDULE'!H239),"",'_SCHEDULE'!H239)</x:f>
      </x:c>
      <x:c r="I271" s="530" t="str">
        <x:f>IF(ISBLANK('_SCHEDULE'!I239),"",'_SCHEDULE'!I239)</x:f>
      </x:c>
      <x:c r="J271" s="530" t="str">
        <x:f>IF(ISBLANK('_SCHEDULE'!J239),"",'_SCHEDULE'!J239)</x:f>
      </x:c>
      <x:c r="K271" s="530" t="str">
        <x:f>IF(ISBLANK('_SCHEDULE'!K239),"",'_SCHEDULE'!K239)</x:f>
      </x:c>
      <x:c r="L271" s="530" t="str">
        <x:f>IF(ISBLANK('_SCHEDULE'!L239),"",'_SCHEDULE'!L239)</x:f>
      </x:c>
      <x:c r="M271" s="530" t="str">
        <x:f>IF(ISBLANK('_SCHEDULE'!M239),"",'_SCHEDULE'!M239)</x:f>
      </x:c>
      <x:c r="N271" s="530" t="str">
        <x:f>IF(ISBLANK('_SCHEDULE'!N239),"",'_SCHEDULE'!N239)</x:f>
      </x:c>
      <x:c r="O271" s="530" t="str">
        <x:f>IF(ISBLANK('_SCHEDULE'!O239),"",'_SCHEDULE'!O239)</x:f>
      </x:c>
      <x:c r="P271" s="530" t="str">
        <x:f>IF(ISBLANK('_SCHEDULE'!P239),"",'_SCHEDULE'!P239)</x:f>
      </x:c>
      <x:c r="Q271" s="530" t="str">
        <x:f>IF(ISBLANK('_SCHEDULE'!Q239),"",'_SCHEDULE'!Q239)</x:f>
      </x:c>
      <x:c r="R271" s="530" t="str">
        <x:f>IF(ISBLANK('_SCHEDULE'!R239),"",'_SCHEDULE'!R239)</x:f>
      </x:c>
      <x:c r="S271" s="523" t="str">
        <x:f>IF(ISBLANK('_SCHEDULE'!S239),"",'_SCHEDULE'!S239)</x:f>
      </x:c>
      <x:c r="T271" s="38"/>
      <x:c r="U271" s="38"/>
      <x:c r="V271" s="38"/>
      <x:c r="W271" s="38"/>
      <x:c r="X271" s="38"/>
      <x:c r="Y271" s="38"/>
      <x:c r="Z271" s="38"/>
      <x:c r="AA271" s="38"/>
      <x:c r="AB271" s="38"/>
      <x:c r="AC271" s="38"/>
      <x:c r="AD271" s="38"/>
      <x:c r="AE271" s="38"/>
      <x:c r="AF271" s="38"/>
      <x:c r="AG271" s="38"/>
      <x:c r="AH271" s="38"/>
      <x:c r="AI271" s="38"/>
      <x:c r="AJ271" s="38"/>
      <x:c r="AK271" s="38"/>
      <x:c r="AL271" s="38"/>
      <x:c r="AM271" s="38"/>
    </x:row>
    <x:row r="272">
      <x:c r="A272" s="523" t="str">
        <x:f>IF(ISBLANK('_SCHEDULE'!A240),"",'_SCHEDULE'!A240)</x:f>
      </x:c>
      <x:c r="B272" s="523" t="str">
        <x:f>IF(ISBLANK('_SCHEDULE'!B240),"",IF('_CONFIG'!$B$2="pt-BR",IF('_SCHEDULE'!B240="scheduled","programado",IF('_SCHEDULE'!B240="rejected","rejeitado",'_SCHEDULE'!B240)),'_SCHEDULE'!B240))</x:f>
      </x:c>
      <x:c r="C272" s="523" t="str">
        <x:f>IF(ISBLANK('_SCHEDULE'!C240),"",'_SCHEDULE'!C240)</x:f>
      </x:c>
      <x:c r="D272" s="523" t="str">
        <x:f>IF(ISBLANK('_SCHEDULE'!D240),"",'_SCHEDULE'!D240)</x:f>
      </x:c>
      <x:c r="E272" s="530" t="str">
        <x:f>IF(ISBLANK('_SCHEDULE'!E240),"",'_SCHEDULE'!E240)</x:f>
      </x:c>
      <x:c r="F272" s="530" t="str">
        <x:f>IF(ISBLANK('_SCHEDULE'!F240),"",'_SCHEDULE'!F240)</x:f>
      </x:c>
      <x:c r="G272" s="530" t="str">
        <x:f>IF(ISBLANK('_SCHEDULE'!G240),"",'_SCHEDULE'!G240)</x:f>
      </x:c>
      <x:c r="H272" s="530" t="str">
        <x:f>IF(ISBLANK('_SCHEDULE'!H240),"",'_SCHEDULE'!H240)</x:f>
      </x:c>
      <x:c r="I272" s="530" t="str">
        <x:f>IF(ISBLANK('_SCHEDULE'!I240),"",'_SCHEDULE'!I240)</x:f>
      </x:c>
      <x:c r="J272" s="530" t="str">
        <x:f>IF(ISBLANK('_SCHEDULE'!J240),"",'_SCHEDULE'!J240)</x:f>
      </x:c>
      <x:c r="K272" s="530" t="str">
        <x:f>IF(ISBLANK('_SCHEDULE'!K240),"",'_SCHEDULE'!K240)</x:f>
      </x:c>
      <x:c r="L272" s="530" t="str">
        <x:f>IF(ISBLANK('_SCHEDULE'!L240),"",'_SCHEDULE'!L240)</x:f>
      </x:c>
      <x:c r="M272" s="530" t="str">
        <x:f>IF(ISBLANK('_SCHEDULE'!M240),"",'_SCHEDULE'!M240)</x:f>
      </x:c>
      <x:c r="N272" s="530" t="str">
        <x:f>IF(ISBLANK('_SCHEDULE'!N240),"",'_SCHEDULE'!N240)</x:f>
      </x:c>
      <x:c r="O272" s="530" t="str">
        <x:f>IF(ISBLANK('_SCHEDULE'!O240),"",'_SCHEDULE'!O240)</x:f>
      </x:c>
      <x:c r="P272" s="530" t="str">
        <x:f>IF(ISBLANK('_SCHEDULE'!P240),"",'_SCHEDULE'!P240)</x:f>
      </x:c>
      <x:c r="Q272" s="530" t="str">
        <x:f>IF(ISBLANK('_SCHEDULE'!Q240),"",'_SCHEDULE'!Q240)</x:f>
      </x:c>
      <x:c r="R272" s="530" t="str">
        <x:f>IF(ISBLANK('_SCHEDULE'!R240),"",'_SCHEDULE'!R240)</x:f>
      </x:c>
      <x:c r="S272" s="523" t="str">
        <x:f>IF(ISBLANK('_SCHEDULE'!S240),"",'_SCHEDULE'!S240)</x:f>
      </x:c>
      <x:c r="T272" s="38"/>
      <x:c r="U272" s="38"/>
      <x:c r="V272" s="38"/>
      <x:c r="W272" s="38"/>
      <x:c r="X272" s="38"/>
      <x:c r="Y272" s="38"/>
      <x:c r="Z272" s="38"/>
      <x:c r="AA272" s="38"/>
      <x:c r="AB272" s="38"/>
      <x:c r="AC272" s="38"/>
      <x:c r="AD272" s="38"/>
      <x:c r="AE272" s="38"/>
      <x:c r="AF272" s="38"/>
      <x:c r="AG272" s="38"/>
      <x:c r="AH272" s="38"/>
      <x:c r="AI272" s="38"/>
      <x:c r="AJ272" s="38"/>
      <x:c r="AK272" s="38"/>
      <x:c r="AL272" s="38"/>
      <x:c r="AM272" s="38"/>
    </x:row>
    <x:row r="273">
      <x:c r="A273" s="523" t="str">
        <x:f>IF(ISBLANK('_SCHEDULE'!A241),"",'_SCHEDULE'!A241)</x:f>
      </x:c>
      <x:c r="B273" s="523" t="str">
        <x:f>IF(ISBLANK('_SCHEDULE'!B241),"",IF('_CONFIG'!$B$2="pt-BR",IF('_SCHEDULE'!B241="scheduled","programado",IF('_SCHEDULE'!B241="rejected","rejeitado",'_SCHEDULE'!B241)),'_SCHEDULE'!B241))</x:f>
      </x:c>
      <x:c r="C273" s="523" t="str">
        <x:f>IF(ISBLANK('_SCHEDULE'!C241),"",'_SCHEDULE'!C241)</x:f>
      </x:c>
      <x:c r="D273" s="523" t="str">
        <x:f>IF(ISBLANK('_SCHEDULE'!D241),"",'_SCHEDULE'!D241)</x:f>
      </x:c>
      <x:c r="E273" s="530" t="str">
        <x:f>IF(ISBLANK('_SCHEDULE'!E241),"",'_SCHEDULE'!E241)</x:f>
      </x:c>
      <x:c r="F273" s="530" t="str">
        <x:f>IF(ISBLANK('_SCHEDULE'!F241),"",'_SCHEDULE'!F241)</x:f>
      </x:c>
      <x:c r="G273" s="530" t="str">
        <x:f>IF(ISBLANK('_SCHEDULE'!G241),"",'_SCHEDULE'!G241)</x:f>
      </x:c>
      <x:c r="H273" s="530" t="str">
        <x:f>IF(ISBLANK('_SCHEDULE'!H241),"",'_SCHEDULE'!H241)</x:f>
      </x:c>
      <x:c r="I273" s="530" t="str">
        <x:f>IF(ISBLANK('_SCHEDULE'!I241),"",'_SCHEDULE'!I241)</x:f>
      </x:c>
      <x:c r="J273" s="530" t="str">
        <x:f>IF(ISBLANK('_SCHEDULE'!J241),"",'_SCHEDULE'!J241)</x:f>
      </x:c>
      <x:c r="K273" s="530" t="str">
        <x:f>IF(ISBLANK('_SCHEDULE'!K241),"",'_SCHEDULE'!K241)</x:f>
      </x:c>
      <x:c r="L273" s="530" t="str">
        <x:f>IF(ISBLANK('_SCHEDULE'!L241),"",'_SCHEDULE'!L241)</x:f>
      </x:c>
      <x:c r="M273" s="530" t="str">
        <x:f>IF(ISBLANK('_SCHEDULE'!M241),"",'_SCHEDULE'!M241)</x:f>
      </x:c>
      <x:c r="N273" s="530" t="str">
        <x:f>IF(ISBLANK('_SCHEDULE'!N241),"",'_SCHEDULE'!N241)</x:f>
      </x:c>
      <x:c r="O273" s="530" t="str">
        <x:f>IF(ISBLANK('_SCHEDULE'!O241),"",'_SCHEDULE'!O241)</x:f>
      </x:c>
      <x:c r="P273" s="530" t="str">
        <x:f>IF(ISBLANK('_SCHEDULE'!P241),"",'_SCHEDULE'!P241)</x:f>
      </x:c>
      <x:c r="Q273" s="530" t="str">
        <x:f>IF(ISBLANK('_SCHEDULE'!Q241),"",'_SCHEDULE'!Q241)</x:f>
      </x:c>
      <x:c r="R273" s="530" t="str">
        <x:f>IF(ISBLANK('_SCHEDULE'!R241),"",'_SCHEDULE'!R241)</x:f>
      </x:c>
      <x:c r="S273" s="523" t="str">
        <x:f>IF(ISBLANK('_SCHEDULE'!S241),"",'_SCHEDULE'!S241)</x:f>
      </x:c>
      <x:c r="T273" s="38"/>
      <x:c r="U273" s="38"/>
      <x:c r="V273" s="38"/>
      <x:c r="W273" s="38"/>
      <x:c r="X273" s="38"/>
      <x:c r="Y273" s="38"/>
      <x:c r="Z273" s="38"/>
      <x:c r="AA273" s="38"/>
      <x:c r="AB273" s="38"/>
      <x:c r="AC273" s="38"/>
      <x:c r="AD273" s="38"/>
      <x:c r="AE273" s="38"/>
      <x:c r="AF273" s="38"/>
      <x:c r="AG273" s="38"/>
      <x:c r="AH273" s="38"/>
      <x:c r="AI273" s="38"/>
      <x:c r="AJ273" s="38"/>
      <x:c r="AK273" s="38"/>
      <x:c r="AL273" s="38"/>
      <x:c r="AM273" s="38"/>
    </x:row>
    <x:row r="274">
      <x:c r="A274" s="523" t="str">
        <x:f>IF(ISBLANK('_SCHEDULE'!A242),"",'_SCHEDULE'!A242)</x:f>
      </x:c>
      <x:c r="B274" s="523" t="str">
        <x:f>IF(ISBLANK('_SCHEDULE'!B242),"",IF('_CONFIG'!$B$2="pt-BR",IF('_SCHEDULE'!B242="scheduled","programado",IF('_SCHEDULE'!B242="rejected","rejeitado",'_SCHEDULE'!B242)),'_SCHEDULE'!B242))</x:f>
      </x:c>
      <x:c r="C274" s="523" t="str">
        <x:f>IF(ISBLANK('_SCHEDULE'!C242),"",'_SCHEDULE'!C242)</x:f>
      </x:c>
      <x:c r="D274" s="523" t="str">
        <x:f>IF(ISBLANK('_SCHEDULE'!D242),"",'_SCHEDULE'!D242)</x:f>
      </x:c>
      <x:c r="E274" s="530" t="str">
        <x:f>IF(ISBLANK('_SCHEDULE'!E242),"",'_SCHEDULE'!E242)</x:f>
      </x:c>
      <x:c r="F274" s="530" t="str">
        <x:f>IF(ISBLANK('_SCHEDULE'!F242),"",'_SCHEDULE'!F242)</x:f>
      </x:c>
      <x:c r="G274" s="530" t="str">
        <x:f>IF(ISBLANK('_SCHEDULE'!G242),"",'_SCHEDULE'!G242)</x:f>
      </x:c>
      <x:c r="H274" s="530" t="str">
        <x:f>IF(ISBLANK('_SCHEDULE'!H242),"",'_SCHEDULE'!H242)</x:f>
      </x:c>
      <x:c r="I274" s="530" t="str">
        <x:f>IF(ISBLANK('_SCHEDULE'!I242),"",'_SCHEDULE'!I242)</x:f>
      </x:c>
      <x:c r="J274" s="530" t="str">
        <x:f>IF(ISBLANK('_SCHEDULE'!J242),"",'_SCHEDULE'!J242)</x:f>
      </x:c>
      <x:c r="K274" s="530" t="str">
        <x:f>IF(ISBLANK('_SCHEDULE'!K242),"",'_SCHEDULE'!K242)</x:f>
      </x:c>
      <x:c r="L274" s="530" t="str">
        <x:f>IF(ISBLANK('_SCHEDULE'!L242),"",'_SCHEDULE'!L242)</x:f>
      </x:c>
      <x:c r="M274" s="530" t="str">
        <x:f>IF(ISBLANK('_SCHEDULE'!M242),"",'_SCHEDULE'!M242)</x:f>
      </x:c>
      <x:c r="N274" s="530" t="str">
        <x:f>IF(ISBLANK('_SCHEDULE'!N242),"",'_SCHEDULE'!N242)</x:f>
      </x:c>
      <x:c r="O274" s="530" t="str">
        <x:f>IF(ISBLANK('_SCHEDULE'!O242),"",'_SCHEDULE'!O242)</x:f>
      </x:c>
      <x:c r="P274" s="530" t="str">
        <x:f>IF(ISBLANK('_SCHEDULE'!P242),"",'_SCHEDULE'!P242)</x:f>
      </x:c>
      <x:c r="Q274" s="530" t="str">
        <x:f>IF(ISBLANK('_SCHEDULE'!Q242),"",'_SCHEDULE'!Q242)</x:f>
      </x:c>
      <x:c r="R274" s="530" t="str">
        <x:f>IF(ISBLANK('_SCHEDULE'!R242),"",'_SCHEDULE'!R242)</x:f>
      </x:c>
      <x:c r="S274" s="523" t="str">
        <x:f>IF(ISBLANK('_SCHEDULE'!S242),"",'_SCHEDULE'!S242)</x:f>
      </x:c>
      <x:c r="T274" s="38"/>
      <x:c r="U274" s="38"/>
      <x:c r="V274" s="38"/>
      <x:c r="W274" s="38"/>
      <x:c r="X274" s="38"/>
      <x:c r="Y274" s="38"/>
      <x:c r="Z274" s="38"/>
      <x:c r="AA274" s="38"/>
      <x:c r="AB274" s="38"/>
      <x:c r="AC274" s="38"/>
      <x:c r="AD274" s="38"/>
      <x:c r="AE274" s="38"/>
      <x:c r="AF274" s="38"/>
      <x:c r="AG274" s="38"/>
      <x:c r="AH274" s="38"/>
      <x:c r="AI274" s="38"/>
      <x:c r="AJ274" s="38"/>
      <x:c r="AK274" s="38"/>
      <x:c r="AL274" s="38"/>
      <x:c r="AM274" s="38"/>
    </x:row>
    <x:row r="275">
      <x:c r="A275" s="523" t="str">
        <x:f>IF(ISBLANK('_SCHEDULE'!A243),"",'_SCHEDULE'!A243)</x:f>
      </x:c>
      <x:c r="B275" s="523" t="str">
        <x:f>IF(ISBLANK('_SCHEDULE'!B243),"",IF('_CONFIG'!$B$2="pt-BR",IF('_SCHEDULE'!B243="scheduled","programado",IF('_SCHEDULE'!B243="rejected","rejeitado",'_SCHEDULE'!B243)),'_SCHEDULE'!B243))</x:f>
      </x:c>
      <x:c r="C275" s="523" t="str">
        <x:f>IF(ISBLANK('_SCHEDULE'!C243),"",'_SCHEDULE'!C243)</x:f>
      </x:c>
      <x:c r="D275" s="523" t="str">
        <x:f>IF(ISBLANK('_SCHEDULE'!D243),"",'_SCHEDULE'!D243)</x:f>
      </x:c>
      <x:c r="E275" s="530" t="str">
        <x:f>IF(ISBLANK('_SCHEDULE'!E243),"",'_SCHEDULE'!E243)</x:f>
      </x:c>
      <x:c r="F275" s="530" t="str">
        <x:f>IF(ISBLANK('_SCHEDULE'!F243),"",'_SCHEDULE'!F243)</x:f>
      </x:c>
      <x:c r="G275" s="530" t="str">
        <x:f>IF(ISBLANK('_SCHEDULE'!G243),"",'_SCHEDULE'!G243)</x:f>
      </x:c>
      <x:c r="H275" s="530" t="str">
        <x:f>IF(ISBLANK('_SCHEDULE'!H243),"",'_SCHEDULE'!H243)</x:f>
      </x:c>
      <x:c r="I275" s="530" t="str">
        <x:f>IF(ISBLANK('_SCHEDULE'!I243),"",'_SCHEDULE'!I243)</x:f>
      </x:c>
      <x:c r="J275" s="530" t="str">
        <x:f>IF(ISBLANK('_SCHEDULE'!J243),"",'_SCHEDULE'!J243)</x:f>
      </x:c>
      <x:c r="K275" s="530" t="str">
        <x:f>IF(ISBLANK('_SCHEDULE'!K243),"",'_SCHEDULE'!K243)</x:f>
      </x:c>
      <x:c r="L275" s="530" t="str">
        <x:f>IF(ISBLANK('_SCHEDULE'!L243),"",'_SCHEDULE'!L243)</x:f>
      </x:c>
      <x:c r="M275" s="530" t="str">
        <x:f>IF(ISBLANK('_SCHEDULE'!M243),"",'_SCHEDULE'!M243)</x:f>
      </x:c>
      <x:c r="N275" s="530" t="str">
        <x:f>IF(ISBLANK('_SCHEDULE'!N243),"",'_SCHEDULE'!N243)</x:f>
      </x:c>
      <x:c r="O275" s="530" t="str">
        <x:f>IF(ISBLANK('_SCHEDULE'!O243),"",'_SCHEDULE'!O243)</x:f>
      </x:c>
      <x:c r="P275" s="530" t="str">
        <x:f>IF(ISBLANK('_SCHEDULE'!P243),"",'_SCHEDULE'!P243)</x:f>
      </x:c>
      <x:c r="Q275" s="530" t="str">
        <x:f>IF(ISBLANK('_SCHEDULE'!Q243),"",'_SCHEDULE'!Q243)</x:f>
      </x:c>
      <x:c r="R275" s="530" t="str">
        <x:f>IF(ISBLANK('_SCHEDULE'!R243),"",'_SCHEDULE'!R243)</x:f>
      </x:c>
      <x:c r="S275" s="523" t="str">
        <x:f>IF(ISBLANK('_SCHEDULE'!S243),"",'_SCHEDULE'!S243)</x:f>
      </x:c>
      <x:c r="T275" s="38"/>
      <x:c r="U275" s="38"/>
      <x:c r="V275" s="38"/>
      <x:c r="W275" s="38"/>
      <x:c r="X275" s="38"/>
      <x:c r="Y275" s="38"/>
      <x:c r="Z275" s="38"/>
      <x:c r="AA275" s="38"/>
      <x:c r="AB275" s="38"/>
      <x:c r="AC275" s="38"/>
      <x:c r="AD275" s="38"/>
      <x:c r="AE275" s="38"/>
      <x:c r="AF275" s="38"/>
      <x:c r="AG275" s="38"/>
      <x:c r="AH275" s="38"/>
      <x:c r="AI275" s="38"/>
      <x:c r="AJ275" s="38"/>
      <x:c r="AK275" s="38"/>
      <x:c r="AL275" s="38"/>
      <x:c r="AM275" s="38"/>
    </x:row>
    <x:row r="276">
      <x:c r="A276" s="523" t="str">
        <x:f>IF(ISBLANK('_SCHEDULE'!A244),"",'_SCHEDULE'!A244)</x:f>
      </x:c>
      <x:c r="B276" s="523" t="str">
        <x:f>IF(ISBLANK('_SCHEDULE'!B244),"",IF('_CONFIG'!$B$2="pt-BR",IF('_SCHEDULE'!B244="scheduled","programado",IF('_SCHEDULE'!B244="rejected","rejeitado",'_SCHEDULE'!B244)),'_SCHEDULE'!B244))</x:f>
      </x:c>
      <x:c r="C276" s="523" t="str">
        <x:f>IF(ISBLANK('_SCHEDULE'!C244),"",'_SCHEDULE'!C244)</x:f>
      </x:c>
      <x:c r="D276" s="523" t="str">
        <x:f>IF(ISBLANK('_SCHEDULE'!D244),"",'_SCHEDULE'!D244)</x:f>
      </x:c>
      <x:c r="E276" s="530" t="str">
        <x:f>IF(ISBLANK('_SCHEDULE'!E244),"",'_SCHEDULE'!E244)</x:f>
      </x:c>
      <x:c r="F276" s="530" t="str">
        <x:f>IF(ISBLANK('_SCHEDULE'!F244),"",'_SCHEDULE'!F244)</x:f>
      </x:c>
      <x:c r="G276" s="530" t="str">
        <x:f>IF(ISBLANK('_SCHEDULE'!G244),"",'_SCHEDULE'!G244)</x:f>
      </x:c>
      <x:c r="H276" s="530" t="str">
        <x:f>IF(ISBLANK('_SCHEDULE'!H244),"",'_SCHEDULE'!H244)</x:f>
      </x:c>
      <x:c r="I276" s="530" t="str">
        <x:f>IF(ISBLANK('_SCHEDULE'!I244),"",'_SCHEDULE'!I244)</x:f>
      </x:c>
      <x:c r="J276" s="530" t="str">
        <x:f>IF(ISBLANK('_SCHEDULE'!J244),"",'_SCHEDULE'!J244)</x:f>
      </x:c>
      <x:c r="K276" s="530" t="str">
        <x:f>IF(ISBLANK('_SCHEDULE'!K244),"",'_SCHEDULE'!K244)</x:f>
      </x:c>
      <x:c r="L276" s="530" t="str">
        <x:f>IF(ISBLANK('_SCHEDULE'!L244),"",'_SCHEDULE'!L244)</x:f>
      </x:c>
      <x:c r="M276" s="530" t="str">
        <x:f>IF(ISBLANK('_SCHEDULE'!M244),"",'_SCHEDULE'!M244)</x:f>
      </x:c>
      <x:c r="N276" s="530" t="str">
        <x:f>IF(ISBLANK('_SCHEDULE'!N244),"",'_SCHEDULE'!N244)</x:f>
      </x:c>
      <x:c r="O276" s="530" t="str">
        <x:f>IF(ISBLANK('_SCHEDULE'!O244),"",'_SCHEDULE'!O244)</x:f>
      </x:c>
      <x:c r="P276" s="530" t="str">
        <x:f>IF(ISBLANK('_SCHEDULE'!P244),"",'_SCHEDULE'!P244)</x:f>
      </x:c>
      <x:c r="Q276" s="530" t="str">
        <x:f>IF(ISBLANK('_SCHEDULE'!Q244),"",'_SCHEDULE'!Q244)</x:f>
      </x:c>
      <x:c r="R276" s="530" t="str">
        <x:f>IF(ISBLANK('_SCHEDULE'!R244),"",'_SCHEDULE'!R244)</x:f>
      </x:c>
      <x:c r="S276" s="523" t="str">
        <x:f>IF(ISBLANK('_SCHEDULE'!S244),"",'_SCHEDULE'!S244)</x:f>
      </x:c>
      <x:c r="T276" s="38"/>
      <x:c r="U276" s="38"/>
      <x:c r="V276" s="38"/>
      <x:c r="W276" s="38"/>
      <x:c r="X276" s="38"/>
      <x:c r="Y276" s="38"/>
      <x:c r="Z276" s="38"/>
      <x:c r="AA276" s="38"/>
      <x:c r="AB276" s="38"/>
      <x:c r="AC276" s="38"/>
      <x:c r="AD276" s="38"/>
      <x:c r="AE276" s="38"/>
      <x:c r="AF276" s="38"/>
      <x:c r="AG276" s="38"/>
      <x:c r="AH276" s="38"/>
      <x:c r="AI276" s="38"/>
      <x:c r="AJ276" s="38"/>
      <x:c r="AK276" s="38"/>
      <x:c r="AL276" s="38"/>
      <x:c r="AM276" s="38"/>
    </x:row>
    <x:row r="277">
      <x:c r="A277" s="523" t="str">
        <x:f>IF(ISBLANK('_SCHEDULE'!A245),"",'_SCHEDULE'!A245)</x:f>
      </x:c>
      <x:c r="B277" s="523" t="str">
        <x:f>IF(ISBLANK('_SCHEDULE'!B245),"",IF('_CONFIG'!$B$2="pt-BR",IF('_SCHEDULE'!B245="scheduled","programado",IF('_SCHEDULE'!B245="rejected","rejeitado",'_SCHEDULE'!B245)),'_SCHEDULE'!B245))</x:f>
      </x:c>
      <x:c r="C277" s="523" t="str">
        <x:f>IF(ISBLANK('_SCHEDULE'!C245),"",'_SCHEDULE'!C245)</x:f>
      </x:c>
      <x:c r="D277" s="523" t="str">
        <x:f>IF(ISBLANK('_SCHEDULE'!D245),"",'_SCHEDULE'!D245)</x:f>
      </x:c>
      <x:c r="E277" s="530" t="str">
        <x:f>IF(ISBLANK('_SCHEDULE'!E245),"",'_SCHEDULE'!E245)</x:f>
      </x:c>
      <x:c r="F277" s="530" t="str">
        <x:f>IF(ISBLANK('_SCHEDULE'!F245),"",'_SCHEDULE'!F245)</x:f>
      </x:c>
      <x:c r="G277" s="530" t="str">
        <x:f>IF(ISBLANK('_SCHEDULE'!G245),"",'_SCHEDULE'!G245)</x:f>
      </x:c>
      <x:c r="H277" s="530" t="str">
        <x:f>IF(ISBLANK('_SCHEDULE'!H245),"",'_SCHEDULE'!H245)</x:f>
      </x:c>
      <x:c r="I277" s="530" t="str">
        <x:f>IF(ISBLANK('_SCHEDULE'!I245),"",'_SCHEDULE'!I245)</x:f>
      </x:c>
      <x:c r="J277" s="530" t="str">
        <x:f>IF(ISBLANK('_SCHEDULE'!J245),"",'_SCHEDULE'!J245)</x:f>
      </x:c>
      <x:c r="K277" s="530" t="str">
        <x:f>IF(ISBLANK('_SCHEDULE'!K245),"",'_SCHEDULE'!K245)</x:f>
      </x:c>
      <x:c r="L277" s="530" t="str">
        <x:f>IF(ISBLANK('_SCHEDULE'!L245),"",'_SCHEDULE'!L245)</x:f>
      </x:c>
      <x:c r="M277" s="530" t="str">
        <x:f>IF(ISBLANK('_SCHEDULE'!M245),"",'_SCHEDULE'!M245)</x:f>
      </x:c>
      <x:c r="N277" s="530" t="str">
        <x:f>IF(ISBLANK('_SCHEDULE'!N245),"",'_SCHEDULE'!N245)</x:f>
      </x:c>
      <x:c r="O277" s="530" t="str">
        <x:f>IF(ISBLANK('_SCHEDULE'!O245),"",'_SCHEDULE'!O245)</x:f>
      </x:c>
      <x:c r="P277" s="530" t="str">
        <x:f>IF(ISBLANK('_SCHEDULE'!P245),"",'_SCHEDULE'!P245)</x:f>
      </x:c>
      <x:c r="Q277" s="530" t="str">
        <x:f>IF(ISBLANK('_SCHEDULE'!Q245),"",'_SCHEDULE'!Q245)</x:f>
      </x:c>
      <x:c r="R277" s="530" t="str">
        <x:f>IF(ISBLANK('_SCHEDULE'!R245),"",'_SCHEDULE'!R245)</x:f>
      </x:c>
      <x:c r="S277" s="523" t="str">
        <x:f>IF(ISBLANK('_SCHEDULE'!S245),"",'_SCHEDULE'!S245)</x:f>
      </x:c>
      <x:c r="T277" s="38"/>
      <x:c r="U277" s="38"/>
      <x:c r="V277" s="38"/>
      <x:c r="W277" s="38"/>
      <x:c r="X277" s="38"/>
      <x:c r="Y277" s="38"/>
      <x:c r="Z277" s="38"/>
      <x:c r="AA277" s="38"/>
      <x:c r="AB277" s="38"/>
      <x:c r="AC277" s="38"/>
      <x:c r="AD277" s="38"/>
      <x:c r="AE277" s="38"/>
      <x:c r="AF277" s="38"/>
      <x:c r="AG277" s="38"/>
      <x:c r="AH277" s="38"/>
      <x:c r="AI277" s="38"/>
      <x:c r="AJ277" s="38"/>
      <x:c r="AK277" s="38"/>
      <x:c r="AL277" s="38"/>
      <x:c r="AM277" s="38"/>
    </x:row>
    <x:row r="278">
      <x:c r="A278" s="523" t="str">
        <x:f>IF(ISBLANK('_SCHEDULE'!A246),"",'_SCHEDULE'!A246)</x:f>
      </x:c>
      <x:c r="B278" s="523" t="str">
        <x:f>IF(ISBLANK('_SCHEDULE'!B246),"",IF('_CONFIG'!$B$2="pt-BR",IF('_SCHEDULE'!B246="scheduled","programado",IF('_SCHEDULE'!B246="rejected","rejeitado",'_SCHEDULE'!B246)),'_SCHEDULE'!B246))</x:f>
      </x:c>
      <x:c r="C278" s="523" t="str">
        <x:f>IF(ISBLANK('_SCHEDULE'!C246),"",'_SCHEDULE'!C246)</x:f>
      </x:c>
      <x:c r="D278" s="523" t="str">
        <x:f>IF(ISBLANK('_SCHEDULE'!D246),"",'_SCHEDULE'!D246)</x:f>
      </x:c>
      <x:c r="E278" s="530" t="str">
        <x:f>IF(ISBLANK('_SCHEDULE'!E246),"",'_SCHEDULE'!E246)</x:f>
      </x:c>
      <x:c r="F278" s="530" t="str">
        <x:f>IF(ISBLANK('_SCHEDULE'!F246),"",'_SCHEDULE'!F246)</x:f>
      </x:c>
      <x:c r="G278" s="530" t="str">
        <x:f>IF(ISBLANK('_SCHEDULE'!G246),"",'_SCHEDULE'!G246)</x:f>
      </x:c>
      <x:c r="H278" s="530" t="str">
        <x:f>IF(ISBLANK('_SCHEDULE'!H246),"",'_SCHEDULE'!H246)</x:f>
      </x:c>
      <x:c r="I278" s="530" t="str">
        <x:f>IF(ISBLANK('_SCHEDULE'!I246),"",'_SCHEDULE'!I246)</x:f>
      </x:c>
      <x:c r="J278" s="530" t="str">
        <x:f>IF(ISBLANK('_SCHEDULE'!J246),"",'_SCHEDULE'!J246)</x:f>
      </x:c>
      <x:c r="K278" s="530" t="str">
        <x:f>IF(ISBLANK('_SCHEDULE'!K246),"",'_SCHEDULE'!K246)</x:f>
      </x:c>
      <x:c r="L278" s="530" t="str">
        <x:f>IF(ISBLANK('_SCHEDULE'!L246),"",'_SCHEDULE'!L246)</x:f>
      </x:c>
      <x:c r="M278" s="530" t="str">
        <x:f>IF(ISBLANK('_SCHEDULE'!M246),"",'_SCHEDULE'!M246)</x:f>
      </x:c>
      <x:c r="N278" s="530" t="str">
        <x:f>IF(ISBLANK('_SCHEDULE'!N246),"",'_SCHEDULE'!N246)</x:f>
      </x:c>
      <x:c r="O278" s="530" t="str">
        <x:f>IF(ISBLANK('_SCHEDULE'!O246),"",'_SCHEDULE'!O246)</x:f>
      </x:c>
      <x:c r="P278" s="530" t="str">
        <x:f>IF(ISBLANK('_SCHEDULE'!P246),"",'_SCHEDULE'!P246)</x:f>
      </x:c>
      <x:c r="Q278" s="530" t="str">
        <x:f>IF(ISBLANK('_SCHEDULE'!Q246),"",'_SCHEDULE'!Q246)</x:f>
      </x:c>
      <x:c r="R278" s="530" t="str">
        <x:f>IF(ISBLANK('_SCHEDULE'!R246),"",'_SCHEDULE'!R246)</x:f>
      </x:c>
      <x:c r="S278" s="523" t="str">
        <x:f>IF(ISBLANK('_SCHEDULE'!S246),"",'_SCHEDULE'!S246)</x:f>
      </x:c>
      <x:c r="T278" s="38"/>
      <x:c r="U278" s="38"/>
      <x:c r="V278" s="38"/>
      <x:c r="W278" s="38"/>
      <x:c r="X278" s="38"/>
      <x:c r="Y278" s="38"/>
      <x:c r="Z278" s="38"/>
      <x:c r="AA278" s="38"/>
      <x:c r="AB278" s="38"/>
      <x:c r="AC278" s="38"/>
      <x:c r="AD278" s="38"/>
      <x:c r="AE278" s="38"/>
      <x:c r="AF278" s="38"/>
      <x:c r="AG278" s="38"/>
      <x:c r="AH278" s="38"/>
      <x:c r="AI278" s="38"/>
      <x:c r="AJ278" s="38"/>
      <x:c r="AK278" s="38"/>
      <x:c r="AL278" s="38"/>
      <x:c r="AM278" s="38"/>
    </x:row>
    <x:row r="279">
      <x:c r="A279" s="523" t="str">
        <x:f>IF(ISBLANK('_SCHEDULE'!A247),"",'_SCHEDULE'!A247)</x:f>
      </x:c>
      <x:c r="B279" s="523" t="str">
        <x:f>IF(ISBLANK('_SCHEDULE'!B247),"",IF('_CONFIG'!$B$2="pt-BR",IF('_SCHEDULE'!B247="scheduled","programado",IF('_SCHEDULE'!B247="rejected","rejeitado",'_SCHEDULE'!B247)),'_SCHEDULE'!B247))</x:f>
      </x:c>
      <x:c r="C279" s="523" t="str">
        <x:f>IF(ISBLANK('_SCHEDULE'!C247),"",'_SCHEDULE'!C247)</x:f>
      </x:c>
      <x:c r="D279" s="523" t="str">
        <x:f>IF(ISBLANK('_SCHEDULE'!D247),"",'_SCHEDULE'!D247)</x:f>
      </x:c>
      <x:c r="E279" s="530" t="str">
        <x:f>IF(ISBLANK('_SCHEDULE'!E247),"",'_SCHEDULE'!E247)</x:f>
      </x:c>
      <x:c r="F279" s="530" t="str">
        <x:f>IF(ISBLANK('_SCHEDULE'!F247),"",'_SCHEDULE'!F247)</x:f>
      </x:c>
      <x:c r="G279" s="530" t="str">
        <x:f>IF(ISBLANK('_SCHEDULE'!G247),"",'_SCHEDULE'!G247)</x:f>
      </x:c>
      <x:c r="H279" s="530" t="str">
        <x:f>IF(ISBLANK('_SCHEDULE'!H247),"",'_SCHEDULE'!H247)</x:f>
      </x:c>
      <x:c r="I279" s="530" t="str">
        <x:f>IF(ISBLANK('_SCHEDULE'!I247),"",'_SCHEDULE'!I247)</x:f>
      </x:c>
      <x:c r="J279" s="530" t="str">
        <x:f>IF(ISBLANK('_SCHEDULE'!J247),"",'_SCHEDULE'!J247)</x:f>
      </x:c>
      <x:c r="K279" s="530" t="str">
        <x:f>IF(ISBLANK('_SCHEDULE'!K247),"",'_SCHEDULE'!K247)</x:f>
      </x:c>
      <x:c r="L279" s="530" t="str">
        <x:f>IF(ISBLANK('_SCHEDULE'!L247),"",'_SCHEDULE'!L247)</x:f>
      </x:c>
      <x:c r="M279" s="530" t="str">
        <x:f>IF(ISBLANK('_SCHEDULE'!M247),"",'_SCHEDULE'!M247)</x:f>
      </x:c>
      <x:c r="N279" s="530" t="str">
        <x:f>IF(ISBLANK('_SCHEDULE'!N247),"",'_SCHEDULE'!N247)</x:f>
      </x:c>
      <x:c r="O279" s="530" t="str">
        <x:f>IF(ISBLANK('_SCHEDULE'!O247),"",'_SCHEDULE'!O247)</x:f>
      </x:c>
      <x:c r="P279" s="530" t="str">
        <x:f>IF(ISBLANK('_SCHEDULE'!P247),"",'_SCHEDULE'!P247)</x:f>
      </x:c>
      <x:c r="Q279" s="530" t="str">
        <x:f>IF(ISBLANK('_SCHEDULE'!Q247),"",'_SCHEDULE'!Q247)</x:f>
      </x:c>
      <x:c r="R279" s="530" t="str">
        <x:f>IF(ISBLANK('_SCHEDULE'!R247),"",'_SCHEDULE'!R247)</x:f>
      </x:c>
      <x:c r="S279" s="523" t="str">
        <x:f>IF(ISBLANK('_SCHEDULE'!S247),"",'_SCHEDULE'!S247)</x:f>
      </x:c>
      <x:c r="T279" s="38"/>
      <x:c r="U279" s="38"/>
      <x:c r="V279" s="38"/>
      <x:c r="W279" s="38"/>
      <x:c r="X279" s="38"/>
      <x:c r="Y279" s="38"/>
      <x:c r="Z279" s="38"/>
      <x:c r="AA279" s="38"/>
      <x:c r="AB279" s="38"/>
      <x:c r="AC279" s="38"/>
      <x:c r="AD279" s="38"/>
      <x:c r="AE279" s="38"/>
      <x:c r="AF279" s="38"/>
      <x:c r="AG279" s="38"/>
      <x:c r="AH279" s="38"/>
      <x:c r="AI279" s="38"/>
      <x:c r="AJ279" s="38"/>
      <x:c r="AK279" s="38"/>
      <x:c r="AL279" s="38"/>
      <x:c r="AM279" s="38"/>
    </x:row>
    <x:row r="280">
      <x:c r="A280" s="523" t="str">
        <x:f>IF(ISBLANK('_SCHEDULE'!A248),"",'_SCHEDULE'!A248)</x:f>
      </x:c>
      <x:c r="B280" s="523" t="str">
        <x:f>IF(ISBLANK('_SCHEDULE'!B248),"",IF('_CONFIG'!$B$2="pt-BR",IF('_SCHEDULE'!B248="scheduled","programado",IF('_SCHEDULE'!B248="rejected","rejeitado",'_SCHEDULE'!B248)),'_SCHEDULE'!B248))</x:f>
      </x:c>
      <x:c r="C280" s="523" t="str">
        <x:f>IF(ISBLANK('_SCHEDULE'!C248),"",'_SCHEDULE'!C248)</x:f>
      </x:c>
      <x:c r="D280" s="523" t="str">
        <x:f>IF(ISBLANK('_SCHEDULE'!D248),"",'_SCHEDULE'!D248)</x:f>
      </x:c>
      <x:c r="E280" s="530" t="str">
        <x:f>IF(ISBLANK('_SCHEDULE'!E248),"",'_SCHEDULE'!E248)</x:f>
      </x:c>
      <x:c r="F280" s="530" t="str">
        <x:f>IF(ISBLANK('_SCHEDULE'!F248),"",'_SCHEDULE'!F248)</x:f>
      </x:c>
      <x:c r="G280" s="530" t="str">
        <x:f>IF(ISBLANK('_SCHEDULE'!G248),"",'_SCHEDULE'!G248)</x:f>
      </x:c>
      <x:c r="H280" s="530" t="str">
        <x:f>IF(ISBLANK('_SCHEDULE'!H248),"",'_SCHEDULE'!H248)</x:f>
      </x:c>
      <x:c r="I280" s="530" t="str">
        <x:f>IF(ISBLANK('_SCHEDULE'!I248),"",'_SCHEDULE'!I248)</x:f>
      </x:c>
      <x:c r="J280" s="530" t="str">
        <x:f>IF(ISBLANK('_SCHEDULE'!J248),"",'_SCHEDULE'!J248)</x:f>
      </x:c>
      <x:c r="K280" s="530" t="str">
        <x:f>IF(ISBLANK('_SCHEDULE'!K248),"",'_SCHEDULE'!K248)</x:f>
      </x:c>
      <x:c r="L280" s="530" t="str">
        <x:f>IF(ISBLANK('_SCHEDULE'!L248),"",'_SCHEDULE'!L248)</x:f>
      </x:c>
      <x:c r="M280" s="530" t="str">
        <x:f>IF(ISBLANK('_SCHEDULE'!M248),"",'_SCHEDULE'!M248)</x:f>
      </x:c>
      <x:c r="N280" s="530" t="str">
        <x:f>IF(ISBLANK('_SCHEDULE'!N248),"",'_SCHEDULE'!N248)</x:f>
      </x:c>
      <x:c r="O280" s="530" t="str">
        <x:f>IF(ISBLANK('_SCHEDULE'!O248),"",'_SCHEDULE'!O248)</x:f>
      </x:c>
      <x:c r="P280" s="530" t="str">
        <x:f>IF(ISBLANK('_SCHEDULE'!P248),"",'_SCHEDULE'!P248)</x:f>
      </x:c>
      <x:c r="Q280" s="530" t="str">
        <x:f>IF(ISBLANK('_SCHEDULE'!Q248),"",'_SCHEDULE'!Q248)</x:f>
      </x:c>
      <x:c r="R280" s="530" t="str">
        <x:f>IF(ISBLANK('_SCHEDULE'!R248),"",'_SCHEDULE'!R248)</x:f>
      </x:c>
      <x:c r="S280" s="523" t="str">
        <x:f>IF(ISBLANK('_SCHEDULE'!S248),"",'_SCHEDULE'!S248)</x:f>
      </x:c>
      <x:c r="T280" s="38"/>
      <x:c r="U280" s="38"/>
      <x:c r="V280" s="38"/>
      <x:c r="W280" s="38"/>
      <x:c r="X280" s="38"/>
      <x:c r="Y280" s="38"/>
      <x:c r="Z280" s="38"/>
      <x:c r="AA280" s="38"/>
      <x:c r="AB280" s="38"/>
      <x:c r="AC280" s="38"/>
      <x:c r="AD280" s="38"/>
      <x:c r="AE280" s="38"/>
      <x:c r="AF280" s="38"/>
      <x:c r="AG280" s="38"/>
      <x:c r="AH280" s="38"/>
      <x:c r="AI280" s="38"/>
      <x:c r="AJ280" s="38"/>
      <x:c r="AK280" s="38"/>
      <x:c r="AL280" s="38"/>
      <x:c r="AM280" s="38"/>
    </x:row>
    <x:row r="281">
      <x:c r="A281" s="523" t="str">
        <x:f>IF(ISBLANK('_SCHEDULE'!A249),"",'_SCHEDULE'!A249)</x:f>
      </x:c>
      <x:c r="B281" s="523" t="str">
        <x:f>IF(ISBLANK('_SCHEDULE'!B249),"",IF('_CONFIG'!$B$2="pt-BR",IF('_SCHEDULE'!B249="scheduled","programado",IF('_SCHEDULE'!B249="rejected","rejeitado",'_SCHEDULE'!B249)),'_SCHEDULE'!B249))</x:f>
      </x:c>
      <x:c r="C281" s="523" t="str">
        <x:f>IF(ISBLANK('_SCHEDULE'!C249),"",'_SCHEDULE'!C249)</x:f>
      </x:c>
      <x:c r="D281" s="523" t="str">
        <x:f>IF(ISBLANK('_SCHEDULE'!D249),"",'_SCHEDULE'!D249)</x:f>
      </x:c>
      <x:c r="E281" s="530" t="str">
        <x:f>IF(ISBLANK('_SCHEDULE'!E249),"",'_SCHEDULE'!E249)</x:f>
      </x:c>
      <x:c r="F281" s="530" t="str">
        <x:f>IF(ISBLANK('_SCHEDULE'!F249),"",'_SCHEDULE'!F249)</x:f>
      </x:c>
      <x:c r="G281" s="530" t="str">
        <x:f>IF(ISBLANK('_SCHEDULE'!G249),"",'_SCHEDULE'!G249)</x:f>
      </x:c>
      <x:c r="H281" s="530" t="str">
        <x:f>IF(ISBLANK('_SCHEDULE'!H249),"",'_SCHEDULE'!H249)</x:f>
      </x:c>
      <x:c r="I281" s="530" t="str">
        <x:f>IF(ISBLANK('_SCHEDULE'!I249),"",'_SCHEDULE'!I249)</x:f>
      </x:c>
      <x:c r="J281" s="530" t="str">
        <x:f>IF(ISBLANK('_SCHEDULE'!J249),"",'_SCHEDULE'!J249)</x:f>
      </x:c>
      <x:c r="K281" s="530" t="str">
        <x:f>IF(ISBLANK('_SCHEDULE'!K249),"",'_SCHEDULE'!K249)</x:f>
      </x:c>
      <x:c r="L281" s="530" t="str">
        <x:f>IF(ISBLANK('_SCHEDULE'!L249),"",'_SCHEDULE'!L249)</x:f>
      </x:c>
      <x:c r="M281" s="530" t="str">
        <x:f>IF(ISBLANK('_SCHEDULE'!M249),"",'_SCHEDULE'!M249)</x:f>
      </x:c>
      <x:c r="N281" s="530" t="str">
        <x:f>IF(ISBLANK('_SCHEDULE'!N249),"",'_SCHEDULE'!N249)</x:f>
      </x:c>
      <x:c r="O281" s="530" t="str">
        <x:f>IF(ISBLANK('_SCHEDULE'!O249),"",'_SCHEDULE'!O249)</x:f>
      </x:c>
      <x:c r="P281" s="530" t="str">
        <x:f>IF(ISBLANK('_SCHEDULE'!P249),"",'_SCHEDULE'!P249)</x:f>
      </x:c>
      <x:c r="Q281" s="530" t="str">
        <x:f>IF(ISBLANK('_SCHEDULE'!Q249),"",'_SCHEDULE'!Q249)</x:f>
      </x:c>
      <x:c r="R281" s="530" t="str">
        <x:f>IF(ISBLANK('_SCHEDULE'!R249),"",'_SCHEDULE'!R249)</x:f>
      </x:c>
      <x:c r="S281" s="523" t="str">
        <x:f>IF(ISBLANK('_SCHEDULE'!S249),"",'_SCHEDULE'!S249)</x:f>
      </x:c>
      <x:c r="T281" s="38"/>
      <x:c r="U281" s="38"/>
      <x:c r="V281" s="38"/>
      <x:c r="W281" s="38"/>
      <x:c r="X281" s="38"/>
      <x:c r="Y281" s="38"/>
      <x:c r="Z281" s="38"/>
      <x:c r="AA281" s="38"/>
      <x:c r="AB281" s="38"/>
      <x:c r="AC281" s="38"/>
      <x:c r="AD281" s="38"/>
      <x:c r="AE281" s="38"/>
      <x:c r="AF281" s="38"/>
      <x:c r="AG281" s="38"/>
      <x:c r="AH281" s="38"/>
      <x:c r="AI281" s="38"/>
      <x:c r="AJ281" s="38"/>
      <x:c r="AK281" s="38"/>
      <x:c r="AL281" s="38"/>
      <x:c r="AM281" s="38"/>
    </x:row>
    <x:row r="282">
      <x:c r="A282" s="523" t="str">
        <x:f>IF(ISBLANK('_SCHEDULE'!A250),"",'_SCHEDULE'!A250)</x:f>
      </x:c>
      <x:c r="B282" s="523" t="str">
        <x:f>IF(ISBLANK('_SCHEDULE'!B250),"",IF('_CONFIG'!$B$2="pt-BR",IF('_SCHEDULE'!B250="scheduled","programado",IF('_SCHEDULE'!B250="rejected","rejeitado",'_SCHEDULE'!B250)),'_SCHEDULE'!B250))</x:f>
      </x:c>
      <x:c r="C282" s="523" t="str">
        <x:f>IF(ISBLANK('_SCHEDULE'!C250),"",'_SCHEDULE'!C250)</x:f>
      </x:c>
      <x:c r="D282" s="523" t="str">
        <x:f>IF(ISBLANK('_SCHEDULE'!D250),"",'_SCHEDULE'!D250)</x:f>
      </x:c>
      <x:c r="E282" s="530" t="str">
        <x:f>IF(ISBLANK('_SCHEDULE'!E250),"",'_SCHEDULE'!E250)</x:f>
      </x:c>
      <x:c r="F282" s="530" t="str">
        <x:f>IF(ISBLANK('_SCHEDULE'!F250),"",'_SCHEDULE'!F250)</x:f>
      </x:c>
      <x:c r="G282" s="530" t="str">
        <x:f>IF(ISBLANK('_SCHEDULE'!G250),"",'_SCHEDULE'!G250)</x:f>
      </x:c>
      <x:c r="H282" s="530" t="str">
        <x:f>IF(ISBLANK('_SCHEDULE'!H250),"",'_SCHEDULE'!H250)</x:f>
      </x:c>
      <x:c r="I282" s="530" t="str">
        <x:f>IF(ISBLANK('_SCHEDULE'!I250),"",'_SCHEDULE'!I250)</x:f>
      </x:c>
      <x:c r="J282" s="530" t="str">
        <x:f>IF(ISBLANK('_SCHEDULE'!J250),"",'_SCHEDULE'!J250)</x:f>
      </x:c>
      <x:c r="K282" s="530" t="str">
        <x:f>IF(ISBLANK('_SCHEDULE'!K250),"",'_SCHEDULE'!K250)</x:f>
      </x:c>
      <x:c r="L282" s="530" t="str">
        <x:f>IF(ISBLANK('_SCHEDULE'!L250),"",'_SCHEDULE'!L250)</x:f>
      </x:c>
      <x:c r="M282" s="530" t="str">
        <x:f>IF(ISBLANK('_SCHEDULE'!M250),"",'_SCHEDULE'!M250)</x:f>
      </x:c>
      <x:c r="N282" s="530" t="str">
        <x:f>IF(ISBLANK('_SCHEDULE'!N250),"",'_SCHEDULE'!N250)</x:f>
      </x:c>
      <x:c r="O282" s="530" t="str">
        <x:f>IF(ISBLANK('_SCHEDULE'!O250),"",'_SCHEDULE'!O250)</x:f>
      </x:c>
      <x:c r="P282" s="530" t="str">
        <x:f>IF(ISBLANK('_SCHEDULE'!P250),"",'_SCHEDULE'!P250)</x:f>
      </x:c>
      <x:c r="Q282" s="530" t="str">
        <x:f>IF(ISBLANK('_SCHEDULE'!Q250),"",'_SCHEDULE'!Q250)</x:f>
      </x:c>
      <x:c r="R282" s="530" t="str">
        <x:f>IF(ISBLANK('_SCHEDULE'!R250),"",'_SCHEDULE'!R250)</x:f>
      </x:c>
      <x:c r="S282" s="523" t="str">
        <x:f>IF(ISBLANK('_SCHEDULE'!S250),"",'_SCHEDULE'!S250)</x:f>
      </x:c>
      <x:c r="T282" s="38"/>
      <x:c r="U282" s="38"/>
      <x:c r="V282" s="38"/>
      <x:c r="W282" s="38"/>
      <x:c r="X282" s="38"/>
      <x:c r="Y282" s="38"/>
      <x:c r="Z282" s="38"/>
      <x:c r="AA282" s="38"/>
      <x:c r="AB282" s="38"/>
      <x:c r="AC282" s="38"/>
      <x:c r="AD282" s="38"/>
      <x:c r="AE282" s="38"/>
      <x:c r="AF282" s="38"/>
      <x:c r="AG282" s="38"/>
      <x:c r="AH282" s="38"/>
      <x:c r="AI282" s="38"/>
      <x:c r="AJ282" s="38"/>
      <x:c r="AK282" s="38"/>
      <x:c r="AL282" s="38"/>
      <x:c r="AM282" s="38"/>
    </x:row>
    <x:row r="283">
      <x:c r="A283" s="523" t="str">
        <x:f>IF(ISBLANK('_SCHEDULE'!A251),"",'_SCHEDULE'!A251)</x:f>
      </x:c>
      <x:c r="B283" s="523" t="str">
        <x:f>IF(ISBLANK('_SCHEDULE'!B251),"",IF('_CONFIG'!$B$2="pt-BR",IF('_SCHEDULE'!B251="scheduled","programado",IF('_SCHEDULE'!B251="rejected","rejeitado",'_SCHEDULE'!B251)),'_SCHEDULE'!B251))</x:f>
      </x:c>
      <x:c r="C283" s="523" t="str">
        <x:f>IF(ISBLANK('_SCHEDULE'!C251),"",'_SCHEDULE'!C251)</x:f>
      </x:c>
      <x:c r="D283" s="523" t="str">
        <x:f>IF(ISBLANK('_SCHEDULE'!D251),"",'_SCHEDULE'!D251)</x:f>
      </x:c>
      <x:c r="E283" s="530" t="str">
        <x:f>IF(ISBLANK('_SCHEDULE'!E251),"",'_SCHEDULE'!E251)</x:f>
      </x:c>
      <x:c r="F283" s="530" t="str">
        <x:f>IF(ISBLANK('_SCHEDULE'!F251),"",'_SCHEDULE'!F251)</x:f>
      </x:c>
      <x:c r="G283" s="530" t="str">
        <x:f>IF(ISBLANK('_SCHEDULE'!G251),"",'_SCHEDULE'!G251)</x:f>
      </x:c>
      <x:c r="H283" s="530" t="str">
        <x:f>IF(ISBLANK('_SCHEDULE'!H251),"",'_SCHEDULE'!H251)</x:f>
      </x:c>
      <x:c r="I283" s="530" t="str">
        <x:f>IF(ISBLANK('_SCHEDULE'!I251),"",'_SCHEDULE'!I251)</x:f>
      </x:c>
      <x:c r="J283" s="530" t="str">
        <x:f>IF(ISBLANK('_SCHEDULE'!J251),"",'_SCHEDULE'!J251)</x:f>
      </x:c>
      <x:c r="K283" s="530" t="str">
        <x:f>IF(ISBLANK('_SCHEDULE'!K251),"",'_SCHEDULE'!K251)</x:f>
      </x:c>
      <x:c r="L283" s="530" t="str">
        <x:f>IF(ISBLANK('_SCHEDULE'!L251),"",'_SCHEDULE'!L251)</x:f>
      </x:c>
      <x:c r="M283" s="530" t="str">
        <x:f>IF(ISBLANK('_SCHEDULE'!M251),"",'_SCHEDULE'!M251)</x:f>
      </x:c>
      <x:c r="N283" s="530" t="str">
        <x:f>IF(ISBLANK('_SCHEDULE'!N251),"",'_SCHEDULE'!N251)</x:f>
      </x:c>
      <x:c r="O283" s="530" t="str">
        <x:f>IF(ISBLANK('_SCHEDULE'!O251),"",'_SCHEDULE'!O251)</x:f>
      </x:c>
      <x:c r="P283" s="530" t="str">
        <x:f>IF(ISBLANK('_SCHEDULE'!P251),"",'_SCHEDULE'!P251)</x:f>
      </x:c>
      <x:c r="Q283" s="530" t="str">
        <x:f>IF(ISBLANK('_SCHEDULE'!Q251),"",'_SCHEDULE'!Q251)</x:f>
      </x:c>
      <x:c r="R283" s="530" t="str">
        <x:f>IF(ISBLANK('_SCHEDULE'!R251),"",'_SCHEDULE'!R251)</x:f>
      </x:c>
      <x:c r="S283" s="523" t="str">
        <x:f>IF(ISBLANK('_SCHEDULE'!S251),"",'_SCHEDULE'!S251)</x:f>
      </x:c>
      <x:c r="T283" s="38"/>
      <x:c r="U283" s="38"/>
      <x:c r="V283" s="38"/>
      <x:c r="W283" s="38"/>
      <x:c r="X283" s="38"/>
      <x:c r="Y283" s="38"/>
      <x:c r="Z283" s="38"/>
      <x:c r="AA283" s="38"/>
      <x:c r="AB283" s="38"/>
      <x:c r="AC283" s="38"/>
      <x:c r="AD283" s="38"/>
      <x:c r="AE283" s="38"/>
      <x:c r="AF283" s="38"/>
      <x:c r="AG283" s="38"/>
      <x:c r="AH283" s="38"/>
      <x:c r="AI283" s="38"/>
      <x:c r="AJ283" s="38"/>
      <x:c r="AK283" s="38"/>
      <x:c r="AL283" s="38"/>
      <x:c r="AM283" s="38"/>
    </x:row>
    <x:row r="284">
      <x:c r="A284" s="523" t="str">
        <x:f>IF(ISBLANK('_SCHEDULE'!A252),"",'_SCHEDULE'!A252)</x:f>
      </x:c>
      <x:c r="B284" s="523" t="str">
        <x:f>IF(ISBLANK('_SCHEDULE'!B252),"",IF('_CONFIG'!$B$2="pt-BR",IF('_SCHEDULE'!B252="scheduled","programado",IF('_SCHEDULE'!B252="rejected","rejeitado",'_SCHEDULE'!B252)),'_SCHEDULE'!B252))</x:f>
      </x:c>
      <x:c r="C284" s="523" t="str">
        <x:f>IF(ISBLANK('_SCHEDULE'!C252),"",'_SCHEDULE'!C252)</x:f>
      </x:c>
      <x:c r="D284" s="523" t="str">
        <x:f>IF(ISBLANK('_SCHEDULE'!D252),"",'_SCHEDULE'!D252)</x:f>
      </x:c>
      <x:c r="E284" s="530" t="str">
        <x:f>IF(ISBLANK('_SCHEDULE'!E252),"",'_SCHEDULE'!E252)</x:f>
      </x:c>
      <x:c r="F284" s="530" t="str">
        <x:f>IF(ISBLANK('_SCHEDULE'!F252),"",'_SCHEDULE'!F252)</x:f>
      </x:c>
      <x:c r="G284" s="530" t="str">
        <x:f>IF(ISBLANK('_SCHEDULE'!G252),"",'_SCHEDULE'!G252)</x:f>
      </x:c>
      <x:c r="H284" s="530" t="str">
        <x:f>IF(ISBLANK('_SCHEDULE'!H252),"",'_SCHEDULE'!H252)</x:f>
      </x:c>
      <x:c r="I284" s="530" t="str">
        <x:f>IF(ISBLANK('_SCHEDULE'!I252),"",'_SCHEDULE'!I252)</x:f>
      </x:c>
      <x:c r="J284" s="530" t="str">
        <x:f>IF(ISBLANK('_SCHEDULE'!J252),"",'_SCHEDULE'!J252)</x:f>
      </x:c>
      <x:c r="K284" s="530" t="str">
        <x:f>IF(ISBLANK('_SCHEDULE'!K252),"",'_SCHEDULE'!K252)</x:f>
      </x:c>
      <x:c r="L284" s="530" t="str">
        <x:f>IF(ISBLANK('_SCHEDULE'!L252),"",'_SCHEDULE'!L252)</x:f>
      </x:c>
      <x:c r="M284" s="530" t="str">
        <x:f>IF(ISBLANK('_SCHEDULE'!M252),"",'_SCHEDULE'!M252)</x:f>
      </x:c>
      <x:c r="N284" s="530" t="str">
        <x:f>IF(ISBLANK('_SCHEDULE'!N252),"",'_SCHEDULE'!N252)</x:f>
      </x:c>
      <x:c r="O284" s="530" t="str">
        <x:f>IF(ISBLANK('_SCHEDULE'!O252),"",'_SCHEDULE'!O252)</x:f>
      </x:c>
      <x:c r="P284" s="530" t="str">
        <x:f>IF(ISBLANK('_SCHEDULE'!P252),"",'_SCHEDULE'!P252)</x:f>
      </x:c>
      <x:c r="Q284" s="530" t="str">
        <x:f>IF(ISBLANK('_SCHEDULE'!Q252),"",'_SCHEDULE'!Q252)</x:f>
      </x:c>
      <x:c r="R284" s="530" t="str">
        <x:f>IF(ISBLANK('_SCHEDULE'!R252),"",'_SCHEDULE'!R252)</x:f>
      </x:c>
      <x:c r="S284" s="523" t="str">
        <x:f>IF(ISBLANK('_SCHEDULE'!S252),"",'_SCHEDULE'!S252)</x:f>
      </x:c>
      <x:c r="T284" s="38"/>
      <x:c r="U284" s="38"/>
      <x:c r="V284" s="38"/>
      <x:c r="W284" s="38"/>
      <x:c r="X284" s="38"/>
      <x:c r="Y284" s="38"/>
      <x:c r="Z284" s="38"/>
      <x:c r="AA284" s="38"/>
      <x:c r="AB284" s="38"/>
      <x:c r="AC284" s="38"/>
      <x:c r="AD284" s="38"/>
      <x:c r="AE284" s="38"/>
      <x:c r="AF284" s="38"/>
      <x:c r="AG284" s="38"/>
      <x:c r="AH284" s="38"/>
      <x:c r="AI284" s="38"/>
      <x:c r="AJ284" s="38"/>
      <x:c r="AK284" s="38"/>
      <x:c r="AL284" s="38"/>
      <x:c r="AM284" s="38"/>
    </x:row>
    <x:row r="285">
      <x:c r="A285" s="523" t="str">
        <x:f>IF(ISBLANK('_SCHEDULE'!A253),"",'_SCHEDULE'!A253)</x:f>
      </x:c>
      <x:c r="B285" s="523" t="str">
        <x:f>IF(ISBLANK('_SCHEDULE'!B253),"",IF('_CONFIG'!$B$2="pt-BR",IF('_SCHEDULE'!B253="scheduled","programado",IF('_SCHEDULE'!B253="rejected","rejeitado",'_SCHEDULE'!B253)),'_SCHEDULE'!B253))</x:f>
      </x:c>
      <x:c r="C285" s="523" t="str">
        <x:f>IF(ISBLANK('_SCHEDULE'!C253),"",'_SCHEDULE'!C253)</x:f>
      </x:c>
      <x:c r="D285" s="523" t="str">
        <x:f>IF(ISBLANK('_SCHEDULE'!D253),"",'_SCHEDULE'!D253)</x:f>
      </x:c>
      <x:c r="E285" s="530" t="str">
        <x:f>IF(ISBLANK('_SCHEDULE'!E253),"",'_SCHEDULE'!E253)</x:f>
      </x:c>
      <x:c r="F285" s="530" t="str">
        <x:f>IF(ISBLANK('_SCHEDULE'!F253),"",'_SCHEDULE'!F253)</x:f>
      </x:c>
      <x:c r="G285" s="530" t="str">
        <x:f>IF(ISBLANK('_SCHEDULE'!G253),"",'_SCHEDULE'!G253)</x:f>
      </x:c>
      <x:c r="H285" s="530" t="str">
        <x:f>IF(ISBLANK('_SCHEDULE'!H253),"",'_SCHEDULE'!H253)</x:f>
      </x:c>
      <x:c r="I285" s="530" t="str">
        <x:f>IF(ISBLANK('_SCHEDULE'!I253),"",'_SCHEDULE'!I253)</x:f>
      </x:c>
      <x:c r="J285" s="530" t="str">
        <x:f>IF(ISBLANK('_SCHEDULE'!J253),"",'_SCHEDULE'!J253)</x:f>
      </x:c>
      <x:c r="K285" s="530" t="str">
        <x:f>IF(ISBLANK('_SCHEDULE'!K253),"",'_SCHEDULE'!K253)</x:f>
      </x:c>
      <x:c r="L285" s="530" t="str">
        <x:f>IF(ISBLANK('_SCHEDULE'!L253),"",'_SCHEDULE'!L253)</x:f>
      </x:c>
      <x:c r="M285" s="530" t="str">
        <x:f>IF(ISBLANK('_SCHEDULE'!M253),"",'_SCHEDULE'!M253)</x:f>
      </x:c>
      <x:c r="N285" s="530" t="str">
        <x:f>IF(ISBLANK('_SCHEDULE'!N253),"",'_SCHEDULE'!N253)</x:f>
      </x:c>
      <x:c r="O285" s="530" t="str">
        <x:f>IF(ISBLANK('_SCHEDULE'!O253),"",'_SCHEDULE'!O253)</x:f>
      </x:c>
      <x:c r="P285" s="530" t="str">
        <x:f>IF(ISBLANK('_SCHEDULE'!P253),"",'_SCHEDULE'!P253)</x:f>
      </x:c>
      <x:c r="Q285" s="530" t="str">
        <x:f>IF(ISBLANK('_SCHEDULE'!Q253),"",'_SCHEDULE'!Q253)</x:f>
      </x:c>
      <x:c r="R285" s="530" t="str">
        <x:f>IF(ISBLANK('_SCHEDULE'!R253),"",'_SCHEDULE'!R253)</x:f>
      </x:c>
      <x:c r="S285" s="523" t="str">
        <x:f>IF(ISBLANK('_SCHEDULE'!S253),"",'_SCHEDULE'!S253)</x:f>
      </x:c>
      <x:c r="T285" s="38"/>
      <x:c r="U285" s="38"/>
      <x:c r="V285" s="38"/>
      <x:c r="W285" s="38"/>
      <x:c r="X285" s="38"/>
      <x:c r="Y285" s="38"/>
      <x:c r="Z285" s="38"/>
      <x:c r="AA285" s="38"/>
      <x:c r="AB285" s="38"/>
      <x:c r="AC285" s="38"/>
      <x:c r="AD285" s="38"/>
      <x:c r="AE285" s="38"/>
      <x:c r="AF285" s="38"/>
      <x:c r="AG285" s="38"/>
      <x:c r="AH285" s="38"/>
      <x:c r="AI285" s="38"/>
      <x:c r="AJ285" s="38"/>
      <x:c r="AK285" s="38"/>
      <x:c r="AL285" s="38"/>
      <x:c r="AM285" s="38"/>
    </x:row>
    <x:row r="286">
      <x:c r="A286" s="523" t="str">
        <x:f>IF(ISBLANK('_SCHEDULE'!A254),"",'_SCHEDULE'!A254)</x:f>
      </x:c>
      <x:c r="B286" s="523" t="str">
        <x:f>IF(ISBLANK('_SCHEDULE'!B254),"",IF('_CONFIG'!$B$2="pt-BR",IF('_SCHEDULE'!B254="scheduled","programado",IF('_SCHEDULE'!B254="rejected","rejeitado",'_SCHEDULE'!B254)),'_SCHEDULE'!B254))</x:f>
      </x:c>
      <x:c r="C286" s="523" t="str">
        <x:f>IF(ISBLANK('_SCHEDULE'!C254),"",'_SCHEDULE'!C254)</x:f>
      </x:c>
      <x:c r="D286" s="523" t="str">
        <x:f>IF(ISBLANK('_SCHEDULE'!D254),"",'_SCHEDULE'!D254)</x:f>
      </x:c>
      <x:c r="E286" s="530" t="str">
        <x:f>IF(ISBLANK('_SCHEDULE'!E254),"",'_SCHEDULE'!E254)</x:f>
      </x:c>
      <x:c r="F286" s="530" t="str">
        <x:f>IF(ISBLANK('_SCHEDULE'!F254),"",'_SCHEDULE'!F254)</x:f>
      </x:c>
      <x:c r="G286" s="530" t="str">
        <x:f>IF(ISBLANK('_SCHEDULE'!G254),"",'_SCHEDULE'!G254)</x:f>
      </x:c>
      <x:c r="H286" s="530" t="str">
        <x:f>IF(ISBLANK('_SCHEDULE'!H254),"",'_SCHEDULE'!H254)</x:f>
      </x:c>
      <x:c r="I286" s="530" t="str">
        <x:f>IF(ISBLANK('_SCHEDULE'!I254),"",'_SCHEDULE'!I254)</x:f>
      </x:c>
      <x:c r="J286" s="530" t="str">
        <x:f>IF(ISBLANK('_SCHEDULE'!J254),"",'_SCHEDULE'!J254)</x:f>
      </x:c>
      <x:c r="K286" s="530" t="str">
        <x:f>IF(ISBLANK('_SCHEDULE'!K254),"",'_SCHEDULE'!K254)</x:f>
      </x:c>
      <x:c r="L286" s="530" t="str">
        <x:f>IF(ISBLANK('_SCHEDULE'!L254),"",'_SCHEDULE'!L254)</x:f>
      </x:c>
      <x:c r="M286" s="530" t="str">
        <x:f>IF(ISBLANK('_SCHEDULE'!M254),"",'_SCHEDULE'!M254)</x:f>
      </x:c>
      <x:c r="N286" s="530" t="str">
        <x:f>IF(ISBLANK('_SCHEDULE'!N254),"",'_SCHEDULE'!N254)</x:f>
      </x:c>
      <x:c r="O286" s="530" t="str">
        <x:f>IF(ISBLANK('_SCHEDULE'!O254),"",'_SCHEDULE'!O254)</x:f>
      </x:c>
      <x:c r="P286" s="530" t="str">
        <x:f>IF(ISBLANK('_SCHEDULE'!P254),"",'_SCHEDULE'!P254)</x:f>
      </x:c>
      <x:c r="Q286" s="530" t="str">
        <x:f>IF(ISBLANK('_SCHEDULE'!Q254),"",'_SCHEDULE'!Q254)</x:f>
      </x:c>
      <x:c r="R286" s="530" t="str">
        <x:f>IF(ISBLANK('_SCHEDULE'!R254),"",'_SCHEDULE'!R254)</x:f>
      </x:c>
      <x:c r="S286" s="523" t="str">
        <x:f>IF(ISBLANK('_SCHEDULE'!S254),"",'_SCHEDULE'!S254)</x:f>
      </x:c>
      <x:c r="T286" s="38"/>
      <x:c r="U286" s="38"/>
      <x:c r="V286" s="38"/>
      <x:c r="W286" s="38"/>
      <x:c r="X286" s="38"/>
      <x:c r="Y286" s="38"/>
      <x:c r="Z286" s="38"/>
      <x:c r="AA286" s="38"/>
      <x:c r="AB286" s="38"/>
      <x:c r="AC286" s="38"/>
      <x:c r="AD286" s="38"/>
      <x:c r="AE286" s="38"/>
      <x:c r="AF286" s="38"/>
      <x:c r="AG286" s="38"/>
      <x:c r="AH286" s="38"/>
      <x:c r="AI286" s="38"/>
      <x:c r="AJ286" s="38"/>
      <x:c r="AK286" s="38"/>
      <x:c r="AL286" s="38"/>
      <x:c r="AM286" s="38"/>
    </x:row>
    <x:row r="287">
      <x:c r="A287" s="523" t="str">
        <x:f>IF(ISBLANK('_SCHEDULE'!A255),"",'_SCHEDULE'!A255)</x:f>
      </x:c>
      <x:c r="B287" s="523" t="str">
        <x:f>IF(ISBLANK('_SCHEDULE'!B255),"",IF('_CONFIG'!$B$2="pt-BR",IF('_SCHEDULE'!B255="scheduled","programado",IF('_SCHEDULE'!B255="rejected","rejeitado",'_SCHEDULE'!B255)),'_SCHEDULE'!B255))</x:f>
      </x:c>
      <x:c r="C287" s="523" t="str">
        <x:f>IF(ISBLANK('_SCHEDULE'!C255),"",'_SCHEDULE'!C255)</x:f>
      </x:c>
      <x:c r="D287" s="523" t="str">
        <x:f>IF(ISBLANK('_SCHEDULE'!D255),"",'_SCHEDULE'!D255)</x:f>
      </x:c>
      <x:c r="E287" s="530" t="str">
        <x:f>IF(ISBLANK('_SCHEDULE'!E255),"",'_SCHEDULE'!E255)</x:f>
      </x:c>
      <x:c r="F287" s="530" t="str">
        <x:f>IF(ISBLANK('_SCHEDULE'!F255),"",'_SCHEDULE'!F255)</x:f>
      </x:c>
      <x:c r="G287" s="530" t="str">
        <x:f>IF(ISBLANK('_SCHEDULE'!G255),"",'_SCHEDULE'!G255)</x:f>
      </x:c>
      <x:c r="H287" s="530" t="str">
        <x:f>IF(ISBLANK('_SCHEDULE'!H255),"",'_SCHEDULE'!H255)</x:f>
      </x:c>
      <x:c r="I287" s="530" t="str">
        <x:f>IF(ISBLANK('_SCHEDULE'!I255),"",'_SCHEDULE'!I255)</x:f>
      </x:c>
      <x:c r="J287" s="530" t="str">
        <x:f>IF(ISBLANK('_SCHEDULE'!J255),"",'_SCHEDULE'!J255)</x:f>
      </x:c>
      <x:c r="K287" s="530" t="str">
        <x:f>IF(ISBLANK('_SCHEDULE'!K255),"",'_SCHEDULE'!K255)</x:f>
      </x:c>
      <x:c r="L287" s="530" t="str">
        <x:f>IF(ISBLANK('_SCHEDULE'!L255),"",'_SCHEDULE'!L255)</x:f>
      </x:c>
      <x:c r="M287" s="530" t="str">
        <x:f>IF(ISBLANK('_SCHEDULE'!M255),"",'_SCHEDULE'!M255)</x:f>
      </x:c>
      <x:c r="N287" s="530" t="str">
        <x:f>IF(ISBLANK('_SCHEDULE'!N255),"",'_SCHEDULE'!N255)</x:f>
      </x:c>
      <x:c r="O287" s="530" t="str">
        <x:f>IF(ISBLANK('_SCHEDULE'!O255),"",'_SCHEDULE'!O255)</x:f>
      </x:c>
      <x:c r="P287" s="530" t="str">
        <x:f>IF(ISBLANK('_SCHEDULE'!P255),"",'_SCHEDULE'!P255)</x:f>
      </x:c>
      <x:c r="Q287" s="530" t="str">
        <x:f>IF(ISBLANK('_SCHEDULE'!Q255),"",'_SCHEDULE'!Q255)</x:f>
      </x:c>
      <x:c r="R287" s="530" t="str">
        <x:f>IF(ISBLANK('_SCHEDULE'!R255),"",'_SCHEDULE'!R255)</x:f>
      </x:c>
      <x:c r="S287" s="523" t="str">
        <x:f>IF(ISBLANK('_SCHEDULE'!S255),"",'_SCHEDULE'!S255)</x:f>
      </x:c>
      <x:c r="T287" s="38"/>
      <x:c r="U287" s="38"/>
      <x:c r="V287" s="38"/>
      <x:c r="W287" s="38"/>
      <x:c r="X287" s="38"/>
      <x:c r="Y287" s="38"/>
      <x:c r="Z287" s="38"/>
      <x:c r="AA287" s="38"/>
      <x:c r="AB287" s="38"/>
      <x:c r="AC287" s="38"/>
      <x:c r="AD287" s="38"/>
      <x:c r="AE287" s="38"/>
      <x:c r="AF287" s="38"/>
      <x:c r="AG287" s="38"/>
      <x:c r="AH287" s="38"/>
      <x:c r="AI287" s="38"/>
      <x:c r="AJ287" s="38"/>
      <x:c r="AK287" s="38"/>
      <x:c r="AL287" s="38"/>
      <x:c r="AM287" s="38"/>
    </x:row>
    <x:row r="288">
      <x:c r="A288" s="523" t="str">
        <x:f>IF(ISBLANK('_SCHEDULE'!A256),"",'_SCHEDULE'!A256)</x:f>
      </x:c>
      <x:c r="B288" s="523" t="str">
        <x:f>IF(ISBLANK('_SCHEDULE'!B256),"",IF('_CONFIG'!$B$2="pt-BR",IF('_SCHEDULE'!B256="scheduled","programado",IF('_SCHEDULE'!B256="rejected","rejeitado",'_SCHEDULE'!B256)),'_SCHEDULE'!B256))</x:f>
      </x:c>
      <x:c r="C288" s="523" t="str">
        <x:f>IF(ISBLANK('_SCHEDULE'!C256),"",'_SCHEDULE'!C256)</x:f>
      </x:c>
      <x:c r="D288" s="523" t="str">
        <x:f>IF(ISBLANK('_SCHEDULE'!D256),"",'_SCHEDULE'!D256)</x:f>
      </x:c>
      <x:c r="E288" s="530" t="str">
        <x:f>IF(ISBLANK('_SCHEDULE'!E256),"",'_SCHEDULE'!E256)</x:f>
      </x:c>
      <x:c r="F288" s="530" t="str">
        <x:f>IF(ISBLANK('_SCHEDULE'!F256),"",'_SCHEDULE'!F256)</x:f>
      </x:c>
      <x:c r="G288" s="530" t="str">
        <x:f>IF(ISBLANK('_SCHEDULE'!G256),"",'_SCHEDULE'!G256)</x:f>
      </x:c>
      <x:c r="H288" s="530" t="str">
        <x:f>IF(ISBLANK('_SCHEDULE'!H256),"",'_SCHEDULE'!H256)</x:f>
      </x:c>
      <x:c r="I288" s="530" t="str">
        <x:f>IF(ISBLANK('_SCHEDULE'!I256),"",'_SCHEDULE'!I256)</x:f>
      </x:c>
      <x:c r="J288" s="530" t="str">
        <x:f>IF(ISBLANK('_SCHEDULE'!J256),"",'_SCHEDULE'!J256)</x:f>
      </x:c>
      <x:c r="K288" s="530" t="str">
        <x:f>IF(ISBLANK('_SCHEDULE'!K256),"",'_SCHEDULE'!K256)</x:f>
      </x:c>
      <x:c r="L288" s="530" t="str">
        <x:f>IF(ISBLANK('_SCHEDULE'!L256),"",'_SCHEDULE'!L256)</x:f>
      </x:c>
      <x:c r="M288" s="530" t="str">
        <x:f>IF(ISBLANK('_SCHEDULE'!M256),"",'_SCHEDULE'!M256)</x:f>
      </x:c>
      <x:c r="N288" s="530" t="str">
        <x:f>IF(ISBLANK('_SCHEDULE'!N256),"",'_SCHEDULE'!N256)</x:f>
      </x:c>
      <x:c r="O288" s="530" t="str">
        <x:f>IF(ISBLANK('_SCHEDULE'!O256),"",'_SCHEDULE'!O256)</x:f>
      </x:c>
      <x:c r="P288" s="530" t="str">
        <x:f>IF(ISBLANK('_SCHEDULE'!P256),"",'_SCHEDULE'!P256)</x:f>
      </x:c>
      <x:c r="Q288" s="530" t="str">
        <x:f>IF(ISBLANK('_SCHEDULE'!Q256),"",'_SCHEDULE'!Q256)</x:f>
      </x:c>
      <x:c r="R288" s="530" t="str">
        <x:f>IF(ISBLANK('_SCHEDULE'!R256),"",'_SCHEDULE'!R256)</x:f>
      </x:c>
      <x:c r="S288" s="523" t="str">
        <x:f>IF(ISBLANK('_SCHEDULE'!S256),"",'_SCHEDULE'!S256)</x:f>
      </x:c>
      <x:c r="T288" s="38"/>
      <x:c r="U288" s="38"/>
      <x:c r="V288" s="38"/>
      <x:c r="W288" s="38"/>
      <x:c r="X288" s="38"/>
      <x:c r="Y288" s="38"/>
      <x:c r="Z288" s="38"/>
      <x:c r="AA288" s="38"/>
      <x:c r="AB288" s="38"/>
      <x:c r="AC288" s="38"/>
      <x:c r="AD288" s="38"/>
      <x:c r="AE288" s="38"/>
      <x:c r="AF288" s="38"/>
      <x:c r="AG288" s="38"/>
      <x:c r="AH288" s="38"/>
      <x:c r="AI288" s="38"/>
      <x:c r="AJ288" s="38"/>
      <x:c r="AK288" s="38"/>
      <x:c r="AL288" s="38"/>
      <x:c r="AM288" s="38"/>
    </x:row>
    <x:row r="289">
      <x:c r="A289" s="523" t="str">
        <x:f>IF(ISBLANK('_SCHEDULE'!A257),"",'_SCHEDULE'!A257)</x:f>
      </x:c>
      <x:c r="B289" s="523" t="str">
        <x:f>IF(ISBLANK('_SCHEDULE'!B257),"",IF('_CONFIG'!$B$2="pt-BR",IF('_SCHEDULE'!B257="scheduled","programado",IF('_SCHEDULE'!B257="rejected","rejeitado",'_SCHEDULE'!B257)),'_SCHEDULE'!B257))</x:f>
      </x:c>
      <x:c r="C289" s="523" t="str">
        <x:f>IF(ISBLANK('_SCHEDULE'!C257),"",'_SCHEDULE'!C257)</x:f>
      </x:c>
      <x:c r="D289" s="523" t="str">
        <x:f>IF(ISBLANK('_SCHEDULE'!D257),"",'_SCHEDULE'!D257)</x:f>
      </x:c>
      <x:c r="E289" s="530" t="str">
        <x:f>IF(ISBLANK('_SCHEDULE'!E257),"",'_SCHEDULE'!E257)</x:f>
      </x:c>
      <x:c r="F289" s="530" t="str">
        <x:f>IF(ISBLANK('_SCHEDULE'!F257),"",'_SCHEDULE'!F257)</x:f>
      </x:c>
      <x:c r="G289" s="530" t="str">
        <x:f>IF(ISBLANK('_SCHEDULE'!G257),"",'_SCHEDULE'!G257)</x:f>
      </x:c>
      <x:c r="H289" s="530" t="str">
        <x:f>IF(ISBLANK('_SCHEDULE'!H257),"",'_SCHEDULE'!H257)</x:f>
      </x:c>
      <x:c r="I289" s="530" t="str">
        <x:f>IF(ISBLANK('_SCHEDULE'!I257),"",'_SCHEDULE'!I257)</x:f>
      </x:c>
      <x:c r="J289" s="530" t="str">
        <x:f>IF(ISBLANK('_SCHEDULE'!J257),"",'_SCHEDULE'!J257)</x:f>
      </x:c>
      <x:c r="K289" s="530" t="str">
        <x:f>IF(ISBLANK('_SCHEDULE'!K257),"",'_SCHEDULE'!K257)</x:f>
      </x:c>
      <x:c r="L289" s="530" t="str">
        <x:f>IF(ISBLANK('_SCHEDULE'!L257),"",'_SCHEDULE'!L257)</x:f>
      </x:c>
      <x:c r="M289" s="530" t="str">
        <x:f>IF(ISBLANK('_SCHEDULE'!M257),"",'_SCHEDULE'!M257)</x:f>
      </x:c>
      <x:c r="N289" s="530" t="str">
        <x:f>IF(ISBLANK('_SCHEDULE'!N257),"",'_SCHEDULE'!N257)</x:f>
      </x:c>
      <x:c r="O289" s="530" t="str">
        <x:f>IF(ISBLANK('_SCHEDULE'!O257),"",'_SCHEDULE'!O257)</x:f>
      </x:c>
      <x:c r="P289" s="530" t="str">
        <x:f>IF(ISBLANK('_SCHEDULE'!P257),"",'_SCHEDULE'!P257)</x:f>
      </x:c>
      <x:c r="Q289" s="530" t="str">
        <x:f>IF(ISBLANK('_SCHEDULE'!Q257),"",'_SCHEDULE'!Q257)</x:f>
      </x:c>
      <x:c r="R289" s="530" t="str">
        <x:f>IF(ISBLANK('_SCHEDULE'!R257),"",'_SCHEDULE'!R257)</x:f>
      </x:c>
      <x:c r="S289" s="523" t="str">
        <x:f>IF(ISBLANK('_SCHEDULE'!S257),"",'_SCHEDULE'!S257)</x:f>
      </x:c>
      <x:c r="T289" s="38"/>
      <x:c r="U289" s="38"/>
      <x:c r="V289" s="38"/>
      <x:c r="W289" s="38"/>
      <x:c r="X289" s="38"/>
      <x:c r="Y289" s="38"/>
      <x:c r="Z289" s="38"/>
      <x:c r="AA289" s="38"/>
      <x:c r="AB289" s="38"/>
      <x:c r="AC289" s="38"/>
      <x:c r="AD289" s="38"/>
      <x:c r="AE289" s="38"/>
      <x:c r="AF289" s="38"/>
      <x:c r="AG289" s="38"/>
      <x:c r="AH289" s="38"/>
      <x:c r="AI289" s="38"/>
      <x:c r="AJ289" s="38"/>
      <x:c r="AK289" s="38"/>
      <x:c r="AL289" s="38"/>
      <x:c r="AM289" s="38"/>
    </x:row>
    <x:row r="290">
      <x:c r="A290" s="523" t="str">
        <x:f>IF(ISBLANK('_SCHEDULE'!A258),"",'_SCHEDULE'!A258)</x:f>
      </x:c>
      <x:c r="B290" s="523" t="str">
        <x:f>IF(ISBLANK('_SCHEDULE'!B258),"",IF('_CONFIG'!$B$2="pt-BR",IF('_SCHEDULE'!B258="scheduled","programado",IF('_SCHEDULE'!B258="rejected","rejeitado",'_SCHEDULE'!B258)),'_SCHEDULE'!B258))</x:f>
      </x:c>
      <x:c r="C290" s="523" t="str">
        <x:f>IF(ISBLANK('_SCHEDULE'!C258),"",'_SCHEDULE'!C258)</x:f>
      </x:c>
      <x:c r="D290" s="523" t="str">
        <x:f>IF(ISBLANK('_SCHEDULE'!D258),"",'_SCHEDULE'!D258)</x:f>
      </x:c>
      <x:c r="E290" s="530" t="str">
        <x:f>IF(ISBLANK('_SCHEDULE'!E258),"",'_SCHEDULE'!E258)</x:f>
      </x:c>
      <x:c r="F290" s="530" t="str">
        <x:f>IF(ISBLANK('_SCHEDULE'!F258),"",'_SCHEDULE'!F258)</x:f>
      </x:c>
      <x:c r="G290" s="530" t="str">
        <x:f>IF(ISBLANK('_SCHEDULE'!G258),"",'_SCHEDULE'!G258)</x:f>
      </x:c>
      <x:c r="H290" s="530" t="str">
        <x:f>IF(ISBLANK('_SCHEDULE'!H258),"",'_SCHEDULE'!H258)</x:f>
      </x:c>
      <x:c r="I290" s="530" t="str">
        <x:f>IF(ISBLANK('_SCHEDULE'!I258),"",'_SCHEDULE'!I258)</x:f>
      </x:c>
      <x:c r="J290" s="530" t="str">
        <x:f>IF(ISBLANK('_SCHEDULE'!J258),"",'_SCHEDULE'!J258)</x:f>
      </x:c>
      <x:c r="K290" s="530" t="str">
        <x:f>IF(ISBLANK('_SCHEDULE'!K258),"",'_SCHEDULE'!K258)</x:f>
      </x:c>
      <x:c r="L290" s="530" t="str">
        <x:f>IF(ISBLANK('_SCHEDULE'!L258),"",'_SCHEDULE'!L258)</x:f>
      </x:c>
      <x:c r="M290" s="530" t="str">
        <x:f>IF(ISBLANK('_SCHEDULE'!M258),"",'_SCHEDULE'!M258)</x:f>
      </x:c>
      <x:c r="N290" s="530" t="str">
        <x:f>IF(ISBLANK('_SCHEDULE'!N258),"",'_SCHEDULE'!N258)</x:f>
      </x:c>
      <x:c r="O290" s="530" t="str">
        <x:f>IF(ISBLANK('_SCHEDULE'!O258),"",'_SCHEDULE'!O258)</x:f>
      </x:c>
      <x:c r="P290" s="530" t="str">
        <x:f>IF(ISBLANK('_SCHEDULE'!P258),"",'_SCHEDULE'!P258)</x:f>
      </x:c>
      <x:c r="Q290" s="530" t="str">
        <x:f>IF(ISBLANK('_SCHEDULE'!Q258),"",'_SCHEDULE'!Q258)</x:f>
      </x:c>
      <x:c r="R290" s="530" t="str">
        <x:f>IF(ISBLANK('_SCHEDULE'!R258),"",'_SCHEDULE'!R258)</x:f>
      </x:c>
      <x:c r="S290" s="523" t="str">
        <x:f>IF(ISBLANK('_SCHEDULE'!S258),"",'_SCHEDULE'!S258)</x:f>
      </x:c>
      <x:c r="T290" s="38"/>
      <x:c r="U290" s="38"/>
      <x:c r="V290" s="38"/>
      <x:c r="W290" s="38"/>
      <x:c r="X290" s="38"/>
      <x:c r="Y290" s="38"/>
      <x:c r="Z290" s="38"/>
      <x:c r="AA290" s="38"/>
      <x:c r="AB290" s="38"/>
      <x:c r="AC290" s="38"/>
      <x:c r="AD290" s="38"/>
      <x:c r="AE290" s="38"/>
      <x:c r="AF290" s="38"/>
      <x:c r="AG290" s="38"/>
      <x:c r="AH290" s="38"/>
      <x:c r="AI290" s="38"/>
      <x:c r="AJ290" s="38"/>
      <x:c r="AK290" s="38"/>
      <x:c r="AL290" s="38"/>
      <x:c r="AM290" s="38"/>
    </x:row>
    <x:row r="291">
      <x:c r="A291" s="523" t="str">
        <x:f>IF(ISBLANK('_SCHEDULE'!A259),"",'_SCHEDULE'!A259)</x:f>
      </x:c>
      <x:c r="B291" s="523" t="str">
        <x:f>IF(ISBLANK('_SCHEDULE'!B259),"",IF('_CONFIG'!$B$2="pt-BR",IF('_SCHEDULE'!B259="scheduled","programado",IF('_SCHEDULE'!B259="rejected","rejeitado",'_SCHEDULE'!B259)),'_SCHEDULE'!B259))</x:f>
      </x:c>
      <x:c r="C291" s="523" t="str">
        <x:f>IF(ISBLANK('_SCHEDULE'!C259),"",'_SCHEDULE'!C259)</x:f>
      </x:c>
      <x:c r="D291" s="523" t="str">
        <x:f>IF(ISBLANK('_SCHEDULE'!D259),"",'_SCHEDULE'!D259)</x:f>
      </x:c>
      <x:c r="E291" s="530" t="str">
        <x:f>IF(ISBLANK('_SCHEDULE'!E259),"",'_SCHEDULE'!E259)</x:f>
      </x:c>
      <x:c r="F291" s="530" t="str">
        <x:f>IF(ISBLANK('_SCHEDULE'!F259),"",'_SCHEDULE'!F259)</x:f>
      </x:c>
      <x:c r="G291" s="530" t="str">
        <x:f>IF(ISBLANK('_SCHEDULE'!G259),"",'_SCHEDULE'!G259)</x:f>
      </x:c>
      <x:c r="H291" s="530" t="str">
        <x:f>IF(ISBLANK('_SCHEDULE'!H259),"",'_SCHEDULE'!H259)</x:f>
      </x:c>
      <x:c r="I291" s="530" t="str">
        <x:f>IF(ISBLANK('_SCHEDULE'!I259),"",'_SCHEDULE'!I259)</x:f>
      </x:c>
      <x:c r="J291" s="530" t="str">
        <x:f>IF(ISBLANK('_SCHEDULE'!J259),"",'_SCHEDULE'!J259)</x:f>
      </x:c>
      <x:c r="K291" s="530" t="str">
        <x:f>IF(ISBLANK('_SCHEDULE'!K259),"",'_SCHEDULE'!K259)</x:f>
      </x:c>
      <x:c r="L291" s="530" t="str">
        <x:f>IF(ISBLANK('_SCHEDULE'!L259),"",'_SCHEDULE'!L259)</x:f>
      </x:c>
      <x:c r="M291" s="530" t="str">
        <x:f>IF(ISBLANK('_SCHEDULE'!M259),"",'_SCHEDULE'!M259)</x:f>
      </x:c>
      <x:c r="N291" s="530" t="str">
        <x:f>IF(ISBLANK('_SCHEDULE'!N259),"",'_SCHEDULE'!N259)</x:f>
      </x:c>
      <x:c r="O291" s="530" t="str">
        <x:f>IF(ISBLANK('_SCHEDULE'!O259),"",'_SCHEDULE'!O259)</x:f>
      </x:c>
      <x:c r="P291" s="530" t="str">
        <x:f>IF(ISBLANK('_SCHEDULE'!P259),"",'_SCHEDULE'!P259)</x:f>
      </x:c>
      <x:c r="Q291" s="530" t="str">
        <x:f>IF(ISBLANK('_SCHEDULE'!Q259),"",'_SCHEDULE'!Q259)</x:f>
      </x:c>
      <x:c r="R291" s="530" t="str">
        <x:f>IF(ISBLANK('_SCHEDULE'!R259),"",'_SCHEDULE'!R259)</x:f>
      </x:c>
      <x:c r="S291" s="523" t="str">
        <x:f>IF(ISBLANK('_SCHEDULE'!S259),"",'_SCHEDULE'!S259)</x:f>
      </x:c>
      <x:c r="T291" s="38"/>
      <x:c r="U291" s="38"/>
      <x:c r="V291" s="38"/>
      <x:c r="W291" s="38"/>
      <x:c r="X291" s="38"/>
      <x:c r="Y291" s="38"/>
      <x:c r="Z291" s="38"/>
      <x:c r="AA291" s="38"/>
      <x:c r="AB291" s="38"/>
      <x:c r="AC291" s="38"/>
      <x:c r="AD291" s="38"/>
      <x:c r="AE291" s="38"/>
      <x:c r="AF291" s="38"/>
      <x:c r="AG291" s="38"/>
      <x:c r="AH291" s="38"/>
      <x:c r="AI291" s="38"/>
      <x:c r="AJ291" s="38"/>
      <x:c r="AK291" s="38"/>
      <x:c r="AL291" s="38"/>
      <x:c r="AM291" s="38"/>
    </x:row>
    <x:row r="292">
      <x:c r="A292" s="523" t="str">
        <x:f>IF(ISBLANK('_SCHEDULE'!A260),"",'_SCHEDULE'!A260)</x:f>
      </x:c>
      <x:c r="B292" s="523" t="str">
        <x:f>IF(ISBLANK('_SCHEDULE'!B260),"",IF('_CONFIG'!$B$2="pt-BR",IF('_SCHEDULE'!B260="scheduled","programado",IF('_SCHEDULE'!B260="rejected","rejeitado",'_SCHEDULE'!B260)),'_SCHEDULE'!B260))</x:f>
      </x:c>
      <x:c r="C292" s="523" t="str">
        <x:f>IF(ISBLANK('_SCHEDULE'!C260),"",'_SCHEDULE'!C260)</x:f>
      </x:c>
      <x:c r="D292" s="523" t="str">
        <x:f>IF(ISBLANK('_SCHEDULE'!D260),"",'_SCHEDULE'!D260)</x:f>
      </x:c>
      <x:c r="E292" s="530" t="str">
        <x:f>IF(ISBLANK('_SCHEDULE'!E260),"",'_SCHEDULE'!E260)</x:f>
      </x:c>
      <x:c r="F292" s="530" t="str">
        <x:f>IF(ISBLANK('_SCHEDULE'!F260),"",'_SCHEDULE'!F260)</x:f>
      </x:c>
      <x:c r="G292" s="530" t="str">
        <x:f>IF(ISBLANK('_SCHEDULE'!G260),"",'_SCHEDULE'!G260)</x:f>
      </x:c>
      <x:c r="H292" s="530" t="str">
        <x:f>IF(ISBLANK('_SCHEDULE'!H260),"",'_SCHEDULE'!H260)</x:f>
      </x:c>
      <x:c r="I292" s="530" t="str">
        <x:f>IF(ISBLANK('_SCHEDULE'!I260),"",'_SCHEDULE'!I260)</x:f>
      </x:c>
      <x:c r="J292" s="530" t="str">
        <x:f>IF(ISBLANK('_SCHEDULE'!J260),"",'_SCHEDULE'!J260)</x:f>
      </x:c>
      <x:c r="K292" s="530" t="str">
        <x:f>IF(ISBLANK('_SCHEDULE'!K260),"",'_SCHEDULE'!K260)</x:f>
      </x:c>
      <x:c r="L292" s="530" t="str">
        <x:f>IF(ISBLANK('_SCHEDULE'!L260),"",'_SCHEDULE'!L260)</x:f>
      </x:c>
      <x:c r="M292" s="530" t="str">
        <x:f>IF(ISBLANK('_SCHEDULE'!M260),"",'_SCHEDULE'!M260)</x:f>
      </x:c>
      <x:c r="N292" s="530" t="str">
        <x:f>IF(ISBLANK('_SCHEDULE'!N260),"",'_SCHEDULE'!N260)</x:f>
      </x:c>
      <x:c r="O292" s="530" t="str">
        <x:f>IF(ISBLANK('_SCHEDULE'!O260),"",'_SCHEDULE'!O260)</x:f>
      </x:c>
      <x:c r="P292" s="530" t="str">
        <x:f>IF(ISBLANK('_SCHEDULE'!P260),"",'_SCHEDULE'!P260)</x:f>
      </x:c>
      <x:c r="Q292" s="530" t="str">
        <x:f>IF(ISBLANK('_SCHEDULE'!Q260),"",'_SCHEDULE'!Q260)</x:f>
      </x:c>
      <x:c r="R292" s="530" t="str">
        <x:f>IF(ISBLANK('_SCHEDULE'!R260),"",'_SCHEDULE'!R260)</x:f>
      </x:c>
      <x:c r="S292" s="523" t="str">
        <x:f>IF(ISBLANK('_SCHEDULE'!S260),"",'_SCHEDULE'!S260)</x:f>
      </x:c>
      <x:c r="T292" s="38"/>
      <x:c r="U292" s="38"/>
      <x:c r="V292" s="38"/>
      <x:c r="W292" s="38"/>
      <x:c r="X292" s="38"/>
      <x:c r="Y292" s="38"/>
      <x:c r="Z292" s="38"/>
      <x:c r="AA292" s="38"/>
      <x:c r="AB292" s="38"/>
      <x:c r="AC292" s="38"/>
      <x:c r="AD292" s="38"/>
      <x:c r="AE292" s="38"/>
      <x:c r="AF292" s="38"/>
      <x:c r="AG292" s="38"/>
      <x:c r="AH292" s="38"/>
      <x:c r="AI292" s="38"/>
      <x:c r="AJ292" s="38"/>
      <x:c r="AK292" s="38"/>
      <x:c r="AL292" s="38"/>
      <x:c r="AM292" s="38"/>
    </x:row>
    <x:row r="293">
      <x:c r="A293" s="523" t="str">
        <x:f>IF(ISBLANK('_SCHEDULE'!A261),"",'_SCHEDULE'!A261)</x:f>
      </x:c>
      <x:c r="B293" s="523" t="str">
        <x:f>IF(ISBLANK('_SCHEDULE'!B261),"",IF('_CONFIG'!$B$2="pt-BR",IF('_SCHEDULE'!B261="scheduled","programado",IF('_SCHEDULE'!B261="rejected","rejeitado",'_SCHEDULE'!B261)),'_SCHEDULE'!B261))</x:f>
      </x:c>
      <x:c r="C293" s="523" t="str">
        <x:f>IF(ISBLANK('_SCHEDULE'!C261),"",'_SCHEDULE'!C261)</x:f>
      </x:c>
      <x:c r="D293" s="523" t="str">
        <x:f>IF(ISBLANK('_SCHEDULE'!D261),"",'_SCHEDULE'!D261)</x:f>
      </x:c>
      <x:c r="E293" s="530" t="str">
        <x:f>IF(ISBLANK('_SCHEDULE'!E261),"",'_SCHEDULE'!E261)</x:f>
      </x:c>
      <x:c r="F293" s="530" t="str">
        <x:f>IF(ISBLANK('_SCHEDULE'!F261),"",'_SCHEDULE'!F261)</x:f>
      </x:c>
      <x:c r="G293" s="530" t="str">
        <x:f>IF(ISBLANK('_SCHEDULE'!G261),"",'_SCHEDULE'!G261)</x:f>
      </x:c>
      <x:c r="H293" s="530" t="str">
        <x:f>IF(ISBLANK('_SCHEDULE'!H261),"",'_SCHEDULE'!H261)</x:f>
      </x:c>
      <x:c r="I293" s="530" t="str">
        <x:f>IF(ISBLANK('_SCHEDULE'!I261),"",'_SCHEDULE'!I261)</x:f>
      </x:c>
      <x:c r="J293" s="530" t="str">
        <x:f>IF(ISBLANK('_SCHEDULE'!J261),"",'_SCHEDULE'!J261)</x:f>
      </x:c>
      <x:c r="K293" s="530" t="str">
        <x:f>IF(ISBLANK('_SCHEDULE'!K261),"",'_SCHEDULE'!K261)</x:f>
      </x:c>
      <x:c r="L293" s="530" t="str">
        <x:f>IF(ISBLANK('_SCHEDULE'!L261),"",'_SCHEDULE'!L261)</x:f>
      </x:c>
      <x:c r="M293" s="530" t="str">
        <x:f>IF(ISBLANK('_SCHEDULE'!M261),"",'_SCHEDULE'!M261)</x:f>
      </x:c>
      <x:c r="N293" s="530" t="str">
        <x:f>IF(ISBLANK('_SCHEDULE'!N261),"",'_SCHEDULE'!N261)</x:f>
      </x:c>
      <x:c r="O293" s="530" t="str">
        <x:f>IF(ISBLANK('_SCHEDULE'!O261),"",'_SCHEDULE'!O261)</x:f>
      </x:c>
      <x:c r="P293" s="530" t="str">
        <x:f>IF(ISBLANK('_SCHEDULE'!P261),"",'_SCHEDULE'!P261)</x:f>
      </x:c>
      <x:c r="Q293" s="530" t="str">
        <x:f>IF(ISBLANK('_SCHEDULE'!Q261),"",'_SCHEDULE'!Q261)</x:f>
      </x:c>
      <x:c r="R293" s="530" t="str">
        <x:f>IF(ISBLANK('_SCHEDULE'!R261),"",'_SCHEDULE'!R261)</x:f>
      </x:c>
      <x:c r="S293" s="523" t="str">
        <x:f>IF(ISBLANK('_SCHEDULE'!S261),"",'_SCHEDULE'!S261)</x:f>
      </x:c>
      <x:c r="T293" s="38"/>
      <x:c r="U293" s="38"/>
      <x:c r="V293" s="38"/>
      <x:c r="W293" s="38"/>
      <x:c r="X293" s="38"/>
      <x:c r="Y293" s="38"/>
      <x:c r="Z293" s="38"/>
      <x:c r="AA293" s="38"/>
      <x:c r="AB293" s="38"/>
      <x:c r="AC293" s="38"/>
      <x:c r="AD293" s="38"/>
      <x:c r="AE293" s="38"/>
      <x:c r="AF293" s="38"/>
      <x:c r="AG293" s="38"/>
      <x:c r="AH293" s="38"/>
      <x:c r="AI293" s="38"/>
      <x:c r="AJ293" s="38"/>
      <x:c r="AK293" s="38"/>
      <x:c r="AL293" s="38"/>
      <x:c r="AM293" s="38"/>
    </x:row>
    <x:row r="294">
      <x:c r="A294" s="523" t="str">
        <x:f>IF(ISBLANK('_SCHEDULE'!A262),"",'_SCHEDULE'!A262)</x:f>
      </x:c>
      <x:c r="B294" s="523" t="str">
        <x:f>IF(ISBLANK('_SCHEDULE'!B262),"",IF('_CONFIG'!$B$2="pt-BR",IF('_SCHEDULE'!B262="scheduled","programado",IF('_SCHEDULE'!B262="rejected","rejeitado",'_SCHEDULE'!B262)),'_SCHEDULE'!B262))</x:f>
      </x:c>
      <x:c r="C294" s="523" t="str">
        <x:f>IF(ISBLANK('_SCHEDULE'!C262),"",'_SCHEDULE'!C262)</x:f>
      </x:c>
      <x:c r="D294" s="523" t="str">
        <x:f>IF(ISBLANK('_SCHEDULE'!D262),"",'_SCHEDULE'!D262)</x:f>
      </x:c>
      <x:c r="E294" s="530" t="str">
        <x:f>IF(ISBLANK('_SCHEDULE'!E262),"",'_SCHEDULE'!E262)</x:f>
      </x:c>
      <x:c r="F294" s="530" t="str">
        <x:f>IF(ISBLANK('_SCHEDULE'!F262),"",'_SCHEDULE'!F262)</x:f>
      </x:c>
      <x:c r="G294" s="530" t="str">
        <x:f>IF(ISBLANK('_SCHEDULE'!G262),"",'_SCHEDULE'!G262)</x:f>
      </x:c>
      <x:c r="H294" s="530" t="str">
        <x:f>IF(ISBLANK('_SCHEDULE'!H262),"",'_SCHEDULE'!H262)</x:f>
      </x:c>
      <x:c r="I294" s="530" t="str">
        <x:f>IF(ISBLANK('_SCHEDULE'!I262),"",'_SCHEDULE'!I262)</x:f>
      </x:c>
      <x:c r="J294" s="530" t="str">
        <x:f>IF(ISBLANK('_SCHEDULE'!J262),"",'_SCHEDULE'!J262)</x:f>
      </x:c>
      <x:c r="K294" s="530" t="str">
        <x:f>IF(ISBLANK('_SCHEDULE'!K262),"",'_SCHEDULE'!K262)</x:f>
      </x:c>
      <x:c r="L294" s="530" t="str">
        <x:f>IF(ISBLANK('_SCHEDULE'!L262),"",'_SCHEDULE'!L262)</x:f>
      </x:c>
      <x:c r="M294" s="530" t="str">
        <x:f>IF(ISBLANK('_SCHEDULE'!M262),"",'_SCHEDULE'!M262)</x:f>
      </x:c>
      <x:c r="N294" s="530" t="str">
        <x:f>IF(ISBLANK('_SCHEDULE'!N262),"",'_SCHEDULE'!N262)</x:f>
      </x:c>
      <x:c r="O294" s="530" t="str">
        <x:f>IF(ISBLANK('_SCHEDULE'!O262),"",'_SCHEDULE'!O262)</x:f>
      </x:c>
      <x:c r="P294" s="530" t="str">
        <x:f>IF(ISBLANK('_SCHEDULE'!P262),"",'_SCHEDULE'!P262)</x:f>
      </x:c>
      <x:c r="Q294" s="530" t="str">
        <x:f>IF(ISBLANK('_SCHEDULE'!Q262),"",'_SCHEDULE'!Q262)</x:f>
      </x:c>
      <x:c r="R294" s="530" t="str">
        <x:f>IF(ISBLANK('_SCHEDULE'!R262),"",'_SCHEDULE'!R262)</x:f>
      </x:c>
      <x:c r="S294" s="523" t="str">
        <x:f>IF(ISBLANK('_SCHEDULE'!S262),"",'_SCHEDULE'!S262)</x:f>
      </x:c>
      <x:c r="T294" s="38"/>
      <x:c r="U294" s="38"/>
      <x:c r="V294" s="38"/>
      <x:c r="W294" s="38"/>
      <x:c r="X294" s="38"/>
      <x:c r="Y294" s="38"/>
      <x:c r="Z294" s="38"/>
      <x:c r="AA294" s="38"/>
      <x:c r="AB294" s="38"/>
      <x:c r="AC294" s="38"/>
      <x:c r="AD294" s="38"/>
      <x:c r="AE294" s="38"/>
      <x:c r="AF294" s="38"/>
      <x:c r="AG294" s="38"/>
      <x:c r="AH294" s="38"/>
      <x:c r="AI294" s="38"/>
      <x:c r="AJ294" s="38"/>
      <x:c r="AK294" s="38"/>
      <x:c r="AL294" s="38"/>
      <x:c r="AM294" s="38"/>
    </x:row>
    <x:row r="295">
      <x:c r="A295" s="523" t="str">
        <x:f>IF(ISBLANK('_SCHEDULE'!A263),"",'_SCHEDULE'!A263)</x:f>
      </x:c>
      <x:c r="B295" s="523" t="str">
        <x:f>IF(ISBLANK('_SCHEDULE'!B263),"",IF('_CONFIG'!$B$2="pt-BR",IF('_SCHEDULE'!B263="scheduled","programado",IF('_SCHEDULE'!B263="rejected","rejeitado",'_SCHEDULE'!B263)),'_SCHEDULE'!B263))</x:f>
      </x:c>
      <x:c r="C295" s="523" t="str">
        <x:f>IF(ISBLANK('_SCHEDULE'!C263),"",'_SCHEDULE'!C263)</x:f>
      </x:c>
      <x:c r="D295" s="523" t="str">
        <x:f>IF(ISBLANK('_SCHEDULE'!D263),"",'_SCHEDULE'!D263)</x:f>
      </x:c>
      <x:c r="E295" s="530" t="str">
        <x:f>IF(ISBLANK('_SCHEDULE'!E263),"",'_SCHEDULE'!E263)</x:f>
      </x:c>
      <x:c r="F295" s="530" t="str">
        <x:f>IF(ISBLANK('_SCHEDULE'!F263),"",'_SCHEDULE'!F263)</x:f>
      </x:c>
      <x:c r="G295" s="530" t="str">
        <x:f>IF(ISBLANK('_SCHEDULE'!G263),"",'_SCHEDULE'!G263)</x:f>
      </x:c>
      <x:c r="H295" s="530" t="str">
        <x:f>IF(ISBLANK('_SCHEDULE'!H263),"",'_SCHEDULE'!H263)</x:f>
      </x:c>
      <x:c r="I295" s="530" t="str">
        <x:f>IF(ISBLANK('_SCHEDULE'!I263),"",'_SCHEDULE'!I263)</x:f>
      </x:c>
      <x:c r="J295" s="530" t="str">
        <x:f>IF(ISBLANK('_SCHEDULE'!J263),"",'_SCHEDULE'!J263)</x:f>
      </x:c>
      <x:c r="K295" s="530" t="str">
        <x:f>IF(ISBLANK('_SCHEDULE'!K263),"",'_SCHEDULE'!K263)</x:f>
      </x:c>
      <x:c r="L295" s="530" t="str">
        <x:f>IF(ISBLANK('_SCHEDULE'!L263),"",'_SCHEDULE'!L263)</x:f>
      </x:c>
      <x:c r="M295" s="530" t="str">
        <x:f>IF(ISBLANK('_SCHEDULE'!M263),"",'_SCHEDULE'!M263)</x:f>
      </x:c>
      <x:c r="N295" s="530" t="str">
        <x:f>IF(ISBLANK('_SCHEDULE'!N263),"",'_SCHEDULE'!N263)</x:f>
      </x:c>
      <x:c r="O295" s="530" t="str">
        <x:f>IF(ISBLANK('_SCHEDULE'!O263),"",'_SCHEDULE'!O263)</x:f>
      </x:c>
      <x:c r="P295" s="530" t="str">
        <x:f>IF(ISBLANK('_SCHEDULE'!P263),"",'_SCHEDULE'!P263)</x:f>
      </x:c>
      <x:c r="Q295" s="530" t="str">
        <x:f>IF(ISBLANK('_SCHEDULE'!Q263),"",'_SCHEDULE'!Q263)</x:f>
      </x:c>
      <x:c r="R295" s="530" t="str">
        <x:f>IF(ISBLANK('_SCHEDULE'!R263),"",'_SCHEDULE'!R263)</x:f>
      </x:c>
      <x:c r="S295" s="523" t="str">
        <x:f>IF(ISBLANK('_SCHEDULE'!S263),"",'_SCHEDULE'!S263)</x:f>
      </x:c>
      <x:c r="T295" s="38"/>
      <x:c r="U295" s="38"/>
      <x:c r="V295" s="38"/>
      <x:c r="W295" s="38"/>
      <x:c r="X295" s="38"/>
      <x:c r="Y295" s="38"/>
      <x:c r="Z295" s="38"/>
      <x:c r="AA295" s="38"/>
      <x:c r="AB295" s="38"/>
      <x:c r="AC295" s="38"/>
      <x:c r="AD295" s="38"/>
      <x:c r="AE295" s="38"/>
      <x:c r="AF295" s="38"/>
      <x:c r="AG295" s="38"/>
      <x:c r="AH295" s="38"/>
      <x:c r="AI295" s="38"/>
      <x:c r="AJ295" s="38"/>
      <x:c r="AK295" s="38"/>
      <x:c r="AL295" s="38"/>
      <x:c r="AM295" s="38"/>
    </x:row>
    <x:row r="296">
      <x:c r="A296" s="523" t="str">
        <x:f>IF(ISBLANK('_SCHEDULE'!A264),"",'_SCHEDULE'!A264)</x:f>
      </x:c>
      <x:c r="B296" s="523" t="str">
        <x:f>IF(ISBLANK('_SCHEDULE'!B264),"",IF('_CONFIG'!$B$2="pt-BR",IF('_SCHEDULE'!B264="scheduled","programado",IF('_SCHEDULE'!B264="rejected","rejeitado",'_SCHEDULE'!B264)),'_SCHEDULE'!B264))</x:f>
      </x:c>
      <x:c r="C296" s="523" t="str">
        <x:f>IF(ISBLANK('_SCHEDULE'!C264),"",'_SCHEDULE'!C264)</x:f>
      </x:c>
      <x:c r="D296" s="523" t="str">
        <x:f>IF(ISBLANK('_SCHEDULE'!D264),"",'_SCHEDULE'!D264)</x:f>
      </x:c>
      <x:c r="E296" s="530" t="str">
        <x:f>IF(ISBLANK('_SCHEDULE'!E264),"",'_SCHEDULE'!E264)</x:f>
      </x:c>
      <x:c r="F296" s="530" t="str">
        <x:f>IF(ISBLANK('_SCHEDULE'!F264),"",'_SCHEDULE'!F264)</x:f>
      </x:c>
      <x:c r="G296" s="530" t="str">
        <x:f>IF(ISBLANK('_SCHEDULE'!G264),"",'_SCHEDULE'!G264)</x:f>
      </x:c>
      <x:c r="H296" s="530" t="str">
        <x:f>IF(ISBLANK('_SCHEDULE'!H264),"",'_SCHEDULE'!H264)</x:f>
      </x:c>
      <x:c r="I296" s="530" t="str">
        <x:f>IF(ISBLANK('_SCHEDULE'!I264),"",'_SCHEDULE'!I264)</x:f>
      </x:c>
      <x:c r="J296" s="530" t="str">
        <x:f>IF(ISBLANK('_SCHEDULE'!J264),"",'_SCHEDULE'!J264)</x:f>
      </x:c>
      <x:c r="K296" s="530" t="str">
        <x:f>IF(ISBLANK('_SCHEDULE'!K264),"",'_SCHEDULE'!K264)</x:f>
      </x:c>
      <x:c r="L296" s="530" t="str">
        <x:f>IF(ISBLANK('_SCHEDULE'!L264),"",'_SCHEDULE'!L264)</x:f>
      </x:c>
      <x:c r="M296" s="530" t="str">
        <x:f>IF(ISBLANK('_SCHEDULE'!M264),"",'_SCHEDULE'!M264)</x:f>
      </x:c>
      <x:c r="N296" s="530" t="str">
        <x:f>IF(ISBLANK('_SCHEDULE'!N264),"",'_SCHEDULE'!N264)</x:f>
      </x:c>
      <x:c r="O296" s="530" t="str">
        <x:f>IF(ISBLANK('_SCHEDULE'!O264),"",'_SCHEDULE'!O264)</x:f>
      </x:c>
      <x:c r="P296" s="530" t="str">
        <x:f>IF(ISBLANK('_SCHEDULE'!P264),"",'_SCHEDULE'!P264)</x:f>
      </x:c>
      <x:c r="Q296" s="530" t="str">
        <x:f>IF(ISBLANK('_SCHEDULE'!Q264),"",'_SCHEDULE'!Q264)</x:f>
      </x:c>
      <x:c r="R296" s="530" t="str">
        <x:f>IF(ISBLANK('_SCHEDULE'!R264),"",'_SCHEDULE'!R264)</x:f>
      </x:c>
      <x:c r="S296" s="523" t="str">
        <x:f>IF(ISBLANK('_SCHEDULE'!S264),"",'_SCHEDULE'!S264)</x:f>
      </x:c>
      <x:c r="T296" s="38"/>
      <x:c r="U296" s="38"/>
      <x:c r="V296" s="38"/>
      <x:c r="W296" s="38"/>
      <x:c r="X296" s="38"/>
      <x:c r="Y296" s="38"/>
      <x:c r="Z296" s="38"/>
      <x:c r="AA296" s="38"/>
      <x:c r="AB296" s="38"/>
      <x:c r="AC296" s="38"/>
      <x:c r="AD296" s="38"/>
      <x:c r="AE296" s="38"/>
      <x:c r="AF296" s="38"/>
      <x:c r="AG296" s="38"/>
      <x:c r="AH296" s="38"/>
      <x:c r="AI296" s="38"/>
      <x:c r="AJ296" s="38"/>
      <x:c r="AK296" s="38"/>
      <x:c r="AL296" s="38"/>
      <x:c r="AM296" s="38"/>
    </x:row>
    <x:row r="297">
      <x:c r="A297" s="523" t="str">
        <x:f>IF(ISBLANK('_SCHEDULE'!A265),"",'_SCHEDULE'!A265)</x:f>
      </x:c>
      <x:c r="B297" s="523" t="str">
        <x:f>IF(ISBLANK('_SCHEDULE'!B265),"",IF('_CONFIG'!$B$2="pt-BR",IF('_SCHEDULE'!B265="scheduled","programado",IF('_SCHEDULE'!B265="rejected","rejeitado",'_SCHEDULE'!B265)),'_SCHEDULE'!B265))</x:f>
      </x:c>
      <x:c r="C297" s="523" t="str">
        <x:f>IF(ISBLANK('_SCHEDULE'!C265),"",'_SCHEDULE'!C265)</x:f>
      </x:c>
      <x:c r="D297" s="523" t="str">
        <x:f>IF(ISBLANK('_SCHEDULE'!D265),"",'_SCHEDULE'!D265)</x:f>
      </x:c>
      <x:c r="E297" s="530" t="str">
        <x:f>IF(ISBLANK('_SCHEDULE'!E265),"",'_SCHEDULE'!E265)</x:f>
      </x:c>
      <x:c r="F297" s="530" t="str">
        <x:f>IF(ISBLANK('_SCHEDULE'!F265),"",'_SCHEDULE'!F265)</x:f>
      </x:c>
      <x:c r="G297" s="530" t="str">
        <x:f>IF(ISBLANK('_SCHEDULE'!G265),"",'_SCHEDULE'!G265)</x:f>
      </x:c>
      <x:c r="H297" s="530" t="str">
        <x:f>IF(ISBLANK('_SCHEDULE'!H265),"",'_SCHEDULE'!H265)</x:f>
      </x:c>
      <x:c r="I297" s="530" t="str">
        <x:f>IF(ISBLANK('_SCHEDULE'!I265),"",'_SCHEDULE'!I265)</x:f>
      </x:c>
      <x:c r="J297" s="530" t="str">
        <x:f>IF(ISBLANK('_SCHEDULE'!J265),"",'_SCHEDULE'!J265)</x:f>
      </x:c>
      <x:c r="K297" s="530" t="str">
        <x:f>IF(ISBLANK('_SCHEDULE'!K265),"",'_SCHEDULE'!K265)</x:f>
      </x:c>
      <x:c r="L297" s="530" t="str">
        <x:f>IF(ISBLANK('_SCHEDULE'!L265),"",'_SCHEDULE'!L265)</x:f>
      </x:c>
      <x:c r="M297" s="530" t="str">
        <x:f>IF(ISBLANK('_SCHEDULE'!M265),"",'_SCHEDULE'!M265)</x:f>
      </x:c>
      <x:c r="N297" s="530" t="str">
        <x:f>IF(ISBLANK('_SCHEDULE'!N265),"",'_SCHEDULE'!N265)</x:f>
      </x:c>
      <x:c r="O297" s="530" t="str">
        <x:f>IF(ISBLANK('_SCHEDULE'!O265),"",'_SCHEDULE'!O265)</x:f>
      </x:c>
      <x:c r="P297" s="530" t="str">
        <x:f>IF(ISBLANK('_SCHEDULE'!P265),"",'_SCHEDULE'!P265)</x:f>
      </x:c>
      <x:c r="Q297" s="530" t="str">
        <x:f>IF(ISBLANK('_SCHEDULE'!Q265),"",'_SCHEDULE'!Q265)</x:f>
      </x:c>
      <x:c r="R297" s="530" t="str">
        <x:f>IF(ISBLANK('_SCHEDULE'!R265),"",'_SCHEDULE'!R265)</x:f>
      </x:c>
      <x:c r="S297" s="523" t="str">
        <x:f>IF(ISBLANK('_SCHEDULE'!S265),"",'_SCHEDULE'!S265)</x:f>
      </x:c>
      <x:c r="T297" s="38"/>
      <x:c r="U297" s="38"/>
      <x:c r="V297" s="38"/>
      <x:c r="W297" s="38"/>
      <x:c r="X297" s="38"/>
      <x:c r="Y297" s="38"/>
      <x:c r="Z297" s="38"/>
      <x:c r="AA297" s="38"/>
      <x:c r="AB297" s="38"/>
      <x:c r="AC297" s="38"/>
      <x:c r="AD297" s="38"/>
      <x:c r="AE297" s="38"/>
      <x:c r="AF297" s="38"/>
      <x:c r="AG297" s="38"/>
      <x:c r="AH297" s="38"/>
      <x:c r="AI297" s="38"/>
      <x:c r="AJ297" s="38"/>
      <x:c r="AK297" s="38"/>
      <x:c r="AL297" s="38"/>
      <x:c r="AM297" s="38"/>
    </x:row>
    <x:row r="298">
      <x:c r="A298" s="523" t="str">
        <x:f>IF(ISBLANK('_SCHEDULE'!A266),"",'_SCHEDULE'!A266)</x:f>
      </x:c>
      <x:c r="B298" s="523" t="str">
        <x:f>IF(ISBLANK('_SCHEDULE'!B266),"",IF('_CONFIG'!$B$2="pt-BR",IF('_SCHEDULE'!B266="scheduled","programado",IF('_SCHEDULE'!B266="rejected","rejeitado",'_SCHEDULE'!B266)),'_SCHEDULE'!B266))</x:f>
      </x:c>
      <x:c r="C298" s="523" t="str">
        <x:f>IF(ISBLANK('_SCHEDULE'!C266),"",'_SCHEDULE'!C266)</x:f>
      </x:c>
      <x:c r="D298" s="523" t="str">
        <x:f>IF(ISBLANK('_SCHEDULE'!D266),"",'_SCHEDULE'!D266)</x:f>
      </x:c>
      <x:c r="E298" s="530" t="str">
        <x:f>IF(ISBLANK('_SCHEDULE'!E266),"",'_SCHEDULE'!E266)</x:f>
      </x:c>
      <x:c r="F298" s="530" t="str">
        <x:f>IF(ISBLANK('_SCHEDULE'!F266),"",'_SCHEDULE'!F266)</x:f>
      </x:c>
      <x:c r="G298" s="530" t="str">
        <x:f>IF(ISBLANK('_SCHEDULE'!G266),"",'_SCHEDULE'!G266)</x:f>
      </x:c>
      <x:c r="H298" s="530" t="str">
        <x:f>IF(ISBLANK('_SCHEDULE'!H266),"",'_SCHEDULE'!H266)</x:f>
      </x:c>
      <x:c r="I298" s="530" t="str">
        <x:f>IF(ISBLANK('_SCHEDULE'!I266),"",'_SCHEDULE'!I266)</x:f>
      </x:c>
      <x:c r="J298" s="530" t="str">
        <x:f>IF(ISBLANK('_SCHEDULE'!J266),"",'_SCHEDULE'!J266)</x:f>
      </x:c>
      <x:c r="K298" s="530" t="str">
        <x:f>IF(ISBLANK('_SCHEDULE'!K266),"",'_SCHEDULE'!K266)</x:f>
      </x:c>
      <x:c r="L298" s="530" t="str">
        <x:f>IF(ISBLANK('_SCHEDULE'!L266),"",'_SCHEDULE'!L266)</x:f>
      </x:c>
      <x:c r="M298" s="530" t="str">
        <x:f>IF(ISBLANK('_SCHEDULE'!M266),"",'_SCHEDULE'!M266)</x:f>
      </x:c>
      <x:c r="N298" s="530" t="str">
        <x:f>IF(ISBLANK('_SCHEDULE'!N266),"",'_SCHEDULE'!N266)</x:f>
      </x:c>
      <x:c r="O298" s="530" t="str">
        <x:f>IF(ISBLANK('_SCHEDULE'!O266),"",'_SCHEDULE'!O266)</x:f>
      </x:c>
      <x:c r="P298" s="530" t="str">
        <x:f>IF(ISBLANK('_SCHEDULE'!P266),"",'_SCHEDULE'!P266)</x:f>
      </x:c>
      <x:c r="Q298" s="530" t="str">
        <x:f>IF(ISBLANK('_SCHEDULE'!Q266),"",'_SCHEDULE'!Q266)</x:f>
      </x:c>
      <x:c r="R298" s="530" t="str">
        <x:f>IF(ISBLANK('_SCHEDULE'!R266),"",'_SCHEDULE'!R266)</x:f>
      </x:c>
      <x:c r="S298" s="523" t="str">
        <x:f>IF(ISBLANK('_SCHEDULE'!S266),"",'_SCHEDULE'!S266)</x:f>
      </x:c>
      <x:c r="T298" s="38"/>
      <x:c r="U298" s="38"/>
      <x:c r="V298" s="38"/>
      <x:c r="W298" s="38"/>
      <x:c r="X298" s="38"/>
      <x:c r="Y298" s="38"/>
      <x:c r="Z298" s="38"/>
      <x:c r="AA298" s="38"/>
      <x:c r="AB298" s="38"/>
      <x:c r="AC298" s="38"/>
      <x:c r="AD298" s="38"/>
      <x:c r="AE298" s="38"/>
      <x:c r="AF298" s="38"/>
      <x:c r="AG298" s="38"/>
      <x:c r="AH298" s="38"/>
      <x:c r="AI298" s="38"/>
      <x:c r="AJ298" s="38"/>
      <x:c r="AK298" s="38"/>
      <x:c r="AL298" s="38"/>
      <x:c r="AM298" s="38"/>
    </x:row>
    <x:row r="299">
      <x:c r="A299" s="523" t="str">
        <x:f>IF(ISBLANK('_SCHEDULE'!A267),"",'_SCHEDULE'!A267)</x:f>
      </x:c>
      <x:c r="B299" s="523" t="str">
        <x:f>IF(ISBLANK('_SCHEDULE'!B267),"",IF('_CONFIG'!$B$2="pt-BR",IF('_SCHEDULE'!B267="scheduled","programado",IF('_SCHEDULE'!B267="rejected","rejeitado",'_SCHEDULE'!B267)),'_SCHEDULE'!B267))</x:f>
      </x:c>
      <x:c r="C299" s="523" t="str">
        <x:f>IF(ISBLANK('_SCHEDULE'!C267),"",'_SCHEDULE'!C267)</x:f>
      </x:c>
      <x:c r="D299" s="523" t="str">
        <x:f>IF(ISBLANK('_SCHEDULE'!D267),"",'_SCHEDULE'!D267)</x:f>
      </x:c>
      <x:c r="E299" s="530" t="str">
        <x:f>IF(ISBLANK('_SCHEDULE'!E267),"",'_SCHEDULE'!E267)</x:f>
      </x:c>
      <x:c r="F299" s="530" t="str">
        <x:f>IF(ISBLANK('_SCHEDULE'!F267),"",'_SCHEDULE'!F267)</x:f>
      </x:c>
      <x:c r="G299" s="530" t="str">
        <x:f>IF(ISBLANK('_SCHEDULE'!G267),"",'_SCHEDULE'!G267)</x:f>
      </x:c>
      <x:c r="H299" s="530" t="str">
        <x:f>IF(ISBLANK('_SCHEDULE'!H267),"",'_SCHEDULE'!H267)</x:f>
      </x:c>
      <x:c r="I299" s="530" t="str">
        <x:f>IF(ISBLANK('_SCHEDULE'!I267),"",'_SCHEDULE'!I267)</x:f>
      </x:c>
      <x:c r="J299" s="530" t="str">
        <x:f>IF(ISBLANK('_SCHEDULE'!J267),"",'_SCHEDULE'!J267)</x:f>
      </x:c>
      <x:c r="K299" s="530" t="str">
        <x:f>IF(ISBLANK('_SCHEDULE'!K267),"",'_SCHEDULE'!K267)</x:f>
      </x:c>
      <x:c r="L299" s="530" t="str">
        <x:f>IF(ISBLANK('_SCHEDULE'!L267),"",'_SCHEDULE'!L267)</x:f>
      </x:c>
      <x:c r="M299" s="530" t="str">
        <x:f>IF(ISBLANK('_SCHEDULE'!M267),"",'_SCHEDULE'!M267)</x:f>
      </x:c>
      <x:c r="N299" s="530" t="str">
        <x:f>IF(ISBLANK('_SCHEDULE'!N267),"",'_SCHEDULE'!N267)</x:f>
      </x:c>
      <x:c r="O299" s="530" t="str">
        <x:f>IF(ISBLANK('_SCHEDULE'!O267),"",'_SCHEDULE'!O267)</x:f>
      </x:c>
      <x:c r="P299" s="530" t="str">
        <x:f>IF(ISBLANK('_SCHEDULE'!P267),"",'_SCHEDULE'!P267)</x:f>
      </x:c>
      <x:c r="Q299" s="530" t="str">
        <x:f>IF(ISBLANK('_SCHEDULE'!Q267),"",'_SCHEDULE'!Q267)</x:f>
      </x:c>
      <x:c r="R299" s="530" t="str">
        <x:f>IF(ISBLANK('_SCHEDULE'!R267),"",'_SCHEDULE'!R267)</x:f>
      </x:c>
      <x:c r="S299" s="523" t="str">
        <x:f>IF(ISBLANK('_SCHEDULE'!S267),"",'_SCHEDULE'!S267)</x:f>
      </x:c>
      <x:c r="T299" s="38"/>
      <x:c r="U299" s="38"/>
      <x:c r="V299" s="38"/>
      <x:c r="W299" s="38"/>
      <x:c r="X299" s="38"/>
      <x:c r="Y299" s="38"/>
      <x:c r="Z299" s="38"/>
      <x:c r="AA299" s="38"/>
      <x:c r="AB299" s="38"/>
      <x:c r="AC299" s="38"/>
      <x:c r="AD299" s="38"/>
      <x:c r="AE299" s="38"/>
      <x:c r="AF299" s="38"/>
      <x:c r="AG299" s="38"/>
      <x:c r="AH299" s="38"/>
      <x:c r="AI299" s="38"/>
      <x:c r="AJ299" s="38"/>
      <x:c r="AK299" s="38"/>
      <x:c r="AL299" s="38"/>
      <x:c r="AM299" s="38"/>
    </x:row>
    <x:row r="300">
      <x:c r="A300" s="523" t="str">
        <x:f>IF(ISBLANK('_SCHEDULE'!A268),"",'_SCHEDULE'!A268)</x:f>
      </x:c>
      <x:c r="B300" s="523" t="str">
        <x:f>IF(ISBLANK('_SCHEDULE'!B268),"",IF('_CONFIG'!$B$2="pt-BR",IF('_SCHEDULE'!B268="scheduled","programado",IF('_SCHEDULE'!B268="rejected","rejeitado",'_SCHEDULE'!B268)),'_SCHEDULE'!B268))</x:f>
      </x:c>
      <x:c r="C300" s="523" t="str">
        <x:f>IF(ISBLANK('_SCHEDULE'!C268),"",'_SCHEDULE'!C268)</x:f>
      </x:c>
      <x:c r="D300" s="523" t="str">
        <x:f>IF(ISBLANK('_SCHEDULE'!D268),"",'_SCHEDULE'!D268)</x:f>
      </x:c>
      <x:c r="E300" s="530" t="str">
        <x:f>IF(ISBLANK('_SCHEDULE'!E268),"",'_SCHEDULE'!E268)</x:f>
      </x:c>
      <x:c r="F300" s="530" t="str">
        <x:f>IF(ISBLANK('_SCHEDULE'!F268),"",'_SCHEDULE'!F268)</x:f>
      </x:c>
      <x:c r="G300" s="530" t="str">
        <x:f>IF(ISBLANK('_SCHEDULE'!G268),"",'_SCHEDULE'!G268)</x:f>
      </x:c>
      <x:c r="H300" s="530" t="str">
        <x:f>IF(ISBLANK('_SCHEDULE'!H268),"",'_SCHEDULE'!H268)</x:f>
      </x:c>
      <x:c r="I300" s="530" t="str">
        <x:f>IF(ISBLANK('_SCHEDULE'!I268),"",'_SCHEDULE'!I268)</x:f>
      </x:c>
      <x:c r="J300" s="530" t="str">
        <x:f>IF(ISBLANK('_SCHEDULE'!J268),"",'_SCHEDULE'!J268)</x:f>
      </x:c>
      <x:c r="K300" s="530" t="str">
        <x:f>IF(ISBLANK('_SCHEDULE'!K268),"",'_SCHEDULE'!K268)</x:f>
      </x:c>
      <x:c r="L300" s="530" t="str">
        <x:f>IF(ISBLANK('_SCHEDULE'!L268),"",'_SCHEDULE'!L268)</x:f>
      </x:c>
      <x:c r="M300" s="530" t="str">
        <x:f>IF(ISBLANK('_SCHEDULE'!M268),"",'_SCHEDULE'!M268)</x:f>
      </x:c>
      <x:c r="N300" s="530" t="str">
        <x:f>IF(ISBLANK('_SCHEDULE'!N268),"",'_SCHEDULE'!N268)</x:f>
      </x:c>
      <x:c r="O300" s="530" t="str">
        <x:f>IF(ISBLANK('_SCHEDULE'!O268),"",'_SCHEDULE'!O268)</x:f>
      </x:c>
      <x:c r="P300" s="530" t="str">
        <x:f>IF(ISBLANK('_SCHEDULE'!P268),"",'_SCHEDULE'!P268)</x:f>
      </x:c>
      <x:c r="Q300" s="530" t="str">
        <x:f>IF(ISBLANK('_SCHEDULE'!Q268),"",'_SCHEDULE'!Q268)</x:f>
      </x:c>
      <x:c r="R300" s="530" t="str">
        <x:f>IF(ISBLANK('_SCHEDULE'!R268),"",'_SCHEDULE'!R268)</x:f>
      </x:c>
      <x:c r="S300" s="523" t="str">
        <x:f>IF(ISBLANK('_SCHEDULE'!S268),"",'_SCHEDULE'!S268)</x:f>
      </x:c>
      <x:c r="T300" s="38"/>
      <x:c r="U300" s="38"/>
      <x:c r="V300" s="38"/>
      <x:c r="W300" s="38"/>
      <x:c r="X300" s="38"/>
      <x:c r="Y300" s="38"/>
      <x:c r="Z300" s="38"/>
      <x:c r="AA300" s="38"/>
      <x:c r="AB300" s="38"/>
      <x:c r="AC300" s="38"/>
      <x:c r="AD300" s="38"/>
      <x:c r="AE300" s="38"/>
      <x:c r="AF300" s="38"/>
      <x:c r="AG300" s="38"/>
      <x:c r="AH300" s="38"/>
      <x:c r="AI300" s="38"/>
      <x:c r="AJ300" s="38"/>
      <x:c r="AK300" s="38"/>
      <x:c r="AL300" s="38"/>
      <x:c r="AM300" s="38"/>
    </x:row>
    <x:row r="301">
      <x:c r="A301" s="523" t="str">
        <x:f>IF(ISBLANK('_SCHEDULE'!A269),"",'_SCHEDULE'!A269)</x:f>
      </x:c>
      <x:c r="B301" s="523" t="str">
        <x:f>IF(ISBLANK('_SCHEDULE'!B269),"",IF('_CONFIG'!$B$2="pt-BR",IF('_SCHEDULE'!B269="scheduled","programado",IF('_SCHEDULE'!B269="rejected","rejeitado",'_SCHEDULE'!B269)),'_SCHEDULE'!B269))</x:f>
      </x:c>
      <x:c r="C301" s="523" t="str">
        <x:f>IF(ISBLANK('_SCHEDULE'!C269),"",'_SCHEDULE'!C269)</x:f>
      </x:c>
      <x:c r="D301" s="523" t="str">
        <x:f>IF(ISBLANK('_SCHEDULE'!D269),"",'_SCHEDULE'!D269)</x:f>
      </x:c>
      <x:c r="E301" s="530" t="str">
        <x:f>IF(ISBLANK('_SCHEDULE'!E269),"",'_SCHEDULE'!E269)</x:f>
      </x:c>
      <x:c r="F301" s="530" t="str">
        <x:f>IF(ISBLANK('_SCHEDULE'!F269),"",'_SCHEDULE'!F269)</x:f>
      </x:c>
      <x:c r="G301" s="530" t="str">
        <x:f>IF(ISBLANK('_SCHEDULE'!G269),"",'_SCHEDULE'!G269)</x:f>
      </x:c>
      <x:c r="H301" s="530" t="str">
        <x:f>IF(ISBLANK('_SCHEDULE'!H269),"",'_SCHEDULE'!H269)</x:f>
      </x:c>
      <x:c r="I301" s="530" t="str">
        <x:f>IF(ISBLANK('_SCHEDULE'!I269),"",'_SCHEDULE'!I269)</x:f>
      </x:c>
      <x:c r="J301" s="530" t="str">
        <x:f>IF(ISBLANK('_SCHEDULE'!J269),"",'_SCHEDULE'!J269)</x:f>
      </x:c>
      <x:c r="K301" s="530" t="str">
        <x:f>IF(ISBLANK('_SCHEDULE'!K269),"",'_SCHEDULE'!K269)</x:f>
      </x:c>
      <x:c r="L301" s="530" t="str">
        <x:f>IF(ISBLANK('_SCHEDULE'!L269),"",'_SCHEDULE'!L269)</x:f>
      </x:c>
      <x:c r="M301" s="530" t="str">
        <x:f>IF(ISBLANK('_SCHEDULE'!M269),"",'_SCHEDULE'!M269)</x:f>
      </x:c>
      <x:c r="N301" s="530" t="str">
        <x:f>IF(ISBLANK('_SCHEDULE'!N269),"",'_SCHEDULE'!N269)</x:f>
      </x:c>
      <x:c r="O301" s="530" t="str">
        <x:f>IF(ISBLANK('_SCHEDULE'!O269),"",'_SCHEDULE'!O269)</x:f>
      </x:c>
      <x:c r="P301" s="530" t="str">
        <x:f>IF(ISBLANK('_SCHEDULE'!P269),"",'_SCHEDULE'!P269)</x:f>
      </x:c>
      <x:c r="Q301" s="530" t="str">
        <x:f>IF(ISBLANK('_SCHEDULE'!Q269),"",'_SCHEDULE'!Q269)</x:f>
      </x:c>
      <x:c r="R301" s="530" t="str">
        <x:f>IF(ISBLANK('_SCHEDULE'!R269),"",'_SCHEDULE'!R269)</x:f>
      </x:c>
      <x:c r="S301" s="523" t="str">
        <x:f>IF(ISBLANK('_SCHEDULE'!S269),"",'_SCHEDULE'!S269)</x:f>
      </x:c>
      <x:c r="T301" s="38"/>
      <x:c r="U301" s="38"/>
      <x:c r="V301" s="38"/>
      <x:c r="W301" s="38"/>
      <x:c r="X301" s="38"/>
      <x:c r="Y301" s="38"/>
      <x:c r="Z301" s="38"/>
      <x:c r="AA301" s="38"/>
      <x:c r="AB301" s="38"/>
      <x:c r="AC301" s="38"/>
      <x:c r="AD301" s="38"/>
      <x:c r="AE301" s="38"/>
      <x:c r="AF301" s="38"/>
      <x:c r="AG301" s="38"/>
      <x:c r="AH301" s="38"/>
      <x:c r="AI301" s="38"/>
      <x:c r="AJ301" s="38"/>
      <x:c r="AK301" s="38"/>
      <x:c r="AL301" s="38"/>
      <x:c r="AM301" s="38"/>
    </x:row>
    <x:row r="302">
      <x:c r="A302" s="523" t="str">
        <x:f>IF(ISBLANK('_SCHEDULE'!A270),"",'_SCHEDULE'!A270)</x:f>
      </x:c>
      <x:c r="B302" s="523" t="str">
        <x:f>IF(ISBLANK('_SCHEDULE'!B270),"",IF('_CONFIG'!$B$2="pt-BR",IF('_SCHEDULE'!B270="scheduled","programado",IF('_SCHEDULE'!B270="rejected","rejeitado",'_SCHEDULE'!B270)),'_SCHEDULE'!B270))</x:f>
      </x:c>
      <x:c r="C302" s="523" t="str">
        <x:f>IF(ISBLANK('_SCHEDULE'!C270),"",'_SCHEDULE'!C270)</x:f>
      </x:c>
      <x:c r="D302" s="523" t="str">
        <x:f>IF(ISBLANK('_SCHEDULE'!D270),"",'_SCHEDULE'!D270)</x:f>
      </x:c>
      <x:c r="E302" s="530" t="str">
        <x:f>IF(ISBLANK('_SCHEDULE'!E270),"",'_SCHEDULE'!E270)</x:f>
      </x:c>
      <x:c r="F302" s="530" t="str">
        <x:f>IF(ISBLANK('_SCHEDULE'!F270),"",'_SCHEDULE'!F270)</x:f>
      </x:c>
      <x:c r="G302" s="530" t="str">
        <x:f>IF(ISBLANK('_SCHEDULE'!G270),"",'_SCHEDULE'!G270)</x:f>
      </x:c>
      <x:c r="H302" s="530" t="str">
        <x:f>IF(ISBLANK('_SCHEDULE'!H270),"",'_SCHEDULE'!H270)</x:f>
      </x:c>
      <x:c r="I302" s="530" t="str">
        <x:f>IF(ISBLANK('_SCHEDULE'!I270),"",'_SCHEDULE'!I270)</x:f>
      </x:c>
      <x:c r="J302" s="530" t="str">
        <x:f>IF(ISBLANK('_SCHEDULE'!J270),"",'_SCHEDULE'!J270)</x:f>
      </x:c>
      <x:c r="K302" s="530" t="str">
        <x:f>IF(ISBLANK('_SCHEDULE'!K270),"",'_SCHEDULE'!K270)</x:f>
      </x:c>
      <x:c r="L302" s="530" t="str">
        <x:f>IF(ISBLANK('_SCHEDULE'!L270),"",'_SCHEDULE'!L270)</x:f>
      </x:c>
      <x:c r="M302" s="530" t="str">
        <x:f>IF(ISBLANK('_SCHEDULE'!M270),"",'_SCHEDULE'!M270)</x:f>
      </x:c>
      <x:c r="N302" s="530" t="str">
        <x:f>IF(ISBLANK('_SCHEDULE'!N270),"",'_SCHEDULE'!N270)</x:f>
      </x:c>
      <x:c r="O302" s="530" t="str">
        <x:f>IF(ISBLANK('_SCHEDULE'!O270),"",'_SCHEDULE'!O270)</x:f>
      </x:c>
      <x:c r="P302" s="530" t="str">
        <x:f>IF(ISBLANK('_SCHEDULE'!P270),"",'_SCHEDULE'!P270)</x:f>
      </x:c>
      <x:c r="Q302" s="530" t="str">
        <x:f>IF(ISBLANK('_SCHEDULE'!Q270),"",'_SCHEDULE'!Q270)</x:f>
      </x:c>
      <x:c r="R302" s="530" t="str">
        <x:f>IF(ISBLANK('_SCHEDULE'!R270),"",'_SCHEDULE'!R270)</x:f>
      </x:c>
      <x:c r="S302" s="523" t="str">
        <x:f>IF(ISBLANK('_SCHEDULE'!S270),"",'_SCHEDULE'!S270)</x:f>
      </x:c>
      <x:c r="T302" s="38"/>
      <x:c r="U302" s="38"/>
      <x:c r="V302" s="38"/>
      <x:c r="W302" s="38"/>
      <x:c r="X302" s="38"/>
      <x:c r="Y302" s="38"/>
      <x:c r="Z302" s="38"/>
      <x:c r="AA302" s="38"/>
      <x:c r="AB302" s="38"/>
      <x:c r="AC302" s="38"/>
      <x:c r="AD302" s="38"/>
      <x:c r="AE302" s="38"/>
      <x:c r="AF302" s="38"/>
      <x:c r="AG302" s="38"/>
      <x:c r="AH302" s="38"/>
      <x:c r="AI302" s="38"/>
      <x:c r="AJ302" s="38"/>
      <x:c r="AK302" s="38"/>
      <x:c r="AL302" s="38"/>
      <x:c r="AM302" s="38"/>
    </x:row>
    <x:row r="303">
      <x:c r="A303" s="523" t="str">
        <x:f>IF(ISBLANK('_SCHEDULE'!A271),"",'_SCHEDULE'!A271)</x:f>
      </x:c>
      <x:c r="B303" s="523" t="str">
        <x:f>IF(ISBLANK('_SCHEDULE'!B271),"",IF('_CONFIG'!$B$2="pt-BR",IF('_SCHEDULE'!B271="scheduled","programado",IF('_SCHEDULE'!B271="rejected","rejeitado",'_SCHEDULE'!B271)),'_SCHEDULE'!B271))</x:f>
      </x:c>
      <x:c r="C303" s="523" t="str">
        <x:f>IF(ISBLANK('_SCHEDULE'!C271),"",'_SCHEDULE'!C271)</x:f>
      </x:c>
      <x:c r="D303" s="523" t="str">
        <x:f>IF(ISBLANK('_SCHEDULE'!D271),"",'_SCHEDULE'!D271)</x:f>
      </x:c>
      <x:c r="E303" s="530" t="str">
        <x:f>IF(ISBLANK('_SCHEDULE'!E271),"",'_SCHEDULE'!E271)</x:f>
      </x:c>
      <x:c r="F303" s="530" t="str">
        <x:f>IF(ISBLANK('_SCHEDULE'!F271),"",'_SCHEDULE'!F271)</x:f>
      </x:c>
      <x:c r="G303" s="530" t="str">
        <x:f>IF(ISBLANK('_SCHEDULE'!G271),"",'_SCHEDULE'!G271)</x:f>
      </x:c>
      <x:c r="H303" s="530" t="str">
        <x:f>IF(ISBLANK('_SCHEDULE'!H271),"",'_SCHEDULE'!H271)</x:f>
      </x:c>
      <x:c r="I303" s="530" t="str">
        <x:f>IF(ISBLANK('_SCHEDULE'!I271),"",'_SCHEDULE'!I271)</x:f>
      </x:c>
      <x:c r="J303" s="530" t="str">
        <x:f>IF(ISBLANK('_SCHEDULE'!J271),"",'_SCHEDULE'!J271)</x:f>
      </x:c>
      <x:c r="K303" s="530" t="str">
        <x:f>IF(ISBLANK('_SCHEDULE'!K271),"",'_SCHEDULE'!K271)</x:f>
      </x:c>
      <x:c r="L303" s="530" t="str">
        <x:f>IF(ISBLANK('_SCHEDULE'!L271),"",'_SCHEDULE'!L271)</x:f>
      </x:c>
      <x:c r="M303" s="530" t="str">
        <x:f>IF(ISBLANK('_SCHEDULE'!M271),"",'_SCHEDULE'!M271)</x:f>
      </x:c>
      <x:c r="N303" s="530" t="str">
        <x:f>IF(ISBLANK('_SCHEDULE'!N271),"",'_SCHEDULE'!N271)</x:f>
      </x:c>
      <x:c r="O303" s="530" t="str">
        <x:f>IF(ISBLANK('_SCHEDULE'!O271),"",'_SCHEDULE'!O271)</x:f>
      </x:c>
      <x:c r="P303" s="530" t="str">
        <x:f>IF(ISBLANK('_SCHEDULE'!P271),"",'_SCHEDULE'!P271)</x:f>
      </x:c>
      <x:c r="Q303" s="530" t="str">
        <x:f>IF(ISBLANK('_SCHEDULE'!Q271),"",'_SCHEDULE'!Q271)</x:f>
      </x:c>
      <x:c r="R303" s="530" t="str">
        <x:f>IF(ISBLANK('_SCHEDULE'!R271),"",'_SCHEDULE'!R271)</x:f>
      </x:c>
      <x:c r="S303" s="523" t="str">
        <x:f>IF(ISBLANK('_SCHEDULE'!S271),"",'_SCHEDULE'!S271)</x:f>
      </x:c>
      <x:c r="T303" s="38"/>
      <x:c r="U303" s="38"/>
      <x:c r="V303" s="38"/>
      <x:c r="W303" s="38"/>
      <x:c r="X303" s="38"/>
      <x:c r="Y303" s="38"/>
      <x:c r="Z303" s="38"/>
      <x:c r="AA303" s="38"/>
      <x:c r="AB303" s="38"/>
      <x:c r="AC303" s="38"/>
      <x:c r="AD303" s="38"/>
      <x:c r="AE303" s="38"/>
      <x:c r="AF303" s="38"/>
      <x:c r="AG303" s="38"/>
      <x:c r="AH303" s="38"/>
      <x:c r="AI303" s="38"/>
      <x:c r="AJ303" s="38"/>
      <x:c r="AK303" s="38"/>
      <x:c r="AL303" s="38"/>
      <x:c r="AM303" s="38"/>
    </x:row>
    <x:row r="304">
      <x:c r="A304" s="523" t="str">
        <x:f>IF(ISBLANK('_SCHEDULE'!A272),"",'_SCHEDULE'!A272)</x:f>
      </x:c>
      <x:c r="B304" s="523" t="str">
        <x:f>IF(ISBLANK('_SCHEDULE'!B272),"",IF('_CONFIG'!$B$2="pt-BR",IF('_SCHEDULE'!B272="scheduled","programado",IF('_SCHEDULE'!B272="rejected","rejeitado",'_SCHEDULE'!B272)),'_SCHEDULE'!B272))</x:f>
      </x:c>
      <x:c r="C304" s="523" t="str">
        <x:f>IF(ISBLANK('_SCHEDULE'!C272),"",'_SCHEDULE'!C272)</x:f>
      </x:c>
      <x:c r="D304" s="523" t="str">
        <x:f>IF(ISBLANK('_SCHEDULE'!D272),"",'_SCHEDULE'!D272)</x:f>
      </x:c>
      <x:c r="E304" s="530" t="str">
        <x:f>IF(ISBLANK('_SCHEDULE'!E272),"",'_SCHEDULE'!E272)</x:f>
      </x:c>
      <x:c r="F304" s="530" t="str">
        <x:f>IF(ISBLANK('_SCHEDULE'!F272),"",'_SCHEDULE'!F272)</x:f>
      </x:c>
      <x:c r="G304" s="530" t="str">
        <x:f>IF(ISBLANK('_SCHEDULE'!G272),"",'_SCHEDULE'!G272)</x:f>
      </x:c>
      <x:c r="H304" s="530" t="str">
        <x:f>IF(ISBLANK('_SCHEDULE'!H272),"",'_SCHEDULE'!H272)</x:f>
      </x:c>
      <x:c r="I304" s="530" t="str">
        <x:f>IF(ISBLANK('_SCHEDULE'!I272),"",'_SCHEDULE'!I272)</x:f>
      </x:c>
      <x:c r="J304" s="530" t="str">
        <x:f>IF(ISBLANK('_SCHEDULE'!J272),"",'_SCHEDULE'!J272)</x:f>
      </x:c>
      <x:c r="K304" s="530" t="str">
        <x:f>IF(ISBLANK('_SCHEDULE'!K272),"",'_SCHEDULE'!K272)</x:f>
      </x:c>
      <x:c r="L304" s="530" t="str">
        <x:f>IF(ISBLANK('_SCHEDULE'!L272),"",'_SCHEDULE'!L272)</x:f>
      </x:c>
      <x:c r="M304" s="530" t="str">
        <x:f>IF(ISBLANK('_SCHEDULE'!M272),"",'_SCHEDULE'!M272)</x:f>
      </x:c>
      <x:c r="N304" s="530" t="str">
        <x:f>IF(ISBLANK('_SCHEDULE'!N272),"",'_SCHEDULE'!N272)</x:f>
      </x:c>
      <x:c r="O304" s="530" t="str">
        <x:f>IF(ISBLANK('_SCHEDULE'!O272),"",'_SCHEDULE'!O272)</x:f>
      </x:c>
      <x:c r="P304" s="530" t="str">
        <x:f>IF(ISBLANK('_SCHEDULE'!P272),"",'_SCHEDULE'!P272)</x:f>
      </x:c>
      <x:c r="Q304" s="530" t="str">
        <x:f>IF(ISBLANK('_SCHEDULE'!Q272),"",'_SCHEDULE'!Q272)</x:f>
      </x:c>
      <x:c r="R304" s="530" t="str">
        <x:f>IF(ISBLANK('_SCHEDULE'!R272),"",'_SCHEDULE'!R272)</x:f>
      </x:c>
      <x:c r="S304" s="523" t="str">
        <x:f>IF(ISBLANK('_SCHEDULE'!S272),"",'_SCHEDULE'!S272)</x:f>
      </x:c>
      <x:c r="T304" s="38"/>
      <x:c r="U304" s="38"/>
      <x:c r="V304" s="38"/>
      <x:c r="W304" s="38"/>
      <x:c r="X304" s="38"/>
      <x:c r="Y304" s="38"/>
      <x:c r="Z304" s="38"/>
      <x:c r="AA304" s="38"/>
      <x:c r="AB304" s="38"/>
      <x:c r="AC304" s="38"/>
      <x:c r="AD304" s="38"/>
      <x:c r="AE304" s="38"/>
      <x:c r="AF304" s="38"/>
      <x:c r="AG304" s="38"/>
      <x:c r="AH304" s="38"/>
      <x:c r="AI304" s="38"/>
      <x:c r="AJ304" s="38"/>
      <x:c r="AK304" s="38"/>
      <x:c r="AL304" s="38"/>
      <x:c r="AM304" s="38"/>
    </x:row>
    <x:row r="305">
      <x:c r="A305" s="523" t="str">
        <x:f>IF(ISBLANK('_SCHEDULE'!A273),"",'_SCHEDULE'!A273)</x:f>
      </x:c>
      <x:c r="B305" s="523" t="str">
        <x:f>IF(ISBLANK('_SCHEDULE'!B273),"",IF('_CONFIG'!$B$2="pt-BR",IF('_SCHEDULE'!B273="scheduled","programado",IF('_SCHEDULE'!B273="rejected","rejeitado",'_SCHEDULE'!B273)),'_SCHEDULE'!B273))</x:f>
      </x:c>
      <x:c r="C305" s="523" t="str">
        <x:f>IF(ISBLANK('_SCHEDULE'!C273),"",'_SCHEDULE'!C273)</x:f>
      </x:c>
      <x:c r="D305" s="523" t="str">
        <x:f>IF(ISBLANK('_SCHEDULE'!D273),"",'_SCHEDULE'!D273)</x:f>
      </x:c>
      <x:c r="E305" s="530" t="str">
        <x:f>IF(ISBLANK('_SCHEDULE'!E273),"",'_SCHEDULE'!E273)</x:f>
      </x:c>
      <x:c r="F305" s="530" t="str">
        <x:f>IF(ISBLANK('_SCHEDULE'!F273),"",'_SCHEDULE'!F273)</x:f>
      </x:c>
      <x:c r="G305" s="530" t="str">
        <x:f>IF(ISBLANK('_SCHEDULE'!G273),"",'_SCHEDULE'!G273)</x:f>
      </x:c>
      <x:c r="H305" s="530" t="str">
        <x:f>IF(ISBLANK('_SCHEDULE'!H273),"",'_SCHEDULE'!H273)</x:f>
      </x:c>
      <x:c r="I305" s="530" t="str">
        <x:f>IF(ISBLANK('_SCHEDULE'!I273),"",'_SCHEDULE'!I273)</x:f>
      </x:c>
      <x:c r="J305" s="530" t="str">
        <x:f>IF(ISBLANK('_SCHEDULE'!J273),"",'_SCHEDULE'!J273)</x:f>
      </x:c>
      <x:c r="K305" s="530" t="str">
        <x:f>IF(ISBLANK('_SCHEDULE'!K273),"",'_SCHEDULE'!K273)</x:f>
      </x:c>
      <x:c r="L305" s="530" t="str">
        <x:f>IF(ISBLANK('_SCHEDULE'!L273),"",'_SCHEDULE'!L273)</x:f>
      </x:c>
      <x:c r="M305" s="530" t="str">
        <x:f>IF(ISBLANK('_SCHEDULE'!M273),"",'_SCHEDULE'!M273)</x:f>
      </x:c>
      <x:c r="N305" s="530" t="str">
        <x:f>IF(ISBLANK('_SCHEDULE'!N273),"",'_SCHEDULE'!N273)</x:f>
      </x:c>
      <x:c r="O305" s="530" t="str">
        <x:f>IF(ISBLANK('_SCHEDULE'!O273),"",'_SCHEDULE'!O273)</x:f>
      </x:c>
      <x:c r="P305" s="530" t="str">
        <x:f>IF(ISBLANK('_SCHEDULE'!P273),"",'_SCHEDULE'!P273)</x:f>
      </x:c>
      <x:c r="Q305" s="530" t="str">
        <x:f>IF(ISBLANK('_SCHEDULE'!Q273),"",'_SCHEDULE'!Q273)</x:f>
      </x:c>
      <x:c r="R305" s="530" t="str">
        <x:f>IF(ISBLANK('_SCHEDULE'!R273),"",'_SCHEDULE'!R273)</x:f>
      </x:c>
      <x:c r="S305" s="523" t="str">
        <x:f>IF(ISBLANK('_SCHEDULE'!S273),"",'_SCHEDULE'!S273)</x:f>
      </x:c>
      <x:c r="T305" s="38"/>
      <x:c r="U305" s="38"/>
      <x:c r="V305" s="38"/>
      <x:c r="W305" s="38"/>
      <x:c r="X305" s="38"/>
      <x:c r="Y305" s="38"/>
      <x:c r="Z305" s="38"/>
      <x:c r="AA305" s="38"/>
      <x:c r="AB305" s="38"/>
      <x:c r="AC305" s="38"/>
      <x:c r="AD305" s="38"/>
      <x:c r="AE305" s="38"/>
      <x:c r="AF305" s="38"/>
      <x:c r="AG305" s="38"/>
      <x:c r="AH305" s="38"/>
      <x:c r="AI305" s="38"/>
      <x:c r="AJ305" s="38"/>
      <x:c r="AK305" s="38"/>
      <x:c r="AL305" s="38"/>
      <x:c r="AM305" s="38"/>
    </x:row>
    <x:row r="306">
      <x:c r="A306" s="523" t="str">
        <x:f>IF(ISBLANK('_SCHEDULE'!A274),"",'_SCHEDULE'!A274)</x:f>
      </x:c>
      <x:c r="B306" s="523" t="str">
        <x:f>IF(ISBLANK('_SCHEDULE'!B274),"",IF('_CONFIG'!$B$2="pt-BR",IF('_SCHEDULE'!B274="scheduled","programado",IF('_SCHEDULE'!B274="rejected","rejeitado",'_SCHEDULE'!B274)),'_SCHEDULE'!B274))</x:f>
      </x:c>
      <x:c r="C306" s="523" t="str">
        <x:f>IF(ISBLANK('_SCHEDULE'!C274),"",'_SCHEDULE'!C274)</x:f>
      </x:c>
      <x:c r="D306" s="523" t="str">
        <x:f>IF(ISBLANK('_SCHEDULE'!D274),"",'_SCHEDULE'!D274)</x:f>
      </x:c>
      <x:c r="E306" s="530" t="str">
        <x:f>IF(ISBLANK('_SCHEDULE'!E274),"",'_SCHEDULE'!E274)</x:f>
      </x:c>
      <x:c r="F306" s="530" t="str">
        <x:f>IF(ISBLANK('_SCHEDULE'!F274),"",'_SCHEDULE'!F274)</x:f>
      </x:c>
      <x:c r="G306" s="530" t="str">
        <x:f>IF(ISBLANK('_SCHEDULE'!G274),"",'_SCHEDULE'!G274)</x:f>
      </x:c>
      <x:c r="H306" s="530" t="str">
        <x:f>IF(ISBLANK('_SCHEDULE'!H274),"",'_SCHEDULE'!H274)</x:f>
      </x:c>
      <x:c r="I306" s="530" t="str">
        <x:f>IF(ISBLANK('_SCHEDULE'!I274),"",'_SCHEDULE'!I274)</x:f>
      </x:c>
      <x:c r="J306" s="530" t="str">
        <x:f>IF(ISBLANK('_SCHEDULE'!J274),"",'_SCHEDULE'!J274)</x:f>
      </x:c>
      <x:c r="K306" s="530" t="str">
        <x:f>IF(ISBLANK('_SCHEDULE'!K274),"",'_SCHEDULE'!K274)</x:f>
      </x:c>
      <x:c r="L306" s="530" t="str">
        <x:f>IF(ISBLANK('_SCHEDULE'!L274),"",'_SCHEDULE'!L274)</x:f>
      </x:c>
      <x:c r="M306" s="530" t="str">
        <x:f>IF(ISBLANK('_SCHEDULE'!M274),"",'_SCHEDULE'!M274)</x:f>
      </x:c>
      <x:c r="N306" s="530" t="str">
        <x:f>IF(ISBLANK('_SCHEDULE'!N274),"",'_SCHEDULE'!N274)</x:f>
      </x:c>
      <x:c r="O306" s="530" t="str">
        <x:f>IF(ISBLANK('_SCHEDULE'!O274),"",'_SCHEDULE'!O274)</x:f>
      </x:c>
      <x:c r="P306" s="530" t="str">
        <x:f>IF(ISBLANK('_SCHEDULE'!P274),"",'_SCHEDULE'!P274)</x:f>
      </x:c>
      <x:c r="Q306" s="530" t="str">
        <x:f>IF(ISBLANK('_SCHEDULE'!Q274),"",'_SCHEDULE'!Q274)</x:f>
      </x:c>
      <x:c r="R306" s="530" t="str">
        <x:f>IF(ISBLANK('_SCHEDULE'!R274),"",'_SCHEDULE'!R274)</x:f>
      </x:c>
      <x:c r="S306" s="523" t="str">
        <x:f>IF(ISBLANK('_SCHEDULE'!S274),"",'_SCHEDULE'!S274)</x:f>
      </x:c>
      <x:c r="T306" s="38"/>
      <x:c r="U306" s="38"/>
      <x:c r="V306" s="38"/>
      <x:c r="W306" s="38"/>
      <x:c r="X306" s="38"/>
      <x:c r="Y306" s="38"/>
      <x:c r="Z306" s="38"/>
      <x:c r="AA306" s="38"/>
      <x:c r="AB306" s="38"/>
      <x:c r="AC306" s="38"/>
      <x:c r="AD306" s="38"/>
      <x:c r="AE306" s="38"/>
      <x:c r="AF306" s="38"/>
      <x:c r="AG306" s="38"/>
      <x:c r="AH306" s="38"/>
      <x:c r="AI306" s="38"/>
      <x:c r="AJ306" s="38"/>
      <x:c r="AK306" s="38"/>
      <x:c r="AL306" s="38"/>
      <x:c r="AM306" s="38"/>
    </x:row>
    <x:row r="307">
      <x:c r="A307" s="523" t="str">
        <x:f>IF(ISBLANK('_SCHEDULE'!A275),"",'_SCHEDULE'!A275)</x:f>
      </x:c>
      <x:c r="B307" s="523" t="str">
        <x:f>IF(ISBLANK('_SCHEDULE'!B275),"",IF('_CONFIG'!$B$2="pt-BR",IF('_SCHEDULE'!B275="scheduled","programado",IF('_SCHEDULE'!B275="rejected","rejeitado",'_SCHEDULE'!B275)),'_SCHEDULE'!B275))</x:f>
      </x:c>
      <x:c r="C307" s="523" t="str">
        <x:f>IF(ISBLANK('_SCHEDULE'!C275),"",'_SCHEDULE'!C275)</x:f>
      </x:c>
      <x:c r="D307" s="523" t="str">
        <x:f>IF(ISBLANK('_SCHEDULE'!D275),"",'_SCHEDULE'!D275)</x:f>
      </x:c>
      <x:c r="E307" s="530" t="str">
        <x:f>IF(ISBLANK('_SCHEDULE'!E275),"",'_SCHEDULE'!E275)</x:f>
      </x:c>
      <x:c r="F307" s="530" t="str">
        <x:f>IF(ISBLANK('_SCHEDULE'!F275),"",'_SCHEDULE'!F275)</x:f>
      </x:c>
      <x:c r="G307" s="530" t="str">
        <x:f>IF(ISBLANK('_SCHEDULE'!G275),"",'_SCHEDULE'!G275)</x:f>
      </x:c>
      <x:c r="H307" s="530" t="str">
        <x:f>IF(ISBLANK('_SCHEDULE'!H275),"",'_SCHEDULE'!H275)</x:f>
      </x:c>
      <x:c r="I307" s="530" t="str">
        <x:f>IF(ISBLANK('_SCHEDULE'!I275),"",'_SCHEDULE'!I275)</x:f>
      </x:c>
      <x:c r="J307" s="530" t="str">
        <x:f>IF(ISBLANK('_SCHEDULE'!J275),"",'_SCHEDULE'!J275)</x:f>
      </x:c>
      <x:c r="K307" s="530" t="str">
        <x:f>IF(ISBLANK('_SCHEDULE'!K275),"",'_SCHEDULE'!K275)</x:f>
      </x:c>
      <x:c r="L307" s="530" t="str">
        <x:f>IF(ISBLANK('_SCHEDULE'!L275),"",'_SCHEDULE'!L275)</x:f>
      </x:c>
      <x:c r="M307" s="530" t="str">
        <x:f>IF(ISBLANK('_SCHEDULE'!M275),"",'_SCHEDULE'!M275)</x:f>
      </x:c>
      <x:c r="N307" s="530" t="str">
        <x:f>IF(ISBLANK('_SCHEDULE'!N275),"",'_SCHEDULE'!N275)</x:f>
      </x:c>
      <x:c r="O307" s="530" t="str">
        <x:f>IF(ISBLANK('_SCHEDULE'!O275),"",'_SCHEDULE'!O275)</x:f>
      </x:c>
      <x:c r="P307" s="530" t="str">
        <x:f>IF(ISBLANK('_SCHEDULE'!P275),"",'_SCHEDULE'!P275)</x:f>
      </x:c>
      <x:c r="Q307" s="530" t="str">
        <x:f>IF(ISBLANK('_SCHEDULE'!Q275),"",'_SCHEDULE'!Q275)</x:f>
      </x:c>
      <x:c r="R307" s="530" t="str">
        <x:f>IF(ISBLANK('_SCHEDULE'!R275),"",'_SCHEDULE'!R275)</x:f>
      </x:c>
      <x:c r="S307" s="523" t="str">
        <x:f>IF(ISBLANK('_SCHEDULE'!S275),"",'_SCHEDULE'!S275)</x:f>
      </x:c>
      <x:c r="T307" s="38"/>
      <x:c r="U307" s="38"/>
      <x:c r="V307" s="38"/>
      <x:c r="W307" s="38"/>
      <x:c r="X307" s="38"/>
      <x:c r="Y307" s="38"/>
      <x:c r="Z307" s="38"/>
      <x:c r="AA307" s="38"/>
      <x:c r="AB307" s="38"/>
      <x:c r="AC307" s="38"/>
      <x:c r="AD307" s="38"/>
      <x:c r="AE307" s="38"/>
      <x:c r="AF307" s="38"/>
      <x:c r="AG307" s="38"/>
      <x:c r="AH307" s="38"/>
      <x:c r="AI307" s="38"/>
      <x:c r="AJ307" s="38"/>
      <x:c r="AK307" s="38"/>
      <x:c r="AL307" s="38"/>
      <x:c r="AM307" s="38"/>
    </x:row>
    <x:row r="308">
      <x:c r="A308" s="523" t="str">
        <x:f>IF(ISBLANK('_SCHEDULE'!A276),"",'_SCHEDULE'!A276)</x:f>
      </x:c>
      <x:c r="B308" s="523" t="str">
        <x:f>IF(ISBLANK('_SCHEDULE'!B276),"",IF('_CONFIG'!$B$2="pt-BR",IF('_SCHEDULE'!B276="scheduled","programado",IF('_SCHEDULE'!B276="rejected","rejeitado",'_SCHEDULE'!B276)),'_SCHEDULE'!B276))</x:f>
      </x:c>
      <x:c r="C308" s="523" t="str">
        <x:f>IF(ISBLANK('_SCHEDULE'!C276),"",'_SCHEDULE'!C276)</x:f>
      </x:c>
      <x:c r="D308" s="523" t="str">
        <x:f>IF(ISBLANK('_SCHEDULE'!D276),"",'_SCHEDULE'!D276)</x:f>
      </x:c>
      <x:c r="E308" s="530" t="str">
        <x:f>IF(ISBLANK('_SCHEDULE'!E276),"",'_SCHEDULE'!E276)</x:f>
      </x:c>
      <x:c r="F308" s="530" t="str">
        <x:f>IF(ISBLANK('_SCHEDULE'!F276),"",'_SCHEDULE'!F276)</x:f>
      </x:c>
      <x:c r="G308" s="530" t="str">
        <x:f>IF(ISBLANK('_SCHEDULE'!G276),"",'_SCHEDULE'!G276)</x:f>
      </x:c>
      <x:c r="H308" s="530" t="str">
        <x:f>IF(ISBLANK('_SCHEDULE'!H276),"",'_SCHEDULE'!H276)</x:f>
      </x:c>
      <x:c r="I308" s="530" t="str">
        <x:f>IF(ISBLANK('_SCHEDULE'!I276),"",'_SCHEDULE'!I276)</x:f>
      </x:c>
      <x:c r="J308" s="530" t="str">
        <x:f>IF(ISBLANK('_SCHEDULE'!J276),"",'_SCHEDULE'!J276)</x:f>
      </x:c>
      <x:c r="K308" s="530" t="str">
        <x:f>IF(ISBLANK('_SCHEDULE'!K276),"",'_SCHEDULE'!K276)</x:f>
      </x:c>
      <x:c r="L308" s="530" t="str">
        <x:f>IF(ISBLANK('_SCHEDULE'!L276),"",'_SCHEDULE'!L276)</x:f>
      </x:c>
      <x:c r="M308" s="530" t="str">
        <x:f>IF(ISBLANK('_SCHEDULE'!M276),"",'_SCHEDULE'!M276)</x:f>
      </x:c>
      <x:c r="N308" s="530" t="str">
        <x:f>IF(ISBLANK('_SCHEDULE'!N276),"",'_SCHEDULE'!N276)</x:f>
      </x:c>
      <x:c r="O308" s="530" t="str">
        <x:f>IF(ISBLANK('_SCHEDULE'!O276),"",'_SCHEDULE'!O276)</x:f>
      </x:c>
      <x:c r="P308" s="530" t="str">
        <x:f>IF(ISBLANK('_SCHEDULE'!P276),"",'_SCHEDULE'!P276)</x:f>
      </x:c>
      <x:c r="Q308" s="530" t="str">
        <x:f>IF(ISBLANK('_SCHEDULE'!Q276),"",'_SCHEDULE'!Q276)</x:f>
      </x:c>
      <x:c r="R308" s="530" t="str">
        <x:f>IF(ISBLANK('_SCHEDULE'!R276),"",'_SCHEDULE'!R276)</x:f>
      </x:c>
      <x:c r="S308" s="523" t="str">
        <x:f>IF(ISBLANK('_SCHEDULE'!S276),"",'_SCHEDULE'!S276)</x:f>
      </x:c>
      <x:c r="T308" s="38"/>
      <x:c r="U308" s="38"/>
      <x:c r="V308" s="38"/>
      <x:c r="W308" s="38"/>
      <x:c r="X308" s="38"/>
      <x:c r="Y308" s="38"/>
      <x:c r="Z308" s="38"/>
      <x:c r="AA308" s="38"/>
      <x:c r="AB308" s="38"/>
      <x:c r="AC308" s="38"/>
      <x:c r="AD308" s="38"/>
      <x:c r="AE308" s="38"/>
      <x:c r="AF308" s="38"/>
      <x:c r="AG308" s="38"/>
      <x:c r="AH308" s="38"/>
      <x:c r="AI308" s="38"/>
      <x:c r="AJ308" s="38"/>
      <x:c r="AK308" s="38"/>
      <x:c r="AL308" s="38"/>
      <x:c r="AM308" s="38"/>
    </x:row>
    <x:row r="309">
      <x:c r="A309" s="523" t="str">
        <x:f>IF(ISBLANK('_SCHEDULE'!A277),"",'_SCHEDULE'!A277)</x:f>
      </x:c>
      <x:c r="B309" s="523" t="str">
        <x:f>IF(ISBLANK('_SCHEDULE'!B277),"",IF('_CONFIG'!$B$2="pt-BR",IF('_SCHEDULE'!B277="scheduled","programado",IF('_SCHEDULE'!B277="rejected","rejeitado",'_SCHEDULE'!B277)),'_SCHEDULE'!B277))</x:f>
      </x:c>
      <x:c r="C309" s="523" t="str">
        <x:f>IF(ISBLANK('_SCHEDULE'!C277),"",'_SCHEDULE'!C277)</x:f>
      </x:c>
      <x:c r="D309" s="523" t="str">
        <x:f>IF(ISBLANK('_SCHEDULE'!D277),"",'_SCHEDULE'!D277)</x:f>
      </x:c>
      <x:c r="E309" s="530" t="str">
        <x:f>IF(ISBLANK('_SCHEDULE'!E277),"",'_SCHEDULE'!E277)</x:f>
      </x:c>
      <x:c r="F309" s="530" t="str">
        <x:f>IF(ISBLANK('_SCHEDULE'!F277),"",'_SCHEDULE'!F277)</x:f>
      </x:c>
      <x:c r="G309" s="530" t="str">
        <x:f>IF(ISBLANK('_SCHEDULE'!G277),"",'_SCHEDULE'!G277)</x:f>
      </x:c>
      <x:c r="H309" s="530" t="str">
        <x:f>IF(ISBLANK('_SCHEDULE'!H277),"",'_SCHEDULE'!H277)</x:f>
      </x:c>
      <x:c r="I309" s="530" t="str">
        <x:f>IF(ISBLANK('_SCHEDULE'!I277),"",'_SCHEDULE'!I277)</x:f>
      </x:c>
      <x:c r="J309" s="530" t="str">
        <x:f>IF(ISBLANK('_SCHEDULE'!J277),"",'_SCHEDULE'!J277)</x:f>
      </x:c>
      <x:c r="K309" s="530" t="str">
        <x:f>IF(ISBLANK('_SCHEDULE'!K277),"",'_SCHEDULE'!K277)</x:f>
      </x:c>
      <x:c r="L309" s="530" t="str">
        <x:f>IF(ISBLANK('_SCHEDULE'!L277),"",'_SCHEDULE'!L277)</x:f>
      </x:c>
      <x:c r="M309" s="530" t="str">
        <x:f>IF(ISBLANK('_SCHEDULE'!M277),"",'_SCHEDULE'!M277)</x:f>
      </x:c>
      <x:c r="N309" s="530" t="str">
        <x:f>IF(ISBLANK('_SCHEDULE'!N277),"",'_SCHEDULE'!N277)</x:f>
      </x:c>
      <x:c r="O309" s="530" t="str">
        <x:f>IF(ISBLANK('_SCHEDULE'!O277),"",'_SCHEDULE'!O277)</x:f>
      </x:c>
      <x:c r="P309" s="530" t="str">
        <x:f>IF(ISBLANK('_SCHEDULE'!P277),"",'_SCHEDULE'!P277)</x:f>
      </x:c>
      <x:c r="Q309" s="530" t="str">
        <x:f>IF(ISBLANK('_SCHEDULE'!Q277),"",'_SCHEDULE'!Q277)</x:f>
      </x:c>
      <x:c r="R309" s="530" t="str">
        <x:f>IF(ISBLANK('_SCHEDULE'!R277),"",'_SCHEDULE'!R277)</x:f>
      </x:c>
      <x:c r="S309" s="523" t="str">
        <x:f>IF(ISBLANK('_SCHEDULE'!S277),"",'_SCHEDULE'!S277)</x:f>
      </x:c>
      <x:c r="T309" s="38"/>
      <x:c r="U309" s="38"/>
      <x:c r="V309" s="38"/>
      <x:c r="W309" s="38"/>
      <x:c r="X309" s="38"/>
      <x:c r="Y309" s="38"/>
      <x:c r="Z309" s="38"/>
      <x:c r="AA309" s="38"/>
      <x:c r="AB309" s="38"/>
      <x:c r="AC309" s="38"/>
      <x:c r="AD309" s="38"/>
      <x:c r="AE309" s="38"/>
      <x:c r="AF309" s="38"/>
      <x:c r="AG309" s="38"/>
      <x:c r="AH309" s="38"/>
      <x:c r="AI309" s="38"/>
      <x:c r="AJ309" s="38"/>
      <x:c r="AK309" s="38"/>
      <x:c r="AL309" s="38"/>
      <x:c r="AM309" s="38"/>
    </x:row>
    <x:row r="310">
      <x:c r="A310" s="523" t="str">
        <x:f>IF(ISBLANK('_SCHEDULE'!A278),"",'_SCHEDULE'!A278)</x:f>
      </x:c>
      <x:c r="B310" s="523" t="str">
        <x:f>IF(ISBLANK('_SCHEDULE'!B278),"",IF('_CONFIG'!$B$2="pt-BR",IF('_SCHEDULE'!B278="scheduled","programado",IF('_SCHEDULE'!B278="rejected","rejeitado",'_SCHEDULE'!B278)),'_SCHEDULE'!B278))</x:f>
      </x:c>
      <x:c r="C310" s="523" t="str">
        <x:f>IF(ISBLANK('_SCHEDULE'!C278),"",'_SCHEDULE'!C278)</x:f>
      </x:c>
      <x:c r="D310" s="523" t="str">
        <x:f>IF(ISBLANK('_SCHEDULE'!D278),"",'_SCHEDULE'!D278)</x:f>
      </x:c>
      <x:c r="E310" s="530" t="str">
        <x:f>IF(ISBLANK('_SCHEDULE'!E278),"",'_SCHEDULE'!E278)</x:f>
      </x:c>
      <x:c r="F310" s="530" t="str">
        <x:f>IF(ISBLANK('_SCHEDULE'!F278),"",'_SCHEDULE'!F278)</x:f>
      </x:c>
      <x:c r="G310" s="530" t="str">
        <x:f>IF(ISBLANK('_SCHEDULE'!G278),"",'_SCHEDULE'!G278)</x:f>
      </x:c>
      <x:c r="H310" s="530" t="str">
        <x:f>IF(ISBLANK('_SCHEDULE'!H278),"",'_SCHEDULE'!H278)</x:f>
      </x:c>
      <x:c r="I310" s="530" t="str">
        <x:f>IF(ISBLANK('_SCHEDULE'!I278),"",'_SCHEDULE'!I278)</x:f>
      </x:c>
      <x:c r="J310" s="530" t="str">
        <x:f>IF(ISBLANK('_SCHEDULE'!J278),"",'_SCHEDULE'!J278)</x:f>
      </x:c>
      <x:c r="K310" s="530" t="str">
        <x:f>IF(ISBLANK('_SCHEDULE'!K278),"",'_SCHEDULE'!K278)</x:f>
      </x:c>
      <x:c r="L310" s="530" t="str">
        <x:f>IF(ISBLANK('_SCHEDULE'!L278),"",'_SCHEDULE'!L278)</x:f>
      </x:c>
      <x:c r="M310" s="530" t="str">
        <x:f>IF(ISBLANK('_SCHEDULE'!M278),"",'_SCHEDULE'!M278)</x:f>
      </x:c>
      <x:c r="N310" s="530" t="str">
        <x:f>IF(ISBLANK('_SCHEDULE'!N278),"",'_SCHEDULE'!N278)</x:f>
      </x:c>
      <x:c r="O310" s="530" t="str">
        <x:f>IF(ISBLANK('_SCHEDULE'!O278),"",'_SCHEDULE'!O278)</x:f>
      </x:c>
      <x:c r="P310" s="530" t="str">
        <x:f>IF(ISBLANK('_SCHEDULE'!P278),"",'_SCHEDULE'!P278)</x:f>
      </x:c>
      <x:c r="Q310" s="530" t="str">
        <x:f>IF(ISBLANK('_SCHEDULE'!Q278),"",'_SCHEDULE'!Q278)</x:f>
      </x:c>
      <x:c r="R310" s="530" t="str">
        <x:f>IF(ISBLANK('_SCHEDULE'!R278),"",'_SCHEDULE'!R278)</x:f>
      </x:c>
      <x:c r="S310" s="523" t="str">
        <x:f>IF(ISBLANK('_SCHEDULE'!S278),"",'_SCHEDULE'!S278)</x:f>
      </x:c>
      <x:c r="T310" s="38"/>
      <x:c r="U310" s="38"/>
      <x:c r="V310" s="38"/>
      <x:c r="W310" s="38"/>
      <x:c r="X310" s="38"/>
      <x:c r="Y310" s="38"/>
      <x:c r="Z310" s="38"/>
      <x:c r="AA310" s="38"/>
      <x:c r="AB310" s="38"/>
      <x:c r="AC310" s="38"/>
      <x:c r="AD310" s="38"/>
      <x:c r="AE310" s="38"/>
      <x:c r="AF310" s="38"/>
      <x:c r="AG310" s="38"/>
      <x:c r="AH310" s="38"/>
      <x:c r="AI310" s="38"/>
      <x:c r="AJ310" s="38"/>
      <x:c r="AK310" s="38"/>
      <x:c r="AL310" s="38"/>
      <x:c r="AM310" s="38"/>
    </x:row>
    <x:row r="311">
      <x:c r="A311" s="523" t="str">
        <x:f>IF(ISBLANK('_SCHEDULE'!A279),"",'_SCHEDULE'!A279)</x:f>
      </x:c>
      <x:c r="B311" s="523" t="str">
        <x:f>IF(ISBLANK('_SCHEDULE'!B279),"",IF('_CONFIG'!$B$2="pt-BR",IF('_SCHEDULE'!B279="scheduled","programado",IF('_SCHEDULE'!B279="rejected","rejeitado",'_SCHEDULE'!B279)),'_SCHEDULE'!B279))</x:f>
      </x:c>
      <x:c r="C311" s="523" t="str">
        <x:f>IF(ISBLANK('_SCHEDULE'!C279),"",'_SCHEDULE'!C279)</x:f>
      </x:c>
      <x:c r="D311" s="523" t="str">
        <x:f>IF(ISBLANK('_SCHEDULE'!D279),"",'_SCHEDULE'!D279)</x:f>
      </x:c>
      <x:c r="E311" s="530" t="str">
        <x:f>IF(ISBLANK('_SCHEDULE'!E279),"",'_SCHEDULE'!E279)</x:f>
      </x:c>
      <x:c r="F311" s="530" t="str">
        <x:f>IF(ISBLANK('_SCHEDULE'!F279),"",'_SCHEDULE'!F279)</x:f>
      </x:c>
      <x:c r="G311" s="530" t="str">
        <x:f>IF(ISBLANK('_SCHEDULE'!G279),"",'_SCHEDULE'!G279)</x:f>
      </x:c>
      <x:c r="H311" s="530" t="str">
        <x:f>IF(ISBLANK('_SCHEDULE'!H279),"",'_SCHEDULE'!H279)</x:f>
      </x:c>
      <x:c r="I311" s="530" t="str">
        <x:f>IF(ISBLANK('_SCHEDULE'!I279),"",'_SCHEDULE'!I279)</x:f>
      </x:c>
      <x:c r="J311" s="530" t="str">
        <x:f>IF(ISBLANK('_SCHEDULE'!J279),"",'_SCHEDULE'!J279)</x:f>
      </x:c>
      <x:c r="K311" s="530" t="str">
        <x:f>IF(ISBLANK('_SCHEDULE'!K279),"",'_SCHEDULE'!K279)</x:f>
      </x:c>
      <x:c r="L311" s="530" t="str">
        <x:f>IF(ISBLANK('_SCHEDULE'!L279),"",'_SCHEDULE'!L279)</x:f>
      </x:c>
      <x:c r="M311" s="530" t="str">
        <x:f>IF(ISBLANK('_SCHEDULE'!M279),"",'_SCHEDULE'!M279)</x:f>
      </x:c>
      <x:c r="N311" s="530" t="str">
        <x:f>IF(ISBLANK('_SCHEDULE'!N279),"",'_SCHEDULE'!N279)</x:f>
      </x:c>
      <x:c r="O311" s="530" t="str">
        <x:f>IF(ISBLANK('_SCHEDULE'!O279),"",'_SCHEDULE'!O279)</x:f>
      </x:c>
      <x:c r="P311" s="530" t="str">
        <x:f>IF(ISBLANK('_SCHEDULE'!P279),"",'_SCHEDULE'!P279)</x:f>
      </x:c>
      <x:c r="Q311" s="530" t="str">
        <x:f>IF(ISBLANK('_SCHEDULE'!Q279),"",'_SCHEDULE'!Q279)</x:f>
      </x:c>
      <x:c r="R311" s="530" t="str">
        <x:f>IF(ISBLANK('_SCHEDULE'!R279),"",'_SCHEDULE'!R279)</x:f>
      </x:c>
      <x:c r="S311" s="523" t="str">
        <x:f>IF(ISBLANK('_SCHEDULE'!S279),"",'_SCHEDULE'!S279)</x:f>
      </x:c>
      <x:c r="T311" s="38"/>
      <x:c r="U311" s="38"/>
      <x:c r="V311" s="38"/>
      <x:c r="W311" s="38"/>
      <x:c r="X311" s="38"/>
      <x:c r="Y311" s="38"/>
      <x:c r="Z311" s="38"/>
      <x:c r="AA311" s="38"/>
      <x:c r="AB311" s="38"/>
      <x:c r="AC311" s="38"/>
      <x:c r="AD311" s="38"/>
      <x:c r="AE311" s="38"/>
      <x:c r="AF311" s="38"/>
      <x:c r="AG311" s="38"/>
      <x:c r="AH311" s="38"/>
      <x:c r="AI311" s="38"/>
      <x:c r="AJ311" s="38"/>
      <x:c r="AK311" s="38"/>
      <x:c r="AL311" s="38"/>
      <x:c r="AM311" s="38"/>
    </x:row>
    <x:row r="312">
      <x:c r="A312" s="523" t="str">
        <x:f>IF(ISBLANK('_SCHEDULE'!A280),"",'_SCHEDULE'!A280)</x:f>
      </x:c>
      <x:c r="B312" s="523" t="str">
        <x:f>IF(ISBLANK('_SCHEDULE'!B280),"",IF('_CONFIG'!$B$2="pt-BR",IF('_SCHEDULE'!B280="scheduled","programado",IF('_SCHEDULE'!B280="rejected","rejeitado",'_SCHEDULE'!B280)),'_SCHEDULE'!B280))</x:f>
      </x:c>
      <x:c r="C312" s="523" t="str">
        <x:f>IF(ISBLANK('_SCHEDULE'!C280),"",'_SCHEDULE'!C280)</x:f>
      </x:c>
      <x:c r="D312" s="523" t="str">
        <x:f>IF(ISBLANK('_SCHEDULE'!D280),"",'_SCHEDULE'!D280)</x:f>
      </x:c>
      <x:c r="E312" s="530" t="str">
        <x:f>IF(ISBLANK('_SCHEDULE'!E280),"",'_SCHEDULE'!E280)</x:f>
      </x:c>
      <x:c r="F312" s="530" t="str">
        <x:f>IF(ISBLANK('_SCHEDULE'!F280),"",'_SCHEDULE'!F280)</x:f>
      </x:c>
      <x:c r="G312" s="530" t="str">
        <x:f>IF(ISBLANK('_SCHEDULE'!G280),"",'_SCHEDULE'!G280)</x:f>
      </x:c>
      <x:c r="H312" s="530" t="str">
        <x:f>IF(ISBLANK('_SCHEDULE'!H280),"",'_SCHEDULE'!H280)</x:f>
      </x:c>
      <x:c r="I312" s="530" t="str">
        <x:f>IF(ISBLANK('_SCHEDULE'!I280),"",'_SCHEDULE'!I280)</x:f>
      </x:c>
      <x:c r="J312" s="530" t="str">
        <x:f>IF(ISBLANK('_SCHEDULE'!J280),"",'_SCHEDULE'!J280)</x:f>
      </x:c>
      <x:c r="K312" s="530" t="str">
        <x:f>IF(ISBLANK('_SCHEDULE'!K280),"",'_SCHEDULE'!K280)</x:f>
      </x:c>
      <x:c r="L312" s="530" t="str">
        <x:f>IF(ISBLANK('_SCHEDULE'!L280),"",'_SCHEDULE'!L280)</x:f>
      </x:c>
      <x:c r="M312" s="530" t="str">
        <x:f>IF(ISBLANK('_SCHEDULE'!M280),"",'_SCHEDULE'!M280)</x:f>
      </x:c>
      <x:c r="N312" s="530" t="str">
        <x:f>IF(ISBLANK('_SCHEDULE'!N280),"",'_SCHEDULE'!N280)</x:f>
      </x:c>
      <x:c r="O312" s="530" t="str">
        <x:f>IF(ISBLANK('_SCHEDULE'!O280),"",'_SCHEDULE'!O280)</x:f>
      </x:c>
      <x:c r="P312" s="530" t="str">
        <x:f>IF(ISBLANK('_SCHEDULE'!P280),"",'_SCHEDULE'!P280)</x:f>
      </x:c>
      <x:c r="Q312" s="530" t="str">
        <x:f>IF(ISBLANK('_SCHEDULE'!Q280),"",'_SCHEDULE'!Q280)</x:f>
      </x:c>
      <x:c r="R312" s="530" t="str">
        <x:f>IF(ISBLANK('_SCHEDULE'!R280),"",'_SCHEDULE'!R280)</x:f>
      </x:c>
      <x:c r="S312" s="523" t="str">
        <x:f>IF(ISBLANK('_SCHEDULE'!S280),"",'_SCHEDULE'!S280)</x:f>
      </x:c>
      <x:c r="T312" s="38"/>
      <x:c r="U312" s="38"/>
      <x:c r="V312" s="38"/>
      <x:c r="W312" s="38"/>
      <x:c r="X312" s="38"/>
      <x:c r="Y312" s="38"/>
      <x:c r="Z312" s="38"/>
      <x:c r="AA312" s="38"/>
      <x:c r="AB312" s="38"/>
      <x:c r="AC312" s="38"/>
      <x:c r="AD312" s="38"/>
      <x:c r="AE312" s="38"/>
      <x:c r="AF312" s="38"/>
      <x:c r="AG312" s="38"/>
      <x:c r="AH312" s="38"/>
      <x:c r="AI312" s="38"/>
      <x:c r="AJ312" s="38"/>
      <x:c r="AK312" s="38"/>
      <x:c r="AL312" s="38"/>
      <x:c r="AM312" s="38"/>
    </x:row>
    <x:row r="313">
      <x:c r="A313" s="523" t="str">
        <x:f>IF(ISBLANK('_SCHEDULE'!A281),"",'_SCHEDULE'!A281)</x:f>
      </x:c>
      <x:c r="B313" s="523" t="str">
        <x:f>IF(ISBLANK('_SCHEDULE'!B281),"",IF('_CONFIG'!$B$2="pt-BR",IF('_SCHEDULE'!B281="scheduled","programado",IF('_SCHEDULE'!B281="rejected","rejeitado",'_SCHEDULE'!B281)),'_SCHEDULE'!B281))</x:f>
      </x:c>
      <x:c r="C313" s="523" t="str">
        <x:f>IF(ISBLANK('_SCHEDULE'!C281),"",'_SCHEDULE'!C281)</x:f>
      </x:c>
      <x:c r="D313" s="523" t="str">
        <x:f>IF(ISBLANK('_SCHEDULE'!D281),"",'_SCHEDULE'!D281)</x:f>
      </x:c>
      <x:c r="E313" s="530" t="str">
        <x:f>IF(ISBLANK('_SCHEDULE'!E281),"",'_SCHEDULE'!E281)</x:f>
      </x:c>
      <x:c r="F313" s="530" t="str">
        <x:f>IF(ISBLANK('_SCHEDULE'!F281),"",'_SCHEDULE'!F281)</x:f>
      </x:c>
      <x:c r="G313" s="530" t="str">
        <x:f>IF(ISBLANK('_SCHEDULE'!G281),"",'_SCHEDULE'!G281)</x:f>
      </x:c>
      <x:c r="H313" s="530" t="str">
        <x:f>IF(ISBLANK('_SCHEDULE'!H281),"",'_SCHEDULE'!H281)</x:f>
      </x:c>
      <x:c r="I313" s="530" t="str">
        <x:f>IF(ISBLANK('_SCHEDULE'!I281),"",'_SCHEDULE'!I281)</x:f>
      </x:c>
      <x:c r="J313" s="530" t="str">
        <x:f>IF(ISBLANK('_SCHEDULE'!J281),"",'_SCHEDULE'!J281)</x:f>
      </x:c>
      <x:c r="K313" s="530" t="str">
        <x:f>IF(ISBLANK('_SCHEDULE'!K281),"",'_SCHEDULE'!K281)</x:f>
      </x:c>
      <x:c r="L313" s="530" t="str">
        <x:f>IF(ISBLANK('_SCHEDULE'!L281),"",'_SCHEDULE'!L281)</x:f>
      </x:c>
      <x:c r="M313" s="530" t="str">
        <x:f>IF(ISBLANK('_SCHEDULE'!M281),"",'_SCHEDULE'!M281)</x:f>
      </x:c>
      <x:c r="N313" s="530" t="str">
        <x:f>IF(ISBLANK('_SCHEDULE'!N281),"",'_SCHEDULE'!N281)</x:f>
      </x:c>
      <x:c r="O313" s="530" t="str">
        <x:f>IF(ISBLANK('_SCHEDULE'!O281),"",'_SCHEDULE'!O281)</x:f>
      </x:c>
      <x:c r="P313" s="530" t="str">
        <x:f>IF(ISBLANK('_SCHEDULE'!P281),"",'_SCHEDULE'!P281)</x:f>
      </x:c>
      <x:c r="Q313" s="530" t="str">
        <x:f>IF(ISBLANK('_SCHEDULE'!Q281),"",'_SCHEDULE'!Q281)</x:f>
      </x:c>
      <x:c r="R313" s="530" t="str">
        <x:f>IF(ISBLANK('_SCHEDULE'!R281),"",'_SCHEDULE'!R281)</x:f>
      </x:c>
      <x:c r="S313" s="523" t="str">
        <x:f>IF(ISBLANK('_SCHEDULE'!S281),"",'_SCHEDULE'!S281)</x:f>
      </x:c>
      <x:c r="T313" s="38"/>
      <x:c r="U313" s="38"/>
      <x:c r="V313" s="38"/>
      <x:c r="W313" s="38"/>
      <x:c r="X313" s="38"/>
      <x:c r="Y313" s="38"/>
      <x:c r="Z313" s="38"/>
      <x:c r="AA313" s="38"/>
      <x:c r="AB313" s="38"/>
      <x:c r="AC313" s="38"/>
      <x:c r="AD313" s="38"/>
      <x:c r="AE313" s="38"/>
      <x:c r="AF313" s="38"/>
      <x:c r="AG313" s="38"/>
      <x:c r="AH313" s="38"/>
      <x:c r="AI313" s="38"/>
      <x:c r="AJ313" s="38"/>
      <x:c r="AK313" s="38"/>
      <x:c r="AL313" s="38"/>
      <x:c r="AM313" s="38"/>
    </x:row>
    <x:row r="314">
      <x:c r="A314" s="523" t="str">
        <x:f>IF(ISBLANK('_SCHEDULE'!A282),"",'_SCHEDULE'!A282)</x:f>
      </x:c>
      <x:c r="B314" s="523" t="str">
        <x:f>IF(ISBLANK('_SCHEDULE'!B282),"",IF('_CONFIG'!$B$2="pt-BR",IF('_SCHEDULE'!B282="scheduled","programado",IF('_SCHEDULE'!B282="rejected","rejeitado",'_SCHEDULE'!B282)),'_SCHEDULE'!B282))</x:f>
      </x:c>
      <x:c r="C314" s="523" t="str">
        <x:f>IF(ISBLANK('_SCHEDULE'!C282),"",'_SCHEDULE'!C282)</x:f>
      </x:c>
      <x:c r="D314" s="523" t="str">
        <x:f>IF(ISBLANK('_SCHEDULE'!D282),"",'_SCHEDULE'!D282)</x:f>
      </x:c>
      <x:c r="E314" s="530" t="str">
        <x:f>IF(ISBLANK('_SCHEDULE'!E282),"",'_SCHEDULE'!E282)</x:f>
      </x:c>
      <x:c r="F314" s="530" t="str">
        <x:f>IF(ISBLANK('_SCHEDULE'!F282),"",'_SCHEDULE'!F282)</x:f>
      </x:c>
      <x:c r="G314" s="530" t="str">
        <x:f>IF(ISBLANK('_SCHEDULE'!G282),"",'_SCHEDULE'!G282)</x:f>
      </x:c>
      <x:c r="H314" s="530" t="str">
        <x:f>IF(ISBLANK('_SCHEDULE'!H282),"",'_SCHEDULE'!H282)</x:f>
      </x:c>
      <x:c r="I314" s="530" t="str">
        <x:f>IF(ISBLANK('_SCHEDULE'!I282),"",'_SCHEDULE'!I282)</x:f>
      </x:c>
      <x:c r="J314" s="530" t="str">
        <x:f>IF(ISBLANK('_SCHEDULE'!J282),"",'_SCHEDULE'!J282)</x:f>
      </x:c>
      <x:c r="K314" s="530" t="str">
        <x:f>IF(ISBLANK('_SCHEDULE'!K282),"",'_SCHEDULE'!K282)</x:f>
      </x:c>
      <x:c r="L314" s="530" t="str">
        <x:f>IF(ISBLANK('_SCHEDULE'!L282),"",'_SCHEDULE'!L282)</x:f>
      </x:c>
      <x:c r="M314" s="530" t="str">
        <x:f>IF(ISBLANK('_SCHEDULE'!M282),"",'_SCHEDULE'!M282)</x:f>
      </x:c>
      <x:c r="N314" s="530" t="str">
        <x:f>IF(ISBLANK('_SCHEDULE'!N282),"",'_SCHEDULE'!N282)</x:f>
      </x:c>
      <x:c r="O314" s="530" t="str">
        <x:f>IF(ISBLANK('_SCHEDULE'!O282),"",'_SCHEDULE'!O282)</x:f>
      </x:c>
      <x:c r="P314" s="530" t="str">
        <x:f>IF(ISBLANK('_SCHEDULE'!P282),"",'_SCHEDULE'!P282)</x:f>
      </x:c>
      <x:c r="Q314" s="530" t="str">
        <x:f>IF(ISBLANK('_SCHEDULE'!Q282),"",'_SCHEDULE'!Q282)</x:f>
      </x:c>
      <x:c r="R314" s="530" t="str">
        <x:f>IF(ISBLANK('_SCHEDULE'!R282),"",'_SCHEDULE'!R282)</x:f>
      </x:c>
      <x:c r="S314" s="523" t="str">
        <x:f>IF(ISBLANK('_SCHEDULE'!S282),"",'_SCHEDULE'!S282)</x:f>
      </x:c>
      <x:c r="T314" s="38"/>
      <x:c r="U314" s="38"/>
      <x:c r="V314" s="38"/>
      <x:c r="W314" s="38"/>
      <x:c r="X314" s="38"/>
      <x:c r="Y314" s="38"/>
      <x:c r="Z314" s="38"/>
      <x:c r="AA314" s="38"/>
      <x:c r="AB314" s="38"/>
      <x:c r="AC314" s="38"/>
      <x:c r="AD314" s="38"/>
      <x:c r="AE314" s="38"/>
      <x:c r="AF314" s="38"/>
      <x:c r="AG314" s="38"/>
      <x:c r="AH314" s="38"/>
      <x:c r="AI314" s="38"/>
      <x:c r="AJ314" s="38"/>
      <x:c r="AK314" s="38"/>
      <x:c r="AL314" s="38"/>
      <x:c r="AM314" s="38"/>
    </x:row>
    <x:row r="315">
      <x:c r="A315" s="523" t="str">
        <x:f>IF(ISBLANK('_SCHEDULE'!A283),"",'_SCHEDULE'!A283)</x:f>
      </x:c>
      <x:c r="B315" s="523" t="str">
        <x:f>IF(ISBLANK('_SCHEDULE'!B283),"",IF('_CONFIG'!$B$2="pt-BR",IF('_SCHEDULE'!B283="scheduled","programado",IF('_SCHEDULE'!B283="rejected","rejeitado",'_SCHEDULE'!B283)),'_SCHEDULE'!B283))</x:f>
      </x:c>
      <x:c r="C315" s="523" t="str">
        <x:f>IF(ISBLANK('_SCHEDULE'!C283),"",'_SCHEDULE'!C283)</x:f>
      </x:c>
      <x:c r="D315" s="523" t="str">
        <x:f>IF(ISBLANK('_SCHEDULE'!D283),"",'_SCHEDULE'!D283)</x:f>
      </x:c>
      <x:c r="E315" s="530" t="str">
        <x:f>IF(ISBLANK('_SCHEDULE'!E283),"",'_SCHEDULE'!E283)</x:f>
      </x:c>
      <x:c r="F315" s="530" t="str">
        <x:f>IF(ISBLANK('_SCHEDULE'!F283),"",'_SCHEDULE'!F283)</x:f>
      </x:c>
      <x:c r="G315" s="530" t="str">
        <x:f>IF(ISBLANK('_SCHEDULE'!G283),"",'_SCHEDULE'!G283)</x:f>
      </x:c>
      <x:c r="H315" s="530" t="str">
        <x:f>IF(ISBLANK('_SCHEDULE'!H283),"",'_SCHEDULE'!H283)</x:f>
      </x:c>
      <x:c r="I315" s="530" t="str">
        <x:f>IF(ISBLANK('_SCHEDULE'!I283),"",'_SCHEDULE'!I283)</x:f>
      </x:c>
      <x:c r="J315" s="530" t="str">
        <x:f>IF(ISBLANK('_SCHEDULE'!J283),"",'_SCHEDULE'!J283)</x:f>
      </x:c>
      <x:c r="K315" s="530" t="str">
        <x:f>IF(ISBLANK('_SCHEDULE'!K283),"",'_SCHEDULE'!K283)</x:f>
      </x:c>
      <x:c r="L315" s="530" t="str">
        <x:f>IF(ISBLANK('_SCHEDULE'!L283),"",'_SCHEDULE'!L283)</x:f>
      </x:c>
      <x:c r="M315" s="530" t="str">
        <x:f>IF(ISBLANK('_SCHEDULE'!M283),"",'_SCHEDULE'!M283)</x:f>
      </x:c>
      <x:c r="N315" s="530" t="str">
        <x:f>IF(ISBLANK('_SCHEDULE'!N283),"",'_SCHEDULE'!N283)</x:f>
      </x:c>
      <x:c r="O315" s="530" t="str">
        <x:f>IF(ISBLANK('_SCHEDULE'!O283),"",'_SCHEDULE'!O283)</x:f>
      </x:c>
      <x:c r="P315" s="530" t="str">
        <x:f>IF(ISBLANK('_SCHEDULE'!P283),"",'_SCHEDULE'!P283)</x:f>
      </x:c>
      <x:c r="Q315" s="530" t="str">
        <x:f>IF(ISBLANK('_SCHEDULE'!Q283),"",'_SCHEDULE'!Q283)</x:f>
      </x:c>
      <x:c r="R315" s="530" t="str">
        <x:f>IF(ISBLANK('_SCHEDULE'!R283),"",'_SCHEDULE'!R283)</x:f>
      </x:c>
      <x:c r="S315" s="523" t="str">
        <x:f>IF(ISBLANK('_SCHEDULE'!S283),"",'_SCHEDULE'!S283)</x:f>
      </x:c>
      <x:c r="T315" s="38"/>
      <x:c r="U315" s="38"/>
      <x:c r="V315" s="38"/>
      <x:c r="W315" s="38"/>
      <x:c r="X315" s="38"/>
      <x:c r="Y315" s="38"/>
      <x:c r="Z315" s="38"/>
      <x:c r="AA315" s="38"/>
      <x:c r="AB315" s="38"/>
      <x:c r="AC315" s="38"/>
      <x:c r="AD315" s="38"/>
      <x:c r="AE315" s="38"/>
      <x:c r="AF315" s="38"/>
      <x:c r="AG315" s="38"/>
      <x:c r="AH315" s="38"/>
      <x:c r="AI315" s="38"/>
      <x:c r="AJ315" s="38"/>
      <x:c r="AK315" s="38"/>
      <x:c r="AL315" s="38"/>
      <x:c r="AM315" s="38"/>
    </x:row>
    <x:row r="316">
      <x:c r="A316" s="523" t="str">
        <x:f>IF(ISBLANK('_SCHEDULE'!A284),"",'_SCHEDULE'!A284)</x:f>
      </x:c>
      <x:c r="B316" s="523" t="str">
        <x:f>IF(ISBLANK('_SCHEDULE'!B284),"",IF('_CONFIG'!$B$2="pt-BR",IF('_SCHEDULE'!B284="scheduled","programado",IF('_SCHEDULE'!B284="rejected","rejeitado",'_SCHEDULE'!B284)),'_SCHEDULE'!B284))</x:f>
      </x:c>
      <x:c r="C316" s="523" t="str">
        <x:f>IF(ISBLANK('_SCHEDULE'!C284),"",'_SCHEDULE'!C284)</x:f>
      </x:c>
      <x:c r="D316" s="523" t="str">
        <x:f>IF(ISBLANK('_SCHEDULE'!D284),"",'_SCHEDULE'!D284)</x:f>
      </x:c>
      <x:c r="E316" s="530" t="str">
        <x:f>IF(ISBLANK('_SCHEDULE'!E284),"",'_SCHEDULE'!E284)</x:f>
      </x:c>
      <x:c r="F316" s="530" t="str">
        <x:f>IF(ISBLANK('_SCHEDULE'!F284),"",'_SCHEDULE'!F284)</x:f>
      </x:c>
      <x:c r="G316" s="530" t="str">
        <x:f>IF(ISBLANK('_SCHEDULE'!G284),"",'_SCHEDULE'!G284)</x:f>
      </x:c>
      <x:c r="H316" s="530" t="str">
        <x:f>IF(ISBLANK('_SCHEDULE'!H284),"",'_SCHEDULE'!H284)</x:f>
      </x:c>
      <x:c r="I316" s="530" t="str">
        <x:f>IF(ISBLANK('_SCHEDULE'!I284),"",'_SCHEDULE'!I284)</x:f>
      </x:c>
      <x:c r="J316" s="530" t="str">
        <x:f>IF(ISBLANK('_SCHEDULE'!J284),"",'_SCHEDULE'!J284)</x:f>
      </x:c>
      <x:c r="K316" s="530" t="str">
        <x:f>IF(ISBLANK('_SCHEDULE'!K284),"",'_SCHEDULE'!K284)</x:f>
      </x:c>
      <x:c r="L316" s="530" t="str">
        <x:f>IF(ISBLANK('_SCHEDULE'!L284),"",'_SCHEDULE'!L284)</x:f>
      </x:c>
      <x:c r="M316" s="530" t="str">
        <x:f>IF(ISBLANK('_SCHEDULE'!M284),"",'_SCHEDULE'!M284)</x:f>
      </x:c>
      <x:c r="N316" s="530" t="str">
        <x:f>IF(ISBLANK('_SCHEDULE'!N284),"",'_SCHEDULE'!N284)</x:f>
      </x:c>
      <x:c r="O316" s="530" t="str">
        <x:f>IF(ISBLANK('_SCHEDULE'!O284),"",'_SCHEDULE'!O284)</x:f>
      </x:c>
      <x:c r="P316" s="530" t="str">
        <x:f>IF(ISBLANK('_SCHEDULE'!P284),"",'_SCHEDULE'!P284)</x:f>
      </x:c>
      <x:c r="Q316" s="530" t="str">
        <x:f>IF(ISBLANK('_SCHEDULE'!Q284),"",'_SCHEDULE'!Q284)</x:f>
      </x:c>
      <x:c r="R316" s="530" t="str">
        <x:f>IF(ISBLANK('_SCHEDULE'!R284),"",'_SCHEDULE'!R284)</x:f>
      </x:c>
      <x:c r="S316" s="523" t="str">
        <x:f>IF(ISBLANK('_SCHEDULE'!S284),"",'_SCHEDULE'!S284)</x:f>
      </x:c>
      <x:c r="T316" s="38"/>
      <x:c r="U316" s="38"/>
      <x:c r="V316" s="38"/>
      <x:c r="W316" s="38"/>
      <x:c r="X316" s="38"/>
      <x:c r="Y316" s="38"/>
      <x:c r="Z316" s="38"/>
      <x:c r="AA316" s="38"/>
      <x:c r="AB316" s="38"/>
      <x:c r="AC316" s="38"/>
      <x:c r="AD316" s="38"/>
      <x:c r="AE316" s="38"/>
      <x:c r="AF316" s="38"/>
      <x:c r="AG316" s="38"/>
      <x:c r="AH316" s="38"/>
      <x:c r="AI316" s="38"/>
      <x:c r="AJ316" s="38"/>
      <x:c r="AK316" s="38"/>
      <x:c r="AL316" s="38"/>
      <x:c r="AM316" s="38"/>
    </x:row>
    <x:row r="317">
      <x:c r="A317" s="523" t="str">
        <x:f>IF(ISBLANK('_SCHEDULE'!A285),"",'_SCHEDULE'!A285)</x:f>
      </x:c>
      <x:c r="B317" s="523" t="str">
        <x:f>IF(ISBLANK('_SCHEDULE'!B285),"",IF('_CONFIG'!$B$2="pt-BR",IF('_SCHEDULE'!B285="scheduled","programado",IF('_SCHEDULE'!B285="rejected","rejeitado",'_SCHEDULE'!B285)),'_SCHEDULE'!B285))</x:f>
      </x:c>
      <x:c r="C317" s="523" t="str">
        <x:f>IF(ISBLANK('_SCHEDULE'!C285),"",'_SCHEDULE'!C285)</x:f>
      </x:c>
      <x:c r="D317" s="523" t="str">
        <x:f>IF(ISBLANK('_SCHEDULE'!D285),"",'_SCHEDULE'!D285)</x:f>
      </x:c>
      <x:c r="E317" s="530" t="str">
        <x:f>IF(ISBLANK('_SCHEDULE'!E285),"",'_SCHEDULE'!E285)</x:f>
      </x:c>
      <x:c r="F317" s="530" t="str">
        <x:f>IF(ISBLANK('_SCHEDULE'!F285),"",'_SCHEDULE'!F285)</x:f>
      </x:c>
      <x:c r="G317" s="530" t="str">
        <x:f>IF(ISBLANK('_SCHEDULE'!G285),"",'_SCHEDULE'!G285)</x:f>
      </x:c>
      <x:c r="H317" s="530" t="str">
        <x:f>IF(ISBLANK('_SCHEDULE'!H285),"",'_SCHEDULE'!H285)</x:f>
      </x:c>
      <x:c r="I317" s="530" t="str">
        <x:f>IF(ISBLANK('_SCHEDULE'!I285),"",'_SCHEDULE'!I285)</x:f>
      </x:c>
      <x:c r="J317" s="530" t="str">
        <x:f>IF(ISBLANK('_SCHEDULE'!J285),"",'_SCHEDULE'!J285)</x:f>
      </x:c>
      <x:c r="K317" s="530" t="str">
        <x:f>IF(ISBLANK('_SCHEDULE'!K285),"",'_SCHEDULE'!K285)</x:f>
      </x:c>
      <x:c r="L317" s="530" t="str">
        <x:f>IF(ISBLANK('_SCHEDULE'!L285),"",'_SCHEDULE'!L285)</x:f>
      </x:c>
      <x:c r="M317" s="530" t="str">
        <x:f>IF(ISBLANK('_SCHEDULE'!M285),"",'_SCHEDULE'!M285)</x:f>
      </x:c>
      <x:c r="N317" s="530" t="str">
        <x:f>IF(ISBLANK('_SCHEDULE'!N285),"",'_SCHEDULE'!N285)</x:f>
      </x:c>
      <x:c r="O317" s="530" t="str">
        <x:f>IF(ISBLANK('_SCHEDULE'!O285),"",'_SCHEDULE'!O285)</x:f>
      </x:c>
      <x:c r="P317" s="530" t="str">
        <x:f>IF(ISBLANK('_SCHEDULE'!P285),"",'_SCHEDULE'!P285)</x:f>
      </x:c>
      <x:c r="Q317" s="530" t="str">
        <x:f>IF(ISBLANK('_SCHEDULE'!Q285),"",'_SCHEDULE'!Q285)</x:f>
      </x:c>
      <x:c r="R317" s="530" t="str">
        <x:f>IF(ISBLANK('_SCHEDULE'!R285),"",'_SCHEDULE'!R285)</x:f>
      </x:c>
      <x:c r="S317" s="523" t="str">
        <x:f>IF(ISBLANK('_SCHEDULE'!S285),"",'_SCHEDULE'!S285)</x:f>
      </x:c>
      <x:c r="T317" s="38"/>
      <x:c r="U317" s="38"/>
      <x:c r="V317" s="38"/>
      <x:c r="W317" s="38"/>
      <x:c r="X317" s="38"/>
      <x:c r="Y317" s="38"/>
      <x:c r="Z317" s="38"/>
      <x:c r="AA317" s="38"/>
      <x:c r="AB317" s="38"/>
      <x:c r="AC317" s="38"/>
      <x:c r="AD317" s="38"/>
      <x:c r="AE317" s="38"/>
      <x:c r="AF317" s="38"/>
      <x:c r="AG317" s="38"/>
      <x:c r="AH317" s="38"/>
      <x:c r="AI317" s="38"/>
      <x:c r="AJ317" s="38"/>
      <x:c r="AK317" s="38"/>
      <x:c r="AL317" s="38"/>
      <x:c r="AM317" s="38"/>
    </x:row>
    <x:row r="318">
      <x:c r="A318" s="523" t="str">
        <x:f>IF(ISBLANK('_SCHEDULE'!A286),"",'_SCHEDULE'!A286)</x:f>
      </x:c>
      <x:c r="B318" s="523" t="str">
        <x:f>IF(ISBLANK('_SCHEDULE'!B286),"",IF('_CONFIG'!$B$2="pt-BR",IF('_SCHEDULE'!B286="scheduled","programado",IF('_SCHEDULE'!B286="rejected","rejeitado",'_SCHEDULE'!B286)),'_SCHEDULE'!B286))</x:f>
      </x:c>
      <x:c r="C318" s="523" t="str">
        <x:f>IF(ISBLANK('_SCHEDULE'!C286),"",'_SCHEDULE'!C286)</x:f>
      </x:c>
      <x:c r="D318" s="523" t="str">
        <x:f>IF(ISBLANK('_SCHEDULE'!D286),"",'_SCHEDULE'!D286)</x:f>
      </x:c>
      <x:c r="E318" s="530" t="str">
        <x:f>IF(ISBLANK('_SCHEDULE'!E286),"",'_SCHEDULE'!E286)</x:f>
      </x:c>
      <x:c r="F318" s="530" t="str">
        <x:f>IF(ISBLANK('_SCHEDULE'!F286),"",'_SCHEDULE'!F286)</x:f>
      </x:c>
      <x:c r="G318" s="530" t="str">
        <x:f>IF(ISBLANK('_SCHEDULE'!G286),"",'_SCHEDULE'!G286)</x:f>
      </x:c>
      <x:c r="H318" s="530" t="str">
        <x:f>IF(ISBLANK('_SCHEDULE'!H286),"",'_SCHEDULE'!H286)</x:f>
      </x:c>
      <x:c r="I318" s="530" t="str">
        <x:f>IF(ISBLANK('_SCHEDULE'!I286),"",'_SCHEDULE'!I286)</x:f>
      </x:c>
      <x:c r="J318" s="530" t="str">
        <x:f>IF(ISBLANK('_SCHEDULE'!J286),"",'_SCHEDULE'!J286)</x:f>
      </x:c>
      <x:c r="K318" s="530" t="str">
        <x:f>IF(ISBLANK('_SCHEDULE'!K286),"",'_SCHEDULE'!K286)</x:f>
      </x:c>
      <x:c r="L318" s="530" t="str">
        <x:f>IF(ISBLANK('_SCHEDULE'!L286),"",'_SCHEDULE'!L286)</x:f>
      </x:c>
      <x:c r="M318" s="530" t="str">
        <x:f>IF(ISBLANK('_SCHEDULE'!M286),"",'_SCHEDULE'!M286)</x:f>
      </x:c>
      <x:c r="N318" s="530" t="str">
        <x:f>IF(ISBLANK('_SCHEDULE'!N286),"",'_SCHEDULE'!N286)</x:f>
      </x:c>
      <x:c r="O318" s="530" t="str">
        <x:f>IF(ISBLANK('_SCHEDULE'!O286),"",'_SCHEDULE'!O286)</x:f>
      </x:c>
      <x:c r="P318" s="530" t="str">
        <x:f>IF(ISBLANK('_SCHEDULE'!P286),"",'_SCHEDULE'!P286)</x:f>
      </x:c>
      <x:c r="Q318" s="530" t="str">
        <x:f>IF(ISBLANK('_SCHEDULE'!Q286),"",'_SCHEDULE'!Q286)</x:f>
      </x:c>
      <x:c r="R318" s="530" t="str">
        <x:f>IF(ISBLANK('_SCHEDULE'!R286),"",'_SCHEDULE'!R286)</x:f>
      </x:c>
      <x:c r="S318" s="523" t="str">
        <x:f>IF(ISBLANK('_SCHEDULE'!S286),"",'_SCHEDULE'!S286)</x:f>
      </x:c>
      <x:c r="T318" s="38"/>
      <x:c r="U318" s="38"/>
      <x:c r="V318" s="38"/>
      <x:c r="W318" s="38"/>
      <x:c r="X318" s="38"/>
      <x:c r="Y318" s="38"/>
      <x:c r="Z318" s="38"/>
      <x:c r="AA318" s="38"/>
      <x:c r="AB318" s="38"/>
      <x:c r="AC318" s="38"/>
      <x:c r="AD318" s="38"/>
      <x:c r="AE318" s="38"/>
      <x:c r="AF318" s="38"/>
      <x:c r="AG318" s="38"/>
      <x:c r="AH318" s="38"/>
      <x:c r="AI318" s="38"/>
      <x:c r="AJ318" s="38"/>
      <x:c r="AK318" s="38"/>
      <x:c r="AL318" s="38"/>
      <x:c r="AM318" s="38"/>
    </x:row>
    <x:row r="319">
      <x:c r="A319" s="523" t="str">
        <x:f>IF(ISBLANK('_SCHEDULE'!A287),"",'_SCHEDULE'!A287)</x:f>
      </x:c>
      <x:c r="B319" s="523" t="str">
        <x:f>IF(ISBLANK('_SCHEDULE'!B287),"",IF('_CONFIG'!$B$2="pt-BR",IF('_SCHEDULE'!B287="scheduled","programado",IF('_SCHEDULE'!B287="rejected","rejeitado",'_SCHEDULE'!B287)),'_SCHEDULE'!B287))</x:f>
      </x:c>
      <x:c r="C319" s="523" t="str">
        <x:f>IF(ISBLANK('_SCHEDULE'!C287),"",'_SCHEDULE'!C287)</x:f>
      </x:c>
      <x:c r="D319" s="523" t="str">
        <x:f>IF(ISBLANK('_SCHEDULE'!D287),"",'_SCHEDULE'!D287)</x:f>
      </x:c>
      <x:c r="E319" s="530" t="str">
        <x:f>IF(ISBLANK('_SCHEDULE'!E287),"",'_SCHEDULE'!E287)</x:f>
      </x:c>
      <x:c r="F319" s="530" t="str">
        <x:f>IF(ISBLANK('_SCHEDULE'!F287),"",'_SCHEDULE'!F287)</x:f>
      </x:c>
      <x:c r="G319" s="530" t="str">
        <x:f>IF(ISBLANK('_SCHEDULE'!G287),"",'_SCHEDULE'!G287)</x:f>
      </x:c>
      <x:c r="H319" s="530" t="str">
        <x:f>IF(ISBLANK('_SCHEDULE'!H287),"",'_SCHEDULE'!H287)</x:f>
      </x:c>
      <x:c r="I319" s="530" t="str">
        <x:f>IF(ISBLANK('_SCHEDULE'!I287),"",'_SCHEDULE'!I287)</x:f>
      </x:c>
      <x:c r="J319" s="530" t="str">
        <x:f>IF(ISBLANK('_SCHEDULE'!J287),"",'_SCHEDULE'!J287)</x:f>
      </x:c>
      <x:c r="K319" s="530" t="str">
        <x:f>IF(ISBLANK('_SCHEDULE'!K287),"",'_SCHEDULE'!K287)</x:f>
      </x:c>
      <x:c r="L319" s="530" t="str">
        <x:f>IF(ISBLANK('_SCHEDULE'!L287),"",'_SCHEDULE'!L287)</x:f>
      </x:c>
      <x:c r="M319" s="530" t="str">
        <x:f>IF(ISBLANK('_SCHEDULE'!M287),"",'_SCHEDULE'!M287)</x:f>
      </x:c>
      <x:c r="N319" s="530" t="str">
        <x:f>IF(ISBLANK('_SCHEDULE'!N287),"",'_SCHEDULE'!N287)</x:f>
      </x:c>
      <x:c r="O319" s="530" t="str">
        <x:f>IF(ISBLANK('_SCHEDULE'!O287),"",'_SCHEDULE'!O287)</x:f>
      </x:c>
      <x:c r="P319" s="530" t="str">
        <x:f>IF(ISBLANK('_SCHEDULE'!P287),"",'_SCHEDULE'!P287)</x:f>
      </x:c>
      <x:c r="Q319" s="530" t="str">
        <x:f>IF(ISBLANK('_SCHEDULE'!Q287),"",'_SCHEDULE'!Q287)</x:f>
      </x:c>
      <x:c r="R319" s="530" t="str">
        <x:f>IF(ISBLANK('_SCHEDULE'!R287),"",'_SCHEDULE'!R287)</x:f>
      </x:c>
      <x:c r="S319" s="523" t="str">
        <x:f>IF(ISBLANK('_SCHEDULE'!S287),"",'_SCHEDULE'!S287)</x:f>
      </x:c>
      <x:c r="T319" s="38"/>
      <x:c r="U319" s="38"/>
      <x:c r="V319" s="38"/>
      <x:c r="W319" s="38"/>
      <x:c r="X319" s="38"/>
      <x:c r="Y319" s="38"/>
      <x:c r="Z319" s="38"/>
      <x:c r="AA319" s="38"/>
      <x:c r="AB319" s="38"/>
      <x:c r="AC319" s="38"/>
      <x:c r="AD319" s="38"/>
      <x:c r="AE319" s="38"/>
      <x:c r="AF319" s="38"/>
      <x:c r="AG319" s="38"/>
      <x:c r="AH319" s="38"/>
      <x:c r="AI319" s="38"/>
      <x:c r="AJ319" s="38"/>
      <x:c r="AK319" s="38"/>
      <x:c r="AL319" s="38"/>
      <x:c r="AM319" s="38"/>
    </x:row>
    <x:row r="320">
      <x:c r="A320" s="523" t="str">
        <x:f>IF(ISBLANK('_SCHEDULE'!A288),"",'_SCHEDULE'!A288)</x:f>
      </x:c>
      <x:c r="B320" s="523" t="str">
        <x:f>IF(ISBLANK('_SCHEDULE'!B288),"",IF('_CONFIG'!$B$2="pt-BR",IF('_SCHEDULE'!B288="scheduled","programado",IF('_SCHEDULE'!B288="rejected","rejeitado",'_SCHEDULE'!B288)),'_SCHEDULE'!B288))</x:f>
      </x:c>
      <x:c r="C320" s="523" t="str">
        <x:f>IF(ISBLANK('_SCHEDULE'!C288),"",'_SCHEDULE'!C288)</x:f>
      </x:c>
      <x:c r="D320" s="523" t="str">
        <x:f>IF(ISBLANK('_SCHEDULE'!D288),"",'_SCHEDULE'!D288)</x:f>
      </x:c>
      <x:c r="E320" s="530" t="str">
        <x:f>IF(ISBLANK('_SCHEDULE'!E288),"",'_SCHEDULE'!E288)</x:f>
      </x:c>
      <x:c r="F320" s="530" t="str">
        <x:f>IF(ISBLANK('_SCHEDULE'!F288),"",'_SCHEDULE'!F288)</x:f>
      </x:c>
      <x:c r="G320" s="530" t="str">
        <x:f>IF(ISBLANK('_SCHEDULE'!G288),"",'_SCHEDULE'!G288)</x:f>
      </x:c>
      <x:c r="H320" s="530" t="str">
        <x:f>IF(ISBLANK('_SCHEDULE'!H288),"",'_SCHEDULE'!H288)</x:f>
      </x:c>
      <x:c r="I320" s="530" t="str">
        <x:f>IF(ISBLANK('_SCHEDULE'!I288),"",'_SCHEDULE'!I288)</x:f>
      </x:c>
      <x:c r="J320" s="530" t="str">
        <x:f>IF(ISBLANK('_SCHEDULE'!J288),"",'_SCHEDULE'!J288)</x:f>
      </x:c>
      <x:c r="K320" s="530" t="str">
        <x:f>IF(ISBLANK('_SCHEDULE'!K288),"",'_SCHEDULE'!K288)</x:f>
      </x:c>
      <x:c r="L320" s="530" t="str">
        <x:f>IF(ISBLANK('_SCHEDULE'!L288),"",'_SCHEDULE'!L288)</x:f>
      </x:c>
      <x:c r="M320" s="530" t="str">
        <x:f>IF(ISBLANK('_SCHEDULE'!M288),"",'_SCHEDULE'!M288)</x:f>
      </x:c>
      <x:c r="N320" s="530" t="str">
        <x:f>IF(ISBLANK('_SCHEDULE'!N288),"",'_SCHEDULE'!N288)</x:f>
      </x:c>
      <x:c r="O320" s="530" t="str">
        <x:f>IF(ISBLANK('_SCHEDULE'!O288),"",'_SCHEDULE'!O288)</x:f>
      </x:c>
      <x:c r="P320" s="530" t="str">
        <x:f>IF(ISBLANK('_SCHEDULE'!P288),"",'_SCHEDULE'!P288)</x:f>
      </x:c>
      <x:c r="Q320" s="530" t="str">
        <x:f>IF(ISBLANK('_SCHEDULE'!Q288),"",'_SCHEDULE'!Q288)</x:f>
      </x:c>
      <x:c r="R320" s="530" t="str">
        <x:f>IF(ISBLANK('_SCHEDULE'!R288),"",'_SCHEDULE'!R288)</x:f>
      </x:c>
      <x:c r="S320" s="523" t="str">
        <x:f>IF(ISBLANK('_SCHEDULE'!S288),"",'_SCHEDULE'!S288)</x:f>
      </x:c>
      <x:c r="T320" s="38"/>
      <x:c r="U320" s="38"/>
      <x:c r="V320" s="38"/>
      <x:c r="W320" s="38"/>
      <x:c r="X320" s="38"/>
      <x:c r="Y320" s="38"/>
      <x:c r="Z320" s="38"/>
      <x:c r="AA320" s="38"/>
      <x:c r="AB320" s="38"/>
      <x:c r="AC320" s="38"/>
      <x:c r="AD320" s="38"/>
      <x:c r="AE320" s="38"/>
      <x:c r="AF320" s="38"/>
      <x:c r="AG320" s="38"/>
      <x:c r="AH320" s="38"/>
      <x:c r="AI320" s="38"/>
      <x:c r="AJ320" s="38"/>
      <x:c r="AK320" s="38"/>
      <x:c r="AL320" s="38"/>
      <x:c r="AM320" s="38"/>
    </x:row>
    <x:row r="321">
      <x:c r="A321" s="523" t="str">
        <x:f>IF(ISBLANK('_SCHEDULE'!A289),"",'_SCHEDULE'!A289)</x:f>
      </x:c>
      <x:c r="B321" s="523" t="str">
        <x:f>IF(ISBLANK('_SCHEDULE'!B289),"",IF('_CONFIG'!$B$2="pt-BR",IF('_SCHEDULE'!B289="scheduled","programado",IF('_SCHEDULE'!B289="rejected","rejeitado",'_SCHEDULE'!B289)),'_SCHEDULE'!B289))</x:f>
      </x:c>
      <x:c r="C321" s="523" t="str">
        <x:f>IF(ISBLANK('_SCHEDULE'!C289),"",'_SCHEDULE'!C289)</x:f>
      </x:c>
      <x:c r="D321" s="523" t="str">
        <x:f>IF(ISBLANK('_SCHEDULE'!D289),"",'_SCHEDULE'!D289)</x:f>
      </x:c>
      <x:c r="E321" s="530" t="str">
        <x:f>IF(ISBLANK('_SCHEDULE'!E289),"",'_SCHEDULE'!E289)</x:f>
      </x:c>
      <x:c r="F321" s="530" t="str">
        <x:f>IF(ISBLANK('_SCHEDULE'!F289),"",'_SCHEDULE'!F289)</x:f>
      </x:c>
      <x:c r="G321" s="530" t="str">
        <x:f>IF(ISBLANK('_SCHEDULE'!G289),"",'_SCHEDULE'!G289)</x:f>
      </x:c>
      <x:c r="H321" s="530" t="str">
        <x:f>IF(ISBLANK('_SCHEDULE'!H289),"",'_SCHEDULE'!H289)</x:f>
      </x:c>
      <x:c r="I321" s="530" t="str">
        <x:f>IF(ISBLANK('_SCHEDULE'!I289),"",'_SCHEDULE'!I289)</x:f>
      </x:c>
      <x:c r="J321" s="530" t="str">
        <x:f>IF(ISBLANK('_SCHEDULE'!J289),"",'_SCHEDULE'!J289)</x:f>
      </x:c>
      <x:c r="K321" s="530" t="str">
        <x:f>IF(ISBLANK('_SCHEDULE'!K289),"",'_SCHEDULE'!K289)</x:f>
      </x:c>
      <x:c r="L321" s="530" t="str">
        <x:f>IF(ISBLANK('_SCHEDULE'!L289),"",'_SCHEDULE'!L289)</x:f>
      </x:c>
      <x:c r="M321" s="530" t="str">
        <x:f>IF(ISBLANK('_SCHEDULE'!M289),"",'_SCHEDULE'!M289)</x:f>
      </x:c>
      <x:c r="N321" s="530" t="str">
        <x:f>IF(ISBLANK('_SCHEDULE'!N289),"",'_SCHEDULE'!N289)</x:f>
      </x:c>
      <x:c r="O321" s="530" t="str">
        <x:f>IF(ISBLANK('_SCHEDULE'!O289),"",'_SCHEDULE'!O289)</x:f>
      </x:c>
      <x:c r="P321" s="530" t="str">
        <x:f>IF(ISBLANK('_SCHEDULE'!P289),"",'_SCHEDULE'!P289)</x:f>
      </x:c>
      <x:c r="Q321" s="530" t="str">
        <x:f>IF(ISBLANK('_SCHEDULE'!Q289),"",'_SCHEDULE'!Q289)</x:f>
      </x:c>
      <x:c r="R321" s="530" t="str">
        <x:f>IF(ISBLANK('_SCHEDULE'!R289),"",'_SCHEDULE'!R289)</x:f>
      </x:c>
      <x:c r="S321" s="523" t="str">
        <x:f>IF(ISBLANK('_SCHEDULE'!S289),"",'_SCHEDULE'!S289)</x:f>
      </x:c>
      <x:c r="T321" s="38"/>
      <x:c r="U321" s="38"/>
      <x:c r="V321" s="38"/>
      <x:c r="W321" s="38"/>
      <x:c r="X321" s="38"/>
      <x:c r="Y321" s="38"/>
      <x:c r="Z321" s="38"/>
      <x:c r="AA321" s="38"/>
      <x:c r="AB321" s="38"/>
      <x:c r="AC321" s="38"/>
      <x:c r="AD321" s="38"/>
      <x:c r="AE321" s="38"/>
      <x:c r="AF321" s="38"/>
      <x:c r="AG321" s="38"/>
      <x:c r="AH321" s="38"/>
      <x:c r="AI321" s="38"/>
      <x:c r="AJ321" s="38"/>
      <x:c r="AK321" s="38"/>
      <x:c r="AL321" s="38"/>
      <x:c r="AM321" s="38"/>
    </x:row>
    <x:row r="322">
      <x:c r="A322" s="523" t="str">
        <x:f>IF(ISBLANK('_SCHEDULE'!A290),"",'_SCHEDULE'!A290)</x:f>
      </x:c>
      <x:c r="B322" s="523" t="str">
        <x:f>IF(ISBLANK('_SCHEDULE'!B290),"",IF('_CONFIG'!$B$2="pt-BR",IF('_SCHEDULE'!B290="scheduled","programado",IF('_SCHEDULE'!B290="rejected","rejeitado",'_SCHEDULE'!B290)),'_SCHEDULE'!B290))</x:f>
      </x:c>
      <x:c r="C322" s="523" t="str">
        <x:f>IF(ISBLANK('_SCHEDULE'!C290),"",'_SCHEDULE'!C290)</x:f>
      </x:c>
      <x:c r="D322" s="523" t="str">
        <x:f>IF(ISBLANK('_SCHEDULE'!D290),"",'_SCHEDULE'!D290)</x:f>
      </x:c>
      <x:c r="E322" s="530" t="str">
        <x:f>IF(ISBLANK('_SCHEDULE'!E290),"",'_SCHEDULE'!E290)</x:f>
      </x:c>
      <x:c r="F322" s="530" t="str">
        <x:f>IF(ISBLANK('_SCHEDULE'!F290),"",'_SCHEDULE'!F290)</x:f>
      </x:c>
      <x:c r="G322" s="530" t="str">
        <x:f>IF(ISBLANK('_SCHEDULE'!G290),"",'_SCHEDULE'!G290)</x:f>
      </x:c>
      <x:c r="H322" s="530" t="str">
        <x:f>IF(ISBLANK('_SCHEDULE'!H290),"",'_SCHEDULE'!H290)</x:f>
      </x:c>
      <x:c r="I322" s="530" t="str">
        <x:f>IF(ISBLANK('_SCHEDULE'!I290),"",'_SCHEDULE'!I290)</x:f>
      </x:c>
      <x:c r="J322" s="530" t="str">
        <x:f>IF(ISBLANK('_SCHEDULE'!J290),"",'_SCHEDULE'!J290)</x:f>
      </x:c>
      <x:c r="K322" s="530" t="str">
        <x:f>IF(ISBLANK('_SCHEDULE'!K290),"",'_SCHEDULE'!K290)</x:f>
      </x:c>
      <x:c r="L322" s="530" t="str">
        <x:f>IF(ISBLANK('_SCHEDULE'!L290),"",'_SCHEDULE'!L290)</x:f>
      </x:c>
      <x:c r="M322" s="530" t="str">
        <x:f>IF(ISBLANK('_SCHEDULE'!M290),"",'_SCHEDULE'!M290)</x:f>
      </x:c>
      <x:c r="N322" s="530" t="str">
        <x:f>IF(ISBLANK('_SCHEDULE'!N290),"",'_SCHEDULE'!N290)</x:f>
      </x:c>
      <x:c r="O322" s="530" t="str">
        <x:f>IF(ISBLANK('_SCHEDULE'!O290),"",'_SCHEDULE'!O290)</x:f>
      </x:c>
      <x:c r="P322" s="530" t="str">
        <x:f>IF(ISBLANK('_SCHEDULE'!P290),"",'_SCHEDULE'!P290)</x:f>
      </x:c>
      <x:c r="Q322" s="530" t="str">
        <x:f>IF(ISBLANK('_SCHEDULE'!Q290),"",'_SCHEDULE'!Q290)</x:f>
      </x:c>
      <x:c r="R322" s="530" t="str">
        <x:f>IF(ISBLANK('_SCHEDULE'!R290),"",'_SCHEDULE'!R290)</x:f>
      </x:c>
      <x:c r="S322" s="523" t="str">
        <x:f>IF(ISBLANK('_SCHEDULE'!S290),"",'_SCHEDULE'!S290)</x:f>
      </x:c>
      <x:c r="T322" s="38"/>
      <x:c r="U322" s="38"/>
      <x:c r="V322" s="38"/>
      <x:c r="W322" s="38"/>
      <x:c r="X322" s="38"/>
      <x:c r="Y322" s="38"/>
      <x:c r="Z322" s="38"/>
      <x:c r="AA322" s="38"/>
      <x:c r="AB322" s="38"/>
      <x:c r="AC322" s="38"/>
      <x:c r="AD322" s="38"/>
      <x:c r="AE322" s="38"/>
      <x:c r="AF322" s="38"/>
      <x:c r="AG322" s="38"/>
      <x:c r="AH322" s="38"/>
      <x:c r="AI322" s="38"/>
      <x:c r="AJ322" s="38"/>
      <x:c r="AK322" s="38"/>
      <x:c r="AL322" s="38"/>
      <x:c r="AM322" s="38"/>
    </x:row>
    <x:row r="323">
      <x:c r="A323" s="523" t="str">
        <x:f>IF(ISBLANK('_SCHEDULE'!A291),"",'_SCHEDULE'!A291)</x:f>
      </x:c>
      <x:c r="B323" s="523" t="str">
        <x:f>IF(ISBLANK('_SCHEDULE'!B291),"",IF('_CONFIG'!$B$2="pt-BR",IF('_SCHEDULE'!B291="scheduled","programado",IF('_SCHEDULE'!B291="rejected","rejeitado",'_SCHEDULE'!B291)),'_SCHEDULE'!B291))</x:f>
      </x:c>
      <x:c r="C323" s="523" t="str">
        <x:f>IF(ISBLANK('_SCHEDULE'!C291),"",'_SCHEDULE'!C291)</x:f>
      </x:c>
      <x:c r="D323" s="523" t="str">
        <x:f>IF(ISBLANK('_SCHEDULE'!D291),"",'_SCHEDULE'!D291)</x:f>
      </x:c>
      <x:c r="E323" s="530" t="str">
        <x:f>IF(ISBLANK('_SCHEDULE'!E291),"",'_SCHEDULE'!E291)</x:f>
      </x:c>
      <x:c r="F323" s="530" t="str">
        <x:f>IF(ISBLANK('_SCHEDULE'!F291),"",'_SCHEDULE'!F291)</x:f>
      </x:c>
      <x:c r="G323" s="530" t="str">
        <x:f>IF(ISBLANK('_SCHEDULE'!G291),"",'_SCHEDULE'!G291)</x:f>
      </x:c>
      <x:c r="H323" s="530" t="str">
        <x:f>IF(ISBLANK('_SCHEDULE'!H291),"",'_SCHEDULE'!H291)</x:f>
      </x:c>
      <x:c r="I323" s="530" t="str">
        <x:f>IF(ISBLANK('_SCHEDULE'!I291),"",'_SCHEDULE'!I291)</x:f>
      </x:c>
      <x:c r="J323" s="530" t="str">
        <x:f>IF(ISBLANK('_SCHEDULE'!J291),"",'_SCHEDULE'!J291)</x:f>
      </x:c>
      <x:c r="K323" s="530" t="str">
        <x:f>IF(ISBLANK('_SCHEDULE'!K291),"",'_SCHEDULE'!K291)</x:f>
      </x:c>
      <x:c r="L323" s="530" t="str">
        <x:f>IF(ISBLANK('_SCHEDULE'!L291),"",'_SCHEDULE'!L291)</x:f>
      </x:c>
      <x:c r="M323" s="530" t="str">
        <x:f>IF(ISBLANK('_SCHEDULE'!M291),"",'_SCHEDULE'!M291)</x:f>
      </x:c>
      <x:c r="N323" s="530" t="str">
        <x:f>IF(ISBLANK('_SCHEDULE'!N291),"",'_SCHEDULE'!N291)</x:f>
      </x:c>
      <x:c r="O323" s="530" t="str">
        <x:f>IF(ISBLANK('_SCHEDULE'!O291),"",'_SCHEDULE'!O291)</x:f>
      </x:c>
      <x:c r="P323" s="530" t="str">
        <x:f>IF(ISBLANK('_SCHEDULE'!P291),"",'_SCHEDULE'!P291)</x:f>
      </x:c>
      <x:c r="Q323" s="530" t="str">
        <x:f>IF(ISBLANK('_SCHEDULE'!Q291),"",'_SCHEDULE'!Q291)</x:f>
      </x:c>
      <x:c r="R323" s="530" t="str">
        <x:f>IF(ISBLANK('_SCHEDULE'!R291),"",'_SCHEDULE'!R291)</x:f>
      </x:c>
      <x:c r="S323" s="523" t="str">
        <x:f>IF(ISBLANK('_SCHEDULE'!S291),"",'_SCHEDULE'!S291)</x:f>
      </x:c>
      <x:c r="T323" s="38"/>
      <x:c r="U323" s="38"/>
      <x:c r="V323" s="38"/>
      <x:c r="W323" s="38"/>
      <x:c r="X323" s="38"/>
      <x:c r="Y323" s="38"/>
      <x:c r="Z323" s="38"/>
      <x:c r="AA323" s="38"/>
      <x:c r="AB323" s="38"/>
      <x:c r="AC323" s="38"/>
      <x:c r="AD323" s="38"/>
      <x:c r="AE323" s="38"/>
      <x:c r="AF323" s="38"/>
      <x:c r="AG323" s="38"/>
      <x:c r="AH323" s="38"/>
      <x:c r="AI323" s="38"/>
      <x:c r="AJ323" s="38"/>
      <x:c r="AK323" s="38"/>
      <x:c r="AL323" s="38"/>
      <x:c r="AM323" s="38"/>
    </x:row>
    <x:row r="324">
      <x:c r="A324" s="523" t="str">
        <x:f>IF(ISBLANK('_SCHEDULE'!A292),"",'_SCHEDULE'!A292)</x:f>
      </x:c>
      <x:c r="B324" s="523" t="str">
        <x:f>IF(ISBLANK('_SCHEDULE'!B292),"",IF('_CONFIG'!$B$2="pt-BR",IF('_SCHEDULE'!B292="scheduled","programado",IF('_SCHEDULE'!B292="rejected","rejeitado",'_SCHEDULE'!B292)),'_SCHEDULE'!B292))</x:f>
      </x:c>
      <x:c r="C324" s="523" t="str">
        <x:f>IF(ISBLANK('_SCHEDULE'!C292),"",'_SCHEDULE'!C292)</x:f>
      </x:c>
      <x:c r="D324" s="523" t="str">
        <x:f>IF(ISBLANK('_SCHEDULE'!D292),"",'_SCHEDULE'!D292)</x:f>
      </x:c>
      <x:c r="E324" s="530" t="str">
        <x:f>IF(ISBLANK('_SCHEDULE'!E292),"",'_SCHEDULE'!E292)</x:f>
      </x:c>
      <x:c r="F324" s="530" t="str">
        <x:f>IF(ISBLANK('_SCHEDULE'!F292),"",'_SCHEDULE'!F292)</x:f>
      </x:c>
      <x:c r="G324" s="530" t="str">
        <x:f>IF(ISBLANK('_SCHEDULE'!G292),"",'_SCHEDULE'!G292)</x:f>
      </x:c>
      <x:c r="H324" s="530" t="str">
        <x:f>IF(ISBLANK('_SCHEDULE'!H292),"",'_SCHEDULE'!H292)</x:f>
      </x:c>
      <x:c r="I324" s="530" t="str">
        <x:f>IF(ISBLANK('_SCHEDULE'!I292),"",'_SCHEDULE'!I292)</x:f>
      </x:c>
      <x:c r="J324" s="530" t="str">
        <x:f>IF(ISBLANK('_SCHEDULE'!J292),"",'_SCHEDULE'!J292)</x:f>
      </x:c>
      <x:c r="K324" s="530" t="str">
        <x:f>IF(ISBLANK('_SCHEDULE'!K292),"",'_SCHEDULE'!K292)</x:f>
      </x:c>
      <x:c r="L324" s="530" t="str">
        <x:f>IF(ISBLANK('_SCHEDULE'!L292),"",'_SCHEDULE'!L292)</x:f>
      </x:c>
      <x:c r="M324" s="530" t="str">
        <x:f>IF(ISBLANK('_SCHEDULE'!M292),"",'_SCHEDULE'!M292)</x:f>
      </x:c>
      <x:c r="N324" s="530" t="str">
        <x:f>IF(ISBLANK('_SCHEDULE'!N292),"",'_SCHEDULE'!N292)</x:f>
      </x:c>
      <x:c r="O324" s="530" t="str">
        <x:f>IF(ISBLANK('_SCHEDULE'!O292),"",'_SCHEDULE'!O292)</x:f>
      </x:c>
      <x:c r="P324" s="530" t="str">
        <x:f>IF(ISBLANK('_SCHEDULE'!P292),"",'_SCHEDULE'!P292)</x:f>
      </x:c>
      <x:c r="Q324" s="530" t="str">
        <x:f>IF(ISBLANK('_SCHEDULE'!Q292),"",'_SCHEDULE'!Q292)</x:f>
      </x:c>
      <x:c r="R324" s="530" t="str">
        <x:f>IF(ISBLANK('_SCHEDULE'!R292),"",'_SCHEDULE'!R292)</x:f>
      </x:c>
      <x:c r="S324" s="523" t="str">
        <x:f>IF(ISBLANK('_SCHEDULE'!S292),"",'_SCHEDULE'!S292)</x:f>
      </x:c>
      <x:c r="T324" s="38"/>
      <x:c r="U324" s="38"/>
      <x:c r="V324" s="38"/>
      <x:c r="W324" s="38"/>
      <x:c r="X324" s="38"/>
      <x:c r="Y324" s="38"/>
      <x:c r="Z324" s="38"/>
      <x:c r="AA324" s="38"/>
      <x:c r="AB324" s="38"/>
      <x:c r="AC324" s="38"/>
      <x:c r="AD324" s="38"/>
      <x:c r="AE324" s="38"/>
      <x:c r="AF324" s="38"/>
      <x:c r="AG324" s="38"/>
      <x:c r="AH324" s="38"/>
      <x:c r="AI324" s="38"/>
      <x:c r="AJ324" s="38"/>
      <x:c r="AK324" s="38"/>
      <x:c r="AL324" s="38"/>
      <x:c r="AM324" s="38"/>
    </x:row>
    <x:row r="325">
      <x:c r="A325" s="523" t="str">
        <x:f>IF(ISBLANK('_SCHEDULE'!A293),"",'_SCHEDULE'!A293)</x:f>
      </x:c>
      <x:c r="B325" s="523" t="str">
        <x:f>IF(ISBLANK('_SCHEDULE'!B293),"",IF('_CONFIG'!$B$2="pt-BR",IF('_SCHEDULE'!B293="scheduled","programado",IF('_SCHEDULE'!B293="rejected","rejeitado",'_SCHEDULE'!B293)),'_SCHEDULE'!B293))</x:f>
      </x:c>
      <x:c r="C325" s="523" t="str">
        <x:f>IF(ISBLANK('_SCHEDULE'!C293),"",'_SCHEDULE'!C293)</x:f>
      </x:c>
      <x:c r="D325" s="523" t="str">
        <x:f>IF(ISBLANK('_SCHEDULE'!D293),"",'_SCHEDULE'!D293)</x:f>
      </x:c>
      <x:c r="E325" s="530" t="str">
        <x:f>IF(ISBLANK('_SCHEDULE'!E293),"",'_SCHEDULE'!E293)</x:f>
      </x:c>
      <x:c r="F325" s="530" t="str">
        <x:f>IF(ISBLANK('_SCHEDULE'!F293),"",'_SCHEDULE'!F293)</x:f>
      </x:c>
      <x:c r="G325" s="530" t="str">
        <x:f>IF(ISBLANK('_SCHEDULE'!G293),"",'_SCHEDULE'!G293)</x:f>
      </x:c>
      <x:c r="H325" s="530" t="str">
        <x:f>IF(ISBLANK('_SCHEDULE'!H293),"",'_SCHEDULE'!H293)</x:f>
      </x:c>
      <x:c r="I325" s="530" t="str">
        <x:f>IF(ISBLANK('_SCHEDULE'!I293),"",'_SCHEDULE'!I293)</x:f>
      </x:c>
      <x:c r="J325" s="530" t="str">
        <x:f>IF(ISBLANK('_SCHEDULE'!J293),"",'_SCHEDULE'!J293)</x:f>
      </x:c>
      <x:c r="K325" s="530" t="str">
        <x:f>IF(ISBLANK('_SCHEDULE'!K293),"",'_SCHEDULE'!K293)</x:f>
      </x:c>
      <x:c r="L325" s="530" t="str">
        <x:f>IF(ISBLANK('_SCHEDULE'!L293),"",'_SCHEDULE'!L293)</x:f>
      </x:c>
      <x:c r="M325" s="530" t="str">
        <x:f>IF(ISBLANK('_SCHEDULE'!M293),"",'_SCHEDULE'!M293)</x:f>
      </x:c>
      <x:c r="N325" s="530" t="str">
        <x:f>IF(ISBLANK('_SCHEDULE'!N293),"",'_SCHEDULE'!N293)</x:f>
      </x:c>
      <x:c r="O325" s="530" t="str">
        <x:f>IF(ISBLANK('_SCHEDULE'!O293),"",'_SCHEDULE'!O293)</x:f>
      </x:c>
      <x:c r="P325" s="530" t="str">
        <x:f>IF(ISBLANK('_SCHEDULE'!P293),"",'_SCHEDULE'!P293)</x:f>
      </x:c>
      <x:c r="Q325" s="530" t="str">
        <x:f>IF(ISBLANK('_SCHEDULE'!Q293),"",'_SCHEDULE'!Q293)</x:f>
      </x:c>
      <x:c r="R325" s="530" t="str">
        <x:f>IF(ISBLANK('_SCHEDULE'!R293),"",'_SCHEDULE'!R293)</x:f>
      </x:c>
      <x:c r="S325" s="523" t="str">
        <x:f>IF(ISBLANK('_SCHEDULE'!S293),"",'_SCHEDULE'!S293)</x:f>
      </x:c>
      <x:c r="T325" s="38"/>
      <x:c r="U325" s="38"/>
      <x:c r="V325" s="38"/>
      <x:c r="W325" s="38"/>
      <x:c r="X325" s="38"/>
      <x:c r="Y325" s="38"/>
      <x:c r="Z325" s="38"/>
      <x:c r="AA325" s="38"/>
      <x:c r="AB325" s="38"/>
      <x:c r="AC325" s="38"/>
      <x:c r="AD325" s="38"/>
      <x:c r="AE325" s="38"/>
      <x:c r="AF325" s="38"/>
      <x:c r="AG325" s="38"/>
      <x:c r="AH325" s="38"/>
      <x:c r="AI325" s="38"/>
      <x:c r="AJ325" s="38"/>
      <x:c r="AK325" s="38"/>
      <x:c r="AL325" s="38"/>
      <x:c r="AM325" s="38"/>
    </x:row>
    <x:row r="326">
      <x:c r="A326" s="523" t="str">
        <x:f>IF(ISBLANK('_SCHEDULE'!A294),"",'_SCHEDULE'!A294)</x:f>
      </x:c>
      <x:c r="B326" s="523" t="str">
        <x:f>IF(ISBLANK('_SCHEDULE'!B294),"",IF('_CONFIG'!$B$2="pt-BR",IF('_SCHEDULE'!B294="scheduled","programado",IF('_SCHEDULE'!B294="rejected","rejeitado",'_SCHEDULE'!B294)),'_SCHEDULE'!B294))</x:f>
      </x:c>
      <x:c r="C326" s="523" t="str">
        <x:f>IF(ISBLANK('_SCHEDULE'!C294),"",'_SCHEDULE'!C294)</x:f>
      </x:c>
      <x:c r="D326" s="523" t="str">
        <x:f>IF(ISBLANK('_SCHEDULE'!D294),"",'_SCHEDULE'!D294)</x:f>
      </x:c>
      <x:c r="E326" s="530" t="str">
        <x:f>IF(ISBLANK('_SCHEDULE'!E294),"",'_SCHEDULE'!E294)</x:f>
      </x:c>
      <x:c r="F326" s="530" t="str">
        <x:f>IF(ISBLANK('_SCHEDULE'!F294),"",'_SCHEDULE'!F294)</x:f>
      </x:c>
      <x:c r="G326" s="530" t="str">
        <x:f>IF(ISBLANK('_SCHEDULE'!G294),"",'_SCHEDULE'!G294)</x:f>
      </x:c>
      <x:c r="H326" s="530" t="str">
        <x:f>IF(ISBLANK('_SCHEDULE'!H294),"",'_SCHEDULE'!H294)</x:f>
      </x:c>
      <x:c r="I326" s="530" t="str">
        <x:f>IF(ISBLANK('_SCHEDULE'!I294),"",'_SCHEDULE'!I294)</x:f>
      </x:c>
      <x:c r="J326" s="530" t="str">
        <x:f>IF(ISBLANK('_SCHEDULE'!J294),"",'_SCHEDULE'!J294)</x:f>
      </x:c>
      <x:c r="K326" s="530" t="str">
        <x:f>IF(ISBLANK('_SCHEDULE'!K294),"",'_SCHEDULE'!K294)</x:f>
      </x:c>
      <x:c r="L326" s="530" t="str">
        <x:f>IF(ISBLANK('_SCHEDULE'!L294),"",'_SCHEDULE'!L294)</x:f>
      </x:c>
      <x:c r="M326" s="530" t="str">
        <x:f>IF(ISBLANK('_SCHEDULE'!M294),"",'_SCHEDULE'!M294)</x:f>
      </x:c>
      <x:c r="N326" s="530" t="str">
        <x:f>IF(ISBLANK('_SCHEDULE'!N294),"",'_SCHEDULE'!N294)</x:f>
      </x:c>
      <x:c r="O326" s="530" t="str">
        <x:f>IF(ISBLANK('_SCHEDULE'!O294),"",'_SCHEDULE'!O294)</x:f>
      </x:c>
      <x:c r="P326" s="530" t="str">
        <x:f>IF(ISBLANK('_SCHEDULE'!P294),"",'_SCHEDULE'!P294)</x:f>
      </x:c>
      <x:c r="Q326" s="530" t="str">
        <x:f>IF(ISBLANK('_SCHEDULE'!Q294),"",'_SCHEDULE'!Q294)</x:f>
      </x:c>
      <x:c r="R326" s="530" t="str">
        <x:f>IF(ISBLANK('_SCHEDULE'!R294),"",'_SCHEDULE'!R294)</x:f>
      </x:c>
      <x:c r="S326" s="523" t="str">
        <x:f>IF(ISBLANK('_SCHEDULE'!S294),"",'_SCHEDULE'!S294)</x:f>
      </x:c>
      <x:c r="T326" s="38"/>
      <x:c r="U326" s="38"/>
      <x:c r="V326" s="38"/>
      <x:c r="W326" s="38"/>
      <x:c r="X326" s="38"/>
      <x:c r="Y326" s="38"/>
      <x:c r="Z326" s="38"/>
      <x:c r="AA326" s="38"/>
      <x:c r="AB326" s="38"/>
      <x:c r="AC326" s="38"/>
      <x:c r="AD326" s="38"/>
      <x:c r="AE326" s="38"/>
      <x:c r="AF326" s="38"/>
      <x:c r="AG326" s="38"/>
      <x:c r="AH326" s="38"/>
      <x:c r="AI326" s="38"/>
      <x:c r="AJ326" s="38"/>
      <x:c r="AK326" s="38"/>
      <x:c r="AL326" s="38"/>
      <x:c r="AM326" s="38"/>
    </x:row>
    <x:row r="327">
      <x:c r="A327" s="523" t="str">
        <x:f>IF(ISBLANK('_SCHEDULE'!A295),"",'_SCHEDULE'!A295)</x:f>
      </x:c>
      <x:c r="B327" s="523" t="str">
        <x:f>IF(ISBLANK('_SCHEDULE'!B295),"",IF('_CONFIG'!$B$2="pt-BR",IF('_SCHEDULE'!B295="scheduled","programado",IF('_SCHEDULE'!B295="rejected","rejeitado",'_SCHEDULE'!B295)),'_SCHEDULE'!B295))</x:f>
      </x:c>
      <x:c r="C327" s="523" t="str">
        <x:f>IF(ISBLANK('_SCHEDULE'!C295),"",'_SCHEDULE'!C295)</x:f>
      </x:c>
      <x:c r="D327" s="523" t="str">
        <x:f>IF(ISBLANK('_SCHEDULE'!D295),"",'_SCHEDULE'!D295)</x:f>
      </x:c>
      <x:c r="E327" s="530" t="str">
        <x:f>IF(ISBLANK('_SCHEDULE'!E295),"",'_SCHEDULE'!E295)</x:f>
      </x:c>
      <x:c r="F327" s="530" t="str">
        <x:f>IF(ISBLANK('_SCHEDULE'!F295),"",'_SCHEDULE'!F295)</x:f>
      </x:c>
      <x:c r="G327" s="530" t="str">
        <x:f>IF(ISBLANK('_SCHEDULE'!G295),"",'_SCHEDULE'!G295)</x:f>
      </x:c>
      <x:c r="H327" s="530" t="str">
        <x:f>IF(ISBLANK('_SCHEDULE'!H295),"",'_SCHEDULE'!H295)</x:f>
      </x:c>
      <x:c r="I327" s="530" t="str">
        <x:f>IF(ISBLANK('_SCHEDULE'!I295),"",'_SCHEDULE'!I295)</x:f>
      </x:c>
      <x:c r="J327" s="530" t="str">
        <x:f>IF(ISBLANK('_SCHEDULE'!J295),"",'_SCHEDULE'!J295)</x:f>
      </x:c>
      <x:c r="K327" s="530" t="str">
        <x:f>IF(ISBLANK('_SCHEDULE'!K295),"",'_SCHEDULE'!K295)</x:f>
      </x:c>
      <x:c r="L327" s="530" t="str">
        <x:f>IF(ISBLANK('_SCHEDULE'!L295),"",'_SCHEDULE'!L295)</x:f>
      </x:c>
      <x:c r="M327" s="530" t="str">
        <x:f>IF(ISBLANK('_SCHEDULE'!M295),"",'_SCHEDULE'!M295)</x:f>
      </x:c>
      <x:c r="N327" s="530" t="str">
        <x:f>IF(ISBLANK('_SCHEDULE'!N295),"",'_SCHEDULE'!N295)</x:f>
      </x:c>
      <x:c r="O327" s="530" t="str">
        <x:f>IF(ISBLANK('_SCHEDULE'!O295),"",'_SCHEDULE'!O295)</x:f>
      </x:c>
      <x:c r="P327" s="530" t="str">
        <x:f>IF(ISBLANK('_SCHEDULE'!P295),"",'_SCHEDULE'!P295)</x:f>
      </x:c>
      <x:c r="Q327" s="530" t="str">
        <x:f>IF(ISBLANK('_SCHEDULE'!Q295),"",'_SCHEDULE'!Q295)</x:f>
      </x:c>
      <x:c r="R327" s="530" t="str">
        <x:f>IF(ISBLANK('_SCHEDULE'!R295),"",'_SCHEDULE'!R295)</x:f>
      </x:c>
      <x:c r="S327" s="523" t="str">
        <x:f>IF(ISBLANK('_SCHEDULE'!S295),"",'_SCHEDULE'!S295)</x:f>
      </x:c>
      <x:c r="T327" s="38"/>
      <x:c r="U327" s="38"/>
      <x:c r="V327" s="38"/>
      <x:c r="W327" s="38"/>
      <x:c r="X327" s="38"/>
      <x:c r="Y327" s="38"/>
      <x:c r="Z327" s="38"/>
      <x:c r="AA327" s="38"/>
      <x:c r="AB327" s="38"/>
      <x:c r="AC327" s="38"/>
      <x:c r="AD327" s="38"/>
      <x:c r="AE327" s="38"/>
      <x:c r="AF327" s="38"/>
      <x:c r="AG327" s="38"/>
      <x:c r="AH327" s="38"/>
      <x:c r="AI327" s="38"/>
      <x:c r="AJ327" s="38"/>
      <x:c r="AK327" s="38"/>
      <x:c r="AL327" s="38"/>
      <x:c r="AM327" s="38"/>
    </x:row>
    <x:row r="328">
      <x:c r="A328" s="523" t="str">
        <x:f>IF(ISBLANK('_SCHEDULE'!A296),"",'_SCHEDULE'!A296)</x:f>
      </x:c>
      <x:c r="B328" s="523" t="str">
        <x:f>IF(ISBLANK('_SCHEDULE'!B296),"",IF('_CONFIG'!$B$2="pt-BR",IF('_SCHEDULE'!B296="scheduled","programado",IF('_SCHEDULE'!B296="rejected","rejeitado",'_SCHEDULE'!B296)),'_SCHEDULE'!B296))</x:f>
      </x:c>
      <x:c r="C328" s="523" t="str">
        <x:f>IF(ISBLANK('_SCHEDULE'!C296),"",'_SCHEDULE'!C296)</x:f>
      </x:c>
      <x:c r="D328" s="523" t="str">
        <x:f>IF(ISBLANK('_SCHEDULE'!D296),"",'_SCHEDULE'!D296)</x:f>
      </x:c>
      <x:c r="E328" s="530" t="str">
        <x:f>IF(ISBLANK('_SCHEDULE'!E296),"",'_SCHEDULE'!E296)</x:f>
      </x:c>
      <x:c r="F328" s="530" t="str">
        <x:f>IF(ISBLANK('_SCHEDULE'!F296),"",'_SCHEDULE'!F296)</x:f>
      </x:c>
      <x:c r="G328" s="530" t="str">
        <x:f>IF(ISBLANK('_SCHEDULE'!G296),"",'_SCHEDULE'!G296)</x:f>
      </x:c>
      <x:c r="H328" s="530" t="str">
        <x:f>IF(ISBLANK('_SCHEDULE'!H296),"",'_SCHEDULE'!H296)</x:f>
      </x:c>
      <x:c r="I328" s="530" t="str">
        <x:f>IF(ISBLANK('_SCHEDULE'!I296),"",'_SCHEDULE'!I296)</x:f>
      </x:c>
      <x:c r="J328" s="530" t="str">
        <x:f>IF(ISBLANK('_SCHEDULE'!J296),"",'_SCHEDULE'!J296)</x:f>
      </x:c>
      <x:c r="K328" s="530" t="str">
        <x:f>IF(ISBLANK('_SCHEDULE'!K296),"",'_SCHEDULE'!K296)</x:f>
      </x:c>
      <x:c r="L328" s="530" t="str">
        <x:f>IF(ISBLANK('_SCHEDULE'!L296),"",'_SCHEDULE'!L296)</x:f>
      </x:c>
      <x:c r="M328" s="530" t="str">
        <x:f>IF(ISBLANK('_SCHEDULE'!M296),"",'_SCHEDULE'!M296)</x:f>
      </x:c>
      <x:c r="N328" s="530" t="str">
        <x:f>IF(ISBLANK('_SCHEDULE'!N296),"",'_SCHEDULE'!N296)</x:f>
      </x:c>
      <x:c r="O328" s="530" t="str">
        <x:f>IF(ISBLANK('_SCHEDULE'!O296),"",'_SCHEDULE'!O296)</x:f>
      </x:c>
      <x:c r="P328" s="530" t="str">
        <x:f>IF(ISBLANK('_SCHEDULE'!P296),"",'_SCHEDULE'!P296)</x:f>
      </x:c>
      <x:c r="Q328" s="530" t="str">
        <x:f>IF(ISBLANK('_SCHEDULE'!Q296),"",'_SCHEDULE'!Q296)</x:f>
      </x:c>
      <x:c r="R328" s="530" t="str">
        <x:f>IF(ISBLANK('_SCHEDULE'!R296),"",'_SCHEDULE'!R296)</x:f>
      </x:c>
      <x:c r="S328" s="523" t="str">
        <x:f>IF(ISBLANK('_SCHEDULE'!S296),"",'_SCHEDULE'!S296)</x:f>
      </x:c>
      <x:c r="T328" s="38"/>
      <x:c r="U328" s="38"/>
      <x:c r="V328" s="38"/>
      <x:c r="W328" s="38"/>
      <x:c r="X328" s="38"/>
      <x:c r="Y328" s="38"/>
      <x:c r="Z328" s="38"/>
      <x:c r="AA328" s="38"/>
      <x:c r="AB328" s="38"/>
      <x:c r="AC328" s="38"/>
      <x:c r="AD328" s="38"/>
      <x:c r="AE328" s="38"/>
      <x:c r="AF328" s="38"/>
      <x:c r="AG328" s="38"/>
      <x:c r="AH328" s="38"/>
      <x:c r="AI328" s="38"/>
      <x:c r="AJ328" s="38"/>
      <x:c r="AK328" s="38"/>
      <x:c r="AL328" s="38"/>
      <x:c r="AM328" s="38"/>
    </x:row>
    <x:row r="329">
      <x:c r="A329" s="523" t="str">
        <x:f>IF(ISBLANK('_SCHEDULE'!A297),"",'_SCHEDULE'!A297)</x:f>
      </x:c>
      <x:c r="B329" s="523" t="str">
        <x:f>IF(ISBLANK('_SCHEDULE'!B297),"",IF('_CONFIG'!$B$2="pt-BR",IF('_SCHEDULE'!B297="scheduled","programado",IF('_SCHEDULE'!B297="rejected","rejeitado",'_SCHEDULE'!B297)),'_SCHEDULE'!B297))</x:f>
      </x:c>
      <x:c r="C329" s="523" t="str">
        <x:f>IF(ISBLANK('_SCHEDULE'!C297),"",'_SCHEDULE'!C297)</x:f>
      </x:c>
      <x:c r="D329" s="523" t="str">
        <x:f>IF(ISBLANK('_SCHEDULE'!D297),"",'_SCHEDULE'!D297)</x:f>
      </x:c>
      <x:c r="E329" s="530" t="str">
        <x:f>IF(ISBLANK('_SCHEDULE'!E297),"",'_SCHEDULE'!E297)</x:f>
      </x:c>
      <x:c r="F329" s="530" t="str">
        <x:f>IF(ISBLANK('_SCHEDULE'!F297),"",'_SCHEDULE'!F297)</x:f>
      </x:c>
      <x:c r="G329" s="530" t="str">
        <x:f>IF(ISBLANK('_SCHEDULE'!G297),"",'_SCHEDULE'!G297)</x:f>
      </x:c>
      <x:c r="H329" s="530" t="str">
        <x:f>IF(ISBLANK('_SCHEDULE'!H297),"",'_SCHEDULE'!H297)</x:f>
      </x:c>
      <x:c r="I329" s="530" t="str">
        <x:f>IF(ISBLANK('_SCHEDULE'!I297),"",'_SCHEDULE'!I297)</x:f>
      </x:c>
      <x:c r="J329" s="530" t="str">
        <x:f>IF(ISBLANK('_SCHEDULE'!J297),"",'_SCHEDULE'!J297)</x:f>
      </x:c>
      <x:c r="K329" s="530" t="str">
        <x:f>IF(ISBLANK('_SCHEDULE'!K297),"",'_SCHEDULE'!K297)</x:f>
      </x:c>
      <x:c r="L329" s="530" t="str">
        <x:f>IF(ISBLANK('_SCHEDULE'!L297),"",'_SCHEDULE'!L297)</x:f>
      </x:c>
      <x:c r="M329" s="530" t="str">
        <x:f>IF(ISBLANK('_SCHEDULE'!M297),"",'_SCHEDULE'!M297)</x:f>
      </x:c>
      <x:c r="N329" s="530" t="str">
        <x:f>IF(ISBLANK('_SCHEDULE'!N297),"",'_SCHEDULE'!N297)</x:f>
      </x:c>
      <x:c r="O329" s="530" t="str">
        <x:f>IF(ISBLANK('_SCHEDULE'!O297),"",'_SCHEDULE'!O297)</x:f>
      </x:c>
      <x:c r="P329" s="530" t="str">
        <x:f>IF(ISBLANK('_SCHEDULE'!P297),"",'_SCHEDULE'!P297)</x:f>
      </x:c>
      <x:c r="Q329" s="530" t="str">
        <x:f>IF(ISBLANK('_SCHEDULE'!Q297),"",'_SCHEDULE'!Q297)</x:f>
      </x:c>
      <x:c r="R329" s="530" t="str">
        <x:f>IF(ISBLANK('_SCHEDULE'!R297),"",'_SCHEDULE'!R297)</x:f>
      </x:c>
      <x:c r="S329" s="523" t="str">
        <x:f>IF(ISBLANK('_SCHEDULE'!S297),"",'_SCHEDULE'!S297)</x:f>
      </x:c>
      <x:c r="T329" s="38"/>
      <x:c r="U329" s="38"/>
      <x:c r="V329" s="38"/>
      <x:c r="W329" s="38"/>
      <x:c r="X329" s="38"/>
      <x:c r="Y329" s="38"/>
      <x:c r="Z329" s="38"/>
      <x:c r="AA329" s="38"/>
      <x:c r="AB329" s="38"/>
      <x:c r="AC329" s="38"/>
      <x:c r="AD329" s="38"/>
      <x:c r="AE329" s="38"/>
      <x:c r="AF329" s="38"/>
      <x:c r="AG329" s="38"/>
      <x:c r="AH329" s="38"/>
      <x:c r="AI329" s="38"/>
      <x:c r="AJ329" s="38"/>
      <x:c r="AK329" s="38"/>
      <x:c r="AL329" s="38"/>
      <x:c r="AM329" s="38"/>
    </x:row>
    <x:row r="330">
      <x:c r="A330" s="523" t="str">
        <x:f>IF(ISBLANK('_SCHEDULE'!A298),"",'_SCHEDULE'!A298)</x:f>
      </x:c>
      <x:c r="B330" s="523" t="str">
        <x:f>IF(ISBLANK('_SCHEDULE'!B298),"",IF('_CONFIG'!$B$2="pt-BR",IF('_SCHEDULE'!B298="scheduled","programado",IF('_SCHEDULE'!B298="rejected","rejeitado",'_SCHEDULE'!B298)),'_SCHEDULE'!B298))</x:f>
      </x:c>
      <x:c r="C330" s="523" t="str">
        <x:f>IF(ISBLANK('_SCHEDULE'!C298),"",'_SCHEDULE'!C298)</x:f>
      </x:c>
      <x:c r="D330" s="523" t="str">
        <x:f>IF(ISBLANK('_SCHEDULE'!D298),"",'_SCHEDULE'!D298)</x:f>
      </x:c>
      <x:c r="E330" s="530" t="str">
        <x:f>IF(ISBLANK('_SCHEDULE'!E298),"",'_SCHEDULE'!E298)</x:f>
      </x:c>
      <x:c r="F330" s="530" t="str">
        <x:f>IF(ISBLANK('_SCHEDULE'!F298),"",'_SCHEDULE'!F298)</x:f>
      </x:c>
      <x:c r="G330" s="530" t="str">
        <x:f>IF(ISBLANK('_SCHEDULE'!G298),"",'_SCHEDULE'!G298)</x:f>
      </x:c>
      <x:c r="H330" s="530" t="str">
        <x:f>IF(ISBLANK('_SCHEDULE'!H298),"",'_SCHEDULE'!H298)</x:f>
      </x:c>
      <x:c r="I330" s="530" t="str">
        <x:f>IF(ISBLANK('_SCHEDULE'!I298),"",'_SCHEDULE'!I298)</x:f>
      </x:c>
      <x:c r="J330" s="530" t="str">
        <x:f>IF(ISBLANK('_SCHEDULE'!J298),"",'_SCHEDULE'!J298)</x:f>
      </x:c>
      <x:c r="K330" s="530" t="str">
        <x:f>IF(ISBLANK('_SCHEDULE'!K298),"",'_SCHEDULE'!K298)</x:f>
      </x:c>
      <x:c r="L330" s="530" t="str">
        <x:f>IF(ISBLANK('_SCHEDULE'!L298),"",'_SCHEDULE'!L298)</x:f>
      </x:c>
      <x:c r="M330" s="530" t="str">
        <x:f>IF(ISBLANK('_SCHEDULE'!M298),"",'_SCHEDULE'!M298)</x:f>
      </x:c>
      <x:c r="N330" s="530" t="str">
        <x:f>IF(ISBLANK('_SCHEDULE'!N298),"",'_SCHEDULE'!N298)</x:f>
      </x:c>
      <x:c r="O330" s="530" t="str">
        <x:f>IF(ISBLANK('_SCHEDULE'!O298),"",'_SCHEDULE'!O298)</x:f>
      </x:c>
      <x:c r="P330" s="530" t="str">
        <x:f>IF(ISBLANK('_SCHEDULE'!P298),"",'_SCHEDULE'!P298)</x:f>
      </x:c>
      <x:c r="Q330" s="530" t="str">
        <x:f>IF(ISBLANK('_SCHEDULE'!Q298),"",'_SCHEDULE'!Q298)</x:f>
      </x:c>
      <x:c r="R330" s="530" t="str">
        <x:f>IF(ISBLANK('_SCHEDULE'!R298),"",'_SCHEDULE'!R298)</x:f>
      </x:c>
      <x:c r="S330" s="523" t="str">
        <x:f>IF(ISBLANK('_SCHEDULE'!S298),"",'_SCHEDULE'!S298)</x:f>
      </x:c>
      <x:c r="T330" s="38"/>
      <x:c r="U330" s="38"/>
      <x:c r="V330" s="38"/>
      <x:c r="W330" s="38"/>
      <x:c r="X330" s="38"/>
      <x:c r="Y330" s="38"/>
      <x:c r="Z330" s="38"/>
      <x:c r="AA330" s="38"/>
      <x:c r="AB330" s="38"/>
      <x:c r="AC330" s="38"/>
      <x:c r="AD330" s="38"/>
      <x:c r="AE330" s="38"/>
      <x:c r="AF330" s="38"/>
      <x:c r="AG330" s="38"/>
      <x:c r="AH330" s="38"/>
      <x:c r="AI330" s="38"/>
      <x:c r="AJ330" s="38"/>
      <x:c r="AK330" s="38"/>
      <x:c r="AL330" s="38"/>
      <x:c r="AM330" s="38"/>
    </x:row>
    <x:row r="331">
      <x:c r="A331" s="523" t="str">
        <x:f>IF(ISBLANK('_SCHEDULE'!A299),"",'_SCHEDULE'!A299)</x:f>
      </x:c>
      <x:c r="B331" s="523" t="str">
        <x:f>IF(ISBLANK('_SCHEDULE'!B299),"",IF('_CONFIG'!$B$2="pt-BR",IF('_SCHEDULE'!B299="scheduled","programado",IF('_SCHEDULE'!B299="rejected","rejeitado",'_SCHEDULE'!B299)),'_SCHEDULE'!B299))</x:f>
      </x:c>
      <x:c r="C331" s="523" t="str">
        <x:f>IF(ISBLANK('_SCHEDULE'!C299),"",'_SCHEDULE'!C299)</x:f>
      </x:c>
      <x:c r="D331" s="523" t="str">
        <x:f>IF(ISBLANK('_SCHEDULE'!D299),"",'_SCHEDULE'!D299)</x:f>
      </x:c>
      <x:c r="E331" s="530" t="str">
        <x:f>IF(ISBLANK('_SCHEDULE'!E299),"",'_SCHEDULE'!E299)</x:f>
      </x:c>
      <x:c r="F331" s="530" t="str">
        <x:f>IF(ISBLANK('_SCHEDULE'!F299),"",'_SCHEDULE'!F299)</x:f>
      </x:c>
      <x:c r="G331" s="530" t="str">
        <x:f>IF(ISBLANK('_SCHEDULE'!G299),"",'_SCHEDULE'!G299)</x:f>
      </x:c>
      <x:c r="H331" s="530" t="str">
        <x:f>IF(ISBLANK('_SCHEDULE'!H299),"",'_SCHEDULE'!H299)</x:f>
      </x:c>
      <x:c r="I331" s="530" t="str">
        <x:f>IF(ISBLANK('_SCHEDULE'!I299),"",'_SCHEDULE'!I299)</x:f>
      </x:c>
      <x:c r="J331" s="530" t="str">
        <x:f>IF(ISBLANK('_SCHEDULE'!J299),"",'_SCHEDULE'!J299)</x:f>
      </x:c>
      <x:c r="K331" s="530" t="str">
        <x:f>IF(ISBLANK('_SCHEDULE'!K299),"",'_SCHEDULE'!K299)</x:f>
      </x:c>
      <x:c r="L331" s="530" t="str">
        <x:f>IF(ISBLANK('_SCHEDULE'!L299),"",'_SCHEDULE'!L299)</x:f>
      </x:c>
      <x:c r="M331" s="530" t="str">
        <x:f>IF(ISBLANK('_SCHEDULE'!M299),"",'_SCHEDULE'!M299)</x:f>
      </x:c>
      <x:c r="N331" s="530" t="str">
        <x:f>IF(ISBLANK('_SCHEDULE'!N299),"",'_SCHEDULE'!N299)</x:f>
      </x:c>
      <x:c r="O331" s="530" t="str">
        <x:f>IF(ISBLANK('_SCHEDULE'!O299),"",'_SCHEDULE'!O299)</x:f>
      </x:c>
      <x:c r="P331" s="530" t="str">
        <x:f>IF(ISBLANK('_SCHEDULE'!P299),"",'_SCHEDULE'!P299)</x:f>
      </x:c>
      <x:c r="Q331" s="530" t="str">
        <x:f>IF(ISBLANK('_SCHEDULE'!Q299),"",'_SCHEDULE'!Q299)</x:f>
      </x:c>
      <x:c r="R331" s="530" t="str">
        <x:f>IF(ISBLANK('_SCHEDULE'!R299),"",'_SCHEDULE'!R299)</x:f>
      </x:c>
      <x:c r="S331" s="523" t="str">
        <x:f>IF(ISBLANK('_SCHEDULE'!S299),"",'_SCHEDULE'!S299)</x:f>
      </x:c>
      <x:c r="T331" s="38"/>
      <x:c r="U331" s="38"/>
      <x:c r="V331" s="38"/>
      <x:c r="W331" s="38"/>
      <x:c r="X331" s="38"/>
      <x:c r="Y331" s="38"/>
      <x:c r="Z331" s="38"/>
      <x:c r="AA331" s="38"/>
      <x:c r="AB331" s="38"/>
      <x:c r="AC331" s="38"/>
      <x:c r="AD331" s="38"/>
      <x:c r="AE331" s="38"/>
      <x:c r="AF331" s="38"/>
      <x:c r="AG331" s="38"/>
      <x:c r="AH331" s="38"/>
      <x:c r="AI331" s="38"/>
      <x:c r="AJ331" s="38"/>
      <x:c r="AK331" s="38"/>
      <x:c r="AL331" s="38"/>
      <x:c r="AM331" s="38"/>
    </x:row>
    <x:row r="332">
      <x:c r="A332" s="523" t="str">
        <x:f>IF(ISBLANK('_SCHEDULE'!A300),"",'_SCHEDULE'!A300)</x:f>
      </x:c>
      <x:c r="B332" s="523" t="str">
        <x:f>IF(ISBLANK('_SCHEDULE'!B300),"",IF('_CONFIG'!$B$2="pt-BR",IF('_SCHEDULE'!B300="scheduled","programado",IF('_SCHEDULE'!B300="rejected","rejeitado",'_SCHEDULE'!B300)),'_SCHEDULE'!B300))</x:f>
      </x:c>
      <x:c r="C332" s="523" t="str">
        <x:f>IF(ISBLANK('_SCHEDULE'!C300),"",'_SCHEDULE'!C300)</x:f>
      </x:c>
      <x:c r="D332" s="523" t="str">
        <x:f>IF(ISBLANK('_SCHEDULE'!D300),"",'_SCHEDULE'!D300)</x:f>
      </x:c>
      <x:c r="E332" s="530" t="str">
        <x:f>IF(ISBLANK('_SCHEDULE'!E300),"",'_SCHEDULE'!E300)</x:f>
      </x:c>
      <x:c r="F332" s="530" t="str">
        <x:f>IF(ISBLANK('_SCHEDULE'!F300),"",'_SCHEDULE'!F300)</x:f>
      </x:c>
      <x:c r="G332" s="530" t="str">
        <x:f>IF(ISBLANK('_SCHEDULE'!G300),"",'_SCHEDULE'!G300)</x:f>
      </x:c>
      <x:c r="H332" s="530" t="str">
        <x:f>IF(ISBLANK('_SCHEDULE'!H300),"",'_SCHEDULE'!H300)</x:f>
      </x:c>
      <x:c r="I332" s="530" t="str">
        <x:f>IF(ISBLANK('_SCHEDULE'!I300),"",'_SCHEDULE'!I300)</x:f>
      </x:c>
      <x:c r="J332" s="530" t="str">
        <x:f>IF(ISBLANK('_SCHEDULE'!J300),"",'_SCHEDULE'!J300)</x:f>
      </x:c>
      <x:c r="K332" s="530" t="str">
        <x:f>IF(ISBLANK('_SCHEDULE'!K300),"",'_SCHEDULE'!K300)</x:f>
      </x:c>
      <x:c r="L332" s="530" t="str">
        <x:f>IF(ISBLANK('_SCHEDULE'!L300),"",'_SCHEDULE'!L300)</x:f>
      </x:c>
      <x:c r="M332" s="530" t="str">
        <x:f>IF(ISBLANK('_SCHEDULE'!M300),"",'_SCHEDULE'!M300)</x:f>
      </x:c>
      <x:c r="N332" s="530" t="str">
        <x:f>IF(ISBLANK('_SCHEDULE'!N300),"",'_SCHEDULE'!N300)</x:f>
      </x:c>
      <x:c r="O332" s="530" t="str">
        <x:f>IF(ISBLANK('_SCHEDULE'!O300),"",'_SCHEDULE'!O300)</x:f>
      </x:c>
      <x:c r="P332" s="530" t="str">
        <x:f>IF(ISBLANK('_SCHEDULE'!P300),"",'_SCHEDULE'!P300)</x:f>
      </x:c>
      <x:c r="Q332" s="530" t="str">
        <x:f>IF(ISBLANK('_SCHEDULE'!Q300),"",'_SCHEDULE'!Q300)</x:f>
      </x:c>
      <x:c r="R332" s="530" t="str">
        <x:f>IF(ISBLANK('_SCHEDULE'!R300),"",'_SCHEDULE'!R300)</x:f>
      </x:c>
      <x:c r="S332" s="523" t="str">
        <x:f>IF(ISBLANK('_SCHEDULE'!S300),"",'_SCHEDULE'!S300)</x:f>
      </x:c>
      <x:c r="T332" s="38"/>
      <x:c r="U332" s="38"/>
      <x:c r="V332" s="38"/>
      <x:c r="W332" s="38"/>
      <x:c r="X332" s="38"/>
      <x:c r="Y332" s="38"/>
      <x:c r="Z332" s="38"/>
      <x:c r="AA332" s="38"/>
      <x:c r="AB332" s="38"/>
      <x:c r="AC332" s="38"/>
      <x:c r="AD332" s="38"/>
      <x:c r="AE332" s="38"/>
      <x:c r="AF332" s="38"/>
      <x:c r="AG332" s="38"/>
      <x:c r="AH332" s="38"/>
      <x:c r="AI332" s="38"/>
      <x:c r="AJ332" s="38"/>
      <x:c r="AK332" s="38"/>
      <x:c r="AL332" s="38"/>
      <x:c r="AM332" s="38"/>
    </x:row>
    <x:row r="333">
      <x:c r="A333" s="523" t="str">
        <x:f>IF(ISBLANK('_SCHEDULE'!A301),"",'_SCHEDULE'!A301)</x:f>
      </x:c>
      <x:c r="B333" s="523" t="str">
        <x:f>IF(ISBLANK('_SCHEDULE'!B301),"",IF('_CONFIG'!$B$2="pt-BR",IF('_SCHEDULE'!B301="scheduled","programado",IF('_SCHEDULE'!B301="rejected","rejeitado",'_SCHEDULE'!B301)),'_SCHEDULE'!B301))</x:f>
      </x:c>
      <x:c r="C333" s="523" t="str">
        <x:f>IF(ISBLANK('_SCHEDULE'!C301),"",'_SCHEDULE'!C301)</x:f>
      </x:c>
      <x:c r="D333" s="523" t="str">
        <x:f>IF(ISBLANK('_SCHEDULE'!D301),"",'_SCHEDULE'!D301)</x:f>
      </x:c>
      <x:c r="E333" s="530" t="str">
        <x:f>IF(ISBLANK('_SCHEDULE'!E301),"",'_SCHEDULE'!E301)</x:f>
      </x:c>
      <x:c r="F333" s="530" t="str">
        <x:f>IF(ISBLANK('_SCHEDULE'!F301),"",'_SCHEDULE'!F301)</x:f>
      </x:c>
      <x:c r="G333" s="530" t="str">
        <x:f>IF(ISBLANK('_SCHEDULE'!G301),"",'_SCHEDULE'!G301)</x:f>
      </x:c>
      <x:c r="H333" s="530" t="str">
        <x:f>IF(ISBLANK('_SCHEDULE'!H301),"",'_SCHEDULE'!H301)</x:f>
      </x:c>
      <x:c r="I333" s="530" t="str">
        <x:f>IF(ISBLANK('_SCHEDULE'!I301),"",'_SCHEDULE'!I301)</x:f>
      </x:c>
      <x:c r="J333" s="530" t="str">
        <x:f>IF(ISBLANK('_SCHEDULE'!J301),"",'_SCHEDULE'!J301)</x:f>
      </x:c>
      <x:c r="K333" s="530" t="str">
        <x:f>IF(ISBLANK('_SCHEDULE'!K301),"",'_SCHEDULE'!K301)</x:f>
      </x:c>
      <x:c r="L333" s="530" t="str">
        <x:f>IF(ISBLANK('_SCHEDULE'!L301),"",'_SCHEDULE'!L301)</x:f>
      </x:c>
      <x:c r="M333" s="530" t="str">
        <x:f>IF(ISBLANK('_SCHEDULE'!M301),"",'_SCHEDULE'!M301)</x:f>
      </x:c>
      <x:c r="N333" s="530" t="str">
        <x:f>IF(ISBLANK('_SCHEDULE'!N301),"",'_SCHEDULE'!N301)</x:f>
      </x:c>
      <x:c r="O333" s="530" t="str">
        <x:f>IF(ISBLANK('_SCHEDULE'!O301),"",'_SCHEDULE'!O301)</x:f>
      </x:c>
      <x:c r="P333" s="530" t="str">
        <x:f>IF(ISBLANK('_SCHEDULE'!P301),"",'_SCHEDULE'!P301)</x:f>
      </x:c>
      <x:c r="Q333" s="530" t="str">
        <x:f>IF(ISBLANK('_SCHEDULE'!Q301),"",'_SCHEDULE'!Q301)</x:f>
      </x:c>
      <x:c r="R333" s="530" t="str">
        <x:f>IF(ISBLANK('_SCHEDULE'!R301),"",'_SCHEDULE'!R301)</x:f>
      </x:c>
      <x:c r="S333" s="523" t="str">
        <x:f>IF(ISBLANK('_SCHEDULE'!S301),"",'_SCHEDULE'!S301)</x:f>
      </x:c>
      <x:c r="T333" s="38"/>
      <x:c r="U333" s="38"/>
      <x:c r="V333" s="38"/>
      <x:c r="W333" s="38"/>
      <x:c r="X333" s="38"/>
      <x:c r="Y333" s="38"/>
      <x:c r="Z333" s="38"/>
      <x:c r="AA333" s="38"/>
      <x:c r="AB333" s="38"/>
      <x:c r="AC333" s="38"/>
      <x:c r="AD333" s="38"/>
      <x:c r="AE333" s="38"/>
      <x:c r="AF333" s="38"/>
      <x:c r="AG333" s="38"/>
      <x:c r="AH333" s="38"/>
      <x:c r="AI333" s="38"/>
      <x:c r="AJ333" s="38"/>
      <x:c r="AK333" s="38"/>
      <x:c r="AL333" s="38"/>
      <x:c r="AM333" s="38"/>
    </x:row>
    <x:row r="334">
      <x:c r="A334" s="523" t="str">
        <x:f>IF(ISBLANK('_SCHEDULE'!A302),"",'_SCHEDULE'!A302)</x:f>
      </x:c>
      <x:c r="B334" s="523" t="str">
        <x:f>IF(ISBLANK('_SCHEDULE'!B302),"",IF('_CONFIG'!$B$2="pt-BR",IF('_SCHEDULE'!B302="scheduled","programado",IF('_SCHEDULE'!B302="rejected","rejeitado",'_SCHEDULE'!B302)),'_SCHEDULE'!B302))</x:f>
      </x:c>
      <x:c r="C334" s="523" t="str">
        <x:f>IF(ISBLANK('_SCHEDULE'!C302),"",'_SCHEDULE'!C302)</x:f>
      </x:c>
      <x:c r="D334" s="523" t="str">
        <x:f>IF(ISBLANK('_SCHEDULE'!D302),"",'_SCHEDULE'!D302)</x:f>
      </x:c>
      <x:c r="E334" s="530" t="str">
        <x:f>IF(ISBLANK('_SCHEDULE'!E302),"",'_SCHEDULE'!E302)</x:f>
      </x:c>
      <x:c r="F334" s="530" t="str">
        <x:f>IF(ISBLANK('_SCHEDULE'!F302),"",'_SCHEDULE'!F302)</x:f>
      </x:c>
      <x:c r="G334" s="530" t="str">
        <x:f>IF(ISBLANK('_SCHEDULE'!G302),"",'_SCHEDULE'!G302)</x:f>
      </x:c>
      <x:c r="H334" s="530" t="str">
        <x:f>IF(ISBLANK('_SCHEDULE'!H302),"",'_SCHEDULE'!H302)</x:f>
      </x:c>
      <x:c r="I334" s="530" t="str">
        <x:f>IF(ISBLANK('_SCHEDULE'!I302),"",'_SCHEDULE'!I302)</x:f>
      </x:c>
      <x:c r="J334" s="530" t="str">
        <x:f>IF(ISBLANK('_SCHEDULE'!J302),"",'_SCHEDULE'!J302)</x:f>
      </x:c>
      <x:c r="K334" s="530" t="str">
        <x:f>IF(ISBLANK('_SCHEDULE'!K302),"",'_SCHEDULE'!K302)</x:f>
      </x:c>
      <x:c r="L334" s="530" t="str">
        <x:f>IF(ISBLANK('_SCHEDULE'!L302),"",'_SCHEDULE'!L302)</x:f>
      </x:c>
      <x:c r="M334" s="530" t="str">
        <x:f>IF(ISBLANK('_SCHEDULE'!M302),"",'_SCHEDULE'!M302)</x:f>
      </x:c>
      <x:c r="N334" s="530" t="str">
        <x:f>IF(ISBLANK('_SCHEDULE'!N302),"",'_SCHEDULE'!N302)</x:f>
      </x:c>
      <x:c r="O334" s="530" t="str">
        <x:f>IF(ISBLANK('_SCHEDULE'!O302),"",'_SCHEDULE'!O302)</x:f>
      </x:c>
      <x:c r="P334" s="530" t="str">
        <x:f>IF(ISBLANK('_SCHEDULE'!P302),"",'_SCHEDULE'!P302)</x:f>
      </x:c>
      <x:c r="Q334" s="530" t="str">
        <x:f>IF(ISBLANK('_SCHEDULE'!Q302),"",'_SCHEDULE'!Q302)</x:f>
      </x:c>
      <x:c r="R334" s="530" t="str">
        <x:f>IF(ISBLANK('_SCHEDULE'!R302),"",'_SCHEDULE'!R302)</x:f>
      </x:c>
      <x:c r="S334" s="523" t="str">
        <x:f>IF(ISBLANK('_SCHEDULE'!S302),"",'_SCHEDULE'!S302)</x:f>
      </x:c>
      <x:c r="T334" s="38"/>
      <x:c r="U334" s="38"/>
      <x:c r="V334" s="38"/>
      <x:c r="W334" s="38"/>
      <x:c r="X334" s="38"/>
      <x:c r="Y334" s="38"/>
      <x:c r="Z334" s="38"/>
      <x:c r="AA334" s="38"/>
      <x:c r="AB334" s="38"/>
      <x:c r="AC334" s="38"/>
      <x:c r="AD334" s="38"/>
      <x:c r="AE334" s="38"/>
      <x:c r="AF334" s="38"/>
      <x:c r="AG334" s="38"/>
      <x:c r="AH334" s="38"/>
      <x:c r="AI334" s="38"/>
      <x:c r="AJ334" s="38"/>
      <x:c r="AK334" s="38"/>
      <x:c r="AL334" s="38"/>
      <x:c r="AM334" s="38"/>
    </x:row>
    <x:row r="335">
      <x:c r="A335" s="523" t="str">
        <x:f>IF(ISBLANK('_SCHEDULE'!A303),"",'_SCHEDULE'!A303)</x:f>
      </x:c>
      <x:c r="B335" s="523" t="str">
        <x:f>IF(ISBLANK('_SCHEDULE'!B303),"",IF('_CONFIG'!$B$2="pt-BR",IF('_SCHEDULE'!B303="scheduled","programado",IF('_SCHEDULE'!B303="rejected","rejeitado",'_SCHEDULE'!B303)),'_SCHEDULE'!B303))</x:f>
      </x:c>
      <x:c r="C335" s="523" t="str">
        <x:f>IF(ISBLANK('_SCHEDULE'!C303),"",'_SCHEDULE'!C303)</x:f>
      </x:c>
      <x:c r="D335" s="523" t="str">
        <x:f>IF(ISBLANK('_SCHEDULE'!D303),"",'_SCHEDULE'!D303)</x:f>
      </x:c>
      <x:c r="E335" s="530" t="str">
        <x:f>IF(ISBLANK('_SCHEDULE'!E303),"",'_SCHEDULE'!E303)</x:f>
      </x:c>
      <x:c r="F335" s="530" t="str">
        <x:f>IF(ISBLANK('_SCHEDULE'!F303),"",'_SCHEDULE'!F303)</x:f>
      </x:c>
      <x:c r="G335" s="530" t="str">
        <x:f>IF(ISBLANK('_SCHEDULE'!G303),"",'_SCHEDULE'!G303)</x:f>
      </x:c>
      <x:c r="H335" s="530" t="str">
        <x:f>IF(ISBLANK('_SCHEDULE'!H303),"",'_SCHEDULE'!H303)</x:f>
      </x:c>
      <x:c r="I335" s="530" t="str">
        <x:f>IF(ISBLANK('_SCHEDULE'!I303),"",'_SCHEDULE'!I303)</x:f>
      </x:c>
      <x:c r="J335" s="530" t="str">
        <x:f>IF(ISBLANK('_SCHEDULE'!J303),"",'_SCHEDULE'!J303)</x:f>
      </x:c>
      <x:c r="K335" s="530" t="str">
        <x:f>IF(ISBLANK('_SCHEDULE'!K303),"",'_SCHEDULE'!K303)</x:f>
      </x:c>
      <x:c r="L335" s="530" t="str">
        <x:f>IF(ISBLANK('_SCHEDULE'!L303),"",'_SCHEDULE'!L303)</x:f>
      </x:c>
      <x:c r="M335" s="530" t="str">
        <x:f>IF(ISBLANK('_SCHEDULE'!M303),"",'_SCHEDULE'!M303)</x:f>
      </x:c>
      <x:c r="N335" s="530" t="str">
        <x:f>IF(ISBLANK('_SCHEDULE'!N303),"",'_SCHEDULE'!N303)</x:f>
      </x:c>
      <x:c r="O335" s="530" t="str">
        <x:f>IF(ISBLANK('_SCHEDULE'!O303),"",'_SCHEDULE'!O303)</x:f>
      </x:c>
      <x:c r="P335" s="530" t="str">
        <x:f>IF(ISBLANK('_SCHEDULE'!P303),"",'_SCHEDULE'!P303)</x:f>
      </x:c>
      <x:c r="Q335" s="530" t="str">
        <x:f>IF(ISBLANK('_SCHEDULE'!Q303),"",'_SCHEDULE'!Q303)</x:f>
      </x:c>
      <x:c r="R335" s="530" t="str">
        <x:f>IF(ISBLANK('_SCHEDULE'!R303),"",'_SCHEDULE'!R303)</x:f>
      </x:c>
      <x:c r="S335" s="523" t="str">
        <x:f>IF(ISBLANK('_SCHEDULE'!S303),"",'_SCHEDULE'!S303)</x:f>
      </x:c>
      <x:c r="T335" s="38"/>
      <x:c r="U335" s="38"/>
      <x:c r="V335" s="38"/>
      <x:c r="W335" s="38"/>
      <x:c r="X335" s="38"/>
      <x:c r="Y335" s="38"/>
      <x:c r="Z335" s="38"/>
      <x:c r="AA335" s="38"/>
      <x:c r="AB335" s="38"/>
      <x:c r="AC335" s="38"/>
      <x:c r="AD335" s="38"/>
      <x:c r="AE335" s="38"/>
      <x:c r="AF335" s="38"/>
      <x:c r="AG335" s="38"/>
      <x:c r="AH335" s="38"/>
      <x:c r="AI335" s="38"/>
      <x:c r="AJ335" s="38"/>
      <x:c r="AK335" s="38"/>
      <x:c r="AL335" s="38"/>
      <x:c r="AM335" s="38"/>
    </x:row>
    <x:row r="336">
      <x:c r="A336" s="523" t="str">
        <x:f>IF(ISBLANK('_SCHEDULE'!A304),"",'_SCHEDULE'!A304)</x:f>
      </x:c>
      <x:c r="B336" s="523" t="str">
        <x:f>IF(ISBLANK('_SCHEDULE'!B304),"",IF('_CONFIG'!$B$2="pt-BR",IF('_SCHEDULE'!B304="scheduled","programado",IF('_SCHEDULE'!B304="rejected","rejeitado",'_SCHEDULE'!B304)),'_SCHEDULE'!B304))</x:f>
      </x:c>
      <x:c r="C336" s="523" t="str">
        <x:f>IF(ISBLANK('_SCHEDULE'!C304),"",'_SCHEDULE'!C304)</x:f>
      </x:c>
      <x:c r="D336" s="523" t="str">
        <x:f>IF(ISBLANK('_SCHEDULE'!D304),"",'_SCHEDULE'!D304)</x:f>
      </x:c>
      <x:c r="E336" s="530" t="str">
        <x:f>IF(ISBLANK('_SCHEDULE'!E304),"",'_SCHEDULE'!E304)</x:f>
      </x:c>
      <x:c r="F336" s="530" t="str">
        <x:f>IF(ISBLANK('_SCHEDULE'!F304),"",'_SCHEDULE'!F304)</x:f>
      </x:c>
      <x:c r="G336" s="530" t="str">
        <x:f>IF(ISBLANK('_SCHEDULE'!G304),"",'_SCHEDULE'!G304)</x:f>
      </x:c>
      <x:c r="H336" s="530" t="str">
        <x:f>IF(ISBLANK('_SCHEDULE'!H304),"",'_SCHEDULE'!H304)</x:f>
      </x:c>
      <x:c r="I336" s="530" t="str">
        <x:f>IF(ISBLANK('_SCHEDULE'!I304),"",'_SCHEDULE'!I304)</x:f>
      </x:c>
      <x:c r="J336" s="530" t="str">
        <x:f>IF(ISBLANK('_SCHEDULE'!J304),"",'_SCHEDULE'!J304)</x:f>
      </x:c>
      <x:c r="K336" s="530" t="str">
        <x:f>IF(ISBLANK('_SCHEDULE'!K304),"",'_SCHEDULE'!K304)</x:f>
      </x:c>
      <x:c r="L336" s="530" t="str">
        <x:f>IF(ISBLANK('_SCHEDULE'!L304),"",'_SCHEDULE'!L304)</x:f>
      </x:c>
      <x:c r="M336" s="530" t="str">
        <x:f>IF(ISBLANK('_SCHEDULE'!M304),"",'_SCHEDULE'!M304)</x:f>
      </x:c>
      <x:c r="N336" s="530" t="str">
        <x:f>IF(ISBLANK('_SCHEDULE'!N304),"",'_SCHEDULE'!N304)</x:f>
      </x:c>
      <x:c r="O336" s="530" t="str">
        <x:f>IF(ISBLANK('_SCHEDULE'!O304),"",'_SCHEDULE'!O304)</x:f>
      </x:c>
      <x:c r="P336" s="530" t="str">
        <x:f>IF(ISBLANK('_SCHEDULE'!P304),"",'_SCHEDULE'!P304)</x:f>
      </x:c>
      <x:c r="Q336" s="530" t="str">
        <x:f>IF(ISBLANK('_SCHEDULE'!Q304),"",'_SCHEDULE'!Q304)</x:f>
      </x:c>
      <x:c r="R336" s="530" t="str">
        <x:f>IF(ISBLANK('_SCHEDULE'!R304),"",'_SCHEDULE'!R304)</x:f>
      </x:c>
      <x:c r="S336" s="523" t="str">
        <x:f>IF(ISBLANK('_SCHEDULE'!S304),"",'_SCHEDULE'!S304)</x:f>
      </x:c>
      <x:c r="T336" s="38"/>
      <x:c r="U336" s="38"/>
      <x:c r="V336" s="38"/>
      <x:c r="W336" s="38"/>
      <x:c r="X336" s="38"/>
      <x:c r="Y336" s="38"/>
      <x:c r="Z336" s="38"/>
      <x:c r="AA336" s="38"/>
      <x:c r="AB336" s="38"/>
      <x:c r="AC336" s="38"/>
      <x:c r="AD336" s="38"/>
      <x:c r="AE336" s="38"/>
      <x:c r="AF336" s="38"/>
      <x:c r="AG336" s="38"/>
      <x:c r="AH336" s="38"/>
      <x:c r="AI336" s="38"/>
      <x:c r="AJ336" s="38"/>
      <x:c r="AK336" s="38"/>
      <x:c r="AL336" s="38"/>
      <x:c r="AM336" s="38"/>
    </x:row>
    <x:row r="337">
      <x:c r="A337" s="523" t="str">
        <x:f>IF(ISBLANK('_SCHEDULE'!A305),"",'_SCHEDULE'!A305)</x:f>
      </x:c>
      <x:c r="B337" s="523" t="str">
        <x:f>IF(ISBLANK('_SCHEDULE'!B305),"",IF('_CONFIG'!$B$2="pt-BR",IF('_SCHEDULE'!B305="scheduled","programado",IF('_SCHEDULE'!B305="rejected","rejeitado",'_SCHEDULE'!B305)),'_SCHEDULE'!B305))</x:f>
      </x:c>
      <x:c r="C337" s="523" t="str">
        <x:f>IF(ISBLANK('_SCHEDULE'!C305),"",'_SCHEDULE'!C305)</x:f>
      </x:c>
      <x:c r="D337" s="523" t="str">
        <x:f>IF(ISBLANK('_SCHEDULE'!D305),"",'_SCHEDULE'!D305)</x:f>
      </x:c>
      <x:c r="E337" s="530" t="str">
        <x:f>IF(ISBLANK('_SCHEDULE'!E305),"",'_SCHEDULE'!E305)</x:f>
      </x:c>
      <x:c r="F337" s="530" t="str">
        <x:f>IF(ISBLANK('_SCHEDULE'!F305),"",'_SCHEDULE'!F305)</x:f>
      </x:c>
      <x:c r="G337" s="530" t="str">
        <x:f>IF(ISBLANK('_SCHEDULE'!G305),"",'_SCHEDULE'!G305)</x:f>
      </x:c>
      <x:c r="H337" s="530" t="str">
        <x:f>IF(ISBLANK('_SCHEDULE'!H305),"",'_SCHEDULE'!H305)</x:f>
      </x:c>
      <x:c r="I337" s="530" t="str">
        <x:f>IF(ISBLANK('_SCHEDULE'!I305),"",'_SCHEDULE'!I305)</x:f>
      </x:c>
      <x:c r="J337" s="530" t="str">
        <x:f>IF(ISBLANK('_SCHEDULE'!J305),"",'_SCHEDULE'!J305)</x:f>
      </x:c>
      <x:c r="K337" s="530" t="str">
        <x:f>IF(ISBLANK('_SCHEDULE'!K305),"",'_SCHEDULE'!K305)</x:f>
      </x:c>
      <x:c r="L337" s="530" t="str">
        <x:f>IF(ISBLANK('_SCHEDULE'!L305),"",'_SCHEDULE'!L305)</x:f>
      </x:c>
      <x:c r="M337" s="530" t="str">
        <x:f>IF(ISBLANK('_SCHEDULE'!M305),"",'_SCHEDULE'!M305)</x:f>
      </x:c>
      <x:c r="N337" s="530" t="str">
        <x:f>IF(ISBLANK('_SCHEDULE'!N305),"",'_SCHEDULE'!N305)</x:f>
      </x:c>
      <x:c r="O337" s="530" t="str">
        <x:f>IF(ISBLANK('_SCHEDULE'!O305),"",'_SCHEDULE'!O305)</x:f>
      </x:c>
      <x:c r="P337" s="530" t="str">
        <x:f>IF(ISBLANK('_SCHEDULE'!P305),"",'_SCHEDULE'!P305)</x:f>
      </x:c>
      <x:c r="Q337" s="530" t="str">
        <x:f>IF(ISBLANK('_SCHEDULE'!Q305),"",'_SCHEDULE'!Q305)</x:f>
      </x:c>
      <x:c r="R337" s="530" t="str">
        <x:f>IF(ISBLANK('_SCHEDULE'!R305),"",'_SCHEDULE'!R305)</x:f>
      </x:c>
      <x:c r="S337" s="523" t="str">
        <x:f>IF(ISBLANK('_SCHEDULE'!S305),"",'_SCHEDULE'!S305)</x:f>
      </x:c>
      <x:c r="T337" s="38"/>
      <x:c r="U337" s="38"/>
      <x:c r="V337" s="38"/>
      <x:c r="W337" s="38"/>
      <x:c r="X337" s="38"/>
      <x:c r="Y337" s="38"/>
      <x:c r="Z337" s="38"/>
      <x:c r="AA337" s="38"/>
      <x:c r="AB337" s="38"/>
      <x:c r="AC337" s="38"/>
      <x:c r="AD337" s="38"/>
      <x:c r="AE337" s="38"/>
      <x:c r="AF337" s="38"/>
      <x:c r="AG337" s="38"/>
      <x:c r="AH337" s="38"/>
      <x:c r="AI337" s="38"/>
      <x:c r="AJ337" s="38"/>
      <x:c r="AK337" s="38"/>
      <x:c r="AL337" s="38"/>
      <x:c r="AM337" s="38"/>
    </x:row>
    <x:row r="338">
      <x:c r="A338" s="523" t="str">
        <x:f>IF(ISBLANK('_SCHEDULE'!A306),"",'_SCHEDULE'!A306)</x:f>
      </x:c>
      <x:c r="B338" s="523" t="str">
        <x:f>IF(ISBLANK('_SCHEDULE'!B306),"",IF('_CONFIG'!$B$2="pt-BR",IF('_SCHEDULE'!B306="scheduled","programado",IF('_SCHEDULE'!B306="rejected","rejeitado",'_SCHEDULE'!B306)),'_SCHEDULE'!B306))</x:f>
      </x:c>
      <x:c r="C338" s="523" t="str">
        <x:f>IF(ISBLANK('_SCHEDULE'!C306),"",'_SCHEDULE'!C306)</x:f>
      </x:c>
      <x:c r="D338" s="523" t="str">
        <x:f>IF(ISBLANK('_SCHEDULE'!D306),"",'_SCHEDULE'!D306)</x:f>
      </x:c>
      <x:c r="E338" s="530" t="str">
        <x:f>IF(ISBLANK('_SCHEDULE'!E306),"",'_SCHEDULE'!E306)</x:f>
      </x:c>
      <x:c r="F338" s="530" t="str">
        <x:f>IF(ISBLANK('_SCHEDULE'!F306),"",'_SCHEDULE'!F306)</x:f>
      </x:c>
      <x:c r="G338" s="530" t="str">
        <x:f>IF(ISBLANK('_SCHEDULE'!G306),"",'_SCHEDULE'!G306)</x:f>
      </x:c>
      <x:c r="H338" s="530" t="str">
        <x:f>IF(ISBLANK('_SCHEDULE'!H306),"",'_SCHEDULE'!H306)</x:f>
      </x:c>
      <x:c r="I338" s="530" t="str">
        <x:f>IF(ISBLANK('_SCHEDULE'!I306),"",'_SCHEDULE'!I306)</x:f>
      </x:c>
      <x:c r="J338" s="530" t="str">
        <x:f>IF(ISBLANK('_SCHEDULE'!J306),"",'_SCHEDULE'!J306)</x:f>
      </x:c>
      <x:c r="K338" s="530" t="str">
        <x:f>IF(ISBLANK('_SCHEDULE'!K306),"",'_SCHEDULE'!K306)</x:f>
      </x:c>
      <x:c r="L338" s="530" t="str">
        <x:f>IF(ISBLANK('_SCHEDULE'!L306),"",'_SCHEDULE'!L306)</x:f>
      </x:c>
      <x:c r="M338" s="530" t="str">
        <x:f>IF(ISBLANK('_SCHEDULE'!M306),"",'_SCHEDULE'!M306)</x:f>
      </x:c>
      <x:c r="N338" s="530" t="str">
        <x:f>IF(ISBLANK('_SCHEDULE'!N306),"",'_SCHEDULE'!N306)</x:f>
      </x:c>
      <x:c r="O338" s="530" t="str">
        <x:f>IF(ISBLANK('_SCHEDULE'!O306),"",'_SCHEDULE'!O306)</x:f>
      </x:c>
      <x:c r="P338" s="530" t="str">
        <x:f>IF(ISBLANK('_SCHEDULE'!P306),"",'_SCHEDULE'!P306)</x:f>
      </x:c>
      <x:c r="Q338" s="530" t="str">
        <x:f>IF(ISBLANK('_SCHEDULE'!Q306),"",'_SCHEDULE'!Q306)</x:f>
      </x:c>
      <x:c r="R338" s="530" t="str">
        <x:f>IF(ISBLANK('_SCHEDULE'!R306),"",'_SCHEDULE'!R306)</x:f>
      </x:c>
      <x:c r="S338" s="523" t="str">
        <x:f>IF(ISBLANK('_SCHEDULE'!S306),"",'_SCHEDULE'!S306)</x:f>
      </x:c>
      <x:c r="T338" s="38"/>
      <x:c r="U338" s="38"/>
      <x:c r="V338" s="38"/>
      <x:c r="W338" s="38"/>
      <x:c r="X338" s="38"/>
      <x:c r="Y338" s="38"/>
      <x:c r="Z338" s="38"/>
      <x:c r="AA338" s="38"/>
      <x:c r="AB338" s="38"/>
      <x:c r="AC338" s="38"/>
      <x:c r="AD338" s="38"/>
      <x:c r="AE338" s="38"/>
      <x:c r="AF338" s="38"/>
      <x:c r="AG338" s="38"/>
      <x:c r="AH338" s="38"/>
      <x:c r="AI338" s="38"/>
      <x:c r="AJ338" s="38"/>
      <x:c r="AK338" s="38"/>
      <x:c r="AL338" s="38"/>
      <x:c r="AM338" s="38"/>
    </x:row>
    <x:row r="339">
      <x:c r="A339" s="523" t="str">
        <x:f>IF(ISBLANK('_SCHEDULE'!A307),"",'_SCHEDULE'!A307)</x:f>
      </x:c>
      <x:c r="B339" s="523" t="str">
        <x:f>IF(ISBLANK('_SCHEDULE'!B307),"",IF('_CONFIG'!$B$2="pt-BR",IF('_SCHEDULE'!B307="scheduled","programado",IF('_SCHEDULE'!B307="rejected","rejeitado",'_SCHEDULE'!B307)),'_SCHEDULE'!B307))</x:f>
      </x:c>
      <x:c r="C339" s="523" t="str">
        <x:f>IF(ISBLANK('_SCHEDULE'!C307),"",'_SCHEDULE'!C307)</x:f>
      </x:c>
      <x:c r="D339" s="523" t="str">
        <x:f>IF(ISBLANK('_SCHEDULE'!D307),"",'_SCHEDULE'!D307)</x:f>
      </x:c>
      <x:c r="E339" s="530" t="str">
        <x:f>IF(ISBLANK('_SCHEDULE'!E307),"",'_SCHEDULE'!E307)</x:f>
      </x:c>
      <x:c r="F339" s="530" t="str">
        <x:f>IF(ISBLANK('_SCHEDULE'!F307),"",'_SCHEDULE'!F307)</x:f>
      </x:c>
      <x:c r="G339" s="530" t="str">
        <x:f>IF(ISBLANK('_SCHEDULE'!G307),"",'_SCHEDULE'!G307)</x:f>
      </x:c>
      <x:c r="H339" s="530" t="str">
        <x:f>IF(ISBLANK('_SCHEDULE'!H307),"",'_SCHEDULE'!H307)</x:f>
      </x:c>
      <x:c r="I339" s="530" t="str">
        <x:f>IF(ISBLANK('_SCHEDULE'!I307),"",'_SCHEDULE'!I307)</x:f>
      </x:c>
      <x:c r="J339" s="530" t="str">
        <x:f>IF(ISBLANK('_SCHEDULE'!J307),"",'_SCHEDULE'!J307)</x:f>
      </x:c>
      <x:c r="K339" s="530" t="str">
        <x:f>IF(ISBLANK('_SCHEDULE'!K307),"",'_SCHEDULE'!K307)</x:f>
      </x:c>
      <x:c r="L339" s="530" t="str">
        <x:f>IF(ISBLANK('_SCHEDULE'!L307),"",'_SCHEDULE'!L307)</x:f>
      </x:c>
      <x:c r="M339" s="530" t="str">
        <x:f>IF(ISBLANK('_SCHEDULE'!M307),"",'_SCHEDULE'!M307)</x:f>
      </x:c>
      <x:c r="N339" s="530" t="str">
        <x:f>IF(ISBLANK('_SCHEDULE'!N307),"",'_SCHEDULE'!N307)</x:f>
      </x:c>
      <x:c r="O339" s="530" t="str">
        <x:f>IF(ISBLANK('_SCHEDULE'!O307),"",'_SCHEDULE'!O307)</x:f>
      </x:c>
      <x:c r="P339" s="530" t="str">
        <x:f>IF(ISBLANK('_SCHEDULE'!P307),"",'_SCHEDULE'!P307)</x:f>
      </x:c>
      <x:c r="Q339" s="530" t="str">
        <x:f>IF(ISBLANK('_SCHEDULE'!Q307),"",'_SCHEDULE'!Q307)</x:f>
      </x:c>
      <x:c r="R339" s="530" t="str">
        <x:f>IF(ISBLANK('_SCHEDULE'!R307),"",'_SCHEDULE'!R307)</x:f>
      </x:c>
      <x:c r="S339" s="523" t="str">
        <x:f>IF(ISBLANK('_SCHEDULE'!S307),"",'_SCHEDULE'!S307)</x:f>
      </x:c>
      <x:c r="T339" s="38"/>
      <x:c r="U339" s="38"/>
      <x:c r="V339" s="38"/>
      <x:c r="W339" s="38"/>
      <x:c r="X339" s="38"/>
      <x:c r="Y339" s="38"/>
      <x:c r="Z339" s="38"/>
      <x:c r="AA339" s="38"/>
      <x:c r="AB339" s="38"/>
      <x:c r="AC339" s="38"/>
      <x:c r="AD339" s="38"/>
      <x:c r="AE339" s="38"/>
      <x:c r="AF339" s="38"/>
      <x:c r="AG339" s="38"/>
      <x:c r="AH339" s="38"/>
      <x:c r="AI339" s="38"/>
      <x:c r="AJ339" s="38"/>
      <x:c r="AK339" s="38"/>
      <x:c r="AL339" s="38"/>
      <x:c r="AM339" s="38"/>
    </x:row>
    <x:row r="340">
      <x:c r="A340" s="523" t="str">
        <x:f>IF(ISBLANK('_SCHEDULE'!A308),"",'_SCHEDULE'!A308)</x:f>
      </x:c>
      <x:c r="B340" s="523" t="str">
        <x:f>IF(ISBLANK('_SCHEDULE'!B308),"",IF('_CONFIG'!$B$2="pt-BR",IF('_SCHEDULE'!B308="scheduled","programado",IF('_SCHEDULE'!B308="rejected","rejeitado",'_SCHEDULE'!B308)),'_SCHEDULE'!B308))</x:f>
      </x:c>
      <x:c r="C340" s="523" t="str">
        <x:f>IF(ISBLANK('_SCHEDULE'!C308),"",'_SCHEDULE'!C308)</x:f>
      </x:c>
      <x:c r="D340" s="523" t="str">
        <x:f>IF(ISBLANK('_SCHEDULE'!D308),"",'_SCHEDULE'!D308)</x:f>
      </x:c>
      <x:c r="E340" s="530" t="str">
        <x:f>IF(ISBLANK('_SCHEDULE'!E308),"",'_SCHEDULE'!E308)</x:f>
      </x:c>
      <x:c r="F340" s="530" t="str">
        <x:f>IF(ISBLANK('_SCHEDULE'!F308),"",'_SCHEDULE'!F308)</x:f>
      </x:c>
      <x:c r="G340" s="530" t="str">
        <x:f>IF(ISBLANK('_SCHEDULE'!G308),"",'_SCHEDULE'!G308)</x:f>
      </x:c>
      <x:c r="H340" s="530" t="str">
        <x:f>IF(ISBLANK('_SCHEDULE'!H308),"",'_SCHEDULE'!H308)</x:f>
      </x:c>
      <x:c r="I340" s="530" t="str">
        <x:f>IF(ISBLANK('_SCHEDULE'!I308),"",'_SCHEDULE'!I308)</x:f>
      </x:c>
      <x:c r="J340" s="530" t="str">
        <x:f>IF(ISBLANK('_SCHEDULE'!J308),"",'_SCHEDULE'!J308)</x:f>
      </x:c>
      <x:c r="K340" s="530" t="str">
        <x:f>IF(ISBLANK('_SCHEDULE'!K308),"",'_SCHEDULE'!K308)</x:f>
      </x:c>
      <x:c r="L340" s="530" t="str">
        <x:f>IF(ISBLANK('_SCHEDULE'!L308),"",'_SCHEDULE'!L308)</x:f>
      </x:c>
      <x:c r="M340" s="530" t="str">
        <x:f>IF(ISBLANK('_SCHEDULE'!M308),"",'_SCHEDULE'!M308)</x:f>
      </x:c>
      <x:c r="N340" s="530" t="str">
        <x:f>IF(ISBLANK('_SCHEDULE'!N308),"",'_SCHEDULE'!N308)</x:f>
      </x:c>
      <x:c r="O340" s="530" t="str">
        <x:f>IF(ISBLANK('_SCHEDULE'!O308),"",'_SCHEDULE'!O308)</x:f>
      </x:c>
      <x:c r="P340" s="530" t="str">
        <x:f>IF(ISBLANK('_SCHEDULE'!P308),"",'_SCHEDULE'!P308)</x:f>
      </x:c>
      <x:c r="Q340" s="530" t="str">
        <x:f>IF(ISBLANK('_SCHEDULE'!Q308),"",'_SCHEDULE'!Q308)</x:f>
      </x:c>
      <x:c r="R340" s="530" t="str">
        <x:f>IF(ISBLANK('_SCHEDULE'!R308),"",'_SCHEDULE'!R308)</x:f>
      </x:c>
      <x:c r="S340" s="523" t="str">
        <x:f>IF(ISBLANK('_SCHEDULE'!S308),"",'_SCHEDULE'!S308)</x:f>
      </x:c>
      <x:c r="T340" s="38"/>
      <x:c r="U340" s="38"/>
      <x:c r="V340" s="38"/>
      <x:c r="W340" s="38"/>
      <x:c r="X340" s="38"/>
      <x:c r="Y340" s="38"/>
      <x:c r="Z340" s="38"/>
      <x:c r="AA340" s="38"/>
      <x:c r="AB340" s="38"/>
      <x:c r="AC340" s="38"/>
      <x:c r="AD340" s="38"/>
      <x:c r="AE340" s="38"/>
      <x:c r="AF340" s="38"/>
      <x:c r="AG340" s="38"/>
      <x:c r="AH340" s="38"/>
      <x:c r="AI340" s="38"/>
      <x:c r="AJ340" s="38"/>
      <x:c r="AK340" s="38"/>
      <x:c r="AL340" s="38"/>
      <x:c r="AM340" s="38"/>
    </x:row>
    <x:row r="341">
      <x:c r="A341" s="523" t="str">
        <x:f>IF(ISBLANK('_SCHEDULE'!A309),"",'_SCHEDULE'!A309)</x:f>
      </x:c>
      <x:c r="B341" s="523" t="str">
        <x:f>IF(ISBLANK('_SCHEDULE'!B309),"",IF('_CONFIG'!$B$2="pt-BR",IF('_SCHEDULE'!B309="scheduled","programado",IF('_SCHEDULE'!B309="rejected","rejeitado",'_SCHEDULE'!B309)),'_SCHEDULE'!B309))</x:f>
      </x:c>
      <x:c r="C341" s="523" t="str">
        <x:f>IF(ISBLANK('_SCHEDULE'!C309),"",'_SCHEDULE'!C309)</x:f>
      </x:c>
      <x:c r="D341" s="523" t="str">
        <x:f>IF(ISBLANK('_SCHEDULE'!D309),"",'_SCHEDULE'!D309)</x:f>
      </x:c>
      <x:c r="E341" s="530" t="str">
        <x:f>IF(ISBLANK('_SCHEDULE'!E309),"",'_SCHEDULE'!E309)</x:f>
      </x:c>
      <x:c r="F341" s="530" t="str">
        <x:f>IF(ISBLANK('_SCHEDULE'!F309),"",'_SCHEDULE'!F309)</x:f>
      </x:c>
      <x:c r="G341" s="530" t="str">
        <x:f>IF(ISBLANK('_SCHEDULE'!G309),"",'_SCHEDULE'!G309)</x:f>
      </x:c>
      <x:c r="H341" s="530" t="str">
        <x:f>IF(ISBLANK('_SCHEDULE'!H309),"",'_SCHEDULE'!H309)</x:f>
      </x:c>
      <x:c r="I341" s="530" t="str">
        <x:f>IF(ISBLANK('_SCHEDULE'!I309),"",'_SCHEDULE'!I309)</x:f>
      </x:c>
      <x:c r="J341" s="530" t="str">
        <x:f>IF(ISBLANK('_SCHEDULE'!J309),"",'_SCHEDULE'!J309)</x:f>
      </x:c>
      <x:c r="K341" s="530" t="str">
        <x:f>IF(ISBLANK('_SCHEDULE'!K309),"",'_SCHEDULE'!K309)</x:f>
      </x:c>
      <x:c r="L341" s="530" t="str">
        <x:f>IF(ISBLANK('_SCHEDULE'!L309),"",'_SCHEDULE'!L309)</x:f>
      </x:c>
      <x:c r="M341" s="530" t="str">
        <x:f>IF(ISBLANK('_SCHEDULE'!M309),"",'_SCHEDULE'!M309)</x:f>
      </x:c>
      <x:c r="N341" s="530" t="str">
        <x:f>IF(ISBLANK('_SCHEDULE'!N309),"",'_SCHEDULE'!N309)</x:f>
      </x:c>
      <x:c r="O341" s="530" t="str">
        <x:f>IF(ISBLANK('_SCHEDULE'!O309),"",'_SCHEDULE'!O309)</x:f>
      </x:c>
      <x:c r="P341" s="530" t="str">
        <x:f>IF(ISBLANK('_SCHEDULE'!P309),"",'_SCHEDULE'!P309)</x:f>
      </x:c>
      <x:c r="Q341" s="530" t="str">
        <x:f>IF(ISBLANK('_SCHEDULE'!Q309),"",'_SCHEDULE'!Q309)</x:f>
      </x:c>
      <x:c r="R341" s="530" t="str">
        <x:f>IF(ISBLANK('_SCHEDULE'!R309),"",'_SCHEDULE'!R309)</x:f>
      </x:c>
      <x:c r="S341" s="523" t="str">
        <x:f>IF(ISBLANK('_SCHEDULE'!S309),"",'_SCHEDULE'!S309)</x:f>
      </x:c>
      <x:c r="T341" s="38"/>
      <x:c r="U341" s="38"/>
      <x:c r="V341" s="38"/>
      <x:c r="W341" s="38"/>
      <x:c r="X341" s="38"/>
      <x:c r="Y341" s="38"/>
      <x:c r="Z341" s="38"/>
      <x:c r="AA341" s="38"/>
      <x:c r="AB341" s="38"/>
      <x:c r="AC341" s="38"/>
      <x:c r="AD341" s="38"/>
      <x:c r="AE341" s="38"/>
      <x:c r="AF341" s="38"/>
      <x:c r="AG341" s="38"/>
      <x:c r="AH341" s="38"/>
      <x:c r="AI341" s="38"/>
      <x:c r="AJ341" s="38"/>
      <x:c r="AK341" s="38"/>
      <x:c r="AL341" s="38"/>
      <x:c r="AM341" s="38"/>
    </x:row>
    <x:row r="342">
      <x:c r="A342" s="523" t="str">
        <x:f>IF(ISBLANK('_SCHEDULE'!A310),"",'_SCHEDULE'!A310)</x:f>
      </x:c>
      <x:c r="B342" s="523" t="str">
        <x:f>IF(ISBLANK('_SCHEDULE'!B310),"",IF('_CONFIG'!$B$2="pt-BR",IF('_SCHEDULE'!B310="scheduled","programado",IF('_SCHEDULE'!B310="rejected","rejeitado",'_SCHEDULE'!B310)),'_SCHEDULE'!B310))</x:f>
      </x:c>
      <x:c r="C342" s="523" t="str">
        <x:f>IF(ISBLANK('_SCHEDULE'!C310),"",'_SCHEDULE'!C310)</x:f>
      </x:c>
      <x:c r="D342" s="523" t="str">
        <x:f>IF(ISBLANK('_SCHEDULE'!D310),"",'_SCHEDULE'!D310)</x:f>
      </x:c>
      <x:c r="E342" s="530" t="str">
        <x:f>IF(ISBLANK('_SCHEDULE'!E310),"",'_SCHEDULE'!E310)</x:f>
      </x:c>
      <x:c r="F342" s="530" t="str">
        <x:f>IF(ISBLANK('_SCHEDULE'!F310),"",'_SCHEDULE'!F310)</x:f>
      </x:c>
      <x:c r="G342" s="530" t="str">
        <x:f>IF(ISBLANK('_SCHEDULE'!G310),"",'_SCHEDULE'!G310)</x:f>
      </x:c>
      <x:c r="H342" s="530" t="str">
        <x:f>IF(ISBLANK('_SCHEDULE'!H310),"",'_SCHEDULE'!H310)</x:f>
      </x:c>
      <x:c r="I342" s="530" t="str">
        <x:f>IF(ISBLANK('_SCHEDULE'!I310),"",'_SCHEDULE'!I310)</x:f>
      </x:c>
      <x:c r="J342" s="530" t="str">
        <x:f>IF(ISBLANK('_SCHEDULE'!J310),"",'_SCHEDULE'!J310)</x:f>
      </x:c>
      <x:c r="K342" s="530" t="str">
        <x:f>IF(ISBLANK('_SCHEDULE'!K310),"",'_SCHEDULE'!K310)</x:f>
      </x:c>
      <x:c r="L342" s="530" t="str">
        <x:f>IF(ISBLANK('_SCHEDULE'!L310),"",'_SCHEDULE'!L310)</x:f>
      </x:c>
      <x:c r="M342" s="530" t="str">
        <x:f>IF(ISBLANK('_SCHEDULE'!M310),"",'_SCHEDULE'!M310)</x:f>
      </x:c>
      <x:c r="N342" s="530" t="str">
        <x:f>IF(ISBLANK('_SCHEDULE'!N310),"",'_SCHEDULE'!N310)</x:f>
      </x:c>
      <x:c r="O342" s="530" t="str">
        <x:f>IF(ISBLANK('_SCHEDULE'!O310),"",'_SCHEDULE'!O310)</x:f>
      </x:c>
      <x:c r="P342" s="530" t="str">
        <x:f>IF(ISBLANK('_SCHEDULE'!P310),"",'_SCHEDULE'!P310)</x:f>
      </x:c>
      <x:c r="Q342" s="530" t="str">
        <x:f>IF(ISBLANK('_SCHEDULE'!Q310),"",'_SCHEDULE'!Q310)</x:f>
      </x:c>
      <x:c r="R342" s="530" t="str">
        <x:f>IF(ISBLANK('_SCHEDULE'!R310),"",'_SCHEDULE'!R310)</x:f>
      </x:c>
      <x:c r="S342" s="523" t="str">
        <x:f>IF(ISBLANK('_SCHEDULE'!S310),"",'_SCHEDULE'!S310)</x:f>
      </x:c>
      <x:c r="T342" s="38"/>
      <x:c r="U342" s="38"/>
      <x:c r="V342" s="38"/>
      <x:c r="W342" s="38"/>
      <x:c r="X342" s="38"/>
      <x:c r="Y342" s="38"/>
      <x:c r="Z342" s="38"/>
      <x:c r="AA342" s="38"/>
      <x:c r="AB342" s="38"/>
      <x:c r="AC342" s="38"/>
      <x:c r="AD342" s="38"/>
      <x:c r="AE342" s="38"/>
      <x:c r="AF342" s="38"/>
      <x:c r="AG342" s="38"/>
      <x:c r="AH342" s="38"/>
      <x:c r="AI342" s="38"/>
      <x:c r="AJ342" s="38"/>
      <x:c r="AK342" s="38"/>
      <x:c r="AL342" s="38"/>
      <x:c r="AM342" s="38"/>
    </x:row>
    <x:row r="343">
      <x:c r="A343" s="523" t="str">
        <x:f>IF(ISBLANK('_SCHEDULE'!A311),"",'_SCHEDULE'!A311)</x:f>
      </x:c>
      <x:c r="B343" s="523" t="str">
        <x:f>IF(ISBLANK('_SCHEDULE'!B311),"",IF('_CONFIG'!$B$2="pt-BR",IF('_SCHEDULE'!B311="scheduled","programado",IF('_SCHEDULE'!B311="rejected","rejeitado",'_SCHEDULE'!B311)),'_SCHEDULE'!B311))</x:f>
      </x:c>
      <x:c r="C343" s="523" t="str">
        <x:f>IF(ISBLANK('_SCHEDULE'!C311),"",'_SCHEDULE'!C311)</x:f>
      </x:c>
      <x:c r="D343" s="523" t="str">
        <x:f>IF(ISBLANK('_SCHEDULE'!D311),"",'_SCHEDULE'!D311)</x:f>
      </x:c>
      <x:c r="E343" s="530" t="str">
        <x:f>IF(ISBLANK('_SCHEDULE'!E311),"",'_SCHEDULE'!E311)</x:f>
      </x:c>
      <x:c r="F343" s="530" t="str">
        <x:f>IF(ISBLANK('_SCHEDULE'!F311),"",'_SCHEDULE'!F311)</x:f>
      </x:c>
      <x:c r="G343" s="530" t="str">
        <x:f>IF(ISBLANK('_SCHEDULE'!G311),"",'_SCHEDULE'!G311)</x:f>
      </x:c>
      <x:c r="H343" s="530" t="str">
        <x:f>IF(ISBLANK('_SCHEDULE'!H311),"",'_SCHEDULE'!H311)</x:f>
      </x:c>
      <x:c r="I343" s="530" t="str">
        <x:f>IF(ISBLANK('_SCHEDULE'!I311),"",'_SCHEDULE'!I311)</x:f>
      </x:c>
      <x:c r="J343" s="530" t="str">
        <x:f>IF(ISBLANK('_SCHEDULE'!J311),"",'_SCHEDULE'!J311)</x:f>
      </x:c>
      <x:c r="K343" s="530" t="str">
        <x:f>IF(ISBLANK('_SCHEDULE'!K311),"",'_SCHEDULE'!K311)</x:f>
      </x:c>
      <x:c r="L343" s="530" t="str">
        <x:f>IF(ISBLANK('_SCHEDULE'!L311),"",'_SCHEDULE'!L311)</x:f>
      </x:c>
      <x:c r="M343" s="530" t="str">
        <x:f>IF(ISBLANK('_SCHEDULE'!M311),"",'_SCHEDULE'!M311)</x:f>
      </x:c>
      <x:c r="N343" s="530" t="str">
        <x:f>IF(ISBLANK('_SCHEDULE'!N311),"",'_SCHEDULE'!N311)</x:f>
      </x:c>
      <x:c r="O343" s="530" t="str">
        <x:f>IF(ISBLANK('_SCHEDULE'!O311),"",'_SCHEDULE'!O311)</x:f>
      </x:c>
      <x:c r="P343" s="530" t="str">
        <x:f>IF(ISBLANK('_SCHEDULE'!P311),"",'_SCHEDULE'!P311)</x:f>
      </x:c>
      <x:c r="Q343" s="530" t="str">
        <x:f>IF(ISBLANK('_SCHEDULE'!Q311),"",'_SCHEDULE'!Q311)</x:f>
      </x:c>
      <x:c r="R343" s="530" t="str">
        <x:f>IF(ISBLANK('_SCHEDULE'!R311),"",'_SCHEDULE'!R311)</x:f>
      </x:c>
      <x:c r="S343" s="523" t="str">
        <x:f>IF(ISBLANK('_SCHEDULE'!S311),"",'_SCHEDULE'!S311)</x:f>
      </x:c>
      <x:c r="T343" s="38"/>
      <x:c r="U343" s="38"/>
      <x:c r="V343" s="38"/>
      <x:c r="W343" s="38"/>
      <x:c r="X343" s="38"/>
      <x:c r="Y343" s="38"/>
      <x:c r="Z343" s="38"/>
      <x:c r="AA343" s="38"/>
      <x:c r="AB343" s="38"/>
      <x:c r="AC343" s="38"/>
      <x:c r="AD343" s="38"/>
      <x:c r="AE343" s="38"/>
      <x:c r="AF343" s="38"/>
      <x:c r="AG343" s="38"/>
      <x:c r="AH343" s="38"/>
      <x:c r="AI343" s="38"/>
      <x:c r="AJ343" s="38"/>
      <x:c r="AK343" s="38"/>
      <x:c r="AL343" s="38"/>
      <x:c r="AM343" s="38"/>
    </x:row>
    <x:row r="344">
      <x:c r="A344" s="523" t="str">
        <x:f>IF(ISBLANK('_SCHEDULE'!A312),"",'_SCHEDULE'!A312)</x:f>
      </x:c>
      <x:c r="B344" s="523" t="str">
        <x:f>IF(ISBLANK('_SCHEDULE'!B312),"",IF('_CONFIG'!$B$2="pt-BR",IF('_SCHEDULE'!B312="scheduled","programado",IF('_SCHEDULE'!B312="rejected","rejeitado",'_SCHEDULE'!B312)),'_SCHEDULE'!B312))</x:f>
      </x:c>
      <x:c r="C344" s="523" t="str">
        <x:f>IF(ISBLANK('_SCHEDULE'!C312),"",'_SCHEDULE'!C312)</x:f>
      </x:c>
      <x:c r="D344" s="523" t="str">
        <x:f>IF(ISBLANK('_SCHEDULE'!D312),"",'_SCHEDULE'!D312)</x:f>
      </x:c>
      <x:c r="E344" s="530" t="str">
        <x:f>IF(ISBLANK('_SCHEDULE'!E312),"",'_SCHEDULE'!E312)</x:f>
      </x:c>
      <x:c r="F344" s="530" t="str">
        <x:f>IF(ISBLANK('_SCHEDULE'!F312),"",'_SCHEDULE'!F312)</x:f>
      </x:c>
      <x:c r="G344" s="530" t="str">
        <x:f>IF(ISBLANK('_SCHEDULE'!G312),"",'_SCHEDULE'!G312)</x:f>
      </x:c>
      <x:c r="H344" s="530" t="str">
        <x:f>IF(ISBLANK('_SCHEDULE'!H312),"",'_SCHEDULE'!H312)</x:f>
      </x:c>
      <x:c r="I344" s="530" t="str">
        <x:f>IF(ISBLANK('_SCHEDULE'!I312),"",'_SCHEDULE'!I312)</x:f>
      </x:c>
      <x:c r="J344" s="530" t="str">
        <x:f>IF(ISBLANK('_SCHEDULE'!J312),"",'_SCHEDULE'!J312)</x:f>
      </x:c>
      <x:c r="K344" s="530" t="str">
        <x:f>IF(ISBLANK('_SCHEDULE'!K312),"",'_SCHEDULE'!K312)</x:f>
      </x:c>
      <x:c r="L344" s="530" t="str">
        <x:f>IF(ISBLANK('_SCHEDULE'!L312),"",'_SCHEDULE'!L312)</x:f>
      </x:c>
      <x:c r="M344" s="530" t="str">
        <x:f>IF(ISBLANK('_SCHEDULE'!M312),"",'_SCHEDULE'!M312)</x:f>
      </x:c>
      <x:c r="N344" s="530" t="str">
        <x:f>IF(ISBLANK('_SCHEDULE'!N312),"",'_SCHEDULE'!N312)</x:f>
      </x:c>
      <x:c r="O344" s="530" t="str">
        <x:f>IF(ISBLANK('_SCHEDULE'!O312),"",'_SCHEDULE'!O312)</x:f>
      </x:c>
      <x:c r="P344" s="530" t="str">
        <x:f>IF(ISBLANK('_SCHEDULE'!P312),"",'_SCHEDULE'!P312)</x:f>
      </x:c>
      <x:c r="Q344" s="530" t="str">
        <x:f>IF(ISBLANK('_SCHEDULE'!Q312),"",'_SCHEDULE'!Q312)</x:f>
      </x:c>
      <x:c r="R344" s="530" t="str">
        <x:f>IF(ISBLANK('_SCHEDULE'!R312),"",'_SCHEDULE'!R312)</x:f>
      </x:c>
      <x:c r="S344" s="523" t="str">
        <x:f>IF(ISBLANK('_SCHEDULE'!S312),"",'_SCHEDULE'!S312)</x:f>
      </x:c>
      <x:c r="T344" s="38"/>
      <x:c r="U344" s="38"/>
      <x:c r="V344" s="38"/>
      <x:c r="W344" s="38"/>
      <x:c r="X344" s="38"/>
      <x:c r="Y344" s="38"/>
      <x:c r="Z344" s="38"/>
      <x:c r="AA344" s="38"/>
      <x:c r="AB344" s="38"/>
      <x:c r="AC344" s="38"/>
      <x:c r="AD344" s="38"/>
      <x:c r="AE344" s="38"/>
      <x:c r="AF344" s="38"/>
      <x:c r="AG344" s="38"/>
      <x:c r="AH344" s="38"/>
      <x:c r="AI344" s="38"/>
      <x:c r="AJ344" s="38"/>
      <x:c r="AK344" s="38"/>
      <x:c r="AL344" s="38"/>
      <x:c r="AM344" s="38"/>
    </x:row>
    <x:row r="345">
      <x:c r="A345" s="523" t="str">
        <x:f>IF(ISBLANK('_SCHEDULE'!A313),"",'_SCHEDULE'!A313)</x:f>
      </x:c>
      <x:c r="B345" s="523" t="str">
        <x:f>IF(ISBLANK('_SCHEDULE'!B313),"",IF('_CONFIG'!$B$2="pt-BR",IF('_SCHEDULE'!B313="scheduled","programado",IF('_SCHEDULE'!B313="rejected","rejeitado",'_SCHEDULE'!B313)),'_SCHEDULE'!B313))</x:f>
      </x:c>
      <x:c r="C345" s="523" t="str">
        <x:f>IF(ISBLANK('_SCHEDULE'!C313),"",'_SCHEDULE'!C313)</x:f>
      </x:c>
      <x:c r="D345" s="523" t="str">
        <x:f>IF(ISBLANK('_SCHEDULE'!D313),"",'_SCHEDULE'!D313)</x:f>
      </x:c>
      <x:c r="E345" s="530" t="str">
        <x:f>IF(ISBLANK('_SCHEDULE'!E313),"",'_SCHEDULE'!E313)</x:f>
      </x:c>
      <x:c r="F345" s="530" t="str">
        <x:f>IF(ISBLANK('_SCHEDULE'!F313),"",'_SCHEDULE'!F313)</x:f>
      </x:c>
      <x:c r="G345" s="530" t="str">
        <x:f>IF(ISBLANK('_SCHEDULE'!G313),"",'_SCHEDULE'!G313)</x:f>
      </x:c>
      <x:c r="H345" s="530" t="str">
        <x:f>IF(ISBLANK('_SCHEDULE'!H313),"",'_SCHEDULE'!H313)</x:f>
      </x:c>
      <x:c r="I345" s="530" t="str">
        <x:f>IF(ISBLANK('_SCHEDULE'!I313),"",'_SCHEDULE'!I313)</x:f>
      </x:c>
      <x:c r="J345" s="530" t="str">
        <x:f>IF(ISBLANK('_SCHEDULE'!J313),"",'_SCHEDULE'!J313)</x:f>
      </x:c>
      <x:c r="K345" s="530" t="str">
        <x:f>IF(ISBLANK('_SCHEDULE'!K313),"",'_SCHEDULE'!K313)</x:f>
      </x:c>
      <x:c r="L345" s="530" t="str">
        <x:f>IF(ISBLANK('_SCHEDULE'!L313),"",'_SCHEDULE'!L313)</x:f>
      </x:c>
      <x:c r="M345" s="530" t="str">
        <x:f>IF(ISBLANK('_SCHEDULE'!M313),"",'_SCHEDULE'!M313)</x:f>
      </x:c>
      <x:c r="N345" s="530" t="str">
        <x:f>IF(ISBLANK('_SCHEDULE'!N313),"",'_SCHEDULE'!N313)</x:f>
      </x:c>
      <x:c r="O345" s="530" t="str">
        <x:f>IF(ISBLANK('_SCHEDULE'!O313),"",'_SCHEDULE'!O313)</x:f>
      </x:c>
      <x:c r="P345" s="530" t="str">
        <x:f>IF(ISBLANK('_SCHEDULE'!P313),"",'_SCHEDULE'!P313)</x:f>
      </x:c>
      <x:c r="Q345" s="530" t="str">
        <x:f>IF(ISBLANK('_SCHEDULE'!Q313),"",'_SCHEDULE'!Q313)</x:f>
      </x:c>
      <x:c r="R345" s="530" t="str">
        <x:f>IF(ISBLANK('_SCHEDULE'!R313),"",'_SCHEDULE'!R313)</x:f>
      </x:c>
      <x:c r="S345" s="523" t="str">
        <x:f>IF(ISBLANK('_SCHEDULE'!S313),"",'_SCHEDULE'!S313)</x:f>
      </x:c>
      <x:c r="T345" s="38"/>
      <x:c r="U345" s="38"/>
      <x:c r="V345" s="38"/>
      <x:c r="W345" s="38"/>
      <x:c r="X345" s="38"/>
      <x:c r="Y345" s="38"/>
      <x:c r="Z345" s="38"/>
      <x:c r="AA345" s="38"/>
      <x:c r="AB345" s="38"/>
      <x:c r="AC345" s="38"/>
      <x:c r="AD345" s="38"/>
      <x:c r="AE345" s="38"/>
      <x:c r="AF345" s="38"/>
      <x:c r="AG345" s="38"/>
      <x:c r="AH345" s="38"/>
      <x:c r="AI345" s="38"/>
      <x:c r="AJ345" s="38"/>
      <x:c r="AK345" s="38"/>
      <x:c r="AL345" s="38"/>
      <x:c r="AM345" s="38"/>
    </x:row>
    <x:row r="346">
      <x:c r="A346" s="523" t="str">
        <x:f>IF(ISBLANK('_SCHEDULE'!A314),"",'_SCHEDULE'!A314)</x:f>
      </x:c>
      <x:c r="B346" s="523" t="str">
        <x:f>IF(ISBLANK('_SCHEDULE'!B314),"",IF('_CONFIG'!$B$2="pt-BR",IF('_SCHEDULE'!B314="scheduled","programado",IF('_SCHEDULE'!B314="rejected","rejeitado",'_SCHEDULE'!B314)),'_SCHEDULE'!B314))</x:f>
      </x:c>
      <x:c r="C346" s="523" t="str">
        <x:f>IF(ISBLANK('_SCHEDULE'!C314),"",'_SCHEDULE'!C314)</x:f>
      </x:c>
      <x:c r="D346" s="523" t="str">
        <x:f>IF(ISBLANK('_SCHEDULE'!D314),"",'_SCHEDULE'!D314)</x:f>
      </x:c>
      <x:c r="E346" s="530" t="str">
        <x:f>IF(ISBLANK('_SCHEDULE'!E314),"",'_SCHEDULE'!E314)</x:f>
      </x:c>
      <x:c r="F346" s="530" t="str">
        <x:f>IF(ISBLANK('_SCHEDULE'!F314),"",'_SCHEDULE'!F314)</x:f>
      </x:c>
      <x:c r="G346" s="530" t="str">
        <x:f>IF(ISBLANK('_SCHEDULE'!G314),"",'_SCHEDULE'!G314)</x:f>
      </x:c>
      <x:c r="H346" s="530" t="str">
        <x:f>IF(ISBLANK('_SCHEDULE'!H314),"",'_SCHEDULE'!H314)</x:f>
      </x:c>
      <x:c r="I346" s="530" t="str">
        <x:f>IF(ISBLANK('_SCHEDULE'!I314),"",'_SCHEDULE'!I314)</x:f>
      </x:c>
      <x:c r="J346" s="530" t="str">
        <x:f>IF(ISBLANK('_SCHEDULE'!J314),"",'_SCHEDULE'!J314)</x:f>
      </x:c>
      <x:c r="K346" s="530" t="str">
        <x:f>IF(ISBLANK('_SCHEDULE'!K314),"",'_SCHEDULE'!K314)</x:f>
      </x:c>
      <x:c r="L346" s="530" t="str">
        <x:f>IF(ISBLANK('_SCHEDULE'!L314),"",'_SCHEDULE'!L314)</x:f>
      </x:c>
      <x:c r="M346" s="530" t="str">
        <x:f>IF(ISBLANK('_SCHEDULE'!M314),"",'_SCHEDULE'!M314)</x:f>
      </x:c>
      <x:c r="N346" s="530" t="str">
        <x:f>IF(ISBLANK('_SCHEDULE'!N314),"",'_SCHEDULE'!N314)</x:f>
      </x:c>
      <x:c r="O346" s="530" t="str">
        <x:f>IF(ISBLANK('_SCHEDULE'!O314),"",'_SCHEDULE'!O314)</x:f>
      </x:c>
      <x:c r="P346" s="530" t="str">
        <x:f>IF(ISBLANK('_SCHEDULE'!P314),"",'_SCHEDULE'!P314)</x:f>
      </x:c>
      <x:c r="Q346" s="530" t="str">
        <x:f>IF(ISBLANK('_SCHEDULE'!Q314),"",'_SCHEDULE'!Q314)</x:f>
      </x:c>
      <x:c r="R346" s="530" t="str">
        <x:f>IF(ISBLANK('_SCHEDULE'!R314),"",'_SCHEDULE'!R314)</x:f>
      </x:c>
      <x:c r="S346" s="523" t="str">
        <x:f>IF(ISBLANK('_SCHEDULE'!S314),"",'_SCHEDULE'!S314)</x:f>
      </x:c>
      <x:c r="T346" s="38"/>
      <x:c r="U346" s="38"/>
      <x:c r="V346" s="38"/>
      <x:c r="W346" s="38"/>
      <x:c r="X346" s="38"/>
      <x:c r="Y346" s="38"/>
      <x:c r="Z346" s="38"/>
      <x:c r="AA346" s="38"/>
      <x:c r="AB346" s="38"/>
      <x:c r="AC346" s="38"/>
      <x:c r="AD346" s="38"/>
      <x:c r="AE346" s="38"/>
      <x:c r="AF346" s="38"/>
      <x:c r="AG346" s="38"/>
      <x:c r="AH346" s="38"/>
      <x:c r="AI346" s="38"/>
      <x:c r="AJ346" s="38"/>
      <x:c r="AK346" s="38"/>
      <x:c r="AL346" s="38"/>
      <x:c r="AM346" s="38"/>
    </x:row>
    <x:row r="347">
      <x:c r="A347" s="523" t="str">
        <x:f>IF(ISBLANK('_SCHEDULE'!A315),"",'_SCHEDULE'!A315)</x:f>
      </x:c>
      <x:c r="B347" s="523" t="str">
        <x:f>IF(ISBLANK('_SCHEDULE'!B315),"",IF('_CONFIG'!$B$2="pt-BR",IF('_SCHEDULE'!B315="scheduled","programado",IF('_SCHEDULE'!B315="rejected","rejeitado",'_SCHEDULE'!B315)),'_SCHEDULE'!B315))</x:f>
      </x:c>
      <x:c r="C347" s="523" t="str">
        <x:f>IF(ISBLANK('_SCHEDULE'!C315),"",'_SCHEDULE'!C315)</x:f>
      </x:c>
      <x:c r="D347" s="523" t="str">
        <x:f>IF(ISBLANK('_SCHEDULE'!D315),"",'_SCHEDULE'!D315)</x:f>
      </x:c>
      <x:c r="E347" s="530" t="str">
        <x:f>IF(ISBLANK('_SCHEDULE'!E315),"",'_SCHEDULE'!E315)</x:f>
      </x:c>
      <x:c r="F347" s="530" t="str">
        <x:f>IF(ISBLANK('_SCHEDULE'!F315),"",'_SCHEDULE'!F315)</x:f>
      </x:c>
      <x:c r="G347" s="530" t="str">
        <x:f>IF(ISBLANK('_SCHEDULE'!G315),"",'_SCHEDULE'!G315)</x:f>
      </x:c>
      <x:c r="H347" s="530" t="str">
        <x:f>IF(ISBLANK('_SCHEDULE'!H315),"",'_SCHEDULE'!H315)</x:f>
      </x:c>
      <x:c r="I347" s="530" t="str">
        <x:f>IF(ISBLANK('_SCHEDULE'!I315),"",'_SCHEDULE'!I315)</x:f>
      </x:c>
      <x:c r="J347" s="530" t="str">
        <x:f>IF(ISBLANK('_SCHEDULE'!J315),"",'_SCHEDULE'!J315)</x:f>
      </x:c>
      <x:c r="K347" s="530" t="str">
        <x:f>IF(ISBLANK('_SCHEDULE'!K315),"",'_SCHEDULE'!K315)</x:f>
      </x:c>
      <x:c r="L347" s="530" t="str">
        <x:f>IF(ISBLANK('_SCHEDULE'!L315),"",'_SCHEDULE'!L315)</x:f>
      </x:c>
      <x:c r="M347" s="530" t="str">
        <x:f>IF(ISBLANK('_SCHEDULE'!M315),"",'_SCHEDULE'!M315)</x:f>
      </x:c>
      <x:c r="N347" s="530" t="str">
        <x:f>IF(ISBLANK('_SCHEDULE'!N315),"",'_SCHEDULE'!N315)</x:f>
      </x:c>
      <x:c r="O347" s="530" t="str">
        <x:f>IF(ISBLANK('_SCHEDULE'!O315),"",'_SCHEDULE'!O315)</x:f>
      </x:c>
      <x:c r="P347" s="530" t="str">
        <x:f>IF(ISBLANK('_SCHEDULE'!P315),"",'_SCHEDULE'!P315)</x:f>
      </x:c>
      <x:c r="Q347" s="530" t="str">
        <x:f>IF(ISBLANK('_SCHEDULE'!Q315),"",'_SCHEDULE'!Q315)</x:f>
      </x:c>
      <x:c r="R347" s="530" t="str">
        <x:f>IF(ISBLANK('_SCHEDULE'!R315),"",'_SCHEDULE'!R315)</x:f>
      </x:c>
      <x:c r="S347" s="523" t="str">
        <x:f>IF(ISBLANK('_SCHEDULE'!S315),"",'_SCHEDULE'!S315)</x:f>
      </x:c>
      <x:c r="T347" s="38"/>
      <x:c r="U347" s="38"/>
      <x:c r="V347" s="38"/>
      <x:c r="W347" s="38"/>
      <x:c r="X347" s="38"/>
      <x:c r="Y347" s="38"/>
      <x:c r="Z347" s="38"/>
      <x:c r="AA347" s="38"/>
      <x:c r="AB347" s="38"/>
      <x:c r="AC347" s="38"/>
      <x:c r="AD347" s="38"/>
      <x:c r="AE347" s="38"/>
      <x:c r="AF347" s="38"/>
      <x:c r="AG347" s="38"/>
      <x:c r="AH347" s="38"/>
      <x:c r="AI347" s="38"/>
      <x:c r="AJ347" s="38"/>
      <x:c r="AK347" s="38"/>
      <x:c r="AL347" s="38"/>
      <x:c r="AM347" s="38"/>
    </x:row>
    <x:row r="348">
      <x:c r="A348" s="523" t="str">
        <x:f>IF(ISBLANK('_SCHEDULE'!A316),"",'_SCHEDULE'!A316)</x:f>
      </x:c>
      <x:c r="B348" s="523" t="str">
        <x:f>IF(ISBLANK('_SCHEDULE'!B316),"",IF('_CONFIG'!$B$2="pt-BR",IF('_SCHEDULE'!B316="scheduled","programado",IF('_SCHEDULE'!B316="rejected","rejeitado",'_SCHEDULE'!B316)),'_SCHEDULE'!B316))</x:f>
      </x:c>
      <x:c r="C348" s="523" t="str">
        <x:f>IF(ISBLANK('_SCHEDULE'!C316),"",'_SCHEDULE'!C316)</x:f>
      </x:c>
      <x:c r="D348" s="523" t="str">
        <x:f>IF(ISBLANK('_SCHEDULE'!D316),"",'_SCHEDULE'!D316)</x:f>
      </x:c>
      <x:c r="E348" s="530" t="str">
        <x:f>IF(ISBLANK('_SCHEDULE'!E316),"",'_SCHEDULE'!E316)</x:f>
      </x:c>
      <x:c r="F348" s="530" t="str">
        <x:f>IF(ISBLANK('_SCHEDULE'!F316),"",'_SCHEDULE'!F316)</x:f>
      </x:c>
      <x:c r="G348" s="530" t="str">
        <x:f>IF(ISBLANK('_SCHEDULE'!G316),"",'_SCHEDULE'!G316)</x:f>
      </x:c>
      <x:c r="H348" s="530" t="str">
        <x:f>IF(ISBLANK('_SCHEDULE'!H316),"",'_SCHEDULE'!H316)</x:f>
      </x:c>
      <x:c r="I348" s="530" t="str">
        <x:f>IF(ISBLANK('_SCHEDULE'!I316),"",'_SCHEDULE'!I316)</x:f>
      </x:c>
      <x:c r="J348" s="530" t="str">
        <x:f>IF(ISBLANK('_SCHEDULE'!J316),"",'_SCHEDULE'!J316)</x:f>
      </x:c>
      <x:c r="K348" s="530" t="str">
        <x:f>IF(ISBLANK('_SCHEDULE'!K316),"",'_SCHEDULE'!K316)</x:f>
      </x:c>
      <x:c r="L348" s="530" t="str">
        <x:f>IF(ISBLANK('_SCHEDULE'!L316),"",'_SCHEDULE'!L316)</x:f>
      </x:c>
      <x:c r="M348" s="530" t="str">
        <x:f>IF(ISBLANK('_SCHEDULE'!M316),"",'_SCHEDULE'!M316)</x:f>
      </x:c>
      <x:c r="N348" s="530" t="str">
        <x:f>IF(ISBLANK('_SCHEDULE'!N316),"",'_SCHEDULE'!N316)</x:f>
      </x:c>
      <x:c r="O348" s="530" t="str">
        <x:f>IF(ISBLANK('_SCHEDULE'!O316),"",'_SCHEDULE'!O316)</x:f>
      </x:c>
      <x:c r="P348" s="530" t="str">
        <x:f>IF(ISBLANK('_SCHEDULE'!P316),"",'_SCHEDULE'!P316)</x:f>
      </x:c>
      <x:c r="Q348" s="530" t="str">
        <x:f>IF(ISBLANK('_SCHEDULE'!Q316),"",'_SCHEDULE'!Q316)</x:f>
      </x:c>
      <x:c r="R348" s="530" t="str">
        <x:f>IF(ISBLANK('_SCHEDULE'!R316),"",'_SCHEDULE'!R316)</x:f>
      </x:c>
      <x:c r="S348" s="523" t="str">
        <x:f>IF(ISBLANK('_SCHEDULE'!S316),"",'_SCHEDULE'!S316)</x:f>
      </x:c>
      <x:c r="T348" s="38"/>
      <x:c r="U348" s="38"/>
      <x:c r="V348" s="38"/>
      <x:c r="W348" s="38"/>
      <x:c r="X348" s="38"/>
      <x:c r="Y348" s="38"/>
      <x:c r="Z348" s="38"/>
      <x:c r="AA348" s="38"/>
      <x:c r="AB348" s="38"/>
      <x:c r="AC348" s="38"/>
      <x:c r="AD348" s="38"/>
      <x:c r="AE348" s="38"/>
      <x:c r="AF348" s="38"/>
      <x:c r="AG348" s="38"/>
      <x:c r="AH348" s="38"/>
      <x:c r="AI348" s="38"/>
      <x:c r="AJ348" s="38"/>
      <x:c r="AK348" s="38"/>
      <x:c r="AL348" s="38"/>
      <x:c r="AM348" s="38"/>
    </x:row>
    <x:row r="349">
      <x:c r="A349" s="523" t="str">
        <x:f>IF(ISBLANK('_SCHEDULE'!A317),"",'_SCHEDULE'!A317)</x:f>
      </x:c>
      <x:c r="B349" s="523" t="str">
        <x:f>IF(ISBLANK('_SCHEDULE'!B317),"",IF('_CONFIG'!$B$2="pt-BR",IF('_SCHEDULE'!B317="scheduled","programado",IF('_SCHEDULE'!B317="rejected","rejeitado",'_SCHEDULE'!B317)),'_SCHEDULE'!B317))</x:f>
      </x:c>
      <x:c r="C349" s="523" t="str">
        <x:f>IF(ISBLANK('_SCHEDULE'!C317),"",'_SCHEDULE'!C317)</x:f>
      </x:c>
      <x:c r="D349" s="523" t="str">
        <x:f>IF(ISBLANK('_SCHEDULE'!D317),"",'_SCHEDULE'!D317)</x:f>
      </x:c>
      <x:c r="E349" s="530" t="str">
        <x:f>IF(ISBLANK('_SCHEDULE'!E317),"",'_SCHEDULE'!E317)</x:f>
      </x:c>
      <x:c r="F349" s="530" t="str">
        <x:f>IF(ISBLANK('_SCHEDULE'!F317),"",'_SCHEDULE'!F317)</x:f>
      </x:c>
      <x:c r="G349" s="530" t="str">
        <x:f>IF(ISBLANK('_SCHEDULE'!G317),"",'_SCHEDULE'!G317)</x:f>
      </x:c>
      <x:c r="H349" s="530" t="str">
        <x:f>IF(ISBLANK('_SCHEDULE'!H317),"",'_SCHEDULE'!H317)</x:f>
      </x:c>
      <x:c r="I349" s="530" t="str">
        <x:f>IF(ISBLANK('_SCHEDULE'!I317),"",'_SCHEDULE'!I317)</x:f>
      </x:c>
      <x:c r="J349" s="530" t="str">
        <x:f>IF(ISBLANK('_SCHEDULE'!J317),"",'_SCHEDULE'!J317)</x:f>
      </x:c>
      <x:c r="K349" s="530" t="str">
        <x:f>IF(ISBLANK('_SCHEDULE'!K317),"",'_SCHEDULE'!K317)</x:f>
      </x:c>
      <x:c r="L349" s="530" t="str">
        <x:f>IF(ISBLANK('_SCHEDULE'!L317),"",'_SCHEDULE'!L317)</x:f>
      </x:c>
      <x:c r="M349" s="530" t="str">
        <x:f>IF(ISBLANK('_SCHEDULE'!M317),"",'_SCHEDULE'!M317)</x:f>
      </x:c>
      <x:c r="N349" s="530" t="str">
        <x:f>IF(ISBLANK('_SCHEDULE'!N317),"",'_SCHEDULE'!N317)</x:f>
      </x:c>
      <x:c r="O349" s="530" t="str">
        <x:f>IF(ISBLANK('_SCHEDULE'!O317),"",'_SCHEDULE'!O317)</x:f>
      </x:c>
      <x:c r="P349" s="530" t="str">
        <x:f>IF(ISBLANK('_SCHEDULE'!P317),"",'_SCHEDULE'!P317)</x:f>
      </x:c>
      <x:c r="Q349" s="530" t="str">
        <x:f>IF(ISBLANK('_SCHEDULE'!Q317),"",'_SCHEDULE'!Q317)</x:f>
      </x:c>
      <x:c r="R349" s="530" t="str">
        <x:f>IF(ISBLANK('_SCHEDULE'!R317),"",'_SCHEDULE'!R317)</x:f>
      </x:c>
      <x:c r="S349" s="523" t="str">
        <x:f>IF(ISBLANK('_SCHEDULE'!S317),"",'_SCHEDULE'!S317)</x:f>
      </x:c>
      <x:c r="T349" s="38"/>
      <x:c r="U349" s="38"/>
      <x:c r="V349" s="38"/>
      <x:c r="W349" s="38"/>
      <x:c r="X349" s="38"/>
      <x:c r="Y349" s="38"/>
      <x:c r="Z349" s="38"/>
      <x:c r="AA349" s="38"/>
      <x:c r="AB349" s="38"/>
      <x:c r="AC349" s="38"/>
      <x:c r="AD349" s="38"/>
      <x:c r="AE349" s="38"/>
      <x:c r="AF349" s="38"/>
      <x:c r="AG349" s="38"/>
      <x:c r="AH349" s="38"/>
      <x:c r="AI349" s="38"/>
      <x:c r="AJ349" s="38"/>
      <x:c r="AK349" s="38"/>
      <x:c r="AL349" s="38"/>
      <x:c r="AM349" s="38"/>
    </x:row>
    <x:row r="350">
      <x:c r="A350" s="523" t="str">
        <x:f>IF(ISBLANK('_SCHEDULE'!A318),"",'_SCHEDULE'!A318)</x:f>
      </x:c>
      <x:c r="B350" s="523" t="str">
        <x:f>IF(ISBLANK('_SCHEDULE'!B318),"",IF('_CONFIG'!$B$2="pt-BR",IF('_SCHEDULE'!B318="scheduled","programado",IF('_SCHEDULE'!B318="rejected","rejeitado",'_SCHEDULE'!B318)),'_SCHEDULE'!B318))</x:f>
      </x:c>
      <x:c r="C350" s="523" t="str">
        <x:f>IF(ISBLANK('_SCHEDULE'!C318),"",'_SCHEDULE'!C318)</x:f>
      </x:c>
      <x:c r="D350" s="523" t="str">
        <x:f>IF(ISBLANK('_SCHEDULE'!D318),"",'_SCHEDULE'!D318)</x:f>
      </x:c>
      <x:c r="E350" s="530" t="str">
        <x:f>IF(ISBLANK('_SCHEDULE'!E318),"",'_SCHEDULE'!E318)</x:f>
      </x:c>
      <x:c r="F350" s="530" t="str">
        <x:f>IF(ISBLANK('_SCHEDULE'!F318),"",'_SCHEDULE'!F318)</x:f>
      </x:c>
      <x:c r="G350" s="530" t="str">
        <x:f>IF(ISBLANK('_SCHEDULE'!G318),"",'_SCHEDULE'!G318)</x:f>
      </x:c>
      <x:c r="H350" s="530" t="str">
        <x:f>IF(ISBLANK('_SCHEDULE'!H318),"",'_SCHEDULE'!H318)</x:f>
      </x:c>
      <x:c r="I350" s="530" t="str">
        <x:f>IF(ISBLANK('_SCHEDULE'!I318),"",'_SCHEDULE'!I318)</x:f>
      </x:c>
      <x:c r="J350" s="530" t="str">
        <x:f>IF(ISBLANK('_SCHEDULE'!J318),"",'_SCHEDULE'!J318)</x:f>
      </x:c>
      <x:c r="K350" s="530" t="str">
        <x:f>IF(ISBLANK('_SCHEDULE'!K318),"",'_SCHEDULE'!K318)</x:f>
      </x:c>
      <x:c r="L350" s="530" t="str">
        <x:f>IF(ISBLANK('_SCHEDULE'!L318),"",'_SCHEDULE'!L318)</x:f>
      </x:c>
      <x:c r="M350" s="530" t="str">
        <x:f>IF(ISBLANK('_SCHEDULE'!M318),"",'_SCHEDULE'!M318)</x:f>
      </x:c>
      <x:c r="N350" s="530" t="str">
        <x:f>IF(ISBLANK('_SCHEDULE'!N318),"",'_SCHEDULE'!N318)</x:f>
      </x:c>
      <x:c r="O350" s="530" t="str">
        <x:f>IF(ISBLANK('_SCHEDULE'!O318),"",'_SCHEDULE'!O318)</x:f>
      </x:c>
      <x:c r="P350" s="530" t="str">
        <x:f>IF(ISBLANK('_SCHEDULE'!P318),"",'_SCHEDULE'!P318)</x:f>
      </x:c>
      <x:c r="Q350" s="530" t="str">
        <x:f>IF(ISBLANK('_SCHEDULE'!Q318),"",'_SCHEDULE'!Q318)</x:f>
      </x:c>
      <x:c r="R350" s="530" t="str">
        <x:f>IF(ISBLANK('_SCHEDULE'!R318),"",'_SCHEDULE'!R318)</x:f>
      </x:c>
      <x:c r="S350" s="523" t="str">
        <x:f>IF(ISBLANK('_SCHEDULE'!S318),"",'_SCHEDULE'!S318)</x:f>
      </x:c>
      <x:c r="T350" s="38"/>
      <x:c r="U350" s="38"/>
      <x:c r="V350" s="38"/>
      <x:c r="W350" s="38"/>
      <x:c r="X350" s="38"/>
      <x:c r="Y350" s="38"/>
      <x:c r="Z350" s="38"/>
      <x:c r="AA350" s="38"/>
      <x:c r="AB350" s="38"/>
      <x:c r="AC350" s="38"/>
      <x:c r="AD350" s="38"/>
      <x:c r="AE350" s="38"/>
      <x:c r="AF350" s="38"/>
      <x:c r="AG350" s="38"/>
      <x:c r="AH350" s="38"/>
      <x:c r="AI350" s="38"/>
      <x:c r="AJ350" s="38"/>
      <x:c r="AK350" s="38"/>
      <x:c r="AL350" s="38"/>
      <x:c r="AM350" s="38"/>
    </x:row>
    <x:row r="351">
      <x:c r="A351" s="523" t="str">
        <x:f>IF(ISBLANK('_SCHEDULE'!A319),"",'_SCHEDULE'!A319)</x:f>
      </x:c>
      <x:c r="B351" s="523" t="str">
        <x:f>IF(ISBLANK('_SCHEDULE'!B319),"",IF('_CONFIG'!$B$2="pt-BR",IF('_SCHEDULE'!B319="scheduled","programado",IF('_SCHEDULE'!B319="rejected","rejeitado",'_SCHEDULE'!B319)),'_SCHEDULE'!B319))</x:f>
      </x:c>
      <x:c r="C351" s="523" t="str">
        <x:f>IF(ISBLANK('_SCHEDULE'!C319),"",'_SCHEDULE'!C319)</x:f>
      </x:c>
      <x:c r="D351" s="523" t="str">
        <x:f>IF(ISBLANK('_SCHEDULE'!D319),"",'_SCHEDULE'!D319)</x:f>
      </x:c>
      <x:c r="E351" s="530" t="str">
        <x:f>IF(ISBLANK('_SCHEDULE'!E319),"",'_SCHEDULE'!E319)</x:f>
      </x:c>
      <x:c r="F351" s="530" t="str">
        <x:f>IF(ISBLANK('_SCHEDULE'!F319),"",'_SCHEDULE'!F319)</x:f>
      </x:c>
      <x:c r="G351" s="530" t="str">
        <x:f>IF(ISBLANK('_SCHEDULE'!G319),"",'_SCHEDULE'!G319)</x:f>
      </x:c>
      <x:c r="H351" s="530" t="str">
        <x:f>IF(ISBLANK('_SCHEDULE'!H319),"",'_SCHEDULE'!H319)</x:f>
      </x:c>
      <x:c r="I351" s="530" t="str">
        <x:f>IF(ISBLANK('_SCHEDULE'!I319),"",'_SCHEDULE'!I319)</x:f>
      </x:c>
      <x:c r="J351" s="530" t="str">
        <x:f>IF(ISBLANK('_SCHEDULE'!J319),"",'_SCHEDULE'!J319)</x:f>
      </x:c>
      <x:c r="K351" s="530" t="str">
        <x:f>IF(ISBLANK('_SCHEDULE'!K319),"",'_SCHEDULE'!K319)</x:f>
      </x:c>
      <x:c r="L351" s="530" t="str">
        <x:f>IF(ISBLANK('_SCHEDULE'!L319),"",'_SCHEDULE'!L319)</x:f>
      </x:c>
      <x:c r="M351" s="530" t="str">
        <x:f>IF(ISBLANK('_SCHEDULE'!M319),"",'_SCHEDULE'!M319)</x:f>
      </x:c>
      <x:c r="N351" s="530" t="str">
        <x:f>IF(ISBLANK('_SCHEDULE'!N319),"",'_SCHEDULE'!N319)</x:f>
      </x:c>
      <x:c r="O351" s="530" t="str">
        <x:f>IF(ISBLANK('_SCHEDULE'!O319),"",'_SCHEDULE'!O319)</x:f>
      </x:c>
      <x:c r="P351" s="530" t="str">
        <x:f>IF(ISBLANK('_SCHEDULE'!P319),"",'_SCHEDULE'!P319)</x:f>
      </x:c>
      <x:c r="Q351" s="530" t="str">
        <x:f>IF(ISBLANK('_SCHEDULE'!Q319),"",'_SCHEDULE'!Q319)</x:f>
      </x:c>
      <x:c r="R351" s="530" t="str">
        <x:f>IF(ISBLANK('_SCHEDULE'!R319),"",'_SCHEDULE'!R319)</x:f>
      </x:c>
      <x:c r="S351" s="523" t="str">
        <x:f>IF(ISBLANK('_SCHEDULE'!S319),"",'_SCHEDULE'!S319)</x:f>
      </x:c>
      <x:c r="T351" s="38"/>
      <x:c r="U351" s="38"/>
      <x:c r="V351" s="38"/>
      <x:c r="W351" s="38"/>
      <x:c r="X351" s="38"/>
      <x:c r="Y351" s="38"/>
      <x:c r="Z351" s="38"/>
      <x:c r="AA351" s="38"/>
      <x:c r="AB351" s="38"/>
      <x:c r="AC351" s="38"/>
      <x:c r="AD351" s="38"/>
      <x:c r="AE351" s="38"/>
      <x:c r="AF351" s="38"/>
      <x:c r="AG351" s="38"/>
      <x:c r="AH351" s="38"/>
      <x:c r="AI351" s="38"/>
      <x:c r="AJ351" s="38"/>
      <x:c r="AK351" s="38"/>
      <x:c r="AL351" s="38"/>
      <x:c r="AM351" s="38"/>
    </x:row>
    <x:row r="352">
      <x:c r="A352" s="523" t="str">
        <x:f>IF(ISBLANK('_SCHEDULE'!A320),"",'_SCHEDULE'!A320)</x:f>
      </x:c>
      <x:c r="B352" s="523" t="str">
        <x:f>IF(ISBLANK('_SCHEDULE'!B320),"",IF('_CONFIG'!$B$2="pt-BR",IF('_SCHEDULE'!B320="scheduled","programado",IF('_SCHEDULE'!B320="rejected","rejeitado",'_SCHEDULE'!B320)),'_SCHEDULE'!B320))</x:f>
      </x:c>
      <x:c r="C352" s="523" t="str">
        <x:f>IF(ISBLANK('_SCHEDULE'!C320),"",'_SCHEDULE'!C320)</x:f>
      </x:c>
      <x:c r="D352" s="523" t="str">
        <x:f>IF(ISBLANK('_SCHEDULE'!D320),"",'_SCHEDULE'!D320)</x:f>
      </x:c>
      <x:c r="E352" s="530" t="str">
        <x:f>IF(ISBLANK('_SCHEDULE'!E320),"",'_SCHEDULE'!E320)</x:f>
      </x:c>
      <x:c r="F352" s="530" t="str">
        <x:f>IF(ISBLANK('_SCHEDULE'!F320),"",'_SCHEDULE'!F320)</x:f>
      </x:c>
      <x:c r="G352" s="530" t="str">
        <x:f>IF(ISBLANK('_SCHEDULE'!G320),"",'_SCHEDULE'!G320)</x:f>
      </x:c>
      <x:c r="H352" s="530" t="str">
        <x:f>IF(ISBLANK('_SCHEDULE'!H320),"",'_SCHEDULE'!H320)</x:f>
      </x:c>
      <x:c r="I352" s="530" t="str">
        <x:f>IF(ISBLANK('_SCHEDULE'!I320),"",'_SCHEDULE'!I320)</x:f>
      </x:c>
      <x:c r="J352" s="530" t="str">
        <x:f>IF(ISBLANK('_SCHEDULE'!J320),"",'_SCHEDULE'!J320)</x:f>
      </x:c>
      <x:c r="K352" s="530" t="str">
        <x:f>IF(ISBLANK('_SCHEDULE'!K320),"",'_SCHEDULE'!K320)</x:f>
      </x:c>
      <x:c r="L352" s="530" t="str">
        <x:f>IF(ISBLANK('_SCHEDULE'!L320),"",'_SCHEDULE'!L320)</x:f>
      </x:c>
      <x:c r="M352" s="530" t="str">
        <x:f>IF(ISBLANK('_SCHEDULE'!M320),"",'_SCHEDULE'!M320)</x:f>
      </x:c>
      <x:c r="N352" s="530" t="str">
        <x:f>IF(ISBLANK('_SCHEDULE'!N320),"",'_SCHEDULE'!N320)</x:f>
      </x:c>
      <x:c r="O352" s="530" t="str">
        <x:f>IF(ISBLANK('_SCHEDULE'!O320),"",'_SCHEDULE'!O320)</x:f>
      </x:c>
      <x:c r="P352" s="530" t="str">
        <x:f>IF(ISBLANK('_SCHEDULE'!P320),"",'_SCHEDULE'!P320)</x:f>
      </x:c>
      <x:c r="Q352" s="530" t="str">
        <x:f>IF(ISBLANK('_SCHEDULE'!Q320),"",'_SCHEDULE'!Q320)</x:f>
      </x:c>
      <x:c r="R352" s="530" t="str">
        <x:f>IF(ISBLANK('_SCHEDULE'!R320),"",'_SCHEDULE'!R320)</x:f>
      </x:c>
      <x:c r="S352" s="523" t="str">
        <x:f>IF(ISBLANK('_SCHEDULE'!S320),"",'_SCHEDULE'!S320)</x:f>
      </x:c>
      <x:c r="T352" s="38"/>
      <x:c r="U352" s="38"/>
      <x:c r="V352" s="38"/>
      <x:c r="W352" s="38"/>
      <x:c r="X352" s="38"/>
      <x:c r="Y352" s="38"/>
      <x:c r="Z352" s="38"/>
      <x:c r="AA352" s="38"/>
      <x:c r="AB352" s="38"/>
      <x:c r="AC352" s="38"/>
      <x:c r="AD352" s="38"/>
      <x:c r="AE352" s="38"/>
      <x:c r="AF352" s="38"/>
      <x:c r="AG352" s="38"/>
      <x:c r="AH352" s="38"/>
      <x:c r="AI352" s="38"/>
      <x:c r="AJ352" s="38"/>
      <x:c r="AK352" s="38"/>
      <x:c r="AL352" s="38"/>
      <x:c r="AM352" s="38"/>
    </x:row>
    <x:row r="353">
      <x:c r="A353" s="523" t="str">
        <x:f>IF(ISBLANK('_SCHEDULE'!A321),"",'_SCHEDULE'!A321)</x:f>
      </x:c>
      <x:c r="B353" s="523" t="str">
        <x:f>IF(ISBLANK('_SCHEDULE'!B321),"",IF('_CONFIG'!$B$2="pt-BR",IF('_SCHEDULE'!B321="scheduled","programado",IF('_SCHEDULE'!B321="rejected","rejeitado",'_SCHEDULE'!B321)),'_SCHEDULE'!B321))</x:f>
      </x:c>
      <x:c r="C353" s="523" t="str">
        <x:f>IF(ISBLANK('_SCHEDULE'!C321),"",'_SCHEDULE'!C321)</x:f>
      </x:c>
      <x:c r="D353" s="523" t="str">
        <x:f>IF(ISBLANK('_SCHEDULE'!D321),"",'_SCHEDULE'!D321)</x:f>
      </x:c>
      <x:c r="E353" s="530" t="str">
        <x:f>IF(ISBLANK('_SCHEDULE'!E321),"",'_SCHEDULE'!E321)</x:f>
      </x:c>
      <x:c r="F353" s="530" t="str">
        <x:f>IF(ISBLANK('_SCHEDULE'!F321),"",'_SCHEDULE'!F321)</x:f>
      </x:c>
      <x:c r="G353" s="530" t="str">
        <x:f>IF(ISBLANK('_SCHEDULE'!G321),"",'_SCHEDULE'!G321)</x:f>
      </x:c>
      <x:c r="H353" s="530" t="str">
        <x:f>IF(ISBLANK('_SCHEDULE'!H321),"",'_SCHEDULE'!H321)</x:f>
      </x:c>
      <x:c r="I353" s="530" t="str">
        <x:f>IF(ISBLANK('_SCHEDULE'!I321),"",'_SCHEDULE'!I321)</x:f>
      </x:c>
      <x:c r="J353" s="530" t="str">
        <x:f>IF(ISBLANK('_SCHEDULE'!J321),"",'_SCHEDULE'!J321)</x:f>
      </x:c>
      <x:c r="K353" s="530" t="str">
        <x:f>IF(ISBLANK('_SCHEDULE'!K321),"",'_SCHEDULE'!K321)</x:f>
      </x:c>
      <x:c r="L353" s="530" t="str">
        <x:f>IF(ISBLANK('_SCHEDULE'!L321),"",'_SCHEDULE'!L321)</x:f>
      </x:c>
      <x:c r="M353" s="530" t="str">
        <x:f>IF(ISBLANK('_SCHEDULE'!M321),"",'_SCHEDULE'!M321)</x:f>
      </x:c>
      <x:c r="N353" s="530" t="str">
        <x:f>IF(ISBLANK('_SCHEDULE'!N321),"",'_SCHEDULE'!N321)</x:f>
      </x:c>
      <x:c r="O353" s="530" t="str">
        <x:f>IF(ISBLANK('_SCHEDULE'!O321),"",'_SCHEDULE'!O321)</x:f>
      </x:c>
      <x:c r="P353" s="530" t="str">
        <x:f>IF(ISBLANK('_SCHEDULE'!P321),"",'_SCHEDULE'!P321)</x:f>
      </x:c>
      <x:c r="Q353" s="530" t="str">
        <x:f>IF(ISBLANK('_SCHEDULE'!Q321),"",'_SCHEDULE'!Q321)</x:f>
      </x:c>
      <x:c r="R353" s="530" t="str">
        <x:f>IF(ISBLANK('_SCHEDULE'!R321),"",'_SCHEDULE'!R321)</x:f>
      </x:c>
      <x:c r="S353" s="523" t="str">
        <x:f>IF(ISBLANK('_SCHEDULE'!S321),"",'_SCHEDULE'!S321)</x:f>
      </x:c>
      <x:c r="T353" s="38"/>
      <x:c r="U353" s="38"/>
      <x:c r="V353" s="38"/>
      <x:c r="W353" s="38"/>
      <x:c r="X353" s="38"/>
      <x:c r="Y353" s="38"/>
      <x:c r="Z353" s="38"/>
      <x:c r="AA353" s="38"/>
      <x:c r="AB353" s="38"/>
      <x:c r="AC353" s="38"/>
      <x:c r="AD353" s="38"/>
      <x:c r="AE353" s="38"/>
      <x:c r="AF353" s="38"/>
      <x:c r="AG353" s="38"/>
      <x:c r="AH353" s="38"/>
      <x:c r="AI353" s="38"/>
      <x:c r="AJ353" s="38"/>
      <x:c r="AK353" s="38"/>
      <x:c r="AL353" s="38"/>
      <x:c r="AM353" s="38"/>
    </x:row>
    <x:row r="354">
      <x:c r="A354" s="523" t="str">
        <x:f>IF(ISBLANK('_SCHEDULE'!A322),"",'_SCHEDULE'!A322)</x:f>
      </x:c>
      <x:c r="B354" s="523" t="str">
        <x:f>IF(ISBLANK('_SCHEDULE'!B322),"",IF('_CONFIG'!$B$2="pt-BR",IF('_SCHEDULE'!B322="scheduled","programado",IF('_SCHEDULE'!B322="rejected","rejeitado",'_SCHEDULE'!B322)),'_SCHEDULE'!B322))</x:f>
      </x:c>
      <x:c r="C354" s="523" t="str">
        <x:f>IF(ISBLANK('_SCHEDULE'!C322),"",'_SCHEDULE'!C322)</x:f>
      </x:c>
      <x:c r="D354" s="523" t="str">
        <x:f>IF(ISBLANK('_SCHEDULE'!D322),"",'_SCHEDULE'!D322)</x:f>
      </x:c>
      <x:c r="E354" s="530" t="str">
        <x:f>IF(ISBLANK('_SCHEDULE'!E322),"",'_SCHEDULE'!E322)</x:f>
      </x:c>
      <x:c r="F354" s="530" t="str">
        <x:f>IF(ISBLANK('_SCHEDULE'!F322),"",'_SCHEDULE'!F322)</x:f>
      </x:c>
      <x:c r="G354" s="530" t="str">
        <x:f>IF(ISBLANK('_SCHEDULE'!G322),"",'_SCHEDULE'!G322)</x:f>
      </x:c>
      <x:c r="H354" s="530" t="str">
        <x:f>IF(ISBLANK('_SCHEDULE'!H322),"",'_SCHEDULE'!H322)</x:f>
      </x:c>
      <x:c r="I354" s="530" t="str">
        <x:f>IF(ISBLANK('_SCHEDULE'!I322),"",'_SCHEDULE'!I322)</x:f>
      </x:c>
      <x:c r="J354" s="530" t="str">
        <x:f>IF(ISBLANK('_SCHEDULE'!J322),"",'_SCHEDULE'!J322)</x:f>
      </x:c>
      <x:c r="K354" s="530" t="str">
        <x:f>IF(ISBLANK('_SCHEDULE'!K322),"",'_SCHEDULE'!K322)</x:f>
      </x:c>
      <x:c r="L354" s="530" t="str">
        <x:f>IF(ISBLANK('_SCHEDULE'!L322),"",'_SCHEDULE'!L322)</x:f>
      </x:c>
      <x:c r="M354" s="530" t="str">
        <x:f>IF(ISBLANK('_SCHEDULE'!M322),"",'_SCHEDULE'!M322)</x:f>
      </x:c>
      <x:c r="N354" s="530" t="str">
        <x:f>IF(ISBLANK('_SCHEDULE'!N322),"",'_SCHEDULE'!N322)</x:f>
      </x:c>
      <x:c r="O354" s="530" t="str">
        <x:f>IF(ISBLANK('_SCHEDULE'!O322),"",'_SCHEDULE'!O322)</x:f>
      </x:c>
      <x:c r="P354" s="530" t="str">
        <x:f>IF(ISBLANK('_SCHEDULE'!P322),"",'_SCHEDULE'!P322)</x:f>
      </x:c>
      <x:c r="Q354" s="530" t="str">
        <x:f>IF(ISBLANK('_SCHEDULE'!Q322),"",'_SCHEDULE'!Q322)</x:f>
      </x:c>
      <x:c r="R354" s="530" t="str">
        <x:f>IF(ISBLANK('_SCHEDULE'!R322),"",'_SCHEDULE'!R322)</x:f>
      </x:c>
      <x:c r="S354" s="523" t="str">
        <x:f>IF(ISBLANK('_SCHEDULE'!S322),"",'_SCHEDULE'!S322)</x:f>
      </x:c>
      <x:c r="T354" s="38"/>
      <x:c r="U354" s="38"/>
      <x:c r="V354" s="38"/>
      <x:c r="W354" s="38"/>
      <x:c r="X354" s="38"/>
      <x:c r="Y354" s="38"/>
      <x:c r="Z354" s="38"/>
      <x:c r="AA354" s="38"/>
      <x:c r="AB354" s="38"/>
      <x:c r="AC354" s="38"/>
      <x:c r="AD354" s="38"/>
      <x:c r="AE354" s="38"/>
      <x:c r="AF354" s="38"/>
      <x:c r="AG354" s="38"/>
      <x:c r="AH354" s="38"/>
      <x:c r="AI354" s="38"/>
      <x:c r="AJ354" s="38"/>
      <x:c r="AK354" s="38"/>
      <x:c r="AL354" s="38"/>
      <x:c r="AM354" s="38"/>
    </x:row>
    <x:row r="355">
      <x:c r="A355" s="523" t="str">
        <x:f>IF(ISBLANK('_SCHEDULE'!A323),"",'_SCHEDULE'!A323)</x:f>
      </x:c>
      <x:c r="B355" s="523" t="str">
        <x:f>IF(ISBLANK('_SCHEDULE'!B323),"",IF('_CONFIG'!$B$2="pt-BR",IF('_SCHEDULE'!B323="scheduled","programado",IF('_SCHEDULE'!B323="rejected","rejeitado",'_SCHEDULE'!B323)),'_SCHEDULE'!B323))</x:f>
      </x:c>
      <x:c r="C355" s="523" t="str">
        <x:f>IF(ISBLANK('_SCHEDULE'!C323),"",'_SCHEDULE'!C323)</x:f>
      </x:c>
      <x:c r="D355" s="523" t="str">
        <x:f>IF(ISBLANK('_SCHEDULE'!D323),"",'_SCHEDULE'!D323)</x:f>
      </x:c>
      <x:c r="E355" s="530" t="str">
        <x:f>IF(ISBLANK('_SCHEDULE'!E323),"",'_SCHEDULE'!E323)</x:f>
      </x:c>
      <x:c r="F355" s="530" t="str">
        <x:f>IF(ISBLANK('_SCHEDULE'!F323),"",'_SCHEDULE'!F323)</x:f>
      </x:c>
      <x:c r="G355" s="530" t="str">
        <x:f>IF(ISBLANK('_SCHEDULE'!G323),"",'_SCHEDULE'!G323)</x:f>
      </x:c>
      <x:c r="H355" s="530" t="str">
        <x:f>IF(ISBLANK('_SCHEDULE'!H323),"",'_SCHEDULE'!H323)</x:f>
      </x:c>
      <x:c r="I355" s="530" t="str">
        <x:f>IF(ISBLANK('_SCHEDULE'!I323),"",'_SCHEDULE'!I323)</x:f>
      </x:c>
      <x:c r="J355" s="530" t="str">
        <x:f>IF(ISBLANK('_SCHEDULE'!J323),"",'_SCHEDULE'!J323)</x:f>
      </x:c>
      <x:c r="K355" s="530" t="str">
        <x:f>IF(ISBLANK('_SCHEDULE'!K323),"",'_SCHEDULE'!K323)</x:f>
      </x:c>
      <x:c r="L355" s="530" t="str">
        <x:f>IF(ISBLANK('_SCHEDULE'!L323),"",'_SCHEDULE'!L323)</x:f>
      </x:c>
      <x:c r="M355" s="530" t="str">
        <x:f>IF(ISBLANK('_SCHEDULE'!M323),"",'_SCHEDULE'!M323)</x:f>
      </x:c>
      <x:c r="N355" s="530" t="str">
        <x:f>IF(ISBLANK('_SCHEDULE'!N323),"",'_SCHEDULE'!N323)</x:f>
      </x:c>
      <x:c r="O355" s="530" t="str">
        <x:f>IF(ISBLANK('_SCHEDULE'!O323),"",'_SCHEDULE'!O323)</x:f>
      </x:c>
      <x:c r="P355" s="530" t="str">
        <x:f>IF(ISBLANK('_SCHEDULE'!P323),"",'_SCHEDULE'!P323)</x:f>
      </x:c>
      <x:c r="Q355" s="530" t="str">
        <x:f>IF(ISBLANK('_SCHEDULE'!Q323),"",'_SCHEDULE'!Q323)</x:f>
      </x:c>
      <x:c r="R355" s="530" t="str">
        <x:f>IF(ISBLANK('_SCHEDULE'!R323),"",'_SCHEDULE'!R323)</x:f>
      </x:c>
      <x:c r="S355" s="523" t="str">
        <x:f>IF(ISBLANK('_SCHEDULE'!S323),"",'_SCHEDULE'!S323)</x:f>
      </x:c>
      <x:c r="T355" s="38"/>
      <x:c r="U355" s="38"/>
      <x:c r="V355" s="38"/>
      <x:c r="W355" s="38"/>
      <x:c r="X355" s="38"/>
      <x:c r="Y355" s="38"/>
      <x:c r="Z355" s="38"/>
      <x:c r="AA355" s="38"/>
      <x:c r="AB355" s="38"/>
      <x:c r="AC355" s="38"/>
      <x:c r="AD355" s="38"/>
      <x:c r="AE355" s="38"/>
      <x:c r="AF355" s="38"/>
      <x:c r="AG355" s="38"/>
      <x:c r="AH355" s="38"/>
      <x:c r="AI355" s="38"/>
      <x:c r="AJ355" s="38"/>
      <x:c r="AK355" s="38"/>
      <x:c r="AL355" s="38"/>
      <x:c r="AM355" s="38"/>
    </x:row>
    <x:row r="356">
      <x:c r="A356" s="523" t="str">
        <x:f>IF(ISBLANK('_SCHEDULE'!A324),"",'_SCHEDULE'!A324)</x:f>
      </x:c>
      <x:c r="B356" s="523" t="str">
        <x:f>IF(ISBLANK('_SCHEDULE'!B324),"",IF('_CONFIG'!$B$2="pt-BR",IF('_SCHEDULE'!B324="scheduled","programado",IF('_SCHEDULE'!B324="rejected","rejeitado",'_SCHEDULE'!B324)),'_SCHEDULE'!B324))</x:f>
      </x:c>
      <x:c r="C356" s="523" t="str">
        <x:f>IF(ISBLANK('_SCHEDULE'!C324),"",'_SCHEDULE'!C324)</x:f>
      </x:c>
      <x:c r="D356" s="523" t="str">
        <x:f>IF(ISBLANK('_SCHEDULE'!D324),"",'_SCHEDULE'!D324)</x:f>
      </x:c>
      <x:c r="E356" s="530" t="str">
        <x:f>IF(ISBLANK('_SCHEDULE'!E324),"",'_SCHEDULE'!E324)</x:f>
      </x:c>
      <x:c r="F356" s="530" t="str">
        <x:f>IF(ISBLANK('_SCHEDULE'!F324),"",'_SCHEDULE'!F324)</x:f>
      </x:c>
      <x:c r="G356" s="530" t="str">
        <x:f>IF(ISBLANK('_SCHEDULE'!G324),"",'_SCHEDULE'!G324)</x:f>
      </x:c>
      <x:c r="H356" s="530" t="str">
        <x:f>IF(ISBLANK('_SCHEDULE'!H324),"",'_SCHEDULE'!H324)</x:f>
      </x:c>
      <x:c r="I356" s="530" t="str">
        <x:f>IF(ISBLANK('_SCHEDULE'!I324),"",'_SCHEDULE'!I324)</x:f>
      </x:c>
      <x:c r="J356" s="530" t="str">
        <x:f>IF(ISBLANK('_SCHEDULE'!J324),"",'_SCHEDULE'!J324)</x:f>
      </x:c>
      <x:c r="K356" s="530" t="str">
        <x:f>IF(ISBLANK('_SCHEDULE'!K324),"",'_SCHEDULE'!K324)</x:f>
      </x:c>
      <x:c r="L356" s="530" t="str">
        <x:f>IF(ISBLANK('_SCHEDULE'!L324),"",'_SCHEDULE'!L324)</x:f>
      </x:c>
      <x:c r="M356" s="530" t="str">
        <x:f>IF(ISBLANK('_SCHEDULE'!M324),"",'_SCHEDULE'!M324)</x:f>
      </x:c>
      <x:c r="N356" s="530" t="str">
        <x:f>IF(ISBLANK('_SCHEDULE'!N324),"",'_SCHEDULE'!N324)</x:f>
      </x:c>
      <x:c r="O356" s="530" t="str">
        <x:f>IF(ISBLANK('_SCHEDULE'!O324),"",'_SCHEDULE'!O324)</x:f>
      </x:c>
      <x:c r="P356" s="530" t="str">
        <x:f>IF(ISBLANK('_SCHEDULE'!P324),"",'_SCHEDULE'!P324)</x:f>
      </x:c>
      <x:c r="Q356" s="530" t="str">
        <x:f>IF(ISBLANK('_SCHEDULE'!Q324),"",'_SCHEDULE'!Q324)</x:f>
      </x:c>
      <x:c r="R356" s="530" t="str">
        <x:f>IF(ISBLANK('_SCHEDULE'!R324),"",'_SCHEDULE'!R324)</x:f>
      </x:c>
      <x:c r="S356" s="523" t="str">
        <x:f>IF(ISBLANK('_SCHEDULE'!S324),"",'_SCHEDULE'!S324)</x:f>
      </x:c>
      <x:c r="T356" s="38"/>
      <x:c r="U356" s="38"/>
      <x:c r="V356" s="38"/>
      <x:c r="W356" s="38"/>
      <x:c r="X356" s="38"/>
      <x:c r="Y356" s="38"/>
      <x:c r="Z356" s="38"/>
      <x:c r="AA356" s="38"/>
      <x:c r="AB356" s="38"/>
      <x:c r="AC356" s="38"/>
      <x:c r="AD356" s="38"/>
      <x:c r="AE356" s="38"/>
      <x:c r="AF356" s="38"/>
      <x:c r="AG356" s="38"/>
      <x:c r="AH356" s="38"/>
      <x:c r="AI356" s="38"/>
      <x:c r="AJ356" s="38"/>
      <x:c r="AK356" s="38"/>
      <x:c r="AL356" s="38"/>
      <x:c r="AM356" s="38"/>
    </x:row>
    <x:row r="357">
      <x:c r="A357" s="523" t="str">
        <x:f>IF(ISBLANK('_SCHEDULE'!A325),"",'_SCHEDULE'!A325)</x:f>
      </x:c>
      <x:c r="B357" s="523" t="str">
        <x:f>IF(ISBLANK('_SCHEDULE'!B325),"",IF('_CONFIG'!$B$2="pt-BR",IF('_SCHEDULE'!B325="scheduled","programado",IF('_SCHEDULE'!B325="rejected","rejeitado",'_SCHEDULE'!B325)),'_SCHEDULE'!B325))</x:f>
      </x:c>
      <x:c r="C357" s="523" t="str">
        <x:f>IF(ISBLANK('_SCHEDULE'!C325),"",'_SCHEDULE'!C325)</x:f>
      </x:c>
      <x:c r="D357" s="523" t="str">
        <x:f>IF(ISBLANK('_SCHEDULE'!D325),"",'_SCHEDULE'!D325)</x:f>
      </x:c>
      <x:c r="E357" s="530" t="str">
        <x:f>IF(ISBLANK('_SCHEDULE'!E325),"",'_SCHEDULE'!E325)</x:f>
      </x:c>
      <x:c r="F357" s="530" t="str">
        <x:f>IF(ISBLANK('_SCHEDULE'!F325),"",'_SCHEDULE'!F325)</x:f>
      </x:c>
      <x:c r="G357" s="530" t="str">
        <x:f>IF(ISBLANK('_SCHEDULE'!G325),"",'_SCHEDULE'!G325)</x:f>
      </x:c>
      <x:c r="H357" s="530" t="str">
        <x:f>IF(ISBLANK('_SCHEDULE'!H325),"",'_SCHEDULE'!H325)</x:f>
      </x:c>
      <x:c r="I357" s="530" t="str">
        <x:f>IF(ISBLANK('_SCHEDULE'!I325),"",'_SCHEDULE'!I325)</x:f>
      </x:c>
      <x:c r="J357" s="530" t="str">
        <x:f>IF(ISBLANK('_SCHEDULE'!J325),"",'_SCHEDULE'!J325)</x:f>
      </x:c>
      <x:c r="K357" s="530" t="str">
        <x:f>IF(ISBLANK('_SCHEDULE'!K325),"",'_SCHEDULE'!K325)</x:f>
      </x:c>
      <x:c r="L357" s="530" t="str">
        <x:f>IF(ISBLANK('_SCHEDULE'!L325),"",'_SCHEDULE'!L325)</x:f>
      </x:c>
      <x:c r="M357" s="530" t="str">
        <x:f>IF(ISBLANK('_SCHEDULE'!M325),"",'_SCHEDULE'!M325)</x:f>
      </x:c>
      <x:c r="N357" s="530" t="str">
        <x:f>IF(ISBLANK('_SCHEDULE'!N325),"",'_SCHEDULE'!N325)</x:f>
      </x:c>
      <x:c r="O357" s="530" t="str">
        <x:f>IF(ISBLANK('_SCHEDULE'!O325),"",'_SCHEDULE'!O325)</x:f>
      </x:c>
      <x:c r="P357" s="530" t="str">
        <x:f>IF(ISBLANK('_SCHEDULE'!P325),"",'_SCHEDULE'!P325)</x:f>
      </x:c>
      <x:c r="Q357" s="530" t="str">
        <x:f>IF(ISBLANK('_SCHEDULE'!Q325),"",'_SCHEDULE'!Q325)</x:f>
      </x:c>
      <x:c r="R357" s="530" t="str">
        <x:f>IF(ISBLANK('_SCHEDULE'!R325),"",'_SCHEDULE'!R325)</x:f>
      </x:c>
      <x:c r="S357" s="523" t="str">
        <x:f>IF(ISBLANK('_SCHEDULE'!S325),"",'_SCHEDULE'!S325)</x:f>
      </x:c>
      <x:c r="T357" s="38"/>
      <x:c r="U357" s="38"/>
      <x:c r="V357" s="38"/>
      <x:c r="W357" s="38"/>
      <x:c r="X357" s="38"/>
      <x:c r="Y357" s="38"/>
      <x:c r="Z357" s="38"/>
      <x:c r="AA357" s="38"/>
      <x:c r="AB357" s="38"/>
      <x:c r="AC357" s="38"/>
      <x:c r="AD357" s="38"/>
      <x:c r="AE357" s="38"/>
      <x:c r="AF357" s="38"/>
      <x:c r="AG357" s="38"/>
      <x:c r="AH357" s="38"/>
      <x:c r="AI357" s="38"/>
      <x:c r="AJ357" s="38"/>
      <x:c r="AK357" s="38"/>
      <x:c r="AL357" s="38"/>
      <x:c r="AM357" s="38"/>
    </x:row>
    <x:row r="358">
      <x:c r="A358" s="523" t="str">
        <x:f>IF(ISBLANK('_SCHEDULE'!A326),"",'_SCHEDULE'!A326)</x:f>
      </x:c>
      <x:c r="B358" s="523" t="str">
        <x:f>IF(ISBLANK('_SCHEDULE'!B326),"",IF('_CONFIG'!$B$2="pt-BR",IF('_SCHEDULE'!B326="scheduled","programado",IF('_SCHEDULE'!B326="rejected","rejeitado",'_SCHEDULE'!B326)),'_SCHEDULE'!B326))</x:f>
      </x:c>
      <x:c r="C358" s="523" t="str">
        <x:f>IF(ISBLANK('_SCHEDULE'!C326),"",'_SCHEDULE'!C326)</x:f>
      </x:c>
      <x:c r="D358" s="523" t="str">
        <x:f>IF(ISBLANK('_SCHEDULE'!D326),"",'_SCHEDULE'!D326)</x:f>
      </x:c>
      <x:c r="E358" s="530" t="str">
        <x:f>IF(ISBLANK('_SCHEDULE'!E326),"",'_SCHEDULE'!E326)</x:f>
      </x:c>
      <x:c r="F358" s="530" t="str">
        <x:f>IF(ISBLANK('_SCHEDULE'!F326),"",'_SCHEDULE'!F326)</x:f>
      </x:c>
      <x:c r="G358" s="530" t="str">
        <x:f>IF(ISBLANK('_SCHEDULE'!G326),"",'_SCHEDULE'!G326)</x:f>
      </x:c>
      <x:c r="H358" s="530" t="str">
        <x:f>IF(ISBLANK('_SCHEDULE'!H326),"",'_SCHEDULE'!H326)</x:f>
      </x:c>
      <x:c r="I358" s="530" t="str">
        <x:f>IF(ISBLANK('_SCHEDULE'!I326),"",'_SCHEDULE'!I326)</x:f>
      </x:c>
      <x:c r="J358" s="530" t="str">
        <x:f>IF(ISBLANK('_SCHEDULE'!J326),"",'_SCHEDULE'!J326)</x:f>
      </x:c>
      <x:c r="K358" s="530" t="str">
        <x:f>IF(ISBLANK('_SCHEDULE'!K326),"",'_SCHEDULE'!K326)</x:f>
      </x:c>
      <x:c r="L358" s="530" t="str">
        <x:f>IF(ISBLANK('_SCHEDULE'!L326),"",'_SCHEDULE'!L326)</x:f>
      </x:c>
      <x:c r="M358" s="530" t="str">
        <x:f>IF(ISBLANK('_SCHEDULE'!M326),"",'_SCHEDULE'!M326)</x:f>
      </x:c>
      <x:c r="N358" s="530" t="str">
        <x:f>IF(ISBLANK('_SCHEDULE'!N326),"",'_SCHEDULE'!N326)</x:f>
      </x:c>
      <x:c r="O358" s="530" t="str">
        <x:f>IF(ISBLANK('_SCHEDULE'!O326),"",'_SCHEDULE'!O326)</x:f>
      </x:c>
      <x:c r="P358" s="530" t="str">
        <x:f>IF(ISBLANK('_SCHEDULE'!P326),"",'_SCHEDULE'!P326)</x:f>
      </x:c>
      <x:c r="Q358" s="530" t="str">
        <x:f>IF(ISBLANK('_SCHEDULE'!Q326),"",'_SCHEDULE'!Q326)</x:f>
      </x:c>
      <x:c r="R358" s="530" t="str">
        <x:f>IF(ISBLANK('_SCHEDULE'!R326),"",'_SCHEDULE'!R326)</x:f>
      </x:c>
      <x:c r="S358" s="523" t="str">
        <x:f>IF(ISBLANK('_SCHEDULE'!S326),"",'_SCHEDULE'!S326)</x:f>
      </x:c>
      <x:c r="T358" s="38"/>
      <x:c r="U358" s="38"/>
      <x:c r="V358" s="38"/>
      <x:c r="W358" s="38"/>
      <x:c r="X358" s="38"/>
      <x:c r="Y358" s="38"/>
      <x:c r="Z358" s="38"/>
      <x:c r="AA358" s="38"/>
      <x:c r="AB358" s="38"/>
      <x:c r="AC358" s="38"/>
      <x:c r="AD358" s="38"/>
      <x:c r="AE358" s="38"/>
      <x:c r="AF358" s="38"/>
      <x:c r="AG358" s="38"/>
      <x:c r="AH358" s="38"/>
      <x:c r="AI358" s="38"/>
      <x:c r="AJ358" s="38"/>
      <x:c r="AK358" s="38"/>
      <x:c r="AL358" s="38"/>
      <x:c r="AM358" s="38"/>
    </x:row>
    <x:row r="359">
      <x:c r="A359" s="523" t="str">
        <x:f>IF(ISBLANK('_SCHEDULE'!A327),"",'_SCHEDULE'!A327)</x:f>
      </x:c>
      <x:c r="B359" s="523" t="str">
        <x:f>IF(ISBLANK('_SCHEDULE'!B327),"",IF('_CONFIG'!$B$2="pt-BR",IF('_SCHEDULE'!B327="scheduled","programado",IF('_SCHEDULE'!B327="rejected","rejeitado",'_SCHEDULE'!B327)),'_SCHEDULE'!B327))</x:f>
      </x:c>
      <x:c r="C359" s="523" t="str">
        <x:f>IF(ISBLANK('_SCHEDULE'!C327),"",'_SCHEDULE'!C327)</x:f>
      </x:c>
      <x:c r="D359" s="523" t="str">
        <x:f>IF(ISBLANK('_SCHEDULE'!D327),"",'_SCHEDULE'!D327)</x:f>
      </x:c>
      <x:c r="E359" s="530" t="str">
        <x:f>IF(ISBLANK('_SCHEDULE'!E327),"",'_SCHEDULE'!E327)</x:f>
      </x:c>
      <x:c r="F359" s="530" t="str">
        <x:f>IF(ISBLANK('_SCHEDULE'!F327),"",'_SCHEDULE'!F327)</x:f>
      </x:c>
      <x:c r="G359" s="530" t="str">
        <x:f>IF(ISBLANK('_SCHEDULE'!G327),"",'_SCHEDULE'!G327)</x:f>
      </x:c>
      <x:c r="H359" s="530" t="str">
        <x:f>IF(ISBLANK('_SCHEDULE'!H327),"",'_SCHEDULE'!H327)</x:f>
      </x:c>
      <x:c r="I359" s="530" t="str">
        <x:f>IF(ISBLANK('_SCHEDULE'!I327),"",'_SCHEDULE'!I327)</x:f>
      </x:c>
      <x:c r="J359" s="530" t="str">
        <x:f>IF(ISBLANK('_SCHEDULE'!J327),"",'_SCHEDULE'!J327)</x:f>
      </x:c>
      <x:c r="K359" s="530" t="str">
        <x:f>IF(ISBLANK('_SCHEDULE'!K327),"",'_SCHEDULE'!K327)</x:f>
      </x:c>
      <x:c r="L359" s="530" t="str">
        <x:f>IF(ISBLANK('_SCHEDULE'!L327),"",'_SCHEDULE'!L327)</x:f>
      </x:c>
      <x:c r="M359" s="530" t="str">
        <x:f>IF(ISBLANK('_SCHEDULE'!M327),"",'_SCHEDULE'!M327)</x:f>
      </x:c>
      <x:c r="N359" s="530" t="str">
        <x:f>IF(ISBLANK('_SCHEDULE'!N327),"",'_SCHEDULE'!N327)</x:f>
      </x:c>
      <x:c r="O359" s="530" t="str">
        <x:f>IF(ISBLANK('_SCHEDULE'!O327),"",'_SCHEDULE'!O327)</x:f>
      </x:c>
      <x:c r="P359" s="530" t="str">
        <x:f>IF(ISBLANK('_SCHEDULE'!P327),"",'_SCHEDULE'!P327)</x:f>
      </x:c>
      <x:c r="Q359" s="530" t="str">
        <x:f>IF(ISBLANK('_SCHEDULE'!Q327),"",'_SCHEDULE'!Q327)</x:f>
      </x:c>
      <x:c r="R359" s="530" t="str">
        <x:f>IF(ISBLANK('_SCHEDULE'!R327),"",'_SCHEDULE'!R327)</x:f>
      </x:c>
      <x:c r="S359" s="523" t="str">
        <x:f>IF(ISBLANK('_SCHEDULE'!S327),"",'_SCHEDULE'!S327)</x:f>
      </x:c>
      <x:c r="T359" s="38"/>
      <x:c r="U359" s="38"/>
      <x:c r="V359" s="38"/>
      <x:c r="W359" s="38"/>
      <x:c r="X359" s="38"/>
      <x:c r="Y359" s="38"/>
      <x:c r="Z359" s="38"/>
      <x:c r="AA359" s="38"/>
      <x:c r="AB359" s="38"/>
      <x:c r="AC359" s="38"/>
      <x:c r="AD359" s="38"/>
      <x:c r="AE359" s="38"/>
      <x:c r="AF359" s="38"/>
      <x:c r="AG359" s="38"/>
      <x:c r="AH359" s="38"/>
      <x:c r="AI359" s="38"/>
      <x:c r="AJ359" s="38"/>
      <x:c r="AK359" s="38"/>
      <x:c r="AL359" s="38"/>
      <x:c r="AM359" s="38"/>
    </x:row>
    <x:row r="360">
      <x:c r="A360" s="523" t="str">
        <x:f>IF(ISBLANK('_SCHEDULE'!A328),"",'_SCHEDULE'!A328)</x:f>
      </x:c>
      <x:c r="B360" s="523" t="str">
        <x:f>IF(ISBLANK('_SCHEDULE'!B328),"",IF('_CONFIG'!$B$2="pt-BR",IF('_SCHEDULE'!B328="scheduled","programado",IF('_SCHEDULE'!B328="rejected","rejeitado",'_SCHEDULE'!B328)),'_SCHEDULE'!B328))</x:f>
      </x:c>
      <x:c r="C360" s="523" t="str">
        <x:f>IF(ISBLANK('_SCHEDULE'!C328),"",'_SCHEDULE'!C328)</x:f>
      </x:c>
      <x:c r="D360" s="523" t="str">
        <x:f>IF(ISBLANK('_SCHEDULE'!D328),"",'_SCHEDULE'!D328)</x:f>
      </x:c>
      <x:c r="E360" s="530" t="str">
        <x:f>IF(ISBLANK('_SCHEDULE'!E328),"",'_SCHEDULE'!E328)</x:f>
      </x:c>
      <x:c r="F360" s="530" t="str">
        <x:f>IF(ISBLANK('_SCHEDULE'!F328),"",'_SCHEDULE'!F328)</x:f>
      </x:c>
      <x:c r="G360" s="530" t="str">
        <x:f>IF(ISBLANK('_SCHEDULE'!G328),"",'_SCHEDULE'!G328)</x:f>
      </x:c>
      <x:c r="H360" s="530" t="str">
        <x:f>IF(ISBLANK('_SCHEDULE'!H328),"",'_SCHEDULE'!H328)</x:f>
      </x:c>
      <x:c r="I360" s="530" t="str">
        <x:f>IF(ISBLANK('_SCHEDULE'!I328),"",'_SCHEDULE'!I328)</x:f>
      </x:c>
      <x:c r="J360" s="530" t="str">
        <x:f>IF(ISBLANK('_SCHEDULE'!J328),"",'_SCHEDULE'!J328)</x:f>
      </x:c>
      <x:c r="K360" s="530" t="str">
        <x:f>IF(ISBLANK('_SCHEDULE'!K328),"",'_SCHEDULE'!K328)</x:f>
      </x:c>
      <x:c r="L360" s="530" t="str">
        <x:f>IF(ISBLANK('_SCHEDULE'!L328),"",'_SCHEDULE'!L328)</x:f>
      </x:c>
      <x:c r="M360" s="530" t="str">
        <x:f>IF(ISBLANK('_SCHEDULE'!M328),"",'_SCHEDULE'!M328)</x:f>
      </x:c>
      <x:c r="N360" s="530" t="str">
        <x:f>IF(ISBLANK('_SCHEDULE'!N328),"",'_SCHEDULE'!N328)</x:f>
      </x:c>
      <x:c r="O360" s="530" t="str">
        <x:f>IF(ISBLANK('_SCHEDULE'!O328),"",'_SCHEDULE'!O328)</x:f>
      </x:c>
      <x:c r="P360" s="530" t="str">
        <x:f>IF(ISBLANK('_SCHEDULE'!P328),"",'_SCHEDULE'!P328)</x:f>
      </x:c>
      <x:c r="Q360" s="530" t="str">
        <x:f>IF(ISBLANK('_SCHEDULE'!Q328),"",'_SCHEDULE'!Q328)</x:f>
      </x:c>
      <x:c r="R360" s="530" t="str">
        <x:f>IF(ISBLANK('_SCHEDULE'!R328),"",'_SCHEDULE'!R328)</x:f>
      </x:c>
      <x:c r="S360" s="523" t="str">
        <x:f>IF(ISBLANK('_SCHEDULE'!S328),"",'_SCHEDULE'!S328)</x:f>
      </x:c>
      <x:c r="T360" s="38"/>
      <x:c r="U360" s="38"/>
      <x:c r="V360" s="38"/>
      <x:c r="W360" s="38"/>
      <x:c r="X360" s="38"/>
      <x:c r="Y360" s="38"/>
      <x:c r="Z360" s="38"/>
      <x:c r="AA360" s="38"/>
      <x:c r="AB360" s="38"/>
      <x:c r="AC360" s="38"/>
      <x:c r="AD360" s="38"/>
      <x:c r="AE360" s="38"/>
      <x:c r="AF360" s="38"/>
      <x:c r="AG360" s="38"/>
      <x:c r="AH360" s="38"/>
      <x:c r="AI360" s="38"/>
      <x:c r="AJ360" s="38"/>
      <x:c r="AK360" s="38"/>
      <x:c r="AL360" s="38"/>
      <x:c r="AM360" s="38"/>
    </x:row>
    <x:row r="361">
      <x:c r="A361" s="523" t="str">
        <x:f>IF(ISBLANK('_SCHEDULE'!A329),"",'_SCHEDULE'!A329)</x:f>
      </x:c>
      <x:c r="B361" s="523" t="str">
        <x:f>IF(ISBLANK('_SCHEDULE'!B329),"",IF('_CONFIG'!$B$2="pt-BR",IF('_SCHEDULE'!B329="scheduled","programado",IF('_SCHEDULE'!B329="rejected","rejeitado",'_SCHEDULE'!B329)),'_SCHEDULE'!B329))</x:f>
      </x:c>
      <x:c r="C361" s="523" t="str">
        <x:f>IF(ISBLANK('_SCHEDULE'!C329),"",'_SCHEDULE'!C329)</x:f>
      </x:c>
      <x:c r="D361" s="523" t="str">
        <x:f>IF(ISBLANK('_SCHEDULE'!D329),"",'_SCHEDULE'!D329)</x:f>
      </x:c>
      <x:c r="E361" s="530" t="str">
        <x:f>IF(ISBLANK('_SCHEDULE'!E329),"",'_SCHEDULE'!E329)</x:f>
      </x:c>
      <x:c r="F361" s="530" t="str">
        <x:f>IF(ISBLANK('_SCHEDULE'!F329),"",'_SCHEDULE'!F329)</x:f>
      </x:c>
      <x:c r="G361" s="530" t="str">
        <x:f>IF(ISBLANK('_SCHEDULE'!G329),"",'_SCHEDULE'!G329)</x:f>
      </x:c>
      <x:c r="H361" s="530" t="str">
        <x:f>IF(ISBLANK('_SCHEDULE'!H329),"",'_SCHEDULE'!H329)</x:f>
      </x:c>
      <x:c r="I361" s="530" t="str">
        <x:f>IF(ISBLANK('_SCHEDULE'!I329),"",'_SCHEDULE'!I329)</x:f>
      </x:c>
      <x:c r="J361" s="530" t="str">
        <x:f>IF(ISBLANK('_SCHEDULE'!J329),"",'_SCHEDULE'!J329)</x:f>
      </x:c>
      <x:c r="K361" s="530" t="str">
        <x:f>IF(ISBLANK('_SCHEDULE'!K329),"",'_SCHEDULE'!K329)</x:f>
      </x:c>
      <x:c r="L361" s="530" t="str">
        <x:f>IF(ISBLANK('_SCHEDULE'!L329),"",'_SCHEDULE'!L329)</x:f>
      </x:c>
      <x:c r="M361" s="530" t="str">
        <x:f>IF(ISBLANK('_SCHEDULE'!M329),"",'_SCHEDULE'!M329)</x:f>
      </x:c>
      <x:c r="N361" s="530" t="str">
        <x:f>IF(ISBLANK('_SCHEDULE'!N329),"",'_SCHEDULE'!N329)</x:f>
      </x:c>
      <x:c r="O361" s="530" t="str">
        <x:f>IF(ISBLANK('_SCHEDULE'!O329),"",'_SCHEDULE'!O329)</x:f>
      </x:c>
      <x:c r="P361" s="530" t="str">
        <x:f>IF(ISBLANK('_SCHEDULE'!P329),"",'_SCHEDULE'!P329)</x:f>
      </x:c>
      <x:c r="Q361" s="530" t="str">
        <x:f>IF(ISBLANK('_SCHEDULE'!Q329),"",'_SCHEDULE'!Q329)</x:f>
      </x:c>
      <x:c r="R361" s="530" t="str">
        <x:f>IF(ISBLANK('_SCHEDULE'!R329),"",'_SCHEDULE'!R329)</x:f>
      </x:c>
      <x:c r="S361" s="523" t="str">
        <x:f>IF(ISBLANK('_SCHEDULE'!S329),"",'_SCHEDULE'!S329)</x:f>
      </x:c>
      <x:c r="T361" s="38"/>
      <x:c r="U361" s="38"/>
      <x:c r="V361" s="38"/>
      <x:c r="W361" s="38"/>
      <x:c r="X361" s="38"/>
      <x:c r="Y361" s="38"/>
      <x:c r="Z361" s="38"/>
      <x:c r="AA361" s="38"/>
      <x:c r="AB361" s="38"/>
      <x:c r="AC361" s="38"/>
      <x:c r="AD361" s="38"/>
      <x:c r="AE361" s="38"/>
      <x:c r="AF361" s="38"/>
      <x:c r="AG361" s="38"/>
      <x:c r="AH361" s="38"/>
      <x:c r="AI361" s="38"/>
      <x:c r="AJ361" s="38"/>
      <x:c r="AK361" s="38"/>
      <x:c r="AL361" s="38"/>
      <x:c r="AM361" s="38"/>
    </x:row>
    <x:row r="362">
      <x:c r="A362" s="523" t="str">
        <x:f>IF(ISBLANK('_SCHEDULE'!A330),"",'_SCHEDULE'!A330)</x:f>
      </x:c>
      <x:c r="B362" s="523" t="str">
        <x:f>IF(ISBLANK('_SCHEDULE'!B330),"",IF('_CONFIG'!$B$2="pt-BR",IF('_SCHEDULE'!B330="scheduled","programado",IF('_SCHEDULE'!B330="rejected","rejeitado",'_SCHEDULE'!B330)),'_SCHEDULE'!B330))</x:f>
      </x:c>
      <x:c r="C362" s="523" t="str">
        <x:f>IF(ISBLANK('_SCHEDULE'!C330),"",'_SCHEDULE'!C330)</x:f>
      </x:c>
      <x:c r="D362" s="523" t="str">
        <x:f>IF(ISBLANK('_SCHEDULE'!D330),"",'_SCHEDULE'!D330)</x:f>
      </x:c>
      <x:c r="E362" s="530" t="str">
        <x:f>IF(ISBLANK('_SCHEDULE'!E330),"",'_SCHEDULE'!E330)</x:f>
      </x:c>
      <x:c r="F362" s="530" t="str">
        <x:f>IF(ISBLANK('_SCHEDULE'!F330),"",'_SCHEDULE'!F330)</x:f>
      </x:c>
      <x:c r="G362" s="530" t="str">
        <x:f>IF(ISBLANK('_SCHEDULE'!G330),"",'_SCHEDULE'!G330)</x:f>
      </x:c>
      <x:c r="H362" s="530" t="str">
        <x:f>IF(ISBLANK('_SCHEDULE'!H330),"",'_SCHEDULE'!H330)</x:f>
      </x:c>
      <x:c r="I362" s="530" t="str">
        <x:f>IF(ISBLANK('_SCHEDULE'!I330),"",'_SCHEDULE'!I330)</x:f>
      </x:c>
      <x:c r="J362" s="530" t="str">
        <x:f>IF(ISBLANK('_SCHEDULE'!J330),"",'_SCHEDULE'!J330)</x:f>
      </x:c>
      <x:c r="K362" s="530" t="str">
        <x:f>IF(ISBLANK('_SCHEDULE'!K330),"",'_SCHEDULE'!K330)</x:f>
      </x:c>
      <x:c r="L362" s="530" t="str">
        <x:f>IF(ISBLANK('_SCHEDULE'!L330),"",'_SCHEDULE'!L330)</x:f>
      </x:c>
      <x:c r="M362" s="530" t="str">
        <x:f>IF(ISBLANK('_SCHEDULE'!M330),"",'_SCHEDULE'!M330)</x:f>
      </x:c>
      <x:c r="N362" s="530" t="str">
        <x:f>IF(ISBLANK('_SCHEDULE'!N330),"",'_SCHEDULE'!N330)</x:f>
      </x:c>
      <x:c r="O362" s="530" t="str">
        <x:f>IF(ISBLANK('_SCHEDULE'!O330),"",'_SCHEDULE'!O330)</x:f>
      </x:c>
      <x:c r="P362" s="530" t="str">
        <x:f>IF(ISBLANK('_SCHEDULE'!P330),"",'_SCHEDULE'!P330)</x:f>
      </x:c>
      <x:c r="Q362" s="530" t="str">
        <x:f>IF(ISBLANK('_SCHEDULE'!Q330),"",'_SCHEDULE'!Q330)</x:f>
      </x:c>
      <x:c r="R362" s="530" t="str">
        <x:f>IF(ISBLANK('_SCHEDULE'!R330),"",'_SCHEDULE'!R330)</x:f>
      </x:c>
      <x:c r="S362" s="523" t="str">
        <x:f>IF(ISBLANK('_SCHEDULE'!S330),"",'_SCHEDULE'!S330)</x:f>
      </x:c>
      <x:c r="T362" s="38"/>
      <x:c r="U362" s="38"/>
      <x:c r="V362" s="38"/>
      <x:c r="W362" s="38"/>
      <x:c r="X362" s="38"/>
      <x:c r="Y362" s="38"/>
      <x:c r="Z362" s="38"/>
      <x:c r="AA362" s="38"/>
      <x:c r="AB362" s="38"/>
      <x:c r="AC362" s="38"/>
      <x:c r="AD362" s="38"/>
      <x:c r="AE362" s="38"/>
      <x:c r="AF362" s="38"/>
      <x:c r="AG362" s="38"/>
      <x:c r="AH362" s="38"/>
      <x:c r="AI362" s="38"/>
      <x:c r="AJ362" s="38"/>
      <x:c r="AK362" s="38"/>
      <x:c r="AL362" s="38"/>
      <x:c r="AM362" s="38"/>
    </x:row>
    <x:row r="363">
      <x:c r="A363" s="523" t="str">
        <x:f>IF(ISBLANK('_SCHEDULE'!A331),"",'_SCHEDULE'!A331)</x:f>
      </x:c>
      <x:c r="B363" s="523" t="str">
        <x:f>IF(ISBLANK('_SCHEDULE'!B331),"",IF('_CONFIG'!$B$2="pt-BR",IF('_SCHEDULE'!B331="scheduled","programado",IF('_SCHEDULE'!B331="rejected","rejeitado",'_SCHEDULE'!B331)),'_SCHEDULE'!B331))</x:f>
      </x:c>
      <x:c r="C363" s="523" t="str">
        <x:f>IF(ISBLANK('_SCHEDULE'!C331),"",'_SCHEDULE'!C331)</x:f>
      </x:c>
      <x:c r="D363" s="523" t="str">
        <x:f>IF(ISBLANK('_SCHEDULE'!D331),"",'_SCHEDULE'!D331)</x:f>
      </x:c>
      <x:c r="E363" s="530" t="str">
        <x:f>IF(ISBLANK('_SCHEDULE'!E331),"",'_SCHEDULE'!E331)</x:f>
      </x:c>
      <x:c r="F363" s="530" t="str">
        <x:f>IF(ISBLANK('_SCHEDULE'!F331),"",'_SCHEDULE'!F331)</x:f>
      </x:c>
      <x:c r="G363" s="530" t="str">
        <x:f>IF(ISBLANK('_SCHEDULE'!G331),"",'_SCHEDULE'!G331)</x:f>
      </x:c>
      <x:c r="H363" s="530" t="str">
        <x:f>IF(ISBLANK('_SCHEDULE'!H331),"",'_SCHEDULE'!H331)</x:f>
      </x:c>
      <x:c r="I363" s="530" t="str">
        <x:f>IF(ISBLANK('_SCHEDULE'!I331),"",'_SCHEDULE'!I331)</x:f>
      </x:c>
      <x:c r="J363" s="530" t="str">
        <x:f>IF(ISBLANK('_SCHEDULE'!J331),"",'_SCHEDULE'!J331)</x:f>
      </x:c>
      <x:c r="K363" s="530" t="str">
        <x:f>IF(ISBLANK('_SCHEDULE'!K331),"",'_SCHEDULE'!K331)</x:f>
      </x:c>
      <x:c r="L363" s="530" t="str">
        <x:f>IF(ISBLANK('_SCHEDULE'!L331),"",'_SCHEDULE'!L331)</x:f>
      </x:c>
      <x:c r="M363" s="530" t="str">
        <x:f>IF(ISBLANK('_SCHEDULE'!M331),"",'_SCHEDULE'!M331)</x:f>
      </x:c>
      <x:c r="N363" s="530" t="str">
        <x:f>IF(ISBLANK('_SCHEDULE'!N331),"",'_SCHEDULE'!N331)</x:f>
      </x:c>
      <x:c r="O363" s="530" t="str">
        <x:f>IF(ISBLANK('_SCHEDULE'!O331),"",'_SCHEDULE'!O331)</x:f>
      </x:c>
      <x:c r="P363" s="530" t="str">
        <x:f>IF(ISBLANK('_SCHEDULE'!P331),"",'_SCHEDULE'!P331)</x:f>
      </x:c>
      <x:c r="Q363" s="530" t="str">
        <x:f>IF(ISBLANK('_SCHEDULE'!Q331),"",'_SCHEDULE'!Q331)</x:f>
      </x:c>
      <x:c r="R363" s="530" t="str">
        <x:f>IF(ISBLANK('_SCHEDULE'!R331),"",'_SCHEDULE'!R331)</x:f>
      </x:c>
      <x:c r="S363" s="523" t="str">
        <x:f>IF(ISBLANK('_SCHEDULE'!S331),"",'_SCHEDULE'!S331)</x:f>
      </x:c>
      <x:c r="T363" s="38"/>
      <x:c r="U363" s="38"/>
      <x:c r="V363" s="38"/>
      <x:c r="W363" s="38"/>
      <x:c r="X363" s="38"/>
      <x:c r="Y363" s="38"/>
      <x:c r="Z363" s="38"/>
      <x:c r="AA363" s="38"/>
      <x:c r="AB363" s="38"/>
      <x:c r="AC363" s="38"/>
      <x:c r="AD363" s="38"/>
      <x:c r="AE363" s="38"/>
      <x:c r="AF363" s="38"/>
      <x:c r="AG363" s="38"/>
      <x:c r="AH363" s="38"/>
      <x:c r="AI363" s="38"/>
      <x:c r="AJ363" s="38"/>
      <x:c r="AK363" s="38"/>
      <x:c r="AL363" s="38"/>
      <x:c r="AM363" s="38"/>
    </x:row>
    <x:row r="364">
      <x:c r="A364" s="523" t="str">
        <x:f>IF(ISBLANK('_SCHEDULE'!A332),"",'_SCHEDULE'!A332)</x:f>
      </x:c>
      <x:c r="B364" s="523" t="str">
        <x:f>IF(ISBLANK('_SCHEDULE'!B332),"",IF('_CONFIG'!$B$2="pt-BR",IF('_SCHEDULE'!B332="scheduled","programado",IF('_SCHEDULE'!B332="rejected","rejeitado",'_SCHEDULE'!B332)),'_SCHEDULE'!B332))</x:f>
      </x:c>
      <x:c r="C364" s="523" t="str">
        <x:f>IF(ISBLANK('_SCHEDULE'!C332),"",'_SCHEDULE'!C332)</x:f>
      </x:c>
      <x:c r="D364" s="523" t="str">
        <x:f>IF(ISBLANK('_SCHEDULE'!D332),"",'_SCHEDULE'!D332)</x:f>
      </x:c>
      <x:c r="E364" s="530" t="str">
        <x:f>IF(ISBLANK('_SCHEDULE'!E332),"",'_SCHEDULE'!E332)</x:f>
      </x:c>
      <x:c r="F364" s="530" t="str">
        <x:f>IF(ISBLANK('_SCHEDULE'!F332),"",'_SCHEDULE'!F332)</x:f>
      </x:c>
      <x:c r="G364" s="530" t="str">
        <x:f>IF(ISBLANK('_SCHEDULE'!G332),"",'_SCHEDULE'!G332)</x:f>
      </x:c>
      <x:c r="H364" s="530" t="str">
        <x:f>IF(ISBLANK('_SCHEDULE'!H332),"",'_SCHEDULE'!H332)</x:f>
      </x:c>
      <x:c r="I364" s="530" t="str">
        <x:f>IF(ISBLANK('_SCHEDULE'!I332),"",'_SCHEDULE'!I332)</x:f>
      </x:c>
      <x:c r="J364" s="530" t="str">
        <x:f>IF(ISBLANK('_SCHEDULE'!J332),"",'_SCHEDULE'!J332)</x:f>
      </x:c>
      <x:c r="K364" s="530" t="str">
        <x:f>IF(ISBLANK('_SCHEDULE'!K332),"",'_SCHEDULE'!K332)</x:f>
      </x:c>
      <x:c r="L364" s="530" t="str">
        <x:f>IF(ISBLANK('_SCHEDULE'!L332),"",'_SCHEDULE'!L332)</x:f>
      </x:c>
      <x:c r="M364" s="530" t="str">
        <x:f>IF(ISBLANK('_SCHEDULE'!M332),"",'_SCHEDULE'!M332)</x:f>
      </x:c>
      <x:c r="N364" s="530" t="str">
        <x:f>IF(ISBLANK('_SCHEDULE'!N332),"",'_SCHEDULE'!N332)</x:f>
      </x:c>
      <x:c r="O364" s="530" t="str">
        <x:f>IF(ISBLANK('_SCHEDULE'!O332),"",'_SCHEDULE'!O332)</x:f>
      </x:c>
      <x:c r="P364" s="530" t="str">
        <x:f>IF(ISBLANK('_SCHEDULE'!P332),"",'_SCHEDULE'!P332)</x:f>
      </x:c>
      <x:c r="Q364" s="530" t="str">
        <x:f>IF(ISBLANK('_SCHEDULE'!Q332),"",'_SCHEDULE'!Q332)</x:f>
      </x:c>
      <x:c r="R364" s="530" t="str">
        <x:f>IF(ISBLANK('_SCHEDULE'!R332),"",'_SCHEDULE'!R332)</x:f>
      </x:c>
      <x:c r="S364" s="523" t="str">
        <x:f>IF(ISBLANK('_SCHEDULE'!S332),"",'_SCHEDULE'!S332)</x:f>
      </x:c>
      <x:c r="T364" s="38"/>
      <x:c r="U364" s="38"/>
      <x:c r="V364" s="38"/>
      <x:c r="W364" s="38"/>
      <x:c r="X364" s="38"/>
      <x:c r="Y364" s="38"/>
      <x:c r="Z364" s="38"/>
      <x:c r="AA364" s="38"/>
      <x:c r="AB364" s="38"/>
      <x:c r="AC364" s="38"/>
      <x:c r="AD364" s="38"/>
      <x:c r="AE364" s="38"/>
      <x:c r="AF364" s="38"/>
      <x:c r="AG364" s="38"/>
      <x:c r="AH364" s="38"/>
      <x:c r="AI364" s="38"/>
      <x:c r="AJ364" s="38"/>
      <x:c r="AK364" s="38"/>
      <x:c r="AL364" s="38"/>
      <x:c r="AM364" s="38"/>
    </x:row>
    <x:row r="365">
      <x:c r="A365" s="523" t="str">
        <x:f>IF(ISBLANK('_SCHEDULE'!A333),"",'_SCHEDULE'!A333)</x:f>
      </x:c>
      <x:c r="B365" s="523" t="str">
        <x:f>IF(ISBLANK('_SCHEDULE'!B333),"",IF('_CONFIG'!$B$2="pt-BR",IF('_SCHEDULE'!B333="scheduled","programado",IF('_SCHEDULE'!B333="rejected","rejeitado",'_SCHEDULE'!B333)),'_SCHEDULE'!B333))</x:f>
      </x:c>
      <x:c r="C365" s="523" t="str">
        <x:f>IF(ISBLANK('_SCHEDULE'!C333),"",'_SCHEDULE'!C333)</x:f>
      </x:c>
      <x:c r="D365" s="523" t="str">
        <x:f>IF(ISBLANK('_SCHEDULE'!D333),"",'_SCHEDULE'!D333)</x:f>
      </x:c>
      <x:c r="E365" s="530" t="str">
        <x:f>IF(ISBLANK('_SCHEDULE'!E333),"",'_SCHEDULE'!E333)</x:f>
      </x:c>
      <x:c r="F365" s="530" t="str">
        <x:f>IF(ISBLANK('_SCHEDULE'!F333),"",'_SCHEDULE'!F333)</x:f>
      </x:c>
      <x:c r="G365" s="530" t="str">
        <x:f>IF(ISBLANK('_SCHEDULE'!G333),"",'_SCHEDULE'!G333)</x:f>
      </x:c>
      <x:c r="H365" s="530" t="str">
        <x:f>IF(ISBLANK('_SCHEDULE'!H333),"",'_SCHEDULE'!H333)</x:f>
      </x:c>
      <x:c r="I365" s="530" t="str">
        <x:f>IF(ISBLANK('_SCHEDULE'!I333),"",'_SCHEDULE'!I333)</x:f>
      </x:c>
      <x:c r="J365" s="530" t="str">
        <x:f>IF(ISBLANK('_SCHEDULE'!J333),"",'_SCHEDULE'!J333)</x:f>
      </x:c>
      <x:c r="K365" s="530" t="str">
        <x:f>IF(ISBLANK('_SCHEDULE'!K333),"",'_SCHEDULE'!K333)</x:f>
      </x:c>
      <x:c r="L365" s="530" t="str">
        <x:f>IF(ISBLANK('_SCHEDULE'!L333),"",'_SCHEDULE'!L333)</x:f>
      </x:c>
      <x:c r="M365" s="530" t="str">
        <x:f>IF(ISBLANK('_SCHEDULE'!M333),"",'_SCHEDULE'!M333)</x:f>
      </x:c>
      <x:c r="N365" s="530" t="str">
        <x:f>IF(ISBLANK('_SCHEDULE'!N333),"",'_SCHEDULE'!N333)</x:f>
      </x:c>
      <x:c r="O365" s="530" t="str">
        <x:f>IF(ISBLANK('_SCHEDULE'!O333),"",'_SCHEDULE'!O333)</x:f>
      </x:c>
      <x:c r="P365" s="530" t="str">
        <x:f>IF(ISBLANK('_SCHEDULE'!P333),"",'_SCHEDULE'!P333)</x:f>
      </x:c>
      <x:c r="Q365" s="530" t="str">
        <x:f>IF(ISBLANK('_SCHEDULE'!Q333),"",'_SCHEDULE'!Q333)</x:f>
      </x:c>
      <x:c r="R365" s="530" t="str">
        <x:f>IF(ISBLANK('_SCHEDULE'!R333),"",'_SCHEDULE'!R333)</x:f>
      </x:c>
      <x:c r="S365" s="523" t="str">
        <x:f>IF(ISBLANK('_SCHEDULE'!S333),"",'_SCHEDULE'!S333)</x:f>
      </x:c>
      <x:c r="T365" s="38"/>
      <x:c r="U365" s="38"/>
      <x:c r="V365" s="38"/>
      <x:c r="W365" s="38"/>
      <x:c r="X365" s="38"/>
      <x:c r="Y365" s="38"/>
      <x:c r="Z365" s="38"/>
      <x:c r="AA365" s="38"/>
      <x:c r="AB365" s="38"/>
      <x:c r="AC365" s="38"/>
      <x:c r="AD365" s="38"/>
      <x:c r="AE365" s="38"/>
      <x:c r="AF365" s="38"/>
      <x:c r="AG365" s="38"/>
      <x:c r="AH365" s="38"/>
      <x:c r="AI365" s="38"/>
      <x:c r="AJ365" s="38"/>
      <x:c r="AK365" s="38"/>
      <x:c r="AL365" s="38"/>
      <x:c r="AM365" s="38"/>
    </x:row>
    <x:row r="366">
      <x:c r="A366" s="523" t="str">
        <x:f>IF(ISBLANK('_SCHEDULE'!A334),"",'_SCHEDULE'!A334)</x:f>
      </x:c>
      <x:c r="B366" s="523" t="str">
        <x:f>IF(ISBLANK('_SCHEDULE'!B334),"",IF('_CONFIG'!$B$2="pt-BR",IF('_SCHEDULE'!B334="scheduled","programado",IF('_SCHEDULE'!B334="rejected","rejeitado",'_SCHEDULE'!B334)),'_SCHEDULE'!B334))</x:f>
      </x:c>
      <x:c r="C366" s="523" t="str">
        <x:f>IF(ISBLANK('_SCHEDULE'!C334),"",'_SCHEDULE'!C334)</x:f>
      </x:c>
      <x:c r="D366" s="523" t="str">
        <x:f>IF(ISBLANK('_SCHEDULE'!D334),"",'_SCHEDULE'!D334)</x:f>
      </x:c>
      <x:c r="E366" s="530" t="str">
        <x:f>IF(ISBLANK('_SCHEDULE'!E334),"",'_SCHEDULE'!E334)</x:f>
      </x:c>
      <x:c r="F366" s="530" t="str">
        <x:f>IF(ISBLANK('_SCHEDULE'!F334),"",'_SCHEDULE'!F334)</x:f>
      </x:c>
      <x:c r="G366" s="530" t="str">
        <x:f>IF(ISBLANK('_SCHEDULE'!G334),"",'_SCHEDULE'!G334)</x:f>
      </x:c>
      <x:c r="H366" s="530" t="str">
        <x:f>IF(ISBLANK('_SCHEDULE'!H334),"",'_SCHEDULE'!H334)</x:f>
      </x:c>
      <x:c r="I366" s="530" t="str">
        <x:f>IF(ISBLANK('_SCHEDULE'!I334),"",'_SCHEDULE'!I334)</x:f>
      </x:c>
      <x:c r="J366" s="530" t="str">
        <x:f>IF(ISBLANK('_SCHEDULE'!J334),"",'_SCHEDULE'!J334)</x:f>
      </x:c>
      <x:c r="K366" s="530" t="str">
        <x:f>IF(ISBLANK('_SCHEDULE'!K334),"",'_SCHEDULE'!K334)</x:f>
      </x:c>
      <x:c r="L366" s="530" t="str">
        <x:f>IF(ISBLANK('_SCHEDULE'!L334),"",'_SCHEDULE'!L334)</x:f>
      </x:c>
      <x:c r="M366" s="530" t="str">
        <x:f>IF(ISBLANK('_SCHEDULE'!M334),"",'_SCHEDULE'!M334)</x:f>
      </x:c>
      <x:c r="N366" s="530" t="str">
        <x:f>IF(ISBLANK('_SCHEDULE'!N334),"",'_SCHEDULE'!N334)</x:f>
      </x:c>
      <x:c r="O366" s="530" t="str">
        <x:f>IF(ISBLANK('_SCHEDULE'!O334),"",'_SCHEDULE'!O334)</x:f>
      </x:c>
      <x:c r="P366" s="530" t="str">
        <x:f>IF(ISBLANK('_SCHEDULE'!P334),"",'_SCHEDULE'!P334)</x:f>
      </x:c>
      <x:c r="Q366" s="530" t="str">
        <x:f>IF(ISBLANK('_SCHEDULE'!Q334),"",'_SCHEDULE'!Q334)</x:f>
      </x:c>
      <x:c r="R366" s="530" t="str">
        <x:f>IF(ISBLANK('_SCHEDULE'!R334),"",'_SCHEDULE'!R334)</x:f>
      </x:c>
      <x:c r="S366" s="523" t="str">
        <x:f>IF(ISBLANK('_SCHEDULE'!S334),"",'_SCHEDULE'!S334)</x:f>
      </x:c>
      <x:c r="T366" s="38"/>
      <x:c r="U366" s="38"/>
      <x:c r="V366" s="38"/>
      <x:c r="W366" s="38"/>
      <x:c r="X366" s="38"/>
      <x:c r="Y366" s="38"/>
      <x:c r="Z366" s="38"/>
      <x:c r="AA366" s="38"/>
      <x:c r="AB366" s="38"/>
      <x:c r="AC366" s="38"/>
      <x:c r="AD366" s="38"/>
      <x:c r="AE366" s="38"/>
      <x:c r="AF366" s="38"/>
      <x:c r="AG366" s="38"/>
      <x:c r="AH366" s="38"/>
      <x:c r="AI366" s="38"/>
      <x:c r="AJ366" s="38"/>
      <x:c r="AK366" s="38"/>
      <x:c r="AL366" s="38"/>
      <x:c r="AM366" s="38"/>
    </x:row>
    <x:row r="367">
      <x:c r="A367" s="523" t="str">
        <x:f>IF(ISBLANK('_SCHEDULE'!A335),"",'_SCHEDULE'!A335)</x:f>
      </x:c>
      <x:c r="B367" s="523" t="str">
        <x:f>IF(ISBLANK('_SCHEDULE'!B335),"",IF('_CONFIG'!$B$2="pt-BR",IF('_SCHEDULE'!B335="scheduled","programado",IF('_SCHEDULE'!B335="rejected","rejeitado",'_SCHEDULE'!B335)),'_SCHEDULE'!B335))</x:f>
      </x:c>
      <x:c r="C367" s="523" t="str">
        <x:f>IF(ISBLANK('_SCHEDULE'!C335),"",'_SCHEDULE'!C335)</x:f>
      </x:c>
      <x:c r="D367" s="523" t="str">
        <x:f>IF(ISBLANK('_SCHEDULE'!D335),"",'_SCHEDULE'!D335)</x:f>
      </x:c>
      <x:c r="E367" s="530" t="str">
        <x:f>IF(ISBLANK('_SCHEDULE'!E335),"",'_SCHEDULE'!E335)</x:f>
      </x:c>
      <x:c r="F367" s="530" t="str">
        <x:f>IF(ISBLANK('_SCHEDULE'!F335),"",'_SCHEDULE'!F335)</x:f>
      </x:c>
      <x:c r="G367" s="530" t="str">
        <x:f>IF(ISBLANK('_SCHEDULE'!G335),"",'_SCHEDULE'!G335)</x:f>
      </x:c>
      <x:c r="H367" s="530" t="str">
        <x:f>IF(ISBLANK('_SCHEDULE'!H335),"",'_SCHEDULE'!H335)</x:f>
      </x:c>
      <x:c r="I367" s="530" t="str">
        <x:f>IF(ISBLANK('_SCHEDULE'!I335),"",'_SCHEDULE'!I335)</x:f>
      </x:c>
      <x:c r="J367" s="530" t="str">
        <x:f>IF(ISBLANK('_SCHEDULE'!J335),"",'_SCHEDULE'!J335)</x:f>
      </x:c>
      <x:c r="K367" s="530" t="str">
        <x:f>IF(ISBLANK('_SCHEDULE'!K335),"",'_SCHEDULE'!K335)</x:f>
      </x:c>
      <x:c r="L367" s="530" t="str">
        <x:f>IF(ISBLANK('_SCHEDULE'!L335),"",'_SCHEDULE'!L335)</x:f>
      </x:c>
      <x:c r="M367" s="530" t="str">
        <x:f>IF(ISBLANK('_SCHEDULE'!M335),"",'_SCHEDULE'!M335)</x:f>
      </x:c>
      <x:c r="N367" s="530" t="str">
        <x:f>IF(ISBLANK('_SCHEDULE'!N335),"",'_SCHEDULE'!N335)</x:f>
      </x:c>
      <x:c r="O367" s="530" t="str">
        <x:f>IF(ISBLANK('_SCHEDULE'!O335),"",'_SCHEDULE'!O335)</x:f>
      </x:c>
      <x:c r="P367" s="530" t="str">
        <x:f>IF(ISBLANK('_SCHEDULE'!P335),"",'_SCHEDULE'!P335)</x:f>
      </x:c>
      <x:c r="Q367" s="530" t="str">
        <x:f>IF(ISBLANK('_SCHEDULE'!Q335),"",'_SCHEDULE'!Q335)</x:f>
      </x:c>
      <x:c r="R367" s="530" t="str">
        <x:f>IF(ISBLANK('_SCHEDULE'!R335),"",'_SCHEDULE'!R335)</x:f>
      </x:c>
      <x:c r="S367" s="523" t="str">
        <x:f>IF(ISBLANK('_SCHEDULE'!S335),"",'_SCHEDULE'!S335)</x:f>
      </x:c>
      <x:c r="T367" s="38"/>
      <x:c r="U367" s="38"/>
      <x:c r="V367" s="38"/>
      <x:c r="W367" s="38"/>
      <x:c r="X367" s="38"/>
      <x:c r="Y367" s="38"/>
      <x:c r="Z367" s="38"/>
      <x:c r="AA367" s="38"/>
      <x:c r="AB367" s="38"/>
      <x:c r="AC367" s="38"/>
      <x:c r="AD367" s="38"/>
      <x:c r="AE367" s="38"/>
      <x:c r="AF367" s="38"/>
      <x:c r="AG367" s="38"/>
      <x:c r="AH367" s="38"/>
      <x:c r="AI367" s="38"/>
      <x:c r="AJ367" s="38"/>
      <x:c r="AK367" s="38"/>
      <x:c r="AL367" s="38"/>
      <x:c r="AM367" s="38"/>
    </x:row>
    <x:row r="368">
      <x:c r="A368" s="523" t="str">
        <x:f>IF(ISBLANK('_SCHEDULE'!A336),"",'_SCHEDULE'!A336)</x:f>
      </x:c>
      <x:c r="B368" s="523" t="str">
        <x:f>IF(ISBLANK('_SCHEDULE'!B336),"",IF('_CONFIG'!$B$2="pt-BR",IF('_SCHEDULE'!B336="scheduled","programado",IF('_SCHEDULE'!B336="rejected","rejeitado",'_SCHEDULE'!B336)),'_SCHEDULE'!B336))</x:f>
      </x:c>
      <x:c r="C368" s="523" t="str">
        <x:f>IF(ISBLANK('_SCHEDULE'!C336),"",'_SCHEDULE'!C336)</x:f>
      </x:c>
      <x:c r="D368" s="523" t="str">
        <x:f>IF(ISBLANK('_SCHEDULE'!D336),"",'_SCHEDULE'!D336)</x:f>
      </x:c>
      <x:c r="E368" s="530" t="str">
        <x:f>IF(ISBLANK('_SCHEDULE'!E336),"",'_SCHEDULE'!E336)</x:f>
      </x:c>
      <x:c r="F368" s="530" t="str">
        <x:f>IF(ISBLANK('_SCHEDULE'!F336),"",'_SCHEDULE'!F336)</x:f>
      </x:c>
      <x:c r="G368" s="530" t="str">
        <x:f>IF(ISBLANK('_SCHEDULE'!G336),"",'_SCHEDULE'!G336)</x:f>
      </x:c>
      <x:c r="H368" s="530" t="str">
        <x:f>IF(ISBLANK('_SCHEDULE'!H336),"",'_SCHEDULE'!H336)</x:f>
      </x:c>
      <x:c r="I368" s="530" t="str">
        <x:f>IF(ISBLANK('_SCHEDULE'!I336),"",'_SCHEDULE'!I336)</x:f>
      </x:c>
      <x:c r="J368" s="530" t="str">
        <x:f>IF(ISBLANK('_SCHEDULE'!J336),"",'_SCHEDULE'!J336)</x:f>
      </x:c>
      <x:c r="K368" s="530" t="str">
        <x:f>IF(ISBLANK('_SCHEDULE'!K336),"",'_SCHEDULE'!K336)</x:f>
      </x:c>
      <x:c r="L368" s="530" t="str">
        <x:f>IF(ISBLANK('_SCHEDULE'!L336),"",'_SCHEDULE'!L336)</x:f>
      </x:c>
      <x:c r="M368" s="530" t="str">
        <x:f>IF(ISBLANK('_SCHEDULE'!M336),"",'_SCHEDULE'!M336)</x:f>
      </x:c>
      <x:c r="N368" s="530" t="str">
        <x:f>IF(ISBLANK('_SCHEDULE'!N336),"",'_SCHEDULE'!N336)</x:f>
      </x:c>
      <x:c r="O368" s="530" t="str">
        <x:f>IF(ISBLANK('_SCHEDULE'!O336),"",'_SCHEDULE'!O336)</x:f>
      </x:c>
      <x:c r="P368" s="530" t="str">
        <x:f>IF(ISBLANK('_SCHEDULE'!P336),"",'_SCHEDULE'!P336)</x:f>
      </x:c>
      <x:c r="Q368" s="530" t="str">
        <x:f>IF(ISBLANK('_SCHEDULE'!Q336),"",'_SCHEDULE'!Q336)</x:f>
      </x:c>
      <x:c r="R368" s="530" t="str">
        <x:f>IF(ISBLANK('_SCHEDULE'!R336),"",'_SCHEDULE'!R336)</x:f>
      </x:c>
      <x:c r="S368" s="523" t="str">
        <x:f>IF(ISBLANK('_SCHEDULE'!S336),"",'_SCHEDULE'!S336)</x:f>
      </x:c>
      <x:c r="T368" s="38"/>
      <x:c r="U368" s="38"/>
      <x:c r="V368" s="38"/>
      <x:c r="W368" s="38"/>
      <x:c r="X368" s="38"/>
      <x:c r="Y368" s="38"/>
      <x:c r="Z368" s="38"/>
      <x:c r="AA368" s="38"/>
      <x:c r="AB368" s="38"/>
      <x:c r="AC368" s="38"/>
      <x:c r="AD368" s="38"/>
      <x:c r="AE368" s="38"/>
      <x:c r="AF368" s="38"/>
      <x:c r="AG368" s="38"/>
      <x:c r="AH368" s="38"/>
      <x:c r="AI368" s="38"/>
      <x:c r="AJ368" s="38"/>
      <x:c r="AK368" s="38"/>
      <x:c r="AL368" s="38"/>
      <x:c r="AM368" s="38"/>
    </x:row>
    <x:row r="369">
      <x:c r="A369" s="523" t="str">
        <x:f>IF(ISBLANK('_SCHEDULE'!A337),"",'_SCHEDULE'!A337)</x:f>
      </x:c>
      <x:c r="B369" s="523" t="str">
        <x:f>IF(ISBLANK('_SCHEDULE'!B337),"",IF('_CONFIG'!$B$2="pt-BR",IF('_SCHEDULE'!B337="scheduled","programado",IF('_SCHEDULE'!B337="rejected","rejeitado",'_SCHEDULE'!B337)),'_SCHEDULE'!B337))</x:f>
      </x:c>
      <x:c r="C369" s="523" t="str">
        <x:f>IF(ISBLANK('_SCHEDULE'!C337),"",'_SCHEDULE'!C337)</x:f>
      </x:c>
      <x:c r="D369" s="523" t="str">
        <x:f>IF(ISBLANK('_SCHEDULE'!D337),"",'_SCHEDULE'!D337)</x:f>
      </x:c>
      <x:c r="E369" s="530" t="str">
        <x:f>IF(ISBLANK('_SCHEDULE'!E337),"",'_SCHEDULE'!E337)</x:f>
      </x:c>
      <x:c r="F369" s="530" t="str">
        <x:f>IF(ISBLANK('_SCHEDULE'!F337),"",'_SCHEDULE'!F337)</x:f>
      </x:c>
      <x:c r="G369" s="530" t="str">
        <x:f>IF(ISBLANK('_SCHEDULE'!G337),"",'_SCHEDULE'!G337)</x:f>
      </x:c>
      <x:c r="H369" s="530" t="str">
        <x:f>IF(ISBLANK('_SCHEDULE'!H337),"",'_SCHEDULE'!H337)</x:f>
      </x:c>
      <x:c r="I369" s="530" t="str">
        <x:f>IF(ISBLANK('_SCHEDULE'!I337),"",'_SCHEDULE'!I337)</x:f>
      </x:c>
      <x:c r="J369" s="530" t="str">
        <x:f>IF(ISBLANK('_SCHEDULE'!J337),"",'_SCHEDULE'!J337)</x:f>
      </x:c>
      <x:c r="K369" s="530" t="str">
        <x:f>IF(ISBLANK('_SCHEDULE'!K337),"",'_SCHEDULE'!K337)</x:f>
      </x:c>
      <x:c r="L369" s="530" t="str">
        <x:f>IF(ISBLANK('_SCHEDULE'!L337),"",'_SCHEDULE'!L337)</x:f>
      </x:c>
      <x:c r="M369" s="530" t="str">
        <x:f>IF(ISBLANK('_SCHEDULE'!M337),"",'_SCHEDULE'!M337)</x:f>
      </x:c>
      <x:c r="N369" s="530" t="str">
        <x:f>IF(ISBLANK('_SCHEDULE'!N337),"",'_SCHEDULE'!N337)</x:f>
      </x:c>
      <x:c r="O369" s="530" t="str">
        <x:f>IF(ISBLANK('_SCHEDULE'!O337),"",'_SCHEDULE'!O337)</x:f>
      </x:c>
      <x:c r="P369" s="530" t="str">
        <x:f>IF(ISBLANK('_SCHEDULE'!P337),"",'_SCHEDULE'!P337)</x:f>
      </x:c>
      <x:c r="Q369" s="530" t="str">
        <x:f>IF(ISBLANK('_SCHEDULE'!Q337),"",'_SCHEDULE'!Q337)</x:f>
      </x:c>
      <x:c r="R369" s="530" t="str">
        <x:f>IF(ISBLANK('_SCHEDULE'!R337),"",'_SCHEDULE'!R337)</x:f>
      </x:c>
      <x:c r="S369" s="523" t="str">
        <x:f>IF(ISBLANK('_SCHEDULE'!S337),"",'_SCHEDULE'!S337)</x:f>
      </x:c>
      <x:c r="T369" s="38"/>
      <x:c r="U369" s="38"/>
      <x:c r="V369" s="38"/>
      <x:c r="W369" s="38"/>
      <x:c r="X369" s="38"/>
      <x:c r="Y369" s="38"/>
      <x:c r="Z369" s="38"/>
      <x:c r="AA369" s="38"/>
      <x:c r="AB369" s="38"/>
      <x:c r="AC369" s="38"/>
      <x:c r="AD369" s="38"/>
      <x:c r="AE369" s="38"/>
      <x:c r="AF369" s="38"/>
      <x:c r="AG369" s="38"/>
      <x:c r="AH369" s="38"/>
      <x:c r="AI369" s="38"/>
      <x:c r="AJ369" s="38"/>
      <x:c r="AK369" s="38"/>
      <x:c r="AL369" s="38"/>
      <x:c r="AM369" s="38"/>
    </x:row>
    <x:row r="370">
      <x:c r="A370" s="523" t="str">
        <x:f>IF(ISBLANK('_SCHEDULE'!A338),"",'_SCHEDULE'!A338)</x:f>
      </x:c>
      <x:c r="B370" s="523" t="str">
        <x:f>IF(ISBLANK('_SCHEDULE'!B338),"",IF('_CONFIG'!$B$2="pt-BR",IF('_SCHEDULE'!B338="scheduled","programado",IF('_SCHEDULE'!B338="rejected","rejeitado",'_SCHEDULE'!B338)),'_SCHEDULE'!B338))</x:f>
      </x:c>
      <x:c r="C370" s="523" t="str">
        <x:f>IF(ISBLANK('_SCHEDULE'!C338),"",'_SCHEDULE'!C338)</x:f>
      </x:c>
      <x:c r="D370" s="523" t="str">
        <x:f>IF(ISBLANK('_SCHEDULE'!D338),"",'_SCHEDULE'!D338)</x:f>
      </x:c>
      <x:c r="E370" s="530" t="str">
        <x:f>IF(ISBLANK('_SCHEDULE'!E338),"",'_SCHEDULE'!E338)</x:f>
      </x:c>
      <x:c r="F370" s="530" t="str">
        <x:f>IF(ISBLANK('_SCHEDULE'!F338),"",'_SCHEDULE'!F338)</x:f>
      </x:c>
      <x:c r="G370" s="530" t="str">
        <x:f>IF(ISBLANK('_SCHEDULE'!G338),"",'_SCHEDULE'!G338)</x:f>
      </x:c>
      <x:c r="H370" s="530" t="str">
        <x:f>IF(ISBLANK('_SCHEDULE'!H338),"",'_SCHEDULE'!H338)</x:f>
      </x:c>
      <x:c r="I370" s="530" t="str">
        <x:f>IF(ISBLANK('_SCHEDULE'!I338),"",'_SCHEDULE'!I338)</x:f>
      </x:c>
      <x:c r="J370" s="530" t="str">
        <x:f>IF(ISBLANK('_SCHEDULE'!J338),"",'_SCHEDULE'!J338)</x:f>
      </x:c>
      <x:c r="K370" s="530" t="str">
        <x:f>IF(ISBLANK('_SCHEDULE'!K338),"",'_SCHEDULE'!K338)</x:f>
      </x:c>
      <x:c r="L370" s="530" t="str">
        <x:f>IF(ISBLANK('_SCHEDULE'!L338),"",'_SCHEDULE'!L338)</x:f>
      </x:c>
      <x:c r="M370" s="530" t="str">
        <x:f>IF(ISBLANK('_SCHEDULE'!M338),"",'_SCHEDULE'!M338)</x:f>
      </x:c>
      <x:c r="N370" s="530" t="str">
        <x:f>IF(ISBLANK('_SCHEDULE'!N338),"",'_SCHEDULE'!N338)</x:f>
      </x:c>
      <x:c r="O370" s="530" t="str">
        <x:f>IF(ISBLANK('_SCHEDULE'!O338),"",'_SCHEDULE'!O338)</x:f>
      </x:c>
      <x:c r="P370" s="530" t="str">
        <x:f>IF(ISBLANK('_SCHEDULE'!P338),"",'_SCHEDULE'!P338)</x:f>
      </x:c>
      <x:c r="Q370" s="530" t="str">
        <x:f>IF(ISBLANK('_SCHEDULE'!Q338),"",'_SCHEDULE'!Q338)</x:f>
      </x:c>
      <x:c r="R370" s="530" t="str">
        <x:f>IF(ISBLANK('_SCHEDULE'!R338),"",'_SCHEDULE'!R338)</x:f>
      </x:c>
      <x:c r="S370" s="523" t="str">
        <x:f>IF(ISBLANK('_SCHEDULE'!S338),"",'_SCHEDULE'!S338)</x:f>
      </x:c>
      <x:c r="T370" s="38"/>
      <x:c r="U370" s="38"/>
      <x:c r="V370" s="38"/>
      <x:c r="W370" s="38"/>
      <x:c r="X370" s="38"/>
      <x:c r="Y370" s="38"/>
      <x:c r="Z370" s="38"/>
      <x:c r="AA370" s="38"/>
      <x:c r="AB370" s="38"/>
      <x:c r="AC370" s="38"/>
      <x:c r="AD370" s="38"/>
      <x:c r="AE370" s="38"/>
      <x:c r="AF370" s="38"/>
      <x:c r="AG370" s="38"/>
      <x:c r="AH370" s="38"/>
      <x:c r="AI370" s="38"/>
      <x:c r="AJ370" s="38"/>
      <x:c r="AK370" s="38"/>
      <x:c r="AL370" s="38"/>
      <x:c r="AM370" s="38"/>
    </x:row>
    <x:row r="371">
      <x:c r="A371" s="523" t="str">
        <x:f>IF(ISBLANK('_SCHEDULE'!A339),"",'_SCHEDULE'!A339)</x:f>
      </x:c>
      <x:c r="B371" s="523" t="str">
        <x:f>IF(ISBLANK('_SCHEDULE'!B339),"",IF('_CONFIG'!$B$2="pt-BR",IF('_SCHEDULE'!B339="scheduled","programado",IF('_SCHEDULE'!B339="rejected","rejeitado",'_SCHEDULE'!B339)),'_SCHEDULE'!B339))</x:f>
      </x:c>
      <x:c r="C371" s="523" t="str">
        <x:f>IF(ISBLANK('_SCHEDULE'!C339),"",'_SCHEDULE'!C339)</x:f>
      </x:c>
      <x:c r="D371" s="523" t="str">
        <x:f>IF(ISBLANK('_SCHEDULE'!D339),"",'_SCHEDULE'!D339)</x:f>
      </x:c>
      <x:c r="E371" s="530" t="str">
        <x:f>IF(ISBLANK('_SCHEDULE'!E339),"",'_SCHEDULE'!E339)</x:f>
      </x:c>
      <x:c r="F371" s="530" t="str">
        <x:f>IF(ISBLANK('_SCHEDULE'!F339),"",'_SCHEDULE'!F339)</x:f>
      </x:c>
      <x:c r="G371" s="530" t="str">
        <x:f>IF(ISBLANK('_SCHEDULE'!G339),"",'_SCHEDULE'!G339)</x:f>
      </x:c>
      <x:c r="H371" s="530" t="str">
        <x:f>IF(ISBLANK('_SCHEDULE'!H339),"",'_SCHEDULE'!H339)</x:f>
      </x:c>
      <x:c r="I371" s="530" t="str">
        <x:f>IF(ISBLANK('_SCHEDULE'!I339),"",'_SCHEDULE'!I339)</x:f>
      </x:c>
      <x:c r="J371" s="530" t="str">
        <x:f>IF(ISBLANK('_SCHEDULE'!J339),"",'_SCHEDULE'!J339)</x:f>
      </x:c>
      <x:c r="K371" s="530" t="str">
        <x:f>IF(ISBLANK('_SCHEDULE'!K339),"",'_SCHEDULE'!K339)</x:f>
      </x:c>
      <x:c r="L371" s="530" t="str">
        <x:f>IF(ISBLANK('_SCHEDULE'!L339),"",'_SCHEDULE'!L339)</x:f>
      </x:c>
      <x:c r="M371" s="530" t="str">
        <x:f>IF(ISBLANK('_SCHEDULE'!M339),"",'_SCHEDULE'!M339)</x:f>
      </x:c>
      <x:c r="N371" s="530" t="str">
        <x:f>IF(ISBLANK('_SCHEDULE'!N339),"",'_SCHEDULE'!N339)</x:f>
      </x:c>
      <x:c r="O371" s="530" t="str">
        <x:f>IF(ISBLANK('_SCHEDULE'!O339),"",'_SCHEDULE'!O339)</x:f>
      </x:c>
      <x:c r="P371" s="530" t="str">
        <x:f>IF(ISBLANK('_SCHEDULE'!P339),"",'_SCHEDULE'!P339)</x:f>
      </x:c>
      <x:c r="Q371" s="530" t="str">
        <x:f>IF(ISBLANK('_SCHEDULE'!Q339),"",'_SCHEDULE'!Q339)</x:f>
      </x:c>
      <x:c r="R371" s="530" t="str">
        <x:f>IF(ISBLANK('_SCHEDULE'!R339),"",'_SCHEDULE'!R339)</x:f>
      </x:c>
      <x:c r="S371" s="523" t="str">
        <x:f>IF(ISBLANK('_SCHEDULE'!S339),"",'_SCHEDULE'!S339)</x:f>
      </x:c>
      <x:c r="T371" s="38"/>
      <x:c r="U371" s="38"/>
      <x:c r="V371" s="38"/>
      <x:c r="W371" s="38"/>
      <x:c r="X371" s="38"/>
      <x:c r="Y371" s="38"/>
      <x:c r="Z371" s="38"/>
      <x:c r="AA371" s="38"/>
      <x:c r="AB371" s="38"/>
      <x:c r="AC371" s="38"/>
      <x:c r="AD371" s="38"/>
      <x:c r="AE371" s="38"/>
      <x:c r="AF371" s="38"/>
      <x:c r="AG371" s="38"/>
      <x:c r="AH371" s="38"/>
      <x:c r="AI371" s="38"/>
      <x:c r="AJ371" s="38"/>
      <x:c r="AK371" s="38"/>
      <x:c r="AL371" s="38"/>
      <x:c r="AM371" s="38"/>
    </x:row>
    <x:row r="372">
      <x:c r="A372" s="523" t="str">
        <x:f>IF(ISBLANK('_SCHEDULE'!A340),"",'_SCHEDULE'!A340)</x:f>
      </x:c>
      <x:c r="B372" s="523" t="str">
        <x:f>IF(ISBLANK('_SCHEDULE'!B340),"",IF('_CONFIG'!$B$2="pt-BR",IF('_SCHEDULE'!B340="scheduled","programado",IF('_SCHEDULE'!B340="rejected","rejeitado",'_SCHEDULE'!B340)),'_SCHEDULE'!B340))</x:f>
      </x:c>
      <x:c r="C372" s="523" t="str">
        <x:f>IF(ISBLANK('_SCHEDULE'!C340),"",'_SCHEDULE'!C340)</x:f>
      </x:c>
      <x:c r="D372" s="523" t="str">
        <x:f>IF(ISBLANK('_SCHEDULE'!D340),"",'_SCHEDULE'!D340)</x:f>
      </x:c>
      <x:c r="E372" s="530" t="str">
        <x:f>IF(ISBLANK('_SCHEDULE'!E340),"",'_SCHEDULE'!E340)</x:f>
      </x:c>
      <x:c r="F372" s="530" t="str">
        <x:f>IF(ISBLANK('_SCHEDULE'!F340),"",'_SCHEDULE'!F340)</x:f>
      </x:c>
      <x:c r="G372" s="530" t="str">
        <x:f>IF(ISBLANK('_SCHEDULE'!G340),"",'_SCHEDULE'!G340)</x:f>
      </x:c>
      <x:c r="H372" s="530" t="str">
        <x:f>IF(ISBLANK('_SCHEDULE'!H340),"",'_SCHEDULE'!H340)</x:f>
      </x:c>
      <x:c r="I372" s="530" t="str">
        <x:f>IF(ISBLANK('_SCHEDULE'!I340),"",'_SCHEDULE'!I340)</x:f>
      </x:c>
      <x:c r="J372" s="530" t="str">
        <x:f>IF(ISBLANK('_SCHEDULE'!J340),"",'_SCHEDULE'!J340)</x:f>
      </x:c>
      <x:c r="K372" s="530" t="str">
        <x:f>IF(ISBLANK('_SCHEDULE'!K340),"",'_SCHEDULE'!K340)</x:f>
      </x:c>
      <x:c r="L372" s="530" t="str">
        <x:f>IF(ISBLANK('_SCHEDULE'!L340),"",'_SCHEDULE'!L340)</x:f>
      </x:c>
      <x:c r="M372" s="530" t="str">
        <x:f>IF(ISBLANK('_SCHEDULE'!M340),"",'_SCHEDULE'!M340)</x:f>
      </x:c>
      <x:c r="N372" s="530" t="str">
        <x:f>IF(ISBLANK('_SCHEDULE'!N340),"",'_SCHEDULE'!N340)</x:f>
      </x:c>
      <x:c r="O372" s="530" t="str">
        <x:f>IF(ISBLANK('_SCHEDULE'!O340),"",'_SCHEDULE'!O340)</x:f>
      </x:c>
      <x:c r="P372" s="530" t="str">
        <x:f>IF(ISBLANK('_SCHEDULE'!P340),"",'_SCHEDULE'!P340)</x:f>
      </x:c>
      <x:c r="Q372" s="530" t="str">
        <x:f>IF(ISBLANK('_SCHEDULE'!Q340),"",'_SCHEDULE'!Q340)</x:f>
      </x:c>
      <x:c r="R372" s="530" t="str">
        <x:f>IF(ISBLANK('_SCHEDULE'!R340),"",'_SCHEDULE'!R340)</x:f>
      </x:c>
      <x:c r="S372" s="523" t="str">
        <x:f>IF(ISBLANK('_SCHEDULE'!S340),"",'_SCHEDULE'!S340)</x:f>
      </x:c>
      <x:c r="T372" s="38"/>
      <x:c r="U372" s="38"/>
      <x:c r="V372" s="38"/>
      <x:c r="W372" s="38"/>
      <x:c r="X372" s="38"/>
      <x:c r="Y372" s="38"/>
      <x:c r="Z372" s="38"/>
      <x:c r="AA372" s="38"/>
      <x:c r="AB372" s="38"/>
      <x:c r="AC372" s="38"/>
      <x:c r="AD372" s="38"/>
      <x:c r="AE372" s="38"/>
      <x:c r="AF372" s="38"/>
      <x:c r="AG372" s="38"/>
      <x:c r="AH372" s="38"/>
      <x:c r="AI372" s="38"/>
      <x:c r="AJ372" s="38"/>
      <x:c r="AK372" s="38"/>
      <x:c r="AL372" s="38"/>
      <x:c r="AM372" s="38"/>
    </x:row>
    <x:row r="373">
      <x:c r="A373" s="523" t="str">
        <x:f>IF(ISBLANK('_SCHEDULE'!A341),"",'_SCHEDULE'!A341)</x:f>
      </x:c>
      <x:c r="B373" s="523" t="str">
        <x:f>IF(ISBLANK('_SCHEDULE'!B341),"",IF('_CONFIG'!$B$2="pt-BR",IF('_SCHEDULE'!B341="scheduled","programado",IF('_SCHEDULE'!B341="rejected","rejeitado",'_SCHEDULE'!B341)),'_SCHEDULE'!B341))</x:f>
      </x:c>
      <x:c r="C373" s="523" t="str">
        <x:f>IF(ISBLANK('_SCHEDULE'!C341),"",'_SCHEDULE'!C341)</x:f>
      </x:c>
      <x:c r="D373" s="523" t="str">
        <x:f>IF(ISBLANK('_SCHEDULE'!D341),"",'_SCHEDULE'!D341)</x:f>
      </x:c>
      <x:c r="E373" s="530" t="str">
        <x:f>IF(ISBLANK('_SCHEDULE'!E341),"",'_SCHEDULE'!E341)</x:f>
      </x:c>
      <x:c r="F373" s="530" t="str">
        <x:f>IF(ISBLANK('_SCHEDULE'!F341),"",'_SCHEDULE'!F341)</x:f>
      </x:c>
      <x:c r="G373" s="530" t="str">
        <x:f>IF(ISBLANK('_SCHEDULE'!G341),"",'_SCHEDULE'!G341)</x:f>
      </x:c>
      <x:c r="H373" s="530" t="str">
        <x:f>IF(ISBLANK('_SCHEDULE'!H341),"",'_SCHEDULE'!H341)</x:f>
      </x:c>
      <x:c r="I373" s="530" t="str">
        <x:f>IF(ISBLANK('_SCHEDULE'!I341),"",'_SCHEDULE'!I341)</x:f>
      </x:c>
      <x:c r="J373" s="530" t="str">
        <x:f>IF(ISBLANK('_SCHEDULE'!J341),"",'_SCHEDULE'!J341)</x:f>
      </x:c>
      <x:c r="K373" s="530" t="str">
        <x:f>IF(ISBLANK('_SCHEDULE'!K341),"",'_SCHEDULE'!K341)</x:f>
      </x:c>
      <x:c r="L373" s="530" t="str">
        <x:f>IF(ISBLANK('_SCHEDULE'!L341),"",'_SCHEDULE'!L341)</x:f>
      </x:c>
      <x:c r="M373" s="530" t="str">
        <x:f>IF(ISBLANK('_SCHEDULE'!M341),"",'_SCHEDULE'!M341)</x:f>
      </x:c>
      <x:c r="N373" s="530" t="str">
        <x:f>IF(ISBLANK('_SCHEDULE'!N341),"",'_SCHEDULE'!N341)</x:f>
      </x:c>
      <x:c r="O373" s="530" t="str">
        <x:f>IF(ISBLANK('_SCHEDULE'!O341),"",'_SCHEDULE'!O341)</x:f>
      </x:c>
      <x:c r="P373" s="530" t="str">
        <x:f>IF(ISBLANK('_SCHEDULE'!P341),"",'_SCHEDULE'!P341)</x:f>
      </x:c>
      <x:c r="Q373" s="530" t="str">
        <x:f>IF(ISBLANK('_SCHEDULE'!Q341),"",'_SCHEDULE'!Q341)</x:f>
      </x:c>
      <x:c r="R373" s="530" t="str">
        <x:f>IF(ISBLANK('_SCHEDULE'!R341),"",'_SCHEDULE'!R341)</x:f>
      </x:c>
      <x:c r="S373" s="523" t="str">
        <x:f>IF(ISBLANK('_SCHEDULE'!S341),"",'_SCHEDULE'!S341)</x:f>
      </x:c>
      <x:c r="T373" s="38"/>
      <x:c r="U373" s="38"/>
      <x:c r="V373" s="38"/>
      <x:c r="W373" s="38"/>
      <x:c r="X373" s="38"/>
      <x:c r="Y373" s="38"/>
      <x:c r="Z373" s="38"/>
      <x:c r="AA373" s="38"/>
      <x:c r="AB373" s="38"/>
      <x:c r="AC373" s="38"/>
      <x:c r="AD373" s="38"/>
      <x:c r="AE373" s="38"/>
      <x:c r="AF373" s="38"/>
      <x:c r="AG373" s="38"/>
      <x:c r="AH373" s="38"/>
      <x:c r="AI373" s="38"/>
      <x:c r="AJ373" s="38"/>
      <x:c r="AK373" s="38"/>
      <x:c r="AL373" s="38"/>
      <x:c r="AM373" s="38"/>
    </x:row>
    <x:row r="374">
      <x:c r="A374" s="523" t="str">
        <x:f>IF(ISBLANK('_SCHEDULE'!A342),"",'_SCHEDULE'!A342)</x:f>
      </x:c>
      <x:c r="B374" s="523" t="str">
        <x:f>IF(ISBLANK('_SCHEDULE'!B342),"",IF('_CONFIG'!$B$2="pt-BR",IF('_SCHEDULE'!B342="scheduled","programado",IF('_SCHEDULE'!B342="rejected","rejeitado",'_SCHEDULE'!B342)),'_SCHEDULE'!B342))</x:f>
      </x:c>
      <x:c r="C374" s="523" t="str">
        <x:f>IF(ISBLANK('_SCHEDULE'!C342),"",'_SCHEDULE'!C342)</x:f>
      </x:c>
      <x:c r="D374" s="523" t="str">
        <x:f>IF(ISBLANK('_SCHEDULE'!D342),"",'_SCHEDULE'!D342)</x:f>
      </x:c>
      <x:c r="E374" s="530" t="str">
        <x:f>IF(ISBLANK('_SCHEDULE'!E342),"",'_SCHEDULE'!E342)</x:f>
      </x:c>
      <x:c r="F374" s="530" t="str">
        <x:f>IF(ISBLANK('_SCHEDULE'!F342),"",'_SCHEDULE'!F342)</x:f>
      </x:c>
      <x:c r="G374" s="530" t="str">
        <x:f>IF(ISBLANK('_SCHEDULE'!G342),"",'_SCHEDULE'!G342)</x:f>
      </x:c>
      <x:c r="H374" s="530" t="str">
        <x:f>IF(ISBLANK('_SCHEDULE'!H342),"",'_SCHEDULE'!H342)</x:f>
      </x:c>
      <x:c r="I374" s="530" t="str">
        <x:f>IF(ISBLANK('_SCHEDULE'!I342),"",'_SCHEDULE'!I342)</x:f>
      </x:c>
      <x:c r="J374" s="530" t="str">
        <x:f>IF(ISBLANK('_SCHEDULE'!J342),"",'_SCHEDULE'!J342)</x:f>
      </x:c>
      <x:c r="K374" s="530" t="str">
        <x:f>IF(ISBLANK('_SCHEDULE'!K342),"",'_SCHEDULE'!K342)</x:f>
      </x:c>
      <x:c r="L374" s="530" t="str">
        <x:f>IF(ISBLANK('_SCHEDULE'!L342),"",'_SCHEDULE'!L342)</x:f>
      </x:c>
      <x:c r="M374" s="530" t="str">
        <x:f>IF(ISBLANK('_SCHEDULE'!M342),"",'_SCHEDULE'!M342)</x:f>
      </x:c>
      <x:c r="N374" s="530" t="str">
        <x:f>IF(ISBLANK('_SCHEDULE'!N342),"",'_SCHEDULE'!N342)</x:f>
      </x:c>
      <x:c r="O374" s="530" t="str">
        <x:f>IF(ISBLANK('_SCHEDULE'!O342),"",'_SCHEDULE'!O342)</x:f>
      </x:c>
      <x:c r="P374" s="530" t="str">
        <x:f>IF(ISBLANK('_SCHEDULE'!P342),"",'_SCHEDULE'!P342)</x:f>
      </x:c>
      <x:c r="Q374" s="530" t="str">
        <x:f>IF(ISBLANK('_SCHEDULE'!Q342),"",'_SCHEDULE'!Q342)</x:f>
      </x:c>
      <x:c r="R374" s="530" t="str">
        <x:f>IF(ISBLANK('_SCHEDULE'!R342),"",'_SCHEDULE'!R342)</x:f>
      </x:c>
      <x:c r="S374" s="523" t="str">
        <x:f>IF(ISBLANK('_SCHEDULE'!S342),"",'_SCHEDULE'!S342)</x:f>
      </x:c>
      <x:c r="T374" s="38"/>
      <x:c r="U374" s="38"/>
      <x:c r="V374" s="38"/>
      <x:c r="W374" s="38"/>
      <x:c r="X374" s="38"/>
      <x:c r="Y374" s="38"/>
      <x:c r="Z374" s="38"/>
      <x:c r="AA374" s="38"/>
      <x:c r="AB374" s="38"/>
      <x:c r="AC374" s="38"/>
      <x:c r="AD374" s="38"/>
      <x:c r="AE374" s="38"/>
      <x:c r="AF374" s="38"/>
      <x:c r="AG374" s="38"/>
      <x:c r="AH374" s="38"/>
      <x:c r="AI374" s="38"/>
      <x:c r="AJ374" s="38"/>
      <x:c r="AK374" s="38"/>
      <x:c r="AL374" s="38"/>
      <x:c r="AM374" s="38"/>
    </x:row>
    <x:row r="375">
      <x:c r="A375" s="523" t="str">
        <x:f>IF(ISBLANK('_SCHEDULE'!A343),"",'_SCHEDULE'!A343)</x:f>
      </x:c>
      <x:c r="B375" s="523" t="str">
        <x:f>IF(ISBLANK('_SCHEDULE'!B343),"",IF('_CONFIG'!$B$2="pt-BR",IF('_SCHEDULE'!B343="scheduled","programado",IF('_SCHEDULE'!B343="rejected","rejeitado",'_SCHEDULE'!B343)),'_SCHEDULE'!B343))</x:f>
      </x:c>
      <x:c r="C375" s="523" t="str">
        <x:f>IF(ISBLANK('_SCHEDULE'!C343),"",'_SCHEDULE'!C343)</x:f>
      </x:c>
      <x:c r="D375" s="523" t="str">
        <x:f>IF(ISBLANK('_SCHEDULE'!D343),"",'_SCHEDULE'!D343)</x:f>
      </x:c>
      <x:c r="E375" s="530" t="str">
        <x:f>IF(ISBLANK('_SCHEDULE'!E343),"",'_SCHEDULE'!E343)</x:f>
      </x:c>
      <x:c r="F375" s="530" t="str">
        <x:f>IF(ISBLANK('_SCHEDULE'!F343),"",'_SCHEDULE'!F343)</x:f>
      </x:c>
      <x:c r="G375" s="530" t="str">
        <x:f>IF(ISBLANK('_SCHEDULE'!G343),"",'_SCHEDULE'!G343)</x:f>
      </x:c>
      <x:c r="H375" s="530" t="str">
        <x:f>IF(ISBLANK('_SCHEDULE'!H343),"",'_SCHEDULE'!H343)</x:f>
      </x:c>
      <x:c r="I375" s="530" t="str">
        <x:f>IF(ISBLANK('_SCHEDULE'!I343),"",'_SCHEDULE'!I343)</x:f>
      </x:c>
      <x:c r="J375" s="530" t="str">
        <x:f>IF(ISBLANK('_SCHEDULE'!J343),"",'_SCHEDULE'!J343)</x:f>
      </x:c>
      <x:c r="K375" s="530" t="str">
        <x:f>IF(ISBLANK('_SCHEDULE'!K343),"",'_SCHEDULE'!K343)</x:f>
      </x:c>
      <x:c r="L375" s="530" t="str">
        <x:f>IF(ISBLANK('_SCHEDULE'!L343),"",'_SCHEDULE'!L343)</x:f>
      </x:c>
      <x:c r="M375" s="530" t="str">
        <x:f>IF(ISBLANK('_SCHEDULE'!M343),"",'_SCHEDULE'!M343)</x:f>
      </x:c>
      <x:c r="N375" s="530" t="str">
        <x:f>IF(ISBLANK('_SCHEDULE'!N343),"",'_SCHEDULE'!N343)</x:f>
      </x:c>
      <x:c r="O375" s="530" t="str">
        <x:f>IF(ISBLANK('_SCHEDULE'!O343),"",'_SCHEDULE'!O343)</x:f>
      </x:c>
      <x:c r="P375" s="530" t="str">
        <x:f>IF(ISBLANK('_SCHEDULE'!P343),"",'_SCHEDULE'!P343)</x:f>
      </x:c>
      <x:c r="Q375" s="530" t="str">
        <x:f>IF(ISBLANK('_SCHEDULE'!Q343),"",'_SCHEDULE'!Q343)</x:f>
      </x:c>
      <x:c r="R375" s="530" t="str">
        <x:f>IF(ISBLANK('_SCHEDULE'!R343),"",'_SCHEDULE'!R343)</x:f>
      </x:c>
      <x:c r="S375" s="523" t="str">
        <x:f>IF(ISBLANK('_SCHEDULE'!S343),"",'_SCHEDULE'!S343)</x:f>
      </x:c>
      <x:c r="T375" s="38"/>
      <x:c r="U375" s="38"/>
      <x:c r="V375" s="38"/>
      <x:c r="W375" s="38"/>
      <x:c r="X375" s="38"/>
      <x:c r="Y375" s="38"/>
      <x:c r="Z375" s="38"/>
      <x:c r="AA375" s="38"/>
      <x:c r="AB375" s="38"/>
      <x:c r="AC375" s="38"/>
      <x:c r="AD375" s="38"/>
      <x:c r="AE375" s="38"/>
      <x:c r="AF375" s="38"/>
      <x:c r="AG375" s="38"/>
      <x:c r="AH375" s="38"/>
      <x:c r="AI375" s="38"/>
      <x:c r="AJ375" s="38"/>
      <x:c r="AK375" s="38"/>
      <x:c r="AL375" s="38"/>
      <x:c r="AM375" s="38"/>
    </x:row>
    <x:row r="376">
      <x:c r="A376" s="523" t="str">
        <x:f>IF(ISBLANK('_SCHEDULE'!A344),"",'_SCHEDULE'!A344)</x:f>
      </x:c>
      <x:c r="B376" s="523" t="str">
        <x:f>IF(ISBLANK('_SCHEDULE'!B344),"",IF('_CONFIG'!$B$2="pt-BR",IF('_SCHEDULE'!B344="scheduled","programado",IF('_SCHEDULE'!B344="rejected","rejeitado",'_SCHEDULE'!B344)),'_SCHEDULE'!B344))</x:f>
      </x:c>
      <x:c r="C376" s="523" t="str">
        <x:f>IF(ISBLANK('_SCHEDULE'!C344),"",'_SCHEDULE'!C344)</x:f>
      </x:c>
      <x:c r="D376" s="523" t="str">
        <x:f>IF(ISBLANK('_SCHEDULE'!D344),"",'_SCHEDULE'!D344)</x:f>
      </x:c>
      <x:c r="E376" s="530" t="str">
        <x:f>IF(ISBLANK('_SCHEDULE'!E344),"",'_SCHEDULE'!E344)</x:f>
      </x:c>
      <x:c r="F376" s="530" t="str">
        <x:f>IF(ISBLANK('_SCHEDULE'!F344),"",'_SCHEDULE'!F344)</x:f>
      </x:c>
      <x:c r="G376" s="530" t="str">
        <x:f>IF(ISBLANK('_SCHEDULE'!G344),"",'_SCHEDULE'!G344)</x:f>
      </x:c>
      <x:c r="H376" s="530" t="str">
        <x:f>IF(ISBLANK('_SCHEDULE'!H344),"",'_SCHEDULE'!H344)</x:f>
      </x:c>
      <x:c r="I376" s="530" t="str">
        <x:f>IF(ISBLANK('_SCHEDULE'!I344),"",'_SCHEDULE'!I344)</x:f>
      </x:c>
      <x:c r="J376" s="530" t="str">
        <x:f>IF(ISBLANK('_SCHEDULE'!J344),"",'_SCHEDULE'!J344)</x:f>
      </x:c>
      <x:c r="K376" s="530" t="str">
        <x:f>IF(ISBLANK('_SCHEDULE'!K344),"",'_SCHEDULE'!K344)</x:f>
      </x:c>
      <x:c r="L376" s="530" t="str">
        <x:f>IF(ISBLANK('_SCHEDULE'!L344),"",'_SCHEDULE'!L344)</x:f>
      </x:c>
      <x:c r="M376" s="530" t="str">
        <x:f>IF(ISBLANK('_SCHEDULE'!M344),"",'_SCHEDULE'!M344)</x:f>
      </x:c>
      <x:c r="N376" s="530" t="str">
        <x:f>IF(ISBLANK('_SCHEDULE'!N344),"",'_SCHEDULE'!N344)</x:f>
      </x:c>
      <x:c r="O376" s="530" t="str">
        <x:f>IF(ISBLANK('_SCHEDULE'!O344),"",'_SCHEDULE'!O344)</x:f>
      </x:c>
      <x:c r="P376" s="530" t="str">
        <x:f>IF(ISBLANK('_SCHEDULE'!P344),"",'_SCHEDULE'!P344)</x:f>
      </x:c>
      <x:c r="Q376" s="530" t="str">
        <x:f>IF(ISBLANK('_SCHEDULE'!Q344),"",'_SCHEDULE'!Q344)</x:f>
      </x:c>
      <x:c r="R376" s="530" t="str">
        <x:f>IF(ISBLANK('_SCHEDULE'!R344),"",'_SCHEDULE'!R344)</x:f>
      </x:c>
      <x:c r="S376" s="523" t="str">
        <x:f>IF(ISBLANK('_SCHEDULE'!S344),"",'_SCHEDULE'!S344)</x:f>
      </x:c>
      <x:c r="T376" s="38"/>
      <x:c r="U376" s="38"/>
      <x:c r="V376" s="38"/>
      <x:c r="W376" s="38"/>
      <x:c r="X376" s="38"/>
      <x:c r="Y376" s="38"/>
      <x:c r="Z376" s="38"/>
      <x:c r="AA376" s="38"/>
      <x:c r="AB376" s="38"/>
      <x:c r="AC376" s="38"/>
      <x:c r="AD376" s="38"/>
      <x:c r="AE376" s="38"/>
      <x:c r="AF376" s="38"/>
      <x:c r="AG376" s="38"/>
      <x:c r="AH376" s="38"/>
      <x:c r="AI376" s="38"/>
      <x:c r="AJ376" s="38"/>
      <x:c r="AK376" s="38"/>
      <x:c r="AL376" s="38"/>
      <x:c r="AM376" s="38"/>
    </x:row>
    <x:row r="377">
      <x:c r="A377" s="523" t="str">
        <x:f>IF(ISBLANK('_SCHEDULE'!A345),"",'_SCHEDULE'!A345)</x:f>
      </x:c>
      <x:c r="B377" s="523" t="str">
        <x:f>IF(ISBLANK('_SCHEDULE'!B345),"",IF('_CONFIG'!$B$2="pt-BR",IF('_SCHEDULE'!B345="scheduled","programado",IF('_SCHEDULE'!B345="rejected","rejeitado",'_SCHEDULE'!B345)),'_SCHEDULE'!B345))</x:f>
      </x:c>
      <x:c r="C377" s="523" t="str">
        <x:f>IF(ISBLANK('_SCHEDULE'!C345),"",'_SCHEDULE'!C345)</x:f>
      </x:c>
      <x:c r="D377" s="523" t="str">
        <x:f>IF(ISBLANK('_SCHEDULE'!D345),"",'_SCHEDULE'!D345)</x:f>
      </x:c>
      <x:c r="E377" s="530" t="str">
        <x:f>IF(ISBLANK('_SCHEDULE'!E345),"",'_SCHEDULE'!E345)</x:f>
      </x:c>
      <x:c r="F377" s="530" t="str">
        <x:f>IF(ISBLANK('_SCHEDULE'!F345),"",'_SCHEDULE'!F345)</x:f>
      </x:c>
      <x:c r="G377" s="530" t="str">
        <x:f>IF(ISBLANK('_SCHEDULE'!G345),"",'_SCHEDULE'!G345)</x:f>
      </x:c>
      <x:c r="H377" s="530" t="str">
        <x:f>IF(ISBLANK('_SCHEDULE'!H345),"",'_SCHEDULE'!H345)</x:f>
      </x:c>
      <x:c r="I377" s="530" t="str">
        <x:f>IF(ISBLANK('_SCHEDULE'!I345),"",'_SCHEDULE'!I345)</x:f>
      </x:c>
      <x:c r="J377" s="530" t="str">
        <x:f>IF(ISBLANK('_SCHEDULE'!J345),"",'_SCHEDULE'!J345)</x:f>
      </x:c>
      <x:c r="K377" s="530" t="str">
        <x:f>IF(ISBLANK('_SCHEDULE'!K345),"",'_SCHEDULE'!K345)</x:f>
      </x:c>
      <x:c r="L377" s="530" t="str">
        <x:f>IF(ISBLANK('_SCHEDULE'!L345),"",'_SCHEDULE'!L345)</x:f>
      </x:c>
      <x:c r="M377" s="530" t="str">
        <x:f>IF(ISBLANK('_SCHEDULE'!M345),"",'_SCHEDULE'!M345)</x:f>
      </x:c>
      <x:c r="N377" s="530" t="str">
        <x:f>IF(ISBLANK('_SCHEDULE'!N345),"",'_SCHEDULE'!N345)</x:f>
      </x:c>
      <x:c r="O377" s="530" t="str">
        <x:f>IF(ISBLANK('_SCHEDULE'!O345),"",'_SCHEDULE'!O345)</x:f>
      </x:c>
      <x:c r="P377" s="530" t="str">
        <x:f>IF(ISBLANK('_SCHEDULE'!P345),"",'_SCHEDULE'!P345)</x:f>
      </x:c>
      <x:c r="Q377" s="530" t="str">
        <x:f>IF(ISBLANK('_SCHEDULE'!Q345),"",'_SCHEDULE'!Q345)</x:f>
      </x:c>
      <x:c r="R377" s="530" t="str">
        <x:f>IF(ISBLANK('_SCHEDULE'!R345),"",'_SCHEDULE'!R345)</x:f>
      </x:c>
      <x:c r="S377" s="523" t="str">
        <x:f>IF(ISBLANK('_SCHEDULE'!S345),"",'_SCHEDULE'!S345)</x:f>
      </x:c>
      <x:c r="T377" s="38"/>
      <x:c r="U377" s="38"/>
      <x:c r="V377" s="38"/>
      <x:c r="W377" s="38"/>
      <x:c r="X377" s="38"/>
      <x:c r="Y377" s="38"/>
      <x:c r="Z377" s="38"/>
      <x:c r="AA377" s="38"/>
      <x:c r="AB377" s="38"/>
      <x:c r="AC377" s="38"/>
      <x:c r="AD377" s="38"/>
      <x:c r="AE377" s="38"/>
      <x:c r="AF377" s="38"/>
      <x:c r="AG377" s="38"/>
      <x:c r="AH377" s="38"/>
      <x:c r="AI377" s="38"/>
      <x:c r="AJ377" s="38"/>
      <x:c r="AK377" s="38"/>
      <x:c r="AL377" s="38"/>
      <x:c r="AM377" s="38"/>
    </x:row>
    <x:row r="378">
      <x:c r="A378" s="523" t="str">
        <x:f>IF(ISBLANK('_SCHEDULE'!A346),"",'_SCHEDULE'!A346)</x:f>
      </x:c>
      <x:c r="B378" s="523" t="str">
        <x:f>IF(ISBLANK('_SCHEDULE'!B346),"",IF('_CONFIG'!$B$2="pt-BR",IF('_SCHEDULE'!B346="scheduled","programado",IF('_SCHEDULE'!B346="rejected","rejeitado",'_SCHEDULE'!B346)),'_SCHEDULE'!B346))</x:f>
      </x:c>
      <x:c r="C378" s="523" t="str">
        <x:f>IF(ISBLANK('_SCHEDULE'!C346),"",'_SCHEDULE'!C346)</x:f>
      </x:c>
      <x:c r="D378" s="523" t="str">
        <x:f>IF(ISBLANK('_SCHEDULE'!D346),"",'_SCHEDULE'!D346)</x:f>
      </x:c>
      <x:c r="E378" s="530" t="str">
        <x:f>IF(ISBLANK('_SCHEDULE'!E346),"",'_SCHEDULE'!E346)</x:f>
      </x:c>
      <x:c r="F378" s="530" t="str">
        <x:f>IF(ISBLANK('_SCHEDULE'!F346),"",'_SCHEDULE'!F346)</x:f>
      </x:c>
      <x:c r="G378" s="530" t="str">
        <x:f>IF(ISBLANK('_SCHEDULE'!G346),"",'_SCHEDULE'!G346)</x:f>
      </x:c>
      <x:c r="H378" s="530" t="str">
        <x:f>IF(ISBLANK('_SCHEDULE'!H346),"",'_SCHEDULE'!H346)</x:f>
      </x:c>
      <x:c r="I378" s="530" t="str">
        <x:f>IF(ISBLANK('_SCHEDULE'!I346),"",'_SCHEDULE'!I346)</x:f>
      </x:c>
      <x:c r="J378" s="530" t="str">
        <x:f>IF(ISBLANK('_SCHEDULE'!J346),"",'_SCHEDULE'!J346)</x:f>
      </x:c>
      <x:c r="K378" s="530" t="str">
        <x:f>IF(ISBLANK('_SCHEDULE'!K346),"",'_SCHEDULE'!K346)</x:f>
      </x:c>
      <x:c r="L378" s="530" t="str">
        <x:f>IF(ISBLANK('_SCHEDULE'!L346),"",'_SCHEDULE'!L346)</x:f>
      </x:c>
      <x:c r="M378" s="530" t="str">
        <x:f>IF(ISBLANK('_SCHEDULE'!M346),"",'_SCHEDULE'!M346)</x:f>
      </x:c>
      <x:c r="N378" s="530" t="str">
        <x:f>IF(ISBLANK('_SCHEDULE'!N346),"",'_SCHEDULE'!N346)</x:f>
      </x:c>
      <x:c r="O378" s="530" t="str">
        <x:f>IF(ISBLANK('_SCHEDULE'!O346),"",'_SCHEDULE'!O346)</x:f>
      </x:c>
      <x:c r="P378" s="530" t="str">
        <x:f>IF(ISBLANK('_SCHEDULE'!P346),"",'_SCHEDULE'!P346)</x:f>
      </x:c>
      <x:c r="Q378" s="530" t="str">
        <x:f>IF(ISBLANK('_SCHEDULE'!Q346),"",'_SCHEDULE'!Q346)</x:f>
      </x:c>
      <x:c r="R378" s="530" t="str">
        <x:f>IF(ISBLANK('_SCHEDULE'!R346),"",'_SCHEDULE'!R346)</x:f>
      </x:c>
      <x:c r="S378" s="523" t="str">
        <x:f>IF(ISBLANK('_SCHEDULE'!S346),"",'_SCHEDULE'!S346)</x:f>
      </x:c>
      <x:c r="T378" s="38"/>
      <x:c r="U378" s="38"/>
      <x:c r="V378" s="38"/>
      <x:c r="W378" s="38"/>
      <x:c r="X378" s="38"/>
      <x:c r="Y378" s="38"/>
      <x:c r="Z378" s="38"/>
      <x:c r="AA378" s="38"/>
      <x:c r="AB378" s="38"/>
      <x:c r="AC378" s="38"/>
      <x:c r="AD378" s="38"/>
      <x:c r="AE378" s="38"/>
      <x:c r="AF378" s="38"/>
      <x:c r="AG378" s="38"/>
      <x:c r="AH378" s="38"/>
      <x:c r="AI378" s="38"/>
      <x:c r="AJ378" s="38"/>
      <x:c r="AK378" s="38"/>
      <x:c r="AL378" s="38"/>
      <x:c r="AM378" s="38"/>
    </x:row>
    <x:row r="379">
      <x:c r="A379" s="523" t="str">
        <x:f>IF(ISBLANK('_SCHEDULE'!A347),"",'_SCHEDULE'!A347)</x:f>
      </x:c>
      <x:c r="B379" s="523" t="str">
        <x:f>IF(ISBLANK('_SCHEDULE'!B347),"",IF('_CONFIG'!$B$2="pt-BR",IF('_SCHEDULE'!B347="scheduled","programado",IF('_SCHEDULE'!B347="rejected","rejeitado",'_SCHEDULE'!B347)),'_SCHEDULE'!B347))</x:f>
      </x:c>
      <x:c r="C379" s="523" t="str">
        <x:f>IF(ISBLANK('_SCHEDULE'!C347),"",'_SCHEDULE'!C347)</x:f>
      </x:c>
      <x:c r="D379" s="523" t="str">
        <x:f>IF(ISBLANK('_SCHEDULE'!D347),"",'_SCHEDULE'!D347)</x:f>
      </x:c>
      <x:c r="E379" s="530" t="str">
        <x:f>IF(ISBLANK('_SCHEDULE'!E347),"",'_SCHEDULE'!E347)</x:f>
      </x:c>
      <x:c r="F379" s="530" t="str">
        <x:f>IF(ISBLANK('_SCHEDULE'!F347),"",'_SCHEDULE'!F347)</x:f>
      </x:c>
      <x:c r="G379" s="530" t="str">
        <x:f>IF(ISBLANK('_SCHEDULE'!G347),"",'_SCHEDULE'!G347)</x:f>
      </x:c>
      <x:c r="H379" s="530" t="str">
        <x:f>IF(ISBLANK('_SCHEDULE'!H347),"",'_SCHEDULE'!H347)</x:f>
      </x:c>
      <x:c r="I379" s="530" t="str">
        <x:f>IF(ISBLANK('_SCHEDULE'!I347),"",'_SCHEDULE'!I347)</x:f>
      </x:c>
      <x:c r="J379" s="530" t="str">
        <x:f>IF(ISBLANK('_SCHEDULE'!J347),"",'_SCHEDULE'!J347)</x:f>
      </x:c>
      <x:c r="K379" s="530" t="str">
        <x:f>IF(ISBLANK('_SCHEDULE'!K347),"",'_SCHEDULE'!K347)</x:f>
      </x:c>
      <x:c r="L379" s="530" t="str">
        <x:f>IF(ISBLANK('_SCHEDULE'!L347),"",'_SCHEDULE'!L347)</x:f>
      </x:c>
      <x:c r="M379" s="530" t="str">
        <x:f>IF(ISBLANK('_SCHEDULE'!M347),"",'_SCHEDULE'!M347)</x:f>
      </x:c>
      <x:c r="N379" s="530" t="str">
        <x:f>IF(ISBLANK('_SCHEDULE'!N347),"",'_SCHEDULE'!N347)</x:f>
      </x:c>
      <x:c r="O379" s="530" t="str">
        <x:f>IF(ISBLANK('_SCHEDULE'!O347),"",'_SCHEDULE'!O347)</x:f>
      </x:c>
      <x:c r="P379" s="530" t="str">
        <x:f>IF(ISBLANK('_SCHEDULE'!P347),"",'_SCHEDULE'!P347)</x:f>
      </x:c>
      <x:c r="Q379" s="530" t="str">
        <x:f>IF(ISBLANK('_SCHEDULE'!Q347),"",'_SCHEDULE'!Q347)</x:f>
      </x:c>
      <x:c r="R379" s="530" t="str">
        <x:f>IF(ISBLANK('_SCHEDULE'!R347),"",'_SCHEDULE'!R347)</x:f>
      </x:c>
      <x:c r="S379" s="523" t="str">
        <x:f>IF(ISBLANK('_SCHEDULE'!S347),"",'_SCHEDULE'!S347)</x:f>
      </x:c>
      <x:c r="T379" s="38"/>
      <x:c r="U379" s="38"/>
      <x:c r="V379" s="38"/>
      <x:c r="W379" s="38"/>
      <x:c r="X379" s="38"/>
      <x:c r="Y379" s="38"/>
      <x:c r="Z379" s="38"/>
      <x:c r="AA379" s="38"/>
      <x:c r="AB379" s="38"/>
      <x:c r="AC379" s="38"/>
      <x:c r="AD379" s="38"/>
      <x:c r="AE379" s="38"/>
      <x:c r="AF379" s="38"/>
      <x:c r="AG379" s="38"/>
      <x:c r="AH379" s="38"/>
      <x:c r="AI379" s="38"/>
      <x:c r="AJ379" s="38"/>
      <x:c r="AK379" s="38"/>
      <x:c r="AL379" s="38"/>
      <x:c r="AM379" s="38"/>
    </x:row>
    <x:row r="380">
      <x:c r="A380" s="523" t="str">
        <x:f>IF(ISBLANK('_SCHEDULE'!A348),"",'_SCHEDULE'!A348)</x:f>
      </x:c>
      <x:c r="B380" s="523" t="str">
        <x:f>IF(ISBLANK('_SCHEDULE'!B348),"",IF('_CONFIG'!$B$2="pt-BR",IF('_SCHEDULE'!B348="scheduled","programado",IF('_SCHEDULE'!B348="rejected","rejeitado",'_SCHEDULE'!B348)),'_SCHEDULE'!B348))</x:f>
      </x:c>
      <x:c r="C380" s="523" t="str">
        <x:f>IF(ISBLANK('_SCHEDULE'!C348),"",'_SCHEDULE'!C348)</x:f>
      </x:c>
      <x:c r="D380" s="523" t="str">
        <x:f>IF(ISBLANK('_SCHEDULE'!D348),"",'_SCHEDULE'!D348)</x:f>
      </x:c>
      <x:c r="E380" s="530" t="str">
        <x:f>IF(ISBLANK('_SCHEDULE'!E348),"",'_SCHEDULE'!E348)</x:f>
      </x:c>
      <x:c r="F380" s="530" t="str">
        <x:f>IF(ISBLANK('_SCHEDULE'!F348),"",'_SCHEDULE'!F348)</x:f>
      </x:c>
      <x:c r="G380" s="530" t="str">
        <x:f>IF(ISBLANK('_SCHEDULE'!G348),"",'_SCHEDULE'!G348)</x:f>
      </x:c>
      <x:c r="H380" s="530" t="str">
        <x:f>IF(ISBLANK('_SCHEDULE'!H348),"",'_SCHEDULE'!H348)</x:f>
      </x:c>
      <x:c r="I380" s="530" t="str">
        <x:f>IF(ISBLANK('_SCHEDULE'!I348),"",'_SCHEDULE'!I348)</x:f>
      </x:c>
      <x:c r="J380" s="530" t="str">
        <x:f>IF(ISBLANK('_SCHEDULE'!J348),"",'_SCHEDULE'!J348)</x:f>
      </x:c>
      <x:c r="K380" s="530" t="str">
        <x:f>IF(ISBLANK('_SCHEDULE'!K348),"",'_SCHEDULE'!K348)</x:f>
      </x:c>
      <x:c r="L380" s="530" t="str">
        <x:f>IF(ISBLANK('_SCHEDULE'!L348),"",'_SCHEDULE'!L348)</x:f>
      </x:c>
      <x:c r="M380" s="530" t="str">
        <x:f>IF(ISBLANK('_SCHEDULE'!M348),"",'_SCHEDULE'!M348)</x:f>
      </x:c>
      <x:c r="N380" s="530" t="str">
        <x:f>IF(ISBLANK('_SCHEDULE'!N348),"",'_SCHEDULE'!N348)</x:f>
      </x:c>
      <x:c r="O380" s="530" t="str">
        <x:f>IF(ISBLANK('_SCHEDULE'!O348),"",'_SCHEDULE'!O348)</x:f>
      </x:c>
      <x:c r="P380" s="530" t="str">
        <x:f>IF(ISBLANK('_SCHEDULE'!P348),"",'_SCHEDULE'!P348)</x:f>
      </x:c>
      <x:c r="Q380" s="530" t="str">
        <x:f>IF(ISBLANK('_SCHEDULE'!Q348),"",'_SCHEDULE'!Q348)</x:f>
      </x:c>
      <x:c r="R380" s="530" t="str">
        <x:f>IF(ISBLANK('_SCHEDULE'!R348),"",'_SCHEDULE'!R348)</x:f>
      </x:c>
      <x:c r="S380" s="523" t="str">
        <x:f>IF(ISBLANK('_SCHEDULE'!S348),"",'_SCHEDULE'!S348)</x:f>
      </x:c>
      <x:c r="T380" s="38"/>
      <x:c r="U380" s="38"/>
      <x:c r="V380" s="38"/>
      <x:c r="W380" s="38"/>
      <x:c r="X380" s="38"/>
      <x:c r="Y380" s="38"/>
      <x:c r="Z380" s="38"/>
      <x:c r="AA380" s="38"/>
      <x:c r="AB380" s="38"/>
      <x:c r="AC380" s="38"/>
      <x:c r="AD380" s="38"/>
      <x:c r="AE380" s="38"/>
      <x:c r="AF380" s="38"/>
      <x:c r="AG380" s="38"/>
      <x:c r="AH380" s="38"/>
      <x:c r="AI380" s="38"/>
      <x:c r="AJ380" s="38"/>
      <x:c r="AK380" s="38"/>
      <x:c r="AL380" s="38"/>
      <x:c r="AM380" s="38"/>
    </x:row>
    <x:row r="381">
      <x:c r="A381" s="523" t="str">
        <x:f>IF(ISBLANK('_SCHEDULE'!A349),"",'_SCHEDULE'!A349)</x:f>
      </x:c>
      <x:c r="B381" s="523" t="str">
        <x:f>IF(ISBLANK('_SCHEDULE'!B349),"",IF('_CONFIG'!$B$2="pt-BR",IF('_SCHEDULE'!B349="scheduled","programado",IF('_SCHEDULE'!B349="rejected","rejeitado",'_SCHEDULE'!B349)),'_SCHEDULE'!B349))</x:f>
      </x:c>
      <x:c r="C381" s="523" t="str">
        <x:f>IF(ISBLANK('_SCHEDULE'!C349),"",'_SCHEDULE'!C349)</x:f>
      </x:c>
      <x:c r="D381" s="523" t="str">
        <x:f>IF(ISBLANK('_SCHEDULE'!D349),"",'_SCHEDULE'!D349)</x:f>
      </x:c>
      <x:c r="E381" s="530" t="str">
        <x:f>IF(ISBLANK('_SCHEDULE'!E349),"",'_SCHEDULE'!E349)</x:f>
      </x:c>
      <x:c r="F381" s="530" t="str">
        <x:f>IF(ISBLANK('_SCHEDULE'!F349),"",'_SCHEDULE'!F349)</x:f>
      </x:c>
      <x:c r="G381" s="530" t="str">
        <x:f>IF(ISBLANK('_SCHEDULE'!G349),"",'_SCHEDULE'!G349)</x:f>
      </x:c>
      <x:c r="H381" s="530" t="str">
        <x:f>IF(ISBLANK('_SCHEDULE'!H349),"",'_SCHEDULE'!H349)</x:f>
      </x:c>
      <x:c r="I381" s="530" t="str">
        <x:f>IF(ISBLANK('_SCHEDULE'!I349),"",'_SCHEDULE'!I349)</x:f>
      </x:c>
      <x:c r="J381" s="530" t="str">
        <x:f>IF(ISBLANK('_SCHEDULE'!J349),"",'_SCHEDULE'!J349)</x:f>
      </x:c>
      <x:c r="K381" s="530" t="str">
        <x:f>IF(ISBLANK('_SCHEDULE'!K349),"",'_SCHEDULE'!K349)</x:f>
      </x:c>
      <x:c r="L381" s="530" t="str">
        <x:f>IF(ISBLANK('_SCHEDULE'!L349),"",'_SCHEDULE'!L349)</x:f>
      </x:c>
      <x:c r="M381" s="530" t="str">
        <x:f>IF(ISBLANK('_SCHEDULE'!M349),"",'_SCHEDULE'!M349)</x:f>
      </x:c>
      <x:c r="N381" s="530" t="str">
        <x:f>IF(ISBLANK('_SCHEDULE'!N349),"",'_SCHEDULE'!N349)</x:f>
      </x:c>
      <x:c r="O381" s="530" t="str">
        <x:f>IF(ISBLANK('_SCHEDULE'!O349),"",'_SCHEDULE'!O349)</x:f>
      </x:c>
      <x:c r="P381" s="530" t="str">
        <x:f>IF(ISBLANK('_SCHEDULE'!P349),"",'_SCHEDULE'!P349)</x:f>
      </x:c>
      <x:c r="Q381" s="530" t="str">
        <x:f>IF(ISBLANK('_SCHEDULE'!Q349),"",'_SCHEDULE'!Q349)</x:f>
      </x:c>
      <x:c r="R381" s="530" t="str">
        <x:f>IF(ISBLANK('_SCHEDULE'!R349),"",'_SCHEDULE'!R349)</x:f>
      </x:c>
      <x:c r="S381" s="523" t="str">
        <x:f>IF(ISBLANK('_SCHEDULE'!S349),"",'_SCHEDULE'!S349)</x:f>
      </x:c>
      <x:c r="T381" s="38"/>
      <x:c r="U381" s="38"/>
      <x:c r="V381" s="38"/>
      <x:c r="W381" s="38"/>
      <x:c r="X381" s="38"/>
      <x:c r="Y381" s="38"/>
      <x:c r="Z381" s="38"/>
      <x:c r="AA381" s="38"/>
      <x:c r="AB381" s="38"/>
      <x:c r="AC381" s="38"/>
      <x:c r="AD381" s="38"/>
      <x:c r="AE381" s="38"/>
      <x:c r="AF381" s="38"/>
      <x:c r="AG381" s="38"/>
      <x:c r="AH381" s="38"/>
      <x:c r="AI381" s="38"/>
      <x:c r="AJ381" s="38"/>
      <x:c r="AK381" s="38"/>
      <x:c r="AL381" s="38"/>
      <x:c r="AM381" s="38"/>
    </x:row>
    <x:row r="382">
      <x:c r="A382" s="523" t="str">
        <x:f>IF(ISBLANK('_SCHEDULE'!A350),"",'_SCHEDULE'!A350)</x:f>
      </x:c>
      <x:c r="B382" s="523" t="str">
        <x:f>IF(ISBLANK('_SCHEDULE'!B350),"",IF('_CONFIG'!$B$2="pt-BR",IF('_SCHEDULE'!B350="scheduled","programado",IF('_SCHEDULE'!B350="rejected","rejeitado",'_SCHEDULE'!B350)),'_SCHEDULE'!B350))</x:f>
      </x:c>
      <x:c r="C382" s="523" t="str">
        <x:f>IF(ISBLANK('_SCHEDULE'!C350),"",'_SCHEDULE'!C350)</x:f>
      </x:c>
      <x:c r="D382" s="523" t="str">
        <x:f>IF(ISBLANK('_SCHEDULE'!D350),"",'_SCHEDULE'!D350)</x:f>
      </x:c>
      <x:c r="E382" s="530" t="str">
        <x:f>IF(ISBLANK('_SCHEDULE'!E350),"",'_SCHEDULE'!E350)</x:f>
      </x:c>
      <x:c r="F382" s="530" t="str">
        <x:f>IF(ISBLANK('_SCHEDULE'!F350),"",'_SCHEDULE'!F350)</x:f>
      </x:c>
      <x:c r="G382" s="530" t="str">
        <x:f>IF(ISBLANK('_SCHEDULE'!G350),"",'_SCHEDULE'!G350)</x:f>
      </x:c>
      <x:c r="H382" s="530" t="str">
        <x:f>IF(ISBLANK('_SCHEDULE'!H350),"",'_SCHEDULE'!H350)</x:f>
      </x:c>
      <x:c r="I382" s="530" t="str">
        <x:f>IF(ISBLANK('_SCHEDULE'!I350),"",'_SCHEDULE'!I350)</x:f>
      </x:c>
      <x:c r="J382" s="530" t="str">
        <x:f>IF(ISBLANK('_SCHEDULE'!J350),"",'_SCHEDULE'!J350)</x:f>
      </x:c>
      <x:c r="K382" s="530" t="str">
        <x:f>IF(ISBLANK('_SCHEDULE'!K350),"",'_SCHEDULE'!K350)</x:f>
      </x:c>
      <x:c r="L382" s="530" t="str">
        <x:f>IF(ISBLANK('_SCHEDULE'!L350),"",'_SCHEDULE'!L350)</x:f>
      </x:c>
      <x:c r="M382" s="530" t="str">
        <x:f>IF(ISBLANK('_SCHEDULE'!M350),"",'_SCHEDULE'!M350)</x:f>
      </x:c>
      <x:c r="N382" s="530" t="str">
        <x:f>IF(ISBLANK('_SCHEDULE'!N350),"",'_SCHEDULE'!N350)</x:f>
      </x:c>
      <x:c r="O382" s="530" t="str">
        <x:f>IF(ISBLANK('_SCHEDULE'!O350),"",'_SCHEDULE'!O350)</x:f>
      </x:c>
      <x:c r="P382" s="530" t="str">
        <x:f>IF(ISBLANK('_SCHEDULE'!P350),"",'_SCHEDULE'!P350)</x:f>
      </x:c>
      <x:c r="Q382" s="530" t="str">
        <x:f>IF(ISBLANK('_SCHEDULE'!Q350),"",'_SCHEDULE'!Q350)</x:f>
      </x:c>
      <x:c r="R382" s="530" t="str">
        <x:f>IF(ISBLANK('_SCHEDULE'!R350),"",'_SCHEDULE'!R350)</x:f>
      </x:c>
      <x:c r="S382" s="523" t="str">
        <x:f>IF(ISBLANK('_SCHEDULE'!S350),"",'_SCHEDULE'!S350)</x:f>
      </x:c>
      <x:c r="T382" s="38"/>
      <x:c r="U382" s="38"/>
      <x:c r="V382" s="38"/>
      <x:c r="W382" s="38"/>
      <x:c r="X382" s="38"/>
      <x:c r="Y382" s="38"/>
      <x:c r="Z382" s="38"/>
      <x:c r="AA382" s="38"/>
      <x:c r="AB382" s="38"/>
      <x:c r="AC382" s="38"/>
      <x:c r="AD382" s="38"/>
      <x:c r="AE382" s="38"/>
      <x:c r="AF382" s="38"/>
      <x:c r="AG382" s="38"/>
      <x:c r="AH382" s="38"/>
      <x:c r="AI382" s="38"/>
      <x:c r="AJ382" s="38"/>
      <x:c r="AK382" s="38"/>
      <x:c r="AL382" s="38"/>
      <x:c r="AM382" s="38"/>
    </x:row>
    <x:row r="383">
      <x:c r="A383" s="523" t="str">
        <x:f>IF(ISBLANK('_SCHEDULE'!A351),"",'_SCHEDULE'!A351)</x:f>
      </x:c>
      <x:c r="B383" s="523" t="str">
        <x:f>IF(ISBLANK('_SCHEDULE'!B351),"",IF('_CONFIG'!$B$2="pt-BR",IF('_SCHEDULE'!B351="scheduled","programado",IF('_SCHEDULE'!B351="rejected","rejeitado",'_SCHEDULE'!B351)),'_SCHEDULE'!B351))</x:f>
      </x:c>
      <x:c r="C383" s="523" t="str">
        <x:f>IF(ISBLANK('_SCHEDULE'!C351),"",'_SCHEDULE'!C351)</x:f>
      </x:c>
      <x:c r="D383" s="523" t="str">
        <x:f>IF(ISBLANK('_SCHEDULE'!D351),"",'_SCHEDULE'!D351)</x:f>
      </x:c>
      <x:c r="E383" s="530" t="str">
        <x:f>IF(ISBLANK('_SCHEDULE'!E351),"",'_SCHEDULE'!E351)</x:f>
      </x:c>
      <x:c r="F383" s="530" t="str">
        <x:f>IF(ISBLANK('_SCHEDULE'!F351),"",'_SCHEDULE'!F351)</x:f>
      </x:c>
      <x:c r="G383" s="530" t="str">
        <x:f>IF(ISBLANK('_SCHEDULE'!G351),"",'_SCHEDULE'!G351)</x:f>
      </x:c>
      <x:c r="H383" s="530" t="str">
        <x:f>IF(ISBLANK('_SCHEDULE'!H351),"",'_SCHEDULE'!H351)</x:f>
      </x:c>
      <x:c r="I383" s="530" t="str">
        <x:f>IF(ISBLANK('_SCHEDULE'!I351),"",'_SCHEDULE'!I351)</x:f>
      </x:c>
      <x:c r="J383" s="530" t="str">
        <x:f>IF(ISBLANK('_SCHEDULE'!J351),"",'_SCHEDULE'!J351)</x:f>
      </x:c>
      <x:c r="K383" s="530" t="str">
        <x:f>IF(ISBLANK('_SCHEDULE'!K351),"",'_SCHEDULE'!K351)</x:f>
      </x:c>
      <x:c r="L383" s="530" t="str">
        <x:f>IF(ISBLANK('_SCHEDULE'!L351),"",'_SCHEDULE'!L351)</x:f>
      </x:c>
      <x:c r="M383" s="530" t="str">
        <x:f>IF(ISBLANK('_SCHEDULE'!M351),"",'_SCHEDULE'!M351)</x:f>
      </x:c>
      <x:c r="N383" s="530" t="str">
        <x:f>IF(ISBLANK('_SCHEDULE'!N351),"",'_SCHEDULE'!N351)</x:f>
      </x:c>
      <x:c r="O383" s="530" t="str">
        <x:f>IF(ISBLANK('_SCHEDULE'!O351),"",'_SCHEDULE'!O351)</x:f>
      </x:c>
      <x:c r="P383" s="530" t="str">
        <x:f>IF(ISBLANK('_SCHEDULE'!P351),"",'_SCHEDULE'!P351)</x:f>
      </x:c>
      <x:c r="Q383" s="530" t="str">
        <x:f>IF(ISBLANK('_SCHEDULE'!Q351),"",'_SCHEDULE'!Q351)</x:f>
      </x:c>
      <x:c r="R383" s="530" t="str">
        <x:f>IF(ISBLANK('_SCHEDULE'!R351),"",'_SCHEDULE'!R351)</x:f>
      </x:c>
      <x:c r="S383" s="523" t="str">
        <x:f>IF(ISBLANK('_SCHEDULE'!S351),"",'_SCHEDULE'!S351)</x:f>
      </x:c>
      <x:c r="T383" s="38"/>
      <x:c r="U383" s="38"/>
      <x:c r="V383" s="38"/>
      <x:c r="W383" s="38"/>
      <x:c r="X383" s="38"/>
      <x:c r="Y383" s="38"/>
      <x:c r="Z383" s="38"/>
      <x:c r="AA383" s="38"/>
      <x:c r="AB383" s="38"/>
      <x:c r="AC383" s="38"/>
      <x:c r="AD383" s="38"/>
      <x:c r="AE383" s="38"/>
      <x:c r="AF383" s="38"/>
      <x:c r="AG383" s="38"/>
      <x:c r="AH383" s="38"/>
      <x:c r="AI383" s="38"/>
      <x:c r="AJ383" s="38"/>
      <x:c r="AK383" s="38"/>
      <x:c r="AL383" s="38"/>
      <x:c r="AM383" s="38"/>
    </x:row>
    <x:row r="384">
      <x:c r="A384" s="523" t="str">
        <x:f>IF(ISBLANK('_SCHEDULE'!A352),"",'_SCHEDULE'!A352)</x:f>
      </x:c>
      <x:c r="B384" s="523" t="str">
        <x:f>IF(ISBLANK('_SCHEDULE'!B352),"",IF('_CONFIG'!$B$2="pt-BR",IF('_SCHEDULE'!B352="scheduled","programado",IF('_SCHEDULE'!B352="rejected","rejeitado",'_SCHEDULE'!B352)),'_SCHEDULE'!B352))</x:f>
      </x:c>
      <x:c r="C384" s="523" t="str">
        <x:f>IF(ISBLANK('_SCHEDULE'!C352),"",'_SCHEDULE'!C352)</x:f>
      </x:c>
      <x:c r="D384" s="523" t="str">
        <x:f>IF(ISBLANK('_SCHEDULE'!D352),"",'_SCHEDULE'!D352)</x:f>
      </x:c>
      <x:c r="E384" s="530" t="str">
        <x:f>IF(ISBLANK('_SCHEDULE'!E352),"",'_SCHEDULE'!E352)</x:f>
      </x:c>
      <x:c r="F384" s="530" t="str">
        <x:f>IF(ISBLANK('_SCHEDULE'!F352),"",'_SCHEDULE'!F352)</x:f>
      </x:c>
      <x:c r="G384" s="530" t="str">
        <x:f>IF(ISBLANK('_SCHEDULE'!G352),"",'_SCHEDULE'!G352)</x:f>
      </x:c>
      <x:c r="H384" s="530" t="str">
        <x:f>IF(ISBLANK('_SCHEDULE'!H352),"",'_SCHEDULE'!H352)</x:f>
      </x:c>
      <x:c r="I384" s="530" t="str">
        <x:f>IF(ISBLANK('_SCHEDULE'!I352),"",'_SCHEDULE'!I352)</x:f>
      </x:c>
      <x:c r="J384" s="530" t="str">
        <x:f>IF(ISBLANK('_SCHEDULE'!J352),"",'_SCHEDULE'!J352)</x:f>
      </x:c>
      <x:c r="K384" s="530" t="str">
        <x:f>IF(ISBLANK('_SCHEDULE'!K352),"",'_SCHEDULE'!K352)</x:f>
      </x:c>
      <x:c r="L384" s="530" t="str">
        <x:f>IF(ISBLANK('_SCHEDULE'!L352),"",'_SCHEDULE'!L352)</x:f>
      </x:c>
      <x:c r="M384" s="530" t="str">
        <x:f>IF(ISBLANK('_SCHEDULE'!M352),"",'_SCHEDULE'!M352)</x:f>
      </x:c>
      <x:c r="N384" s="530" t="str">
        <x:f>IF(ISBLANK('_SCHEDULE'!N352),"",'_SCHEDULE'!N352)</x:f>
      </x:c>
      <x:c r="O384" s="530" t="str">
        <x:f>IF(ISBLANK('_SCHEDULE'!O352),"",'_SCHEDULE'!O352)</x:f>
      </x:c>
      <x:c r="P384" s="530" t="str">
        <x:f>IF(ISBLANK('_SCHEDULE'!P352),"",'_SCHEDULE'!P352)</x:f>
      </x:c>
      <x:c r="Q384" s="530" t="str">
        <x:f>IF(ISBLANK('_SCHEDULE'!Q352),"",'_SCHEDULE'!Q352)</x:f>
      </x:c>
      <x:c r="R384" s="530" t="str">
        <x:f>IF(ISBLANK('_SCHEDULE'!R352),"",'_SCHEDULE'!R352)</x:f>
      </x:c>
      <x:c r="S384" s="523" t="str">
        <x:f>IF(ISBLANK('_SCHEDULE'!S352),"",'_SCHEDULE'!S352)</x:f>
      </x:c>
      <x:c r="T384" s="38"/>
      <x:c r="U384" s="38"/>
      <x:c r="V384" s="38"/>
      <x:c r="W384" s="38"/>
      <x:c r="X384" s="38"/>
      <x:c r="Y384" s="38"/>
      <x:c r="Z384" s="38"/>
      <x:c r="AA384" s="38"/>
      <x:c r="AB384" s="38"/>
      <x:c r="AC384" s="38"/>
      <x:c r="AD384" s="38"/>
      <x:c r="AE384" s="38"/>
      <x:c r="AF384" s="38"/>
      <x:c r="AG384" s="38"/>
      <x:c r="AH384" s="38"/>
      <x:c r="AI384" s="38"/>
      <x:c r="AJ384" s="38"/>
      <x:c r="AK384" s="38"/>
      <x:c r="AL384" s="38"/>
      <x:c r="AM384" s="38"/>
    </x:row>
    <x:row r="385">
      <x:c r="A385" s="523" t="str">
        <x:f>IF(ISBLANK('_SCHEDULE'!A353),"",'_SCHEDULE'!A353)</x:f>
      </x:c>
      <x:c r="B385" s="523" t="str">
        <x:f>IF(ISBLANK('_SCHEDULE'!B353),"",IF('_CONFIG'!$B$2="pt-BR",IF('_SCHEDULE'!B353="scheduled","programado",IF('_SCHEDULE'!B353="rejected","rejeitado",'_SCHEDULE'!B353)),'_SCHEDULE'!B353))</x:f>
      </x:c>
      <x:c r="C385" s="523" t="str">
        <x:f>IF(ISBLANK('_SCHEDULE'!C353),"",'_SCHEDULE'!C353)</x:f>
      </x:c>
      <x:c r="D385" s="523" t="str">
        <x:f>IF(ISBLANK('_SCHEDULE'!D353),"",'_SCHEDULE'!D353)</x:f>
      </x:c>
      <x:c r="E385" s="530" t="str">
        <x:f>IF(ISBLANK('_SCHEDULE'!E353),"",'_SCHEDULE'!E353)</x:f>
      </x:c>
      <x:c r="F385" s="530" t="str">
        <x:f>IF(ISBLANK('_SCHEDULE'!F353),"",'_SCHEDULE'!F353)</x:f>
      </x:c>
      <x:c r="G385" s="530" t="str">
        <x:f>IF(ISBLANK('_SCHEDULE'!G353),"",'_SCHEDULE'!G353)</x:f>
      </x:c>
      <x:c r="H385" s="530" t="str">
        <x:f>IF(ISBLANK('_SCHEDULE'!H353),"",'_SCHEDULE'!H353)</x:f>
      </x:c>
      <x:c r="I385" s="530" t="str">
        <x:f>IF(ISBLANK('_SCHEDULE'!I353),"",'_SCHEDULE'!I353)</x:f>
      </x:c>
      <x:c r="J385" s="530" t="str">
        <x:f>IF(ISBLANK('_SCHEDULE'!J353),"",'_SCHEDULE'!J353)</x:f>
      </x:c>
      <x:c r="K385" s="530" t="str">
        <x:f>IF(ISBLANK('_SCHEDULE'!K353),"",'_SCHEDULE'!K353)</x:f>
      </x:c>
      <x:c r="L385" s="530" t="str">
        <x:f>IF(ISBLANK('_SCHEDULE'!L353),"",'_SCHEDULE'!L353)</x:f>
      </x:c>
      <x:c r="M385" s="530" t="str">
        <x:f>IF(ISBLANK('_SCHEDULE'!M353),"",'_SCHEDULE'!M353)</x:f>
      </x:c>
      <x:c r="N385" s="530" t="str">
        <x:f>IF(ISBLANK('_SCHEDULE'!N353),"",'_SCHEDULE'!N353)</x:f>
      </x:c>
      <x:c r="O385" s="530" t="str">
        <x:f>IF(ISBLANK('_SCHEDULE'!O353),"",'_SCHEDULE'!O353)</x:f>
      </x:c>
      <x:c r="P385" s="530" t="str">
        <x:f>IF(ISBLANK('_SCHEDULE'!P353),"",'_SCHEDULE'!P353)</x:f>
      </x:c>
      <x:c r="Q385" s="530" t="str">
        <x:f>IF(ISBLANK('_SCHEDULE'!Q353),"",'_SCHEDULE'!Q353)</x:f>
      </x:c>
      <x:c r="R385" s="530" t="str">
        <x:f>IF(ISBLANK('_SCHEDULE'!R353),"",'_SCHEDULE'!R353)</x:f>
      </x:c>
      <x:c r="S385" s="523" t="str">
        <x:f>IF(ISBLANK('_SCHEDULE'!S353),"",'_SCHEDULE'!S353)</x:f>
      </x:c>
      <x:c r="T385" s="38"/>
      <x:c r="U385" s="38"/>
      <x:c r="V385" s="38"/>
      <x:c r="W385" s="38"/>
      <x:c r="X385" s="38"/>
      <x:c r="Y385" s="38"/>
      <x:c r="Z385" s="38"/>
      <x:c r="AA385" s="38"/>
      <x:c r="AB385" s="38"/>
      <x:c r="AC385" s="38"/>
      <x:c r="AD385" s="38"/>
      <x:c r="AE385" s="38"/>
      <x:c r="AF385" s="38"/>
      <x:c r="AG385" s="38"/>
      <x:c r="AH385" s="38"/>
      <x:c r="AI385" s="38"/>
      <x:c r="AJ385" s="38"/>
      <x:c r="AK385" s="38"/>
      <x:c r="AL385" s="38"/>
      <x:c r="AM385" s="38"/>
    </x:row>
    <x:row r="386">
      <x:c r="A386" s="523" t="str">
        <x:f>IF(ISBLANK('_SCHEDULE'!A354),"",'_SCHEDULE'!A354)</x:f>
      </x:c>
      <x:c r="B386" s="523" t="str">
        <x:f>IF(ISBLANK('_SCHEDULE'!B354),"",IF('_CONFIG'!$B$2="pt-BR",IF('_SCHEDULE'!B354="scheduled","programado",IF('_SCHEDULE'!B354="rejected","rejeitado",'_SCHEDULE'!B354)),'_SCHEDULE'!B354))</x:f>
      </x:c>
      <x:c r="C386" s="523" t="str">
        <x:f>IF(ISBLANK('_SCHEDULE'!C354),"",'_SCHEDULE'!C354)</x:f>
      </x:c>
      <x:c r="D386" s="523" t="str">
        <x:f>IF(ISBLANK('_SCHEDULE'!D354),"",'_SCHEDULE'!D354)</x:f>
      </x:c>
      <x:c r="E386" s="530" t="str">
        <x:f>IF(ISBLANK('_SCHEDULE'!E354),"",'_SCHEDULE'!E354)</x:f>
      </x:c>
      <x:c r="F386" s="530" t="str">
        <x:f>IF(ISBLANK('_SCHEDULE'!F354),"",'_SCHEDULE'!F354)</x:f>
      </x:c>
      <x:c r="G386" s="530" t="str">
        <x:f>IF(ISBLANK('_SCHEDULE'!G354),"",'_SCHEDULE'!G354)</x:f>
      </x:c>
      <x:c r="H386" s="530" t="str">
        <x:f>IF(ISBLANK('_SCHEDULE'!H354),"",'_SCHEDULE'!H354)</x:f>
      </x:c>
      <x:c r="I386" s="530" t="str">
        <x:f>IF(ISBLANK('_SCHEDULE'!I354),"",'_SCHEDULE'!I354)</x:f>
      </x:c>
      <x:c r="J386" s="530" t="str">
        <x:f>IF(ISBLANK('_SCHEDULE'!J354),"",'_SCHEDULE'!J354)</x:f>
      </x:c>
      <x:c r="K386" s="530" t="str">
        <x:f>IF(ISBLANK('_SCHEDULE'!K354),"",'_SCHEDULE'!K354)</x:f>
      </x:c>
      <x:c r="L386" s="530" t="str">
        <x:f>IF(ISBLANK('_SCHEDULE'!L354),"",'_SCHEDULE'!L354)</x:f>
      </x:c>
      <x:c r="M386" s="530" t="str">
        <x:f>IF(ISBLANK('_SCHEDULE'!M354),"",'_SCHEDULE'!M354)</x:f>
      </x:c>
      <x:c r="N386" s="530" t="str">
        <x:f>IF(ISBLANK('_SCHEDULE'!N354),"",'_SCHEDULE'!N354)</x:f>
      </x:c>
      <x:c r="O386" s="530" t="str">
        <x:f>IF(ISBLANK('_SCHEDULE'!O354),"",'_SCHEDULE'!O354)</x:f>
      </x:c>
      <x:c r="P386" s="530" t="str">
        <x:f>IF(ISBLANK('_SCHEDULE'!P354),"",'_SCHEDULE'!P354)</x:f>
      </x:c>
      <x:c r="Q386" s="530" t="str">
        <x:f>IF(ISBLANK('_SCHEDULE'!Q354),"",'_SCHEDULE'!Q354)</x:f>
      </x:c>
      <x:c r="R386" s="530" t="str">
        <x:f>IF(ISBLANK('_SCHEDULE'!R354),"",'_SCHEDULE'!R354)</x:f>
      </x:c>
      <x:c r="S386" s="523" t="str">
        <x:f>IF(ISBLANK('_SCHEDULE'!S354),"",'_SCHEDULE'!S354)</x:f>
      </x:c>
      <x:c r="T386" s="38"/>
      <x:c r="U386" s="38"/>
      <x:c r="V386" s="38"/>
      <x:c r="W386" s="38"/>
      <x:c r="X386" s="38"/>
      <x:c r="Y386" s="38"/>
      <x:c r="Z386" s="38"/>
      <x:c r="AA386" s="38"/>
      <x:c r="AB386" s="38"/>
      <x:c r="AC386" s="38"/>
      <x:c r="AD386" s="38"/>
      <x:c r="AE386" s="38"/>
      <x:c r="AF386" s="38"/>
      <x:c r="AG386" s="38"/>
      <x:c r="AH386" s="38"/>
      <x:c r="AI386" s="38"/>
      <x:c r="AJ386" s="38"/>
      <x:c r="AK386" s="38"/>
      <x:c r="AL386" s="38"/>
      <x:c r="AM386" s="38"/>
    </x:row>
    <x:row r="387">
      <x:c r="A387" s="523" t="str">
        <x:f>IF(ISBLANK('_SCHEDULE'!A355),"",'_SCHEDULE'!A355)</x:f>
      </x:c>
      <x:c r="B387" s="523" t="str">
        <x:f>IF(ISBLANK('_SCHEDULE'!B355),"",IF('_CONFIG'!$B$2="pt-BR",IF('_SCHEDULE'!B355="scheduled","programado",IF('_SCHEDULE'!B355="rejected","rejeitado",'_SCHEDULE'!B355)),'_SCHEDULE'!B355))</x:f>
      </x:c>
      <x:c r="C387" s="523" t="str">
        <x:f>IF(ISBLANK('_SCHEDULE'!C355),"",'_SCHEDULE'!C355)</x:f>
      </x:c>
      <x:c r="D387" s="523" t="str">
        <x:f>IF(ISBLANK('_SCHEDULE'!D355),"",'_SCHEDULE'!D355)</x:f>
      </x:c>
      <x:c r="E387" s="530" t="str">
        <x:f>IF(ISBLANK('_SCHEDULE'!E355),"",'_SCHEDULE'!E355)</x:f>
      </x:c>
      <x:c r="F387" s="530" t="str">
        <x:f>IF(ISBLANK('_SCHEDULE'!F355),"",'_SCHEDULE'!F355)</x:f>
      </x:c>
      <x:c r="G387" s="530" t="str">
        <x:f>IF(ISBLANK('_SCHEDULE'!G355),"",'_SCHEDULE'!G355)</x:f>
      </x:c>
      <x:c r="H387" s="530" t="str">
        <x:f>IF(ISBLANK('_SCHEDULE'!H355),"",'_SCHEDULE'!H355)</x:f>
      </x:c>
      <x:c r="I387" s="530" t="str">
        <x:f>IF(ISBLANK('_SCHEDULE'!I355),"",'_SCHEDULE'!I355)</x:f>
      </x:c>
      <x:c r="J387" s="530" t="str">
        <x:f>IF(ISBLANK('_SCHEDULE'!J355),"",'_SCHEDULE'!J355)</x:f>
      </x:c>
      <x:c r="K387" s="530" t="str">
        <x:f>IF(ISBLANK('_SCHEDULE'!K355),"",'_SCHEDULE'!K355)</x:f>
      </x:c>
      <x:c r="L387" s="530" t="str">
        <x:f>IF(ISBLANK('_SCHEDULE'!L355),"",'_SCHEDULE'!L355)</x:f>
      </x:c>
      <x:c r="M387" s="530" t="str">
        <x:f>IF(ISBLANK('_SCHEDULE'!M355),"",'_SCHEDULE'!M355)</x:f>
      </x:c>
      <x:c r="N387" s="530" t="str">
        <x:f>IF(ISBLANK('_SCHEDULE'!N355),"",'_SCHEDULE'!N355)</x:f>
      </x:c>
      <x:c r="O387" s="530" t="str">
        <x:f>IF(ISBLANK('_SCHEDULE'!O355),"",'_SCHEDULE'!O355)</x:f>
      </x:c>
      <x:c r="P387" s="530" t="str">
        <x:f>IF(ISBLANK('_SCHEDULE'!P355),"",'_SCHEDULE'!P355)</x:f>
      </x:c>
      <x:c r="Q387" s="530" t="str">
        <x:f>IF(ISBLANK('_SCHEDULE'!Q355),"",'_SCHEDULE'!Q355)</x:f>
      </x:c>
      <x:c r="R387" s="530" t="str">
        <x:f>IF(ISBLANK('_SCHEDULE'!R355),"",'_SCHEDULE'!R355)</x:f>
      </x:c>
      <x:c r="S387" s="523" t="str">
        <x:f>IF(ISBLANK('_SCHEDULE'!S355),"",'_SCHEDULE'!S355)</x:f>
      </x:c>
      <x:c r="T387" s="38"/>
      <x:c r="U387" s="38"/>
      <x:c r="V387" s="38"/>
      <x:c r="W387" s="38"/>
      <x:c r="X387" s="38"/>
      <x:c r="Y387" s="38"/>
      <x:c r="Z387" s="38"/>
      <x:c r="AA387" s="38"/>
      <x:c r="AB387" s="38"/>
      <x:c r="AC387" s="38"/>
      <x:c r="AD387" s="38"/>
      <x:c r="AE387" s="38"/>
      <x:c r="AF387" s="38"/>
      <x:c r="AG387" s="38"/>
      <x:c r="AH387" s="38"/>
      <x:c r="AI387" s="38"/>
      <x:c r="AJ387" s="38"/>
      <x:c r="AK387" s="38"/>
      <x:c r="AL387" s="38"/>
      <x:c r="AM387" s="38"/>
    </x:row>
    <x:row r="388">
      <x:c r="A388" s="523" t="str">
        <x:f>IF(ISBLANK('_SCHEDULE'!A356),"",'_SCHEDULE'!A356)</x:f>
      </x:c>
      <x:c r="B388" s="523" t="str">
        <x:f>IF(ISBLANK('_SCHEDULE'!B356),"",IF('_CONFIG'!$B$2="pt-BR",IF('_SCHEDULE'!B356="scheduled","programado",IF('_SCHEDULE'!B356="rejected","rejeitado",'_SCHEDULE'!B356)),'_SCHEDULE'!B356))</x:f>
      </x:c>
      <x:c r="C388" s="523" t="str">
        <x:f>IF(ISBLANK('_SCHEDULE'!C356),"",'_SCHEDULE'!C356)</x:f>
      </x:c>
      <x:c r="D388" s="523" t="str">
        <x:f>IF(ISBLANK('_SCHEDULE'!D356),"",'_SCHEDULE'!D356)</x:f>
      </x:c>
      <x:c r="E388" s="530" t="str">
        <x:f>IF(ISBLANK('_SCHEDULE'!E356),"",'_SCHEDULE'!E356)</x:f>
      </x:c>
      <x:c r="F388" s="530" t="str">
        <x:f>IF(ISBLANK('_SCHEDULE'!F356),"",'_SCHEDULE'!F356)</x:f>
      </x:c>
      <x:c r="G388" s="530" t="str">
        <x:f>IF(ISBLANK('_SCHEDULE'!G356),"",'_SCHEDULE'!G356)</x:f>
      </x:c>
      <x:c r="H388" s="530" t="str">
        <x:f>IF(ISBLANK('_SCHEDULE'!H356),"",'_SCHEDULE'!H356)</x:f>
      </x:c>
      <x:c r="I388" s="530" t="str">
        <x:f>IF(ISBLANK('_SCHEDULE'!I356),"",'_SCHEDULE'!I356)</x:f>
      </x:c>
      <x:c r="J388" s="530" t="str">
        <x:f>IF(ISBLANK('_SCHEDULE'!J356),"",'_SCHEDULE'!J356)</x:f>
      </x:c>
      <x:c r="K388" s="530" t="str">
        <x:f>IF(ISBLANK('_SCHEDULE'!K356),"",'_SCHEDULE'!K356)</x:f>
      </x:c>
      <x:c r="L388" s="530" t="str">
        <x:f>IF(ISBLANK('_SCHEDULE'!L356),"",'_SCHEDULE'!L356)</x:f>
      </x:c>
      <x:c r="M388" s="530" t="str">
        <x:f>IF(ISBLANK('_SCHEDULE'!M356),"",'_SCHEDULE'!M356)</x:f>
      </x:c>
      <x:c r="N388" s="530" t="str">
        <x:f>IF(ISBLANK('_SCHEDULE'!N356),"",'_SCHEDULE'!N356)</x:f>
      </x:c>
      <x:c r="O388" s="530" t="str">
        <x:f>IF(ISBLANK('_SCHEDULE'!O356),"",'_SCHEDULE'!O356)</x:f>
      </x:c>
      <x:c r="P388" s="530" t="str">
        <x:f>IF(ISBLANK('_SCHEDULE'!P356),"",'_SCHEDULE'!P356)</x:f>
      </x:c>
      <x:c r="Q388" s="530" t="str">
        <x:f>IF(ISBLANK('_SCHEDULE'!Q356),"",'_SCHEDULE'!Q356)</x:f>
      </x:c>
      <x:c r="R388" s="530" t="str">
        <x:f>IF(ISBLANK('_SCHEDULE'!R356),"",'_SCHEDULE'!R356)</x:f>
      </x:c>
      <x:c r="S388" s="523" t="str">
        <x:f>IF(ISBLANK('_SCHEDULE'!S356),"",'_SCHEDULE'!S356)</x:f>
      </x:c>
      <x:c r="T388" s="38"/>
      <x:c r="U388" s="38"/>
      <x:c r="V388" s="38"/>
      <x:c r="W388" s="38"/>
      <x:c r="X388" s="38"/>
      <x:c r="Y388" s="38"/>
      <x:c r="Z388" s="38"/>
      <x:c r="AA388" s="38"/>
      <x:c r="AB388" s="38"/>
      <x:c r="AC388" s="38"/>
      <x:c r="AD388" s="38"/>
      <x:c r="AE388" s="38"/>
      <x:c r="AF388" s="38"/>
      <x:c r="AG388" s="38"/>
      <x:c r="AH388" s="38"/>
      <x:c r="AI388" s="38"/>
      <x:c r="AJ388" s="38"/>
      <x:c r="AK388" s="38"/>
      <x:c r="AL388" s="38"/>
      <x:c r="AM388" s="38"/>
    </x:row>
    <x:row r="389">
      <x:c r="A389" s="523" t="str">
        <x:f>IF(ISBLANK('_SCHEDULE'!A357),"",'_SCHEDULE'!A357)</x:f>
      </x:c>
      <x:c r="B389" s="523" t="str">
        <x:f>IF(ISBLANK('_SCHEDULE'!B357),"",IF('_CONFIG'!$B$2="pt-BR",IF('_SCHEDULE'!B357="scheduled","programado",IF('_SCHEDULE'!B357="rejected","rejeitado",'_SCHEDULE'!B357)),'_SCHEDULE'!B357))</x:f>
      </x:c>
      <x:c r="C389" s="523" t="str">
        <x:f>IF(ISBLANK('_SCHEDULE'!C357),"",'_SCHEDULE'!C357)</x:f>
      </x:c>
      <x:c r="D389" s="523" t="str">
        <x:f>IF(ISBLANK('_SCHEDULE'!D357),"",'_SCHEDULE'!D357)</x:f>
      </x:c>
      <x:c r="E389" s="530" t="str">
        <x:f>IF(ISBLANK('_SCHEDULE'!E357),"",'_SCHEDULE'!E357)</x:f>
      </x:c>
      <x:c r="F389" s="530" t="str">
        <x:f>IF(ISBLANK('_SCHEDULE'!F357),"",'_SCHEDULE'!F357)</x:f>
      </x:c>
      <x:c r="G389" s="530" t="str">
        <x:f>IF(ISBLANK('_SCHEDULE'!G357),"",'_SCHEDULE'!G357)</x:f>
      </x:c>
      <x:c r="H389" s="530" t="str">
        <x:f>IF(ISBLANK('_SCHEDULE'!H357),"",'_SCHEDULE'!H357)</x:f>
      </x:c>
      <x:c r="I389" s="530" t="str">
        <x:f>IF(ISBLANK('_SCHEDULE'!I357),"",'_SCHEDULE'!I357)</x:f>
      </x:c>
      <x:c r="J389" s="530" t="str">
        <x:f>IF(ISBLANK('_SCHEDULE'!J357),"",'_SCHEDULE'!J357)</x:f>
      </x:c>
      <x:c r="K389" s="530" t="str">
        <x:f>IF(ISBLANK('_SCHEDULE'!K357),"",'_SCHEDULE'!K357)</x:f>
      </x:c>
      <x:c r="L389" s="530" t="str">
        <x:f>IF(ISBLANK('_SCHEDULE'!L357),"",'_SCHEDULE'!L357)</x:f>
      </x:c>
      <x:c r="M389" s="530" t="str">
        <x:f>IF(ISBLANK('_SCHEDULE'!M357),"",'_SCHEDULE'!M357)</x:f>
      </x:c>
      <x:c r="N389" s="530" t="str">
        <x:f>IF(ISBLANK('_SCHEDULE'!N357),"",'_SCHEDULE'!N357)</x:f>
      </x:c>
      <x:c r="O389" s="530" t="str">
        <x:f>IF(ISBLANK('_SCHEDULE'!O357),"",'_SCHEDULE'!O357)</x:f>
      </x:c>
      <x:c r="P389" s="530" t="str">
        <x:f>IF(ISBLANK('_SCHEDULE'!P357),"",'_SCHEDULE'!P357)</x:f>
      </x:c>
      <x:c r="Q389" s="530" t="str">
        <x:f>IF(ISBLANK('_SCHEDULE'!Q357),"",'_SCHEDULE'!Q357)</x:f>
      </x:c>
      <x:c r="R389" s="530" t="str">
        <x:f>IF(ISBLANK('_SCHEDULE'!R357),"",'_SCHEDULE'!R357)</x:f>
      </x:c>
      <x:c r="S389" s="523" t="str">
        <x:f>IF(ISBLANK('_SCHEDULE'!S357),"",'_SCHEDULE'!S357)</x:f>
      </x:c>
      <x:c r="T389" s="38"/>
      <x:c r="U389" s="38"/>
      <x:c r="V389" s="38"/>
      <x:c r="W389" s="38"/>
      <x:c r="X389" s="38"/>
      <x:c r="Y389" s="38"/>
      <x:c r="Z389" s="38"/>
      <x:c r="AA389" s="38"/>
      <x:c r="AB389" s="38"/>
      <x:c r="AC389" s="38"/>
      <x:c r="AD389" s="38"/>
      <x:c r="AE389" s="38"/>
      <x:c r="AF389" s="38"/>
      <x:c r="AG389" s="38"/>
      <x:c r="AH389" s="38"/>
      <x:c r="AI389" s="38"/>
      <x:c r="AJ389" s="38"/>
      <x:c r="AK389" s="38"/>
      <x:c r="AL389" s="38"/>
      <x:c r="AM389" s="38"/>
    </x:row>
    <x:row r="390">
      <x:c r="A390" s="523" t="str">
        <x:f>IF(ISBLANK('_SCHEDULE'!A358),"",'_SCHEDULE'!A358)</x:f>
      </x:c>
      <x:c r="B390" s="523" t="str">
        <x:f>IF(ISBLANK('_SCHEDULE'!B358),"",IF('_CONFIG'!$B$2="pt-BR",IF('_SCHEDULE'!B358="scheduled","programado",IF('_SCHEDULE'!B358="rejected","rejeitado",'_SCHEDULE'!B358)),'_SCHEDULE'!B358))</x:f>
      </x:c>
      <x:c r="C390" s="523" t="str">
        <x:f>IF(ISBLANK('_SCHEDULE'!C358),"",'_SCHEDULE'!C358)</x:f>
      </x:c>
      <x:c r="D390" s="523" t="str">
        <x:f>IF(ISBLANK('_SCHEDULE'!D358),"",'_SCHEDULE'!D358)</x:f>
      </x:c>
      <x:c r="E390" s="530" t="str">
        <x:f>IF(ISBLANK('_SCHEDULE'!E358),"",'_SCHEDULE'!E358)</x:f>
      </x:c>
      <x:c r="F390" s="530" t="str">
        <x:f>IF(ISBLANK('_SCHEDULE'!F358),"",'_SCHEDULE'!F358)</x:f>
      </x:c>
      <x:c r="G390" s="530" t="str">
        <x:f>IF(ISBLANK('_SCHEDULE'!G358),"",'_SCHEDULE'!G358)</x:f>
      </x:c>
      <x:c r="H390" s="530" t="str">
        <x:f>IF(ISBLANK('_SCHEDULE'!H358),"",'_SCHEDULE'!H358)</x:f>
      </x:c>
      <x:c r="I390" s="530" t="str">
        <x:f>IF(ISBLANK('_SCHEDULE'!I358),"",'_SCHEDULE'!I358)</x:f>
      </x:c>
      <x:c r="J390" s="530" t="str">
        <x:f>IF(ISBLANK('_SCHEDULE'!J358),"",'_SCHEDULE'!J358)</x:f>
      </x:c>
      <x:c r="K390" s="530" t="str">
        <x:f>IF(ISBLANK('_SCHEDULE'!K358),"",'_SCHEDULE'!K358)</x:f>
      </x:c>
      <x:c r="L390" s="530" t="str">
        <x:f>IF(ISBLANK('_SCHEDULE'!L358),"",'_SCHEDULE'!L358)</x:f>
      </x:c>
      <x:c r="M390" s="530" t="str">
        <x:f>IF(ISBLANK('_SCHEDULE'!M358),"",'_SCHEDULE'!M358)</x:f>
      </x:c>
      <x:c r="N390" s="530" t="str">
        <x:f>IF(ISBLANK('_SCHEDULE'!N358),"",'_SCHEDULE'!N358)</x:f>
      </x:c>
      <x:c r="O390" s="530" t="str">
        <x:f>IF(ISBLANK('_SCHEDULE'!O358),"",'_SCHEDULE'!O358)</x:f>
      </x:c>
      <x:c r="P390" s="530" t="str">
        <x:f>IF(ISBLANK('_SCHEDULE'!P358),"",'_SCHEDULE'!P358)</x:f>
      </x:c>
      <x:c r="Q390" s="530" t="str">
        <x:f>IF(ISBLANK('_SCHEDULE'!Q358),"",'_SCHEDULE'!Q358)</x:f>
      </x:c>
      <x:c r="R390" s="530" t="str">
        <x:f>IF(ISBLANK('_SCHEDULE'!R358),"",'_SCHEDULE'!R358)</x:f>
      </x:c>
      <x:c r="S390" s="523" t="str">
        <x:f>IF(ISBLANK('_SCHEDULE'!S358),"",'_SCHEDULE'!S358)</x:f>
      </x:c>
      <x:c r="T390" s="38"/>
      <x:c r="U390" s="38"/>
      <x:c r="V390" s="38"/>
      <x:c r="W390" s="38"/>
      <x:c r="X390" s="38"/>
      <x:c r="Y390" s="38"/>
      <x:c r="Z390" s="38"/>
      <x:c r="AA390" s="38"/>
      <x:c r="AB390" s="38"/>
      <x:c r="AC390" s="38"/>
      <x:c r="AD390" s="38"/>
      <x:c r="AE390" s="38"/>
      <x:c r="AF390" s="38"/>
      <x:c r="AG390" s="38"/>
      <x:c r="AH390" s="38"/>
      <x:c r="AI390" s="38"/>
      <x:c r="AJ390" s="38"/>
      <x:c r="AK390" s="38"/>
      <x:c r="AL390" s="38"/>
      <x:c r="AM390" s="38"/>
    </x:row>
    <x:row r="391">
      <x:c r="A391" s="523" t="str">
        <x:f>IF(ISBLANK('_SCHEDULE'!A359),"",'_SCHEDULE'!A359)</x:f>
      </x:c>
      <x:c r="B391" s="523" t="str">
        <x:f>IF(ISBLANK('_SCHEDULE'!B359),"",IF('_CONFIG'!$B$2="pt-BR",IF('_SCHEDULE'!B359="scheduled","programado",IF('_SCHEDULE'!B359="rejected","rejeitado",'_SCHEDULE'!B359)),'_SCHEDULE'!B359))</x:f>
      </x:c>
      <x:c r="C391" s="523" t="str">
        <x:f>IF(ISBLANK('_SCHEDULE'!C359),"",'_SCHEDULE'!C359)</x:f>
      </x:c>
      <x:c r="D391" s="523" t="str">
        <x:f>IF(ISBLANK('_SCHEDULE'!D359),"",'_SCHEDULE'!D359)</x:f>
      </x:c>
      <x:c r="E391" s="530" t="str">
        <x:f>IF(ISBLANK('_SCHEDULE'!E359),"",'_SCHEDULE'!E359)</x:f>
      </x:c>
      <x:c r="F391" s="530" t="str">
        <x:f>IF(ISBLANK('_SCHEDULE'!F359),"",'_SCHEDULE'!F359)</x:f>
      </x:c>
      <x:c r="G391" s="530" t="str">
        <x:f>IF(ISBLANK('_SCHEDULE'!G359),"",'_SCHEDULE'!G359)</x:f>
      </x:c>
      <x:c r="H391" s="530" t="str">
        <x:f>IF(ISBLANK('_SCHEDULE'!H359),"",'_SCHEDULE'!H359)</x:f>
      </x:c>
      <x:c r="I391" s="530" t="str">
        <x:f>IF(ISBLANK('_SCHEDULE'!I359),"",'_SCHEDULE'!I359)</x:f>
      </x:c>
      <x:c r="J391" s="530" t="str">
        <x:f>IF(ISBLANK('_SCHEDULE'!J359),"",'_SCHEDULE'!J359)</x:f>
      </x:c>
      <x:c r="K391" s="530" t="str">
        <x:f>IF(ISBLANK('_SCHEDULE'!K359),"",'_SCHEDULE'!K359)</x:f>
      </x:c>
      <x:c r="L391" s="530" t="str">
        <x:f>IF(ISBLANK('_SCHEDULE'!L359),"",'_SCHEDULE'!L359)</x:f>
      </x:c>
      <x:c r="M391" s="530" t="str">
        <x:f>IF(ISBLANK('_SCHEDULE'!M359),"",'_SCHEDULE'!M359)</x:f>
      </x:c>
      <x:c r="N391" s="530" t="str">
        <x:f>IF(ISBLANK('_SCHEDULE'!N359),"",'_SCHEDULE'!N359)</x:f>
      </x:c>
      <x:c r="O391" s="530" t="str">
        <x:f>IF(ISBLANK('_SCHEDULE'!O359),"",'_SCHEDULE'!O359)</x:f>
      </x:c>
      <x:c r="P391" s="530" t="str">
        <x:f>IF(ISBLANK('_SCHEDULE'!P359),"",'_SCHEDULE'!P359)</x:f>
      </x:c>
      <x:c r="Q391" s="530" t="str">
        <x:f>IF(ISBLANK('_SCHEDULE'!Q359),"",'_SCHEDULE'!Q359)</x:f>
      </x:c>
      <x:c r="R391" s="530" t="str">
        <x:f>IF(ISBLANK('_SCHEDULE'!R359),"",'_SCHEDULE'!R359)</x:f>
      </x:c>
      <x:c r="S391" s="523" t="str">
        <x:f>IF(ISBLANK('_SCHEDULE'!S359),"",'_SCHEDULE'!S359)</x:f>
      </x:c>
      <x:c r="T391" s="38"/>
      <x:c r="U391" s="38"/>
      <x:c r="V391" s="38"/>
      <x:c r="W391" s="38"/>
      <x:c r="X391" s="38"/>
      <x:c r="Y391" s="38"/>
      <x:c r="Z391" s="38"/>
      <x:c r="AA391" s="38"/>
      <x:c r="AB391" s="38"/>
      <x:c r="AC391" s="38"/>
      <x:c r="AD391" s="38"/>
      <x:c r="AE391" s="38"/>
      <x:c r="AF391" s="38"/>
      <x:c r="AG391" s="38"/>
      <x:c r="AH391" s="38"/>
      <x:c r="AI391" s="38"/>
      <x:c r="AJ391" s="38"/>
      <x:c r="AK391" s="38"/>
      <x:c r="AL391" s="38"/>
      <x:c r="AM391" s="38"/>
    </x:row>
    <x:row r="392">
      <x:c r="A392" s="523" t="str">
        <x:f>IF(ISBLANK('_SCHEDULE'!A360),"",'_SCHEDULE'!A360)</x:f>
      </x:c>
      <x:c r="B392" s="523" t="str">
        <x:f>IF(ISBLANK('_SCHEDULE'!B360),"",IF('_CONFIG'!$B$2="pt-BR",IF('_SCHEDULE'!B360="scheduled","programado",IF('_SCHEDULE'!B360="rejected","rejeitado",'_SCHEDULE'!B360)),'_SCHEDULE'!B360))</x:f>
      </x:c>
      <x:c r="C392" s="523" t="str">
        <x:f>IF(ISBLANK('_SCHEDULE'!C360),"",'_SCHEDULE'!C360)</x:f>
      </x:c>
      <x:c r="D392" s="523" t="str">
        <x:f>IF(ISBLANK('_SCHEDULE'!D360),"",'_SCHEDULE'!D360)</x:f>
      </x:c>
      <x:c r="E392" s="530" t="str">
        <x:f>IF(ISBLANK('_SCHEDULE'!E360),"",'_SCHEDULE'!E360)</x:f>
      </x:c>
      <x:c r="F392" s="530" t="str">
        <x:f>IF(ISBLANK('_SCHEDULE'!F360),"",'_SCHEDULE'!F360)</x:f>
      </x:c>
      <x:c r="G392" s="530" t="str">
        <x:f>IF(ISBLANK('_SCHEDULE'!G360),"",'_SCHEDULE'!G360)</x:f>
      </x:c>
      <x:c r="H392" s="530" t="str">
        <x:f>IF(ISBLANK('_SCHEDULE'!H360),"",'_SCHEDULE'!H360)</x:f>
      </x:c>
      <x:c r="I392" s="530" t="str">
        <x:f>IF(ISBLANK('_SCHEDULE'!I360),"",'_SCHEDULE'!I360)</x:f>
      </x:c>
      <x:c r="J392" s="530" t="str">
        <x:f>IF(ISBLANK('_SCHEDULE'!J360),"",'_SCHEDULE'!J360)</x:f>
      </x:c>
      <x:c r="K392" s="530" t="str">
        <x:f>IF(ISBLANK('_SCHEDULE'!K360),"",'_SCHEDULE'!K360)</x:f>
      </x:c>
      <x:c r="L392" s="530" t="str">
        <x:f>IF(ISBLANK('_SCHEDULE'!L360),"",'_SCHEDULE'!L360)</x:f>
      </x:c>
      <x:c r="M392" s="530" t="str">
        <x:f>IF(ISBLANK('_SCHEDULE'!M360),"",'_SCHEDULE'!M360)</x:f>
      </x:c>
      <x:c r="N392" s="530" t="str">
        <x:f>IF(ISBLANK('_SCHEDULE'!N360),"",'_SCHEDULE'!N360)</x:f>
      </x:c>
      <x:c r="O392" s="530" t="str">
        <x:f>IF(ISBLANK('_SCHEDULE'!O360),"",'_SCHEDULE'!O360)</x:f>
      </x:c>
      <x:c r="P392" s="530" t="str">
        <x:f>IF(ISBLANK('_SCHEDULE'!P360),"",'_SCHEDULE'!P360)</x:f>
      </x:c>
      <x:c r="Q392" s="530" t="str">
        <x:f>IF(ISBLANK('_SCHEDULE'!Q360),"",'_SCHEDULE'!Q360)</x:f>
      </x:c>
      <x:c r="R392" s="530" t="str">
        <x:f>IF(ISBLANK('_SCHEDULE'!R360),"",'_SCHEDULE'!R360)</x:f>
      </x:c>
      <x:c r="S392" s="523" t="str">
        <x:f>IF(ISBLANK('_SCHEDULE'!S360),"",'_SCHEDULE'!S360)</x:f>
      </x:c>
      <x:c r="T392" s="38"/>
      <x:c r="U392" s="38"/>
      <x:c r="V392" s="38"/>
      <x:c r="W392" s="38"/>
      <x:c r="X392" s="38"/>
      <x:c r="Y392" s="38"/>
      <x:c r="Z392" s="38"/>
      <x:c r="AA392" s="38"/>
      <x:c r="AB392" s="38"/>
      <x:c r="AC392" s="38"/>
      <x:c r="AD392" s="38"/>
      <x:c r="AE392" s="38"/>
      <x:c r="AF392" s="38"/>
      <x:c r="AG392" s="38"/>
      <x:c r="AH392" s="38"/>
      <x:c r="AI392" s="38"/>
      <x:c r="AJ392" s="38"/>
      <x:c r="AK392" s="38"/>
      <x:c r="AL392" s="38"/>
      <x:c r="AM392" s="38"/>
    </x:row>
    <x:row r="393">
      <x:c r="A393" s="523" t="str">
        <x:f>IF(ISBLANK('_SCHEDULE'!A361),"",'_SCHEDULE'!A361)</x:f>
      </x:c>
      <x:c r="B393" s="523" t="str">
        <x:f>IF(ISBLANK('_SCHEDULE'!B361),"",IF('_CONFIG'!$B$2="pt-BR",IF('_SCHEDULE'!B361="scheduled","programado",IF('_SCHEDULE'!B361="rejected","rejeitado",'_SCHEDULE'!B361)),'_SCHEDULE'!B361))</x:f>
      </x:c>
      <x:c r="C393" s="523" t="str">
        <x:f>IF(ISBLANK('_SCHEDULE'!C361),"",'_SCHEDULE'!C361)</x:f>
      </x:c>
      <x:c r="D393" s="523" t="str">
        <x:f>IF(ISBLANK('_SCHEDULE'!D361),"",'_SCHEDULE'!D361)</x:f>
      </x:c>
      <x:c r="E393" s="530" t="str">
        <x:f>IF(ISBLANK('_SCHEDULE'!E361),"",'_SCHEDULE'!E361)</x:f>
      </x:c>
      <x:c r="F393" s="530" t="str">
        <x:f>IF(ISBLANK('_SCHEDULE'!F361),"",'_SCHEDULE'!F361)</x:f>
      </x:c>
      <x:c r="G393" s="530" t="str">
        <x:f>IF(ISBLANK('_SCHEDULE'!G361),"",'_SCHEDULE'!G361)</x:f>
      </x:c>
      <x:c r="H393" s="530" t="str">
        <x:f>IF(ISBLANK('_SCHEDULE'!H361),"",'_SCHEDULE'!H361)</x:f>
      </x:c>
      <x:c r="I393" s="530" t="str">
        <x:f>IF(ISBLANK('_SCHEDULE'!I361),"",'_SCHEDULE'!I361)</x:f>
      </x:c>
      <x:c r="J393" s="530" t="str">
        <x:f>IF(ISBLANK('_SCHEDULE'!J361),"",'_SCHEDULE'!J361)</x:f>
      </x:c>
      <x:c r="K393" s="530" t="str">
        <x:f>IF(ISBLANK('_SCHEDULE'!K361),"",'_SCHEDULE'!K361)</x:f>
      </x:c>
      <x:c r="L393" s="530" t="str">
        <x:f>IF(ISBLANK('_SCHEDULE'!L361),"",'_SCHEDULE'!L361)</x:f>
      </x:c>
      <x:c r="M393" s="530" t="str">
        <x:f>IF(ISBLANK('_SCHEDULE'!M361),"",'_SCHEDULE'!M361)</x:f>
      </x:c>
      <x:c r="N393" s="530" t="str">
        <x:f>IF(ISBLANK('_SCHEDULE'!N361),"",'_SCHEDULE'!N361)</x:f>
      </x:c>
      <x:c r="O393" s="530" t="str">
        <x:f>IF(ISBLANK('_SCHEDULE'!O361),"",'_SCHEDULE'!O361)</x:f>
      </x:c>
      <x:c r="P393" s="530" t="str">
        <x:f>IF(ISBLANK('_SCHEDULE'!P361),"",'_SCHEDULE'!P361)</x:f>
      </x:c>
      <x:c r="Q393" s="530" t="str">
        <x:f>IF(ISBLANK('_SCHEDULE'!Q361),"",'_SCHEDULE'!Q361)</x:f>
      </x:c>
      <x:c r="R393" s="530" t="str">
        <x:f>IF(ISBLANK('_SCHEDULE'!R361),"",'_SCHEDULE'!R361)</x:f>
      </x:c>
      <x:c r="S393" s="523" t="str">
        <x:f>IF(ISBLANK('_SCHEDULE'!S361),"",'_SCHEDULE'!S361)</x:f>
      </x:c>
      <x:c r="T393" s="38"/>
      <x:c r="U393" s="38"/>
      <x:c r="V393" s="38"/>
      <x:c r="W393" s="38"/>
      <x:c r="X393" s="38"/>
      <x:c r="Y393" s="38"/>
      <x:c r="Z393" s="38"/>
      <x:c r="AA393" s="38"/>
      <x:c r="AB393" s="38"/>
      <x:c r="AC393" s="38"/>
      <x:c r="AD393" s="38"/>
      <x:c r="AE393" s="38"/>
      <x:c r="AF393" s="38"/>
      <x:c r="AG393" s="38"/>
      <x:c r="AH393" s="38"/>
      <x:c r="AI393" s="38"/>
      <x:c r="AJ393" s="38"/>
      <x:c r="AK393" s="38"/>
      <x:c r="AL393" s="38"/>
      <x:c r="AM393" s="38"/>
    </x:row>
    <x:row r="394">
      <x:c r="A394" s="523" t="str">
        <x:f>IF(ISBLANK('_SCHEDULE'!A362),"",'_SCHEDULE'!A362)</x:f>
      </x:c>
      <x:c r="B394" s="523" t="str">
        <x:f>IF(ISBLANK('_SCHEDULE'!B362),"",IF('_CONFIG'!$B$2="pt-BR",IF('_SCHEDULE'!B362="scheduled","programado",IF('_SCHEDULE'!B362="rejected","rejeitado",'_SCHEDULE'!B362)),'_SCHEDULE'!B362))</x:f>
      </x:c>
      <x:c r="C394" s="523" t="str">
        <x:f>IF(ISBLANK('_SCHEDULE'!C362),"",'_SCHEDULE'!C362)</x:f>
      </x:c>
      <x:c r="D394" s="523" t="str">
        <x:f>IF(ISBLANK('_SCHEDULE'!D362),"",'_SCHEDULE'!D362)</x:f>
      </x:c>
      <x:c r="E394" s="530" t="str">
        <x:f>IF(ISBLANK('_SCHEDULE'!E362),"",'_SCHEDULE'!E362)</x:f>
      </x:c>
      <x:c r="F394" s="530" t="str">
        <x:f>IF(ISBLANK('_SCHEDULE'!F362),"",'_SCHEDULE'!F362)</x:f>
      </x:c>
      <x:c r="G394" s="530" t="str">
        <x:f>IF(ISBLANK('_SCHEDULE'!G362),"",'_SCHEDULE'!G362)</x:f>
      </x:c>
      <x:c r="H394" s="530" t="str">
        <x:f>IF(ISBLANK('_SCHEDULE'!H362),"",'_SCHEDULE'!H362)</x:f>
      </x:c>
      <x:c r="I394" s="530" t="str">
        <x:f>IF(ISBLANK('_SCHEDULE'!I362),"",'_SCHEDULE'!I362)</x:f>
      </x:c>
      <x:c r="J394" s="530" t="str">
        <x:f>IF(ISBLANK('_SCHEDULE'!J362),"",'_SCHEDULE'!J362)</x:f>
      </x:c>
      <x:c r="K394" s="530" t="str">
        <x:f>IF(ISBLANK('_SCHEDULE'!K362),"",'_SCHEDULE'!K362)</x:f>
      </x:c>
      <x:c r="L394" s="530" t="str">
        <x:f>IF(ISBLANK('_SCHEDULE'!L362),"",'_SCHEDULE'!L362)</x:f>
      </x:c>
      <x:c r="M394" s="530" t="str">
        <x:f>IF(ISBLANK('_SCHEDULE'!M362),"",'_SCHEDULE'!M362)</x:f>
      </x:c>
      <x:c r="N394" s="530" t="str">
        <x:f>IF(ISBLANK('_SCHEDULE'!N362),"",'_SCHEDULE'!N362)</x:f>
      </x:c>
      <x:c r="O394" s="530" t="str">
        <x:f>IF(ISBLANK('_SCHEDULE'!O362),"",'_SCHEDULE'!O362)</x:f>
      </x:c>
      <x:c r="P394" s="530" t="str">
        <x:f>IF(ISBLANK('_SCHEDULE'!P362),"",'_SCHEDULE'!P362)</x:f>
      </x:c>
      <x:c r="Q394" s="530" t="str">
        <x:f>IF(ISBLANK('_SCHEDULE'!Q362),"",'_SCHEDULE'!Q362)</x:f>
      </x:c>
      <x:c r="R394" s="530" t="str">
        <x:f>IF(ISBLANK('_SCHEDULE'!R362),"",'_SCHEDULE'!R362)</x:f>
      </x:c>
      <x:c r="S394" s="523" t="str">
        <x:f>IF(ISBLANK('_SCHEDULE'!S362),"",'_SCHEDULE'!S362)</x:f>
      </x:c>
      <x:c r="T394" s="38"/>
      <x:c r="U394" s="38"/>
      <x:c r="V394" s="38"/>
      <x:c r="W394" s="38"/>
      <x:c r="X394" s="38"/>
      <x:c r="Y394" s="38"/>
      <x:c r="Z394" s="38"/>
      <x:c r="AA394" s="38"/>
      <x:c r="AB394" s="38"/>
      <x:c r="AC394" s="38"/>
      <x:c r="AD394" s="38"/>
      <x:c r="AE394" s="38"/>
      <x:c r="AF394" s="38"/>
      <x:c r="AG394" s="38"/>
      <x:c r="AH394" s="38"/>
      <x:c r="AI394" s="38"/>
      <x:c r="AJ394" s="38"/>
      <x:c r="AK394" s="38"/>
      <x:c r="AL394" s="38"/>
      <x:c r="AM394" s="38"/>
    </x:row>
    <x:row r="395">
      <x:c r="A395" s="523" t="str">
        <x:f>IF(ISBLANK('_SCHEDULE'!A363),"",'_SCHEDULE'!A363)</x:f>
      </x:c>
      <x:c r="B395" s="523" t="str">
        <x:f>IF(ISBLANK('_SCHEDULE'!B363),"",IF('_CONFIG'!$B$2="pt-BR",IF('_SCHEDULE'!B363="scheduled","programado",IF('_SCHEDULE'!B363="rejected","rejeitado",'_SCHEDULE'!B363)),'_SCHEDULE'!B363))</x:f>
      </x:c>
      <x:c r="C395" s="523" t="str">
        <x:f>IF(ISBLANK('_SCHEDULE'!C363),"",'_SCHEDULE'!C363)</x:f>
      </x:c>
      <x:c r="D395" s="523" t="str">
        <x:f>IF(ISBLANK('_SCHEDULE'!D363),"",'_SCHEDULE'!D363)</x:f>
      </x:c>
      <x:c r="E395" s="530" t="str">
        <x:f>IF(ISBLANK('_SCHEDULE'!E363),"",'_SCHEDULE'!E363)</x:f>
      </x:c>
      <x:c r="F395" s="530" t="str">
        <x:f>IF(ISBLANK('_SCHEDULE'!F363),"",'_SCHEDULE'!F363)</x:f>
      </x:c>
      <x:c r="G395" s="530" t="str">
        <x:f>IF(ISBLANK('_SCHEDULE'!G363),"",'_SCHEDULE'!G363)</x:f>
      </x:c>
      <x:c r="H395" s="530" t="str">
        <x:f>IF(ISBLANK('_SCHEDULE'!H363),"",'_SCHEDULE'!H363)</x:f>
      </x:c>
      <x:c r="I395" s="530" t="str">
        <x:f>IF(ISBLANK('_SCHEDULE'!I363),"",'_SCHEDULE'!I363)</x:f>
      </x:c>
      <x:c r="J395" s="530" t="str">
        <x:f>IF(ISBLANK('_SCHEDULE'!J363),"",'_SCHEDULE'!J363)</x:f>
      </x:c>
      <x:c r="K395" s="530" t="str">
        <x:f>IF(ISBLANK('_SCHEDULE'!K363),"",'_SCHEDULE'!K363)</x:f>
      </x:c>
      <x:c r="L395" s="530" t="str">
        <x:f>IF(ISBLANK('_SCHEDULE'!L363),"",'_SCHEDULE'!L363)</x:f>
      </x:c>
      <x:c r="M395" s="530" t="str">
        <x:f>IF(ISBLANK('_SCHEDULE'!M363),"",'_SCHEDULE'!M363)</x:f>
      </x:c>
      <x:c r="N395" s="530" t="str">
        <x:f>IF(ISBLANK('_SCHEDULE'!N363),"",'_SCHEDULE'!N363)</x:f>
      </x:c>
      <x:c r="O395" s="530" t="str">
        <x:f>IF(ISBLANK('_SCHEDULE'!O363),"",'_SCHEDULE'!O363)</x:f>
      </x:c>
      <x:c r="P395" s="530" t="str">
        <x:f>IF(ISBLANK('_SCHEDULE'!P363),"",'_SCHEDULE'!P363)</x:f>
      </x:c>
      <x:c r="Q395" s="530" t="str">
        <x:f>IF(ISBLANK('_SCHEDULE'!Q363),"",'_SCHEDULE'!Q363)</x:f>
      </x:c>
      <x:c r="R395" s="530" t="str">
        <x:f>IF(ISBLANK('_SCHEDULE'!R363),"",'_SCHEDULE'!R363)</x:f>
      </x:c>
      <x:c r="S395" s="523" t="str">
        <x:f>IF(ISBLANK('_SCHEDULE'!S363),"",'_SCHEDULE'!S363)</x:f>
      </x:c>
      <x:c r="T395" s="38"/>
      <x:c r="U395" s="38"/>
      <x:c r="V395" s="38"/>
      <x:c r="W395" s="38"/>
      <x:c r="X395" s="38"/>
      <x:c r="Y395" s="38"/>
      <x:c r="Z395" s="38"/>
      <x:c r="AA395" s="38"/>
      <x:c r="AB395" s="38"/>
      <x:c r="AC395" s="38"/>
      <x:c r="AD395" s="38"/>
      <x:c r="AE395" s="38"/>
      <x:c r="AF395" s="38"/>
      <x:c r="AG395" s="38"/>
      <x:c r="AH395" s="38"/>
      <x:c r="AI395" s="38"/>
      <x:c r="AJ395" s="38"/>
      <x:c r="AK395" s="38"/>
      <x:c r="AL395" s="38"/>
      <x:c r="AM395" s="38"/>
    </x:row>
    <x:row r="396">
      <x:c r="A396" s="523" t="str">
        <x:f>IF(ISBLANK('_SCHEDULE'!A364),"",'_SCHEDULE'!A364)</x:f>
      </x:c>
      <x:c r="B396" s="523" t="str">
        <x:f>IF(ISBLANK('_SCHEDULE'!B364),"",IF('_CONFIG'!$B$2="pt-BR",IF('_SCHEDULE'!B364="scheduled","programado",IF('_SCHEDULE'!B364="rejected","rejeitado",'_SCHEDULE'!B364)),'_SCHEDULE'!B364))</x:f>
      </x:c>
      <x:c r="C396" s="523" t="str">
        <x:f>IF(ISBLANK('_SCHEDULE'!C364),"",'_SCHEDULE'!C364)</x:f>
      </x:c>
      <x:c r="D396" s="523" t="str">
        <x:f>IF(ISBLANK('_SCHEDULE'!D364),"",'_SCHEDULE'!D364)</x:f>
      </x:c>
      <x:c r="E396" s="530" t="str">
        <x:f>IF(ISBLANK('_SCHEDULE'!E364),"",'_SCHEDULE'!E364)</x:f>
      </x:c>
      <x:c r="F396" s="530" t="str">
        <x:f>IF(ISBLANK('_SCHEDULE'!F364),"",'_SCHEDULE'!F364)</x:f>
      </x:c>
      <x:c r="G396" s="530" t="str">
        <x:f>IF(ISBLANK('_SCHEDULE'!G364),"",'_SCHEDULE'!G364)</x:f>
      </x:c>
      <x:c r="H396" s="530" t="str">
        <x:f>IF(ISBLANK('_SCHEDULE'!H364),"",'_SCHEDULE'!H364)</x:f>
      </x:c>
      <x:c r="I396" s="530" t="str">
        <x:f>IF(ISBLANK('_SCHEDULE'!I364),"",'_SCHEDULE'!I364)</x:f>
      </x:c>
      <x:c r="J396" s="530" t="str">
        <x:f>IF(ISBLANK('_SCHEDULE'!J364),"",'_SCHEDULE'!J364)</x:f>
      </x:c>
      <x:c r="K396" s="530" t="str">
        <x:f>IF(ISBLANK('_SCHEDULE'!K364),"",'_SCHEDULE'!K364)</x:f>
      </x:c>
      <x:c r="L396" s="530" t="str">
        <x:f>IF(ISBLANK('_SCHEDULE'!L364),"",'_SCHEDULE'!L364)</x:f>
      </x:c>
      <x:c r="M396" s="530" t="str">
        <x:f>IF(ISBLANK('_SCHEDULE'!M364),"",'_SCHEDULE'!M364)</x:f>
      </x:c>
      <x:c r="N396" s="530" t="str">
        <x:f>IF(ISBLANK('_SCHEDULE'!N364),"",'_SCHEDULE'!N364)</x:f>
      </x:c>
      <x:c r="O396" s="530" t="str">
        <x:f>IF(ISBLANK('_SCHEDULE'!O364),"",'_SCHEDULE'!O364)</x:f>
      </x:c>
      <x:c r="P396" s="530" t="str">
        <x:f>IF(ISBLANK('_SCHEDULE'!P364),"",'_SCHEDULE'!P364)</x:f>
      </x:c>
      <x:c r="Q396" s="530" t="str">
        <x:f>IF(ISBLANK('_SCHEDULE'!Q364),"",'_SCHEDULE'!Q364)</x:f>
      </x:c>
      <x:c r="R396" s="530" t="str">
        <x:f>IF(ISBLANK('_SCHEDULE'!R364),"",'_SCHEDULE'!R364)</x:f>
      </x:c>
      <x:c r="S396" s="523" t="str">
        <x:f>IF(ISBLANK('_SCHEDULE'!S364),"",'_SCHEDULE'!S364)</x:f>
      </x:c>
      <x:c r="T396" s="38"/>
      <x:c r="U396" s="38"/>
      <x:c r="V396" s="38"/>
      <x:c r="W396" s="38"/>
      <x:c r="X396" s="38"/>
      <x:c r="Y396" s="38"/>
      <x:c r="Z396" s="38"/>
      <x:c r="AA396" s="38"/>
      <x:c r="AB396" s="38"/>
      <x:c r="AC396" s="38"/>
      <x:c r="AD396" s="38"/>
      <x:c r="AE396" s="38"/>
      <x:c r="AF396" s="38"/>
      <x:c r="AG396" s="38"/>
      <x:c r="AH396" s="38"/>
      <x:c r="AI396" s="38"/>
      <x:c r="AJ396" s="38"/>
      <x:c r="AK396" s="38"/>
      <x:c r="AL396" s="38"/>
      <x:c r="AM396" s="38"/>
    </x:row>
    <x:row r="397">
      <x:c r="A397" s="523" t="str">
        <x:f>IF(ISBLANK('_SCHEDULE'!A365),"",'_SCHEDULE'!A365)</x:f>
      </x:c>
      <x:c r="B397" s="523" t="str">
        <x:f>IF(ISBLANK('_SCHEDULE'!B365),"",IF('_CONFIG'!$B$2="pt-BR",IF('_SCHEDULE'!B365="scheduled","programado",IF('_SCHEDULE'!B365="rejected","rejeitado",'_SCHEDULE'!B365)),'_SCHEDULE'!B365))</x:f>
      </x:c>
      <x:c r="C397" s="523" t="str">
        <x:f>IF(ISBLANK('_SCHEDULE'!C365),"",'_SCHEDULE'!C365)</x:f>
      </x:c>
      <x:c r="D397" s="523" t="str">
        <x:f>IF(ISBLANK('_SCHEDULE'!D365),"",'_SCHEDULE'!D365)</x:f>
      </x:c>
      <x:c r="E397" s="530" t="str">
        <x:f>IF(ISBLANK('_SCHEDULE'!E365),"",'_SCHEDULE'!E365)</x:f>
      </x:c>
      <x:c r="F397" s="530" t="str">
        <x:f>IF(ISBLANK('_SCHEDULE'!F365),"",'_SCHEDULE'!F365)</x:f>
      </x:c>
      <x:c r="G397" s="530" t="str">
        <x:f>IF(ISBLANK('_SCHEDULE'!G365),"",'_SCHEDULE'!G365)</x:f>
      </x:c>
      <x:c r="H397" s="530" t="str">
        <x:f>IF(ISBLANK('_SCHEDULE'!H365),"",'_SCHEDULE'!H365)</x:f>
      </x:c>
      <x:c r="I397" s="530" t="str">
        <x:f>IF(ISBLANK('_SCHEDULE'!I365),"",'_SCHEDULE'!I365)</x:f>
      </x:c>
      <x:c r="J397" s="530" t="str">
        <x:f>IF(ISBLANK('_SCHEDULE'!J365),"",'_SCHEDULE'!J365)</x:f>
      </x:c>
      <x:c r="K397" s="530" t="str">
        <x:f>IF(ISBLANK('_SCHEDULE'!K365),"",'_SCHEDULE'!K365)</x:f>
      </x:c>
      <x:c r="L397" s="530" t="str">
        <x:f>IF(ISBLANK('_SCHEDULE'!L365),"",'_SCHEDULE'!L365)</x:f>
      </x:c>
      <x:c r="M397" s="530" t="str">
        <x:f>IF(ISBLANK('_SCHEDULE'!M365),"",'_SCHEDULE'!M365)</x:f>
      </x:c>
      <x:c r="N397" s="530" t="str">
        <x:f>IF(ISBLANK('_SCHEDULE'!N365),"",'_SCHEDULE'!N365)</x:f>
      </x:c>
      <x:c r="O397" s="530" t="str">
        <x:f>IF(ISBLANK('_SCHEDULE'!O365),"",'_SCHEDULE'!O365)</x:f>
      </x:c>
      <x:c r="P397" s="530" t="str">
        <x:f>IF(ISBLANK('_SCHEDULE'!P365),"",'_SCHEDULE'!P365)</x:f>
      </x:c>
      <x:c r="Q397" s="530" t="str">
        <x:f>IF(ISBLANK('_SCHEDULE'!Q365),"",'_SCHEDULE'!Q365)</x:f>
      </x:c>
      <x:c r="R397" s="530" t="str">
        <x:f>IF(ISBLANK('_SCHEDULE'!R365),"",'_SCHEDULE'!R365)</x:f>
      </x:c>
      <x:c r="S397" s="523" t="str">
        <x:f>IF(ISBLANK('_SCHEDULE'!S365),"",'_SCHEDULE'!S365)</x:f>
      </x:c>
      <x:c r="T397" s="38"/>
      <x:c r="U397" s="38"/>
      <x:c r="V397" s="38"/>
      <x:c r="W397" s="38"/>
      <x:c r="X397" s="38"/>
      <x:c r="Y397" s="38"/>
      <x:c r="Z397" s="38"/>
      <x:c r="AA397" s="38"/>
      <x:c r="AB397" s="38"/>
      <x:c r="AC397" s="38"/>
      <x:c r="AD397" s="38"/>
      <x:c r="AE397" s="38"/>
      <x:c r="AF397" s="38"/>
      <x:c r="AG397" s="38"/>
      <x:c r="AH397" s="38"/>
      <x:c r="AI397" s="38"/>
      <x:c r="AJ397" s="38"/>
      <x:c r="AK397" s="38"/>
      <x:c r="AL397" s="38"/>
      <x:c r="AM397" s="38"/>
    </x:row>
    <x:row r="398">
      <x:c r="A398" s="523" t="str">
        <x:f>IF(ISBLANK('_SCHEDULE'!A366),"",'_SCHEDULE'!A366)</x:f>
      </x:c>
      <x:c r="B398" s="523" t="str">
        <x:f>IF(ISBLANK('_SCHEDULE'!B366),"",IF('_CONFIG'!$B$2="pt-BR",IF('_SCHEDULE'!B366="scheduled","programado",IF('_SCHEDULE'!B366="rejected","rejeitado",'_SCHEDULE'!B366)),'_SCHEDULE'!B366))</x:f>
      </x:c>
      <x:c r="C398" s="523" t="str">
        <x:f>IF(ISBLANK('_SCHEDULE'!C366),"",'_SCHEDULE'!C366)</x:f>
      </x:c>
      <x:c r="D398" s="523" t="str">
        <x:f>IF(ISBLANK('_SCHEDULE'!D366),"",'_SCHEDULE'!D366)</x:f>
      </x:c>
      <x:c r="E398" s="530" t="str">
        <x:f>IF(ISBLANK('_SCHEDULE'!E366),"",'_SCHEDULE'!E366)</x:f>
      </x:c>
      <x:c r="F398" s="530" t="str">
        <x:f>IF(ISBLANK('_SCHEDULE'!F366),"",'_SCHEDULE'!F366)</x:f>
      </x:c>
      <x:c r="G398" s="530" t="str">
        <x:f>IF(ISBLANK('_SCHEDULE'!G366),"",'_SCHEDULE'!G366)</x:f>
      </x:c>
      <x:c r="H398" s="530" t="str">
        <x:f>IF(ISBLANK('_SCHEDULE'!H366),"",'_SCHEDULE'!H366)</x:f>
      </x:c>
      <x:c r="I398" s="530" t="str">
        <x:f>IF(ISBLANK('_SCHEDULE'!I366),"",'_SCHEDULE'!I366)</x:f>
      </x:c>
      <x:c r="J398" s="530" t="str">
        <x:f>IF(ISBLANK('_SCHEDULE'!J366),"",'_SCHEDULE'!J366)</x:f>
      </x:c>
      <x:c r="K398" s="530" t="str">
        <x:f>IF(ISBLANK('_SCHEDULE'!K366),"",'_SCHEDULE'!K366)</x:f>
      </x:c>
      <x:c r="L398" s="530" t="str">
        <x:f>IF(ISBLANK('_SCHEDULE'!L366),"",'_SCHEDULE'!L366)</x:f>
      </x:c>
      <x:c r="M398" s="530" t="str">
        <x:f>IF(ISBLANK('_SCHEDULE'!M366),"",'_SCHEDULE'!M366)</x:f>
      </x:c>
      <x:c r="N398" s="530" t="str">
        <x:f>IF(ISBLANK('_SCHEDULE'!N366),"",'_SCHEDULE'!N366)</x:f>
      </x:c>
      <x:c r="O398" s="530" t="str">
        <x:f>IF(ISBLANK('_SCHEDULE'!O366),"",'_SCHEDULE'!O366)</x:f>
      </x:c>
      <x:c r="P398" s="530" t="str">
        <x:f>IF(ISBLANK('_SCHEDULE'!P366),"",'_SCHEDULE'!P366)</x:f>
      </x:c>
      <x:c r="Q398" s="530" t="str">
        <x:f>IF(ISBLANK('_SCHEDULE'!Q366),"",'_SCHEDULE'!Q366)</x:f>
      </x:c>
      <x:c r="R398" s="530" t="str">
        <x:f>IF(ISBLANK('_SCHEDULE'!R366),"",'_SCHEDULE'!R366)</x:f>
      </x:c>
      <x:c r="S398" s="523" t="str">
        <x:f>IF(ISBLANK('_SCHEDULE'!S366),"",'_SCHEDULE'!S366)</x:f>
      </x:c>
      <x:c r="T398" s="38"/>
      <x:c r="U398" s="38"/>
      <x:c r="V398" s="38"/>
      <x:c r="W398" s="38"/>
      <x:c r="X398" s="38"/>
      <x:c r="Y398" s="38"/>
      <x:c r="Z398" s="38"/>
      <x:c r="AA398" s="38"/>
      <x:c r="AB398" s="38"/>
      <x:c r="AC398" s="38"/>
      <x:c r="AD398" s="38"/>
      <x:c r="AE398" s="38"/>
      <x:c r="AF398" s="38"/>
      <x:c r="AG398" s="38"/>
      <x:c r="AH398" s="38"/>
      <x:c r="AI398" s="38"/>
      <x:c r="AJ398" s="38"/>
      <x:c r="AK398" s="38"/>
      <x:c r="AL398" s="38"/>
      <x:c r="AM398" s="38"/>
    </x:row>
    <x:row r="399">
      <x:c r="A399" s="523" t="str">
        <x:f>IF(ISBLANK('_SCHEDULE'!A367),"",'_SCHEDULE'!A367)</x:f>
      </x:c>
      <x:c r="B399" s="523" t="str">
        <x:f>IF(ISBLANK('_SCHEDULE'!B367),"",IF('_CONFIG'!$B$2="pt-BR",IF('_SCHEDULE'!B367="scheduled","programado",IF('_SCHEDULE'!B367="rejected","rejeitado",'_SCHEDULE'!B367)),'_SCHEDULE'!B367))</x:f>
      </x:c>
      <x:c r="C399" s="523" t="str">
        <x:f>IF(ISBLANK('_SCHEDULE'!C367),"",'_SCHEDULE'!C367)</x:f>
      </x:c>
      <x:c r="D399" s="523" t="str">
        <x:f>IF(ISBLANK('_SCHEDULE'!D367),"",'_SCHEDULE'!D367)</x:f>
      </x:c>
      <x:c r="E399" s="530" t="str">
        <x:f>IF(ISBLANK('_SCHEDULE'!E367),"",'_SCHEDULE'!E367)</x:f>
      </x:c>
      <x:c r="F399" s="530" t="str">
        <x:f>IF(ISBLANK('_SCHEDULE'!F367),"",'_SCHEDULE'!F367)</x:f>
      </x:c>
      <x:c r="G399" s="530" t="str">
        <x:f>IF(ISBLANK('_SCHEDULE'!G367),"",'_SCHEDULE'!G367)</x:f>
      </x:c>
      <x:c r="H399" s="530" t="str">
        <x:f>IF(ISBLANK('_SCHEDULE'!H367),"",'_SCHEDULE'!H367)</x:f>
      </x:c>
      <x:c r="I399" s="530" t="str">
        <x:f>IF(ISBLANK('_SCHEDULE'!I367),"",'_SCHEDULE'!I367)</x:f>
      </x:c>
      <x:c r="J399" s="530" t="str">
        <x:f>IF(ISBLANK('_SCHEDULE'!J367),"",'_SCHEDULE'!J367)</x:f>
      </x:c>
      <x:c r="K399" s="530" t="str">
        <x:f>IF(ISBLANK('_SCHEDULE'!K367),"",'_SCHEDULE'!K367)</x:f>
      </x:c>
      <x:c r="L399" s="530" t="str">
        <x:f>IF(ISBLANK('_SCHEDULE'!L367),"",'_SCHEDULE'!L367)</x:f>
      </x:c>
      <x:c r="M399" s="530" t="str">
        <x:f>IF(ISBLANK('_SCHEDULE'!M367),"",'_SCHEDULE'!M367)</x:f>
      </x:c>
      <x:c r="N399" s="530" t="str">
        <x:f>IF(ISBLANK('_SCHEDULE'!N367),"",'_SCHEDULE'!N367)</x:f>
      </x:c>
      <x:c r="O399" s="530" t="str">
        <x:f>IF(ISBLANK('_SCHEDULE'!O367),"",'_SCHEDULE'!O367)</x:f>
      </x:c>
      <x:c r="P399" s="530" t="str">
        <x:f>IF(ISBLANK('_SCHEDULE'!P367),"",'_SCHEDULE'!P367)</x:f>
      </x:c>
      <x:c r="Q399" s="530" t="str">
        <x:f>IF(ISBLANK('_SCHEDULE'!Q367),"",'_SCHEDULE'!Q367)</x:f>
      </x:c>
      <x:c r="R399" s="530" t="str">
        <x:f>IF(ISBLANK('_SCHEDULE'!R367),"",'_SCHEDULE'!R367)</x:f>
      </x:c>
      <x:c r="S399" s="523" t="str">
        <x:f>IF(ISBLANK('_SCHEDULE'!S367),"",'_SCHEDULE'!S367)</x:f>
      </x:c>
      <x:c r="T399" s="38"/>
      <x:c r="U399" s="38"/>
      <x:c r="V399" s="38"/>
      <x:c r="W399" s="38"/>
      <x:c r="X399" s="38"/>
      <x:c r="Y399" s="38"/>
      <x:c r="Z399" s="38"/>
      <x:c r="AA399" s="38"/>
      <x:c r="AB399" s="38"/>
      <x:c r="AC399" s="38"/>
      <x:c r="AD399" s="38"/>
      <x:c r="AE399" s="38"/>
      <x:c r="AF399" s="38"/>
      <x:c r="AG399" s="38"/>
      <x:c r="AH399" s="38"/>
      <x:c r="AI399" s="38"/>
      <x:c r="AJ399" s="38"/>
      <x:c r="AK399" s="38"/>
      <x:c r="AL399" s="38"/>
      <x:c r="AM399" s="38"/>
    </x:row>
    <x:row r="400">
      <x:c r="A400" s="523" t="str">
        <x:f>IF(ISBLANK('_SCHEDULE'!A368),"",'_SCHEDULE'!A368)</x:f>
      </x:c>
      <x:c r="B400" s="523" t="str">
        <x:f>IF(ISBLANK('_SCHEDULE'!B368),"",IF('_CONFIG'!$B$2="pt-BR",IF('_SCHEDULE'!B368="scheduled","programado",IF('_SCHEDULE'!B368="rejected","rejeitado",'_SCHEDULE'!B368)),'_SCHEDULE'!B368))</x:f>
      </x:c>
      <x:c r="C400" s="523" t="str">
        <x:f>IF(ISBLANK('_SCHEDULE'!C368),"",'_SCHEDULE'!C368)</x:f>
      </x:c>
      <x:c r="D400" s="523" t="str">
        <x:f>IF(ISBLANK('_SCHEDULE'!D368),"",'_SCHEDULE'!D368)</x:f>
      </x:c>
      <x:c r="E400" s="530" t="str">
        <x:f>IF(ISBLANK('_SCHEDULE'!E368),"",'_SCHEDULE'!E368)</x:f>
      </x:c>
      <x:c r="F400" s="530" t="str">
        <x:f>IF(ISBLANK('_SCHEDULE'!F368),"",'_SCHEDULE'!F368)</x:f>
      </x:c>
      <x:c r="G400" s="530" t="str">
        <x:f>IF(ISBLANK('_SCHEDULE'!G368),"",'_SCHEDULE'!G368)</x:f>
      </x:c>
      <x:c r="H400" s="530" t="str">
        <x:f>IF(ISBLANK('_SCHEDULE'!H368),"",'_SCHEDULE'!H368)</x:f>
      </x:c>
      <x:c r="I400" s="530" t="str">
        <x:f>IF(ISBLANK('_SCHEDULE'!I368),"",'_SCHEDULE'!I368)</x:f>
      </x:c>
      <x:c r="J400" s="530" t="str">
        <x:f>IF(ISBLANK('_SCHEDULE'!J368),"",'_SCHEDULE'!J368)</x:f>
      </x:c>
      <x:c r="K400" s="530" t="str">
        <x:f>IF(ISBLANK('_SCHEDULE'!K368),"",'_SCHEDULE'!K368)</x:f>
      </x:c>
      <x:c r="L400" s="530" t="str">
        <x:f>IF(ISBLANK('_SCHEDULE'!L368),"",'_SCHEDULE'!L368)</x:f>
      </x:c>
      <x:c r="M400" s="530" t="str">
        <x:f>IF(ISBLANK('_SCHEDULE'!M368),"",'_SCHEDULE'!M368)</x:f>
      </x:c>
      <x:c r="N400" s="530" t="str">
        <x:f>IF(ISBLANK('_SCHEDULE'!N368),"",'_SCHEDULE'!N368)</x:f>
      </x:c>
      <x:c r="O400" s="530" t="str">
        <x:f>IF(ISBLANK('_SCHEDULE'!O368),"",'_SCHEDULE'!O368)</x:f>
      </x:c>
      <x:c r="P400" s="530" t="str">
        <x:f>IF(ISBLANK('_SCHEDULE'!P368),"",'_SCHEDULE'!P368)</x:f>
      </x:c>
      <x:c r="Q400" s="530" t="str">
        <x:f>IF(ISBLANK('_SCHEDULE'!Q368),"",'_SCHEDULE'!Q368)</x:f>
      </x:c>
      <x:c r="R400" s="530" t="str">
        <x:f>IF(ISBLANK('_SCHEDULE'!R368),"",'_SCHEDULE'!R368)</x:f>
      </x:c>
      <x:c r="S400" s="523" t="str">
        <x:f>IF(ISBLANK('_SCHEDULE'!S368),"",'_SCHEDULE'!S368)</x:f>
      </x:c>
      <x:c r="T400" s="38"/>
      <x:c r="U400" s="38"/>
      <x:c r="V400" s="38"/>
      <x:c r="W400" s="38"/>
      <x:c r="X400" s="38"/>
      <x:c r="Y400" s="38"/>
      <x:c r="Z400" s="38"/>
      <x:c r="AA400" s="38"/>
      <x:c r="AB400" s="38"/>
      <x:c r="AC400" s="38"/>
      <x:c r="AD400" s="38"/>
      <x:c r="AE400" s="38"/>
      <x:c r="AF400" s="38"/>
      <x:c r="AG400" s="38"/>
      <x:c r="AH400" s="38"/>
      <x:c r="AI400" s="38"/>
      <x:c r="AJ400" s="38"/>
      <x:c r="AK400" s="38"/>
      <x:c r="AL400" s="38"/>
      <x:c r="AM400" s="38"/>
    </x:row>
    <x:row r="401">
      <x:c r="A401" s="523" t="str">
        <x:f>IF(ISBLANK('_SCHEDULE'!A369),"",'_SCHEDULE'!A369)</x:f>
      </x:c>
      <x:c r="B401" s="523" t="str">
        <x:f>IF(ISBLANK('_SCHEDULE'!B369),"",IF('_CONFIG'!$B$2="pt-BR",IF('_SCHEDULE'!B369="scheduled","programado",IF('_SCHEDULE'!B369="rejected","rejeitado",'_SCHEDULE'!B369)),'_SCHEDULE'!B369))</x:f>
      </x:c>
      <x:c r="C401" s="523" t="str">
        <x:f>IF(ISBLANK('_SCHEDULE'!C369),"",'_SCHEDULE'!C369)</x:f>
      </x:c>
      <x:c r="D401" s="523" t="str">
        <x:f>IF(ISBLANK('_SCHEDULE'!D369),"",'_SCHEDULE'!D369)</x:f>
      </x:c>
      <x:c r="E401" s="530" t="str">
        <x:f>IF(ISBLANK('_SCHEDULE'!E369),"",'_SCHEDULE'!E369)</x:f>
      </x:c>
      <x:c r="F401" s="530" t="str">
        <x:f>IF(ISBLANK('_SCHEDULE'!F369),"",'_SCHEDULE'!F369)</x:f>
      </x:c>
      <x:c r="G401" s="530" t="str">
        <x:f>IF(ISBLANK('_SCHEDULE'!G369),"",'_SCHEDULE'!G369)</x:f>
      </x:c>
      <x:c r="H401" s="530" t="str">
        <x:f>IF(ISBLANK('_SCHEDULE'!H369),"",'_SCHEDULE'!H369)</x:f>
      </x:c>
      <x:c r="I401" s="530" t="str">
        <x:f>IF(ISBLANK('_SCHEDULE'!I369),"",'_SCHEDULE'!I369)</x:f>
      </x:c>
      <x:c r="J401" s="530" t="str">
        <x:f>IF(ISBLANK('_SCHEDULE'!J369),"",'_SCHEDULE'!J369)</x:f>
      </x:c>
      <x:c r="K401" s="530" t="str">
        <x:f>IF(ISBLANK('_SCHEDULE'!K369),"",'_SCHEDULE'!K369)</x:f>
      </x:c>
      <x:c r="L401" s="530" t="str">
        <x:f>IF(ISBLANK('_SCHEDULE'!L369),"",'_SCHEDULE'!L369)</x:f>
      </x:c>
      <x:c r="M401" s="530" t="str">
        <x:f>IF(ISBLANK('_SCHEDULE'!M369),"",'_SCHEDULE'!M369)</x:f>
      </x:c>
      <x:c r="N401" s="530" t="str">
        <x:f>IF(ISBLANK('_SCHEDULE'!N369),"",'_SCHEDULE'!N369)</x:f>
      </x:c>
      <x:c r="O401" s="530" t="str">
        <x:f>IF(ISBLANK('_SCHEDULE'!O369),"",'_SCHEDULE'!O369)</x:f>
      </x:c>
      <x:c r="P401" s="530" t="str">
        <x:f>IF(ISBLANK('_SCHEDULE'!P369),"",'_SCHEDULE'!P369)</x:f>
      </x:c>
      <x:c r="Q401" s="530" t="str">
        <x:f>IF(ISBLANK('_SCHEDULE'!Q369),"",'_SCHEDULE'!Q369)</x:f>
      </x:c>
      <x:c r="R401" s="530" t="str">
        <x:f>IF(ISBLANK('_SCHEDULE'!R369),"",'_SCHEDULE'!R369)</x:f>
      </x:c>
      <x:c r="S401" s="523" t="str">
        <x:f>IF(ISBLANK('_SCHEDULE'!S369),"",'_SCHEDULE'!S369)</x:f>
      </x:c>
      <x:c r="T401" s="38"/>
      <x:c r="U401" s="38"/>
      <x:c r="V401" s="38"/>
      <x:c r="W401" s="38"/>
      <x:c r="X401" s="38"/>
      <x:c r="Y401" s="38"/>
      <x:c r="Z401" s="38"/>
      <x:c r="AA401" s="38"/>
      <x:c r="AB401" s="38"/>
      <x:c r="AC401" s="38"/>
      <x:c r="AD401" s="38"/>
      <x:c r="AE401" s="38"/>
      <x:c r="AF401" s="38"/>
      <x:c r="AG401" s="38"/>
      <x:c r="AH401" s="38"/>
      <x:c r="AI401" s="38"/>
      <x:c r="AJ401" s="38"/>
      <x:c r="AK401" s="38"/>
      <x:c r="AL401" s="38"/>
      <x:c r="AM401" s="38"/>
    </x:row>
    <x:row r="402">
      <x:c r="A402" s="523" t="str">
        <x:f>IF(ISBLANK('_SCHEDULE'!A370),"",'_SCHEDULE'!A370)</x:f>
      </x:c>
      <x:c r="B402" s="523" t="str">
        <x:f>IF(ISBLANK('_SCHEDULE'!B370),"",IF('_CONFIG'!$B$2="pt-BR",IF('_SCHEDULE'!B370="scheduled","programado",IF('_SCHEDULE'!B370="rejected","rejeitado",'_SCHEDULE'!B370)),'_SCHEDULE'!B370))</x:f>
      </x:c>
      <x:c r="C402" s="523" t="str">
        <x:f>IF(ISBLANK('_SCHEDULE'!C370),"",'_SCHEDULE'!C370)</x:f>
      </x:c>
      <x:c r="D402" s="523" t="str">
        <x:f>IF(ISBLANK('_SCHEDULE'!D370),"",'_SCHEDULE'!D370)</x:f>
      </x:c>
      <x:c r="E402" s="530" t="str">
        <x:f>IF(ISBLANK('_SCHEDULE'!E370),"",'_SCHEDULE'!E370)</x:f>
      </x:c>
      <x:c r="F402" s="530" t="str">
        <x:f>IF(ISBLANK('_SCHEDULE'!F370),"",'_SCHEDULE'!F370)</x:f>
      </x:c>
      <x:c r="G402" s="530" t="str">
        <x:f>IF(ISBLANK('_SCHEDULE'!G370),"",'_SCHEDULE'!G370)</x:f>
      </x:c>
      <x:c r="H402" s="530" t="str">
        <x:f>IF(ISBLANK('_SCHEDULE'!H370),"",'_SCHEDULE'!H370)</x:f>
      </x:c>
      <x:c r="I402" s="530" t="str">
        <x:f>IF(ISBLANK('_SCHEDULE'!I370),"",'_SCHEDULE'!I370)</x:f>
      </x:c>
      <x:c r="J402" s="530" t="str">
        <x:f>IF(ISBLANK('_SCHEDULE'!J370),"",'_SCHEDULE'!J370)</x:f>
      </x:c>
      <x:c r="K402" s="530" t="str">
        <x:f>IF(ISBLANK('_SCHEDULE'!K370),"",'_SCHEDULE'!K370)</x:f>
      </x:c>
      <x:c r="L402" s="530" t="str">
        <x:f>IF(ISBLANK('_SCHEDULE'!L370),"",'_SCHEDULE'!L370)</x:f>
      </x:c>
      <x:c r="M402" s="530" t="str">
        <x:f>IF(ISBLANK('_SCHEDULE'!M370),"",'_SCHEDULE'!M370)</x:f>
      </x:c>
      <x:c r="N402" s="530" t="str">
        <x:f>IF(ISBLANK('_SCHEDULE'!N370),"",'_SCHEDULE'!N370)</x:f>
      </x:c>
      <x:c r="O402" s="530" t="str">
        <x:f>IF(ISBLANK('_SCHEDULE'!O370),"",'_SCHEDULE'!O370)</x:f>
      </x:c>
      <x:c r="P402" s="530" t="str">
        <x:f>IF(ISBLANK('_SCHEDULE'!P370),"",'_SCHEDULE'!P370)</x:f>
      </x:c>
      <x:c r="Q402" s="530" t="str">
        <x:f>IF(ISBLANK('_SCHEDULE'!Q370),"",'_SCHEDULE'!Q370)</x:f>
      </x:c>
      <x:c r="R402" s="530" t="str">
        <x:f>IF(ISBLANK('_SCHEDULE'!R370),"",'_SCHEDULE'!R370)</x:f>
      </x:c>
      <x:c r="S402" s="523" t="str">
        <x:f>IF(ISBLANK('_SCHEDULE'!S370),"",'_SCHEDULE'!S370)</x:f>
      </x:c>
      <x:c r="T402" s="38"/>
      <x:c r="U402" s="38"/>
      <x:c r="V402" s="38"/>
      <x:c r="W402" s="38"/>
      <x:c r="X402" s="38"/>
      <x:c r="Y402" s="38"/>
      <x:c r="Z402" s="38"/>
      <x:c r="AA402" s="38"/>
      <x:c r="AB402" s="38"/>
      <x:c r="AC402" s="38"/>
      <x:c r="AD402" s="38"/>
      <x:c r="AE402" s="38"/>
      <x:c r="AF402" s="38"/>
      <x:c r="AG402" s="38"/>
      <x:c r="AH402" s="38"/>
      <x:c r="AI402" s="38"/>
      <x:c r="AJ402" s="38"/>
      <x:c r="AK402" s="38"/>
      <x:c r="AL402" s="38"/>
      <x:c r="AM402" s="38"/>
    </x:row>
    <x:row r="403">
      <x:c r="A403" s="523" t="str">
        <x:f>IF(ISBLANK('_SCHEDULE'!A371),"",'_SCHEDULE'!A371)</x:f>
      </x:c>
      <x:c r="B403" s="523" t="str">
        <x:f>IF(ISBLANK('_SCHEDULE'!B371),"",IF('_CONFIG'!$B$2="pt-BR",IF('_SCHEDULE'!B371="scheduled","programado",IF('_SCHEDULE'!B371="rejected","rejeitado",'_SCHEDULE'!B371)),'_SCHEDULE'!B371))</x:f>
      </x:c>
      <x:c r="C403" s="523" t="str">
        <x:f>IF(ISBLANK('_SCHEDULE'!C371),"",'_SCHEDULE'!C371)</x:f>
      </x:c>
      <x:c r="D403" s="523" t="str">
        <x:f>IF(ISBLANK('_SCHEDULE'!D371),"",'_SCHEDULE'!D371)</x:f>
      </x:c>
      <x:c r="E403" s="530" t="str">
        <x:f>IF(ISBLANK('_SCHEDULE'!E371),"",'_SCHEDULE'!E371)</x:f>
      </x:c>
      <x:c r="F403" s="530" t="str">
        <x:f>IF(ISBLANK('_SCHEDULE'!F371),"",'_SCHEDULE'!F371)</x:f>
      </x:c>
      <x:c r="G403" s="530" t="str">
        <x:f>IF(ISBLANK('_SCHEDULE'!G371),"",'_SCHEDULE'!G371)</x:f>
      </x:c>
      <x:c r="H403" s="530" t="str">
        <x:f>IF(ISBLANK('_SCHEDULE'!H371),"",'_SCHEDULE'!H371)</x:f>
      </x:c>
      <x:c r="I403" s="530" t="str">
        <x:f>IF(ISBLANK('_SCHEDULE'!I371),"",'_SCHEDULE'!I371)</x:f>
      </x:c>
      <x:c r="J403" s="530" t="str">
        <x:f>IF(ISBLANK('_SCHEDULE'!J371),"",'_SCHEDULE'!J371)</x:f>
      </x:c>
      <x:c r="K403" s="530" t="str">
        <x:f>IF(ISBLANK('_SCHEDULE'!K371),"",'_SCHEDULE'!K371)</x:f>
      </x:c>
      <x:c r="L403" s="530" t="str">
        <x:f>IF(ISBLANK('_SCHEDULE'!L371),"",'_SCHEDULE'!L371)</x:f>
      </x:c>
      <x:c r="M403" s="530" t="str">
        <x:f>IF(ISBLANK('_SCHEDULE'!M371),"",'_SCHEDULE'!M371)</x:f>
      </x:c>
      <x:c r="N403" s="530" t="str">
        <x:f>IF(ISBLANK('_SCHEDULE'!N371),"",'_SCHEDULE'!N371)</x:f>
      </x:c>
      <x:c r="O403" s="530" t="str">
        <x:f>IF(ISBLANK('_SCHEDULE'!O371),"",'_SCHEDULE'!O371)</x:f>
      </x:c>
      <x:c r="P403" s="530" t="str">
        <x:f>IF(ISBLANK('_SCHEDULE'!P371),"",'_SCHEDULE'!P371)</x:f>
      </x:c>
      <x:c r="Q403" s="530" t="str">
        <x:f>IF(ISBLANK('_SCHEDULE'!Q371),"",'_SCHEDULE'!Q371)</x:f>
      </x:c>
      <x:c r="R403" s="530" t="str">
        <x:f>IF(ISBLANK('_SCHEDULE'!R371),"",'_SCHEDULE'!R371)</x:f>
      </x:c>
      <x:c r="S403" s="523" t="str">
        <x:f>IF(ISBLANK('_SCHEDULE'!S371),"",'_SCHEDULE'!S371)</x:f>
      </x:c>
      <x:c r="T403" s="38"/>
      <x:c r="U403" s="38"/>
      <x:c r="V403" s="38"/>
      <x:c r="W403" s="38"/>
      <x:c r="X403" s="38"/>
      <x:c r="Y403" s="38"/>
      <x:c r="Z403" s="38"/>
      <x:c r="AA403" s="38"/>
      <x:c r="AB403" s="38"/>
      <x:c r="AC403" s="38"/>
      <x:c r="AD403" s="38"/>
      <x:c r="AE403" s="38"/>
      <x:c r="AF403" s="38"/>
      <x:c r="AG403" s="38"/>
      <x:c r="AH403" s="38"/>
      <x:c r="AI403" s="38"/>
      <x:c r="AJ403" s="38"/>
      <x:c r="AK403" s="38"/>
      <x:c r="AL403" s="38"/>
      <x:c r="AM403" s="38"/>
    </x:row>
    <x:row r="404">
      <x:c r="A404" s="523" t="str">
        <x:f>IF(ISBLANK('_SCHEDULE'!A372),"",'_SCHEDULE'!A372)</x:f>
      </x:c>
      <x:c r="B404" s="523" t="str">
        <x:f>IF(ISBLANK('_SCHEDULE'!B372),"",IF('_CONFIG'!$B$2="pt-BR",IF('_SCHEDULE'!B372="scheduled","programado",IF('_SCHEDULE'!B372="rejected","rejeitado",'_SCHEDULE'!B372)),'_SCHEDULE'!B372))</x:f>
      </x:c>
      <x:c r="C404" s="523" t="str">
        <x:f>IF(ISBLANK('_SCHEDULE'!C372),"",'_SCHEDULE'!C372)</x:f>
      </x:c>
      <x:c r="D404" s="523" t="str">
        <x:f>IF(ISBLANK('_SCHEDULE'!D372),"",'_SCHEDULE'!D372)</x:f>
      </x:c>
      <x:c r="E404" s="530" t="str">
        <x:f>IF(ISBLANK('_SCHEDULE'!E372),"",'_SCHEDULE'!E372)</x:f>
      </x:c>
      <x:c r="F404" s="530" t="str">
        <x:f>IF(ISBLANK('_SCHEDULE'!F372),"",'_SCHEDULE'!F372)</x:f>
      </x:c>
      <x:c r="G404" s="530" t="str">
        <x:f>IF(ISBLANK('_SCHEDULE'!G372),"",'_SCHEDULE'!G372)</x:f>
      </x:c>
      <x:c r="H404" s="530" t="str">
        <x:f>IF(ISBLANK('_SCHEDULE'!H372),"",'_SCHEDULE'!H372)</x:f>
      </x:c>
      <x:c r="I404" s="530" t="str">
        <x:f>IF(ISBLANK('_SCHEDULE'!I372),"",'_SCHEDULE'!I372)</x:f>
      </x:c>
      <x:c r="J404" s="530" t="str">
        <x:f>IF(ISBLANK('_SCHEDULE'!J372),"",'_SCHEDULE'!J372)</x:f>
      </x:c>
      <x:c r="K404" s="530" t="str">
        <x:f>IF(ISBLANK('_SCHEDULE'!K372),"",'_SCHEDULE'!K372)</x:f>
      </x:c>
      <x:c r="L404" s="530" t="str">
        <x:f>IF(ISBLANK('_SCHEDULE'!L372),"",'_SCHEDULE'!L372)</x:f>
      </x:c>
      <x:c r="M404" s="530" t="str">
        <x:f>IF(ISBLANK('_SCHEDULE'!M372),"",'_SCHEDULE'!M372)</x:f>
      </x:c>
      <x:c r="N404" s="530" t="str">
        <x:f>IF(ISBLANK('_SCHEDULE'!N372),"",'_SCHEDULE'!N372)</x:f>
      </x:c>
      <x:c r="O404" s="530" t="str">
        <x:f>IF(ISBLANK('_SCHEDULE'!O372),"",'_SCHEDULE'!O372)</x:f>
      </x:c>
      <x:c r="P404" s="530" t="str">
        <x:f>IF(ISBLANK('_SCHEDULE'!P372),"",'_SCHEDULE'!P372)</x:f>
      </x:c>
      <x:c r="Q404" s="530" t="str">
        <x:f>IF(ISBLANK('_SCHEDULE'!Q372),"",'_SCHEDULE'!Q372)</x:f>
      </x:c>
      <x:c r="R404" s="530" t="str">
        <x:f>IF(ISBLANK('_SCHEDULE'!R372),"",'_SCHEDULE'!R372)</x:f>
      </x:c>
      <x:c r="S404" s="523" t="str">
        <x:f>IF(ISBLANK('_SCHEDULE'!S372),"",'_SCHEDULE'!S372)</x:f>
      </x:c>
      <x:c r="T404" s="38"/>
      <x:c r="U404" s="38"/>
      <x:c r="V404" s="38"/>
      <x:c r="W404" s="38"/>
      <x:c r="X404" s="38"/>
      <x:c r="Y404" s="38"/>
      <x:c r="Z404" s="38"/>
      <x:c r="AA404" s="38"/>
      <x:c r="AB404" s="38"/>
      <x:c r="AC404" s="38"/>
      <x:c r="AD404" s="38"/>
      <x:c r="AE404" s="38"/>
      <x:c r="AF404" s="38"/>
      <x:c r="AG404" s="38"/>
      <x:c r="AH404" s="38"/>
      <x:c r="AI404" s="38"/>
      <x:c r="AJ404" s="38"/>
      <x:c r="AK404" s="38"/>
      <x:c r="AL404" s="38"/>
      <x:c r="AM404" s="38"/>
    </x:row>
    <x:row r="405">
      <x:c r="A405" s="523" t="str">
        <x:f>IF(ISBLANK('_SCHEDULE'!A373),"",'_SCHEDULE'!A373)</x:f>
      </x:c>
      <x:c r="B405" s="523" t="str">
        <x:f>IF(ISBLANK('_SCHEDULE'!B373),"",IF('_CONFIG'!$B$2="pt-BR",IF('_SCHEDULE'!B373="scheduled","programado",IF('_SCHEDULE'!B373="rejected","rejeitado",'_SCHEDULE'!B373)),'_SCHEDULE'!B373))</x:f>
      </x:c>
      <x:c r="C405" s="523" t="str">
        <x:f>IF(ISBLANK('_SCHEDULE'!C373),"",'_SCHEDULE'!C373)</x:f>
      </x:c>
      <x:c r="D405" s="523" t="str">
        <x:f>IF(ISBLANK('_SCHEDULE'!D373),"",'_SCHEDULE'!D373)</x:f>
      </x:c>
      <x:c r="E405" s="530" t="str">
        <x:f>IF(ISBLANK('_SCHEDULE'!E373),"",'_SCHEDULE'!E373)</x:f>
      </x:c>
      <x:c r="F405" s="530" t="str">
        <x:f>IF(ISBLANK('_SCHEDULE'!F373),"",'_SCHEDULE'!F373)</x:f>
      </x:c>
      <x:c r="G405" s="530" t="str">
        <x:f>IF(ISBLANK('_SCHEDULE'!G373),"",'_SCHEDULE'!G373)</x:f>
      </x:c>
      <x:c r="H405" s="530" t="str">
        <x:f>IF(ISBLANK('_SCHEDULE'!H373),"",'_SCHEDULE'!H373)</x:f>
      </x:c>
      <x:c r="I405" s="530" t="str">
        <x:f>IF(ISBLANK('_SCHEDULE'!I373),"",'_SCHEDULE'!I373)</x:f>
      </x:c>
      <x:c r="J405" s="530" t="str">
        <x:f>IF(ISBLANK('_SCHEDULE'!J373),"",'_SCHEDULE'!J373)</x:f>
      </x:c>
      <x:c r="K405" s="530" t="str">
        <x:f>IF(ISBLANK('_SCHEDULE'!K373),"",'_SCHEDULE'!K373)</x:f>
      </x:c>
      <x:c r="L405" s="530" t="str">
        <x:f>IF(ISBLANK('_SCHEDULE'!L373),"",'_SCHEDULE'!L373)</x:f>
      </x:c>
      <x:c r="M405" s="530" t="str">
        <x:f>IF(ISBLANK('_SCHEDULE'!M373),"",'_SCHEDULE'!M373)</x:f>
      </x:c>
      <x:c r="N405" s="530" t="str">
        <x:f>IF(ISBLANK('_SCHEDULE'!N373),"",'_SCHEDULE'!N373)</x:f>
      </x:c>
      <x:c r="O405" s="530" t="str">
        <x:f>IF(ISBLANK('_SCHEDULE'!O373),"",'_SCHEDULE'!O373)</x:f>
      </x:c>
      <x:c r="P405" s="530" t="str">
        <x:f>IF(ISBLANK('_SCHEDULE'!P373),"",'_SCHEDULE'!P373)</x:f>
      </x:c>
      <x:c r="Q405" s="530" t="str">
        <x:f>IF(ISBLANK('_SCHEDULE'!Q373),"",'_SCHEDULE'!Q373)</x:f>
      </x:c>
      <x:c r="R405" s="530" t="str">
        <x:f>IF(ISBLANK('_SCHEDULE'!R373),"",'_SCHEDULE'!R373)</x:f>
      </x:c>
      <x:c r="S405" s="523" t="str">
        <x:f>IF(ISBLANK('_SCHEDULE'!S373),"",'_SCHEDULE'!S373)</x:f>
      </x:c>
      <x:c r="T405" s="38"/>
      <x:c r="U405" s="38"/>
      <x:c r="V405" s="38"/>
      <x:c r="W405" s="38"/>
      <x:c r="X405" s="38"/>
      <x:c r="Y405" s="38"/>
      <x:c r="Z405" s="38"/>
      <x:c r="AA405" s="38"/>
      <x:c r="AB405" s="38"/>
      <x:c r="AC405" s="38"/>
      <x:c r="AD405" s="38"/>
      <x:c r="AE405" s="38"/>
      <x:c r="AF405" s="38"/>
      <x:c r="AG405" s="38"/>
      <x:c r="AH405" s="38"/>
      <x:c r="AI405" s="38"/>
      <x:c r="AJ405" s="38"/>
      <x:c r="AK405" s="38"/>
      <x:c r="AL405" s="38"/>
      <x:c r="AM405" s="38"/>
    </x:row>
    <x:row r="406">
      <x:c r="A406" s="523" t="str">
        <x:f>IF(ISBLANK('_SCHEDULE'!A374),"",'_SCHEDULE'!A374)</x:f>
      </x:c>
      <x:c r="B406" s="523" t="str">
        <x:f>IF(ISBLANK('_SCHEDULE'!B374),"",IF('_CONFIG'!$B$2="pt-BR",IF('_SCHEDULE'!B374="scheduled","programado",IF('_SCHEDULE'!B374="rejected","rejeitado",'_SCHEDULE'!B374)),'_SCHEDULE'!B374))</x:f>
      </x:c>
      <x:c r="C406" s="523" t="str">
        <x:f>IF(ISBLANK('_SCHEDULE'!C374),"",'_SCHEDULE'!C374)</x:f>
      </x:c>
      <x:c r="D406" s="523" t="str">
        <x:f>IF(ISBLANK('_SCHEDULE'!D374),"",'_SCHEDULE'!D374)</x:f>
      </x:c>
      <x:c r="E406" s="530" t="str">
        <x:f>IF(ISBLANK('_SCHEDULE'!E374),"",'_SCHEDULE'!E374)</x:f>
      </x:c>
      <x:c r="F406" s="530" t="str">
        <x:f>IF(ISBLANK('_SCHEDULE'!F374),"",'_SCHEDULE'!F374)</x:f>
      </x:c>
      <x:c r="G406" s="530" t="str">
        <x:f>IF(ISBLANK('_SCHEDULE'!G374),"",'_SCHEDULE'!G374)</x:f>
      </x:c>
      <x:c r="H406" s="530" t="str">
        <x:f>IF(ISBLANK('_SCHEDULE'!H374),"",'_SCHEDULE'!H374)</x:f>
      </x:c>
      <x:c r="I406" s="530" t="str">
        <x:f>IF(ISBLANK('_SCHEDULE'!I374),"",'_SCHEDULE'!I374)</x:f>
      </x:c>
      <x:c r="J406" s="530" t="str">
        <x:f>IF(ISBLANK('_SCHEDULE'!J374),"",'_SCHEDULE'!J374)</x:f>
      </x:c>
      <x:c r="K406" s="530" t="str">
        <x:f>IF(ISBLANK('_SCHEDULE'!K374),"",'_SCHEDULE'!K374)</x:f>
      </x:c>
      <x:c r="L406" s="530" t="str">
        <x:f>IF(ISBLANK('_SCHEDULE'!L374),"",'_SCHEDULE'!L374)</x:f>
      </x:c>
      <x:c r="M406" s="530" t="str">
        <x:f>IF(ISBLANK('_SCHEDULE'!M374),"",'_SCHEDULE'!M374)</x:f>
      </x:c>
      <x:c r="N406" s="530" t="str">
        <x:f>IF(ISBLANK('_SCHEDULE'!N374),"",'_SCHEDULE'!N374)</x:f>
      </x:c>
      <x:c r="O406" s="530" t="str">
        <x:f>IF(ISBLANK('_SCHEDULE'!O374),"",'_SCHEDULE'!O374)</x:f>
      </x:c>
      <x:c r="P406" s="530" t="str">
        <x:f>IF(ISBLANK('_SCHEDULE'!P374),"",'_SCHEDULE'!P374)</x:f>
      </x:c>
      <x:c r="Q406" s="530" t="str">
        <x:f>IF(ISBLANK('_SCHEDULE'!Q374),"",'_SCHEDULE'!Q374)</x:f>
      </x:c>
      <x:c r="R406" s="530" t="str">
        <x:f>IF(ISBLANK('_SCHEDULE'!R374),"",'_SCHEDULE'!R374)</x:f>
      </x:c>
      <x:c r="S406" s="523" t="str">
        <x:f>IF(ISBLANK('_SCHEDULE'!S374),"",'_SCHEDULE'!S374)</x:f>
      </x:c>
      <x:c r="T406" s="38"/>
      <x:c r="U406" s="38"/>
      <x:c r="V406" s="38"/>
      <x:c r="W406" s="38"/>
      <x:c r="X406" s="38"/>
      <x:c r="Y406" s="38"/>
      <x:c r="Z406" s="38"/>
      <x:c r="AA406" s="38"/>
      <x:c r="AB406" s="38"/>
      <x:c r="AC406" s="38"/>
      <x:c r="AD406" s="38"/>
      <x:c r="AE406" s="38"/>
      <x:c r="AF406" s="38"/>
      <x:c r="AG406" s="38"/>
      <x:c r="AH406" s="38"/>
      <x:c r="AI406" s="38"/>
      <x:c r="AJ406" s="38"/>
      <x:c r="AK406" s="38"/>
      <x:c r="AL406" s="38"/>
      <x:c r="AM406" s="38"/>
    </x:row>
    <x:row r="407">
      <x:c r="A407" s="523" t="str">
        <x:f>IF(ISBLANK('_SCHEDULE'!A375),"",'_SCHEDULE'!A375)</x:f>
      </x:c>
      <x:c r="B407" s="523" t="str">
        <x:f>IF(ISBLANK('_SCHEDULE'!B375),"",IF('_CONFIG'!$B$2="pt-BR",IF('_SCHEDULE'!B375="scheduled","programado",IF('_SCHEDULE'!B375="rejected","rejeitado",'_SCHEDULE'!B375)),'_SCHEDULE'!B375))</x:f>
      </x:c>
      <x:c r="C407" s="523" t="str">
        <x:f>IF(ISBLANK('_SCHEDULE'!C375),"",'_SCHEDULE'!C375)</x:f>
      </x:c>
      <x:c r="D407" s="523" t="str">
        <x:f>IF(ISBLANK('_SCHEDULE'!D375),"",'_SCHEDULE'!D375)</x:f>
      </x:c>
      <x:c r="E407" s="530" t="str">
        <x:f>IF(ISBLANK('_SCHEDULE'!E375),"",'_SCHEDULE'!E375)</x:f>
      </x:c>
      <x:c r="F407" s="530" t="str">
        <x:f>IF(ISBLANK('_SCHEDULE'!F375),"",'_SCHEDULE'!F375)</x:f>
      </x:c>
      <x:c r="G407" s="530" t="str">
        <x:f>IF(ISBLANK('_SCHEDULE'!G375),"",'_SCHEDULE'!G375)</x:f>
      </x:c>
      <x:c r="H407" s="530" t="str">
        <x:f>IF(ISBLANK('_SCHEDULE'!H375),"",'_SCHEDULE'!H375)</x:f>
      </x:c>
      <x:c r="I407" s="530" t="str">
        <x:f>IF(ISBLANK('_SCHEDULE'!I375),"",'_SCHEDULE'!I375)</x:f>
      </x:c>
      <x:c r="J407" s="530" t="str">
        <x:f>IF(ISBLANK('_SCHEDULE'!J375),"",'_SCHEDULE'!J375)</x:f>
      </x:c>
      <x:c r="K407" s="530" t="str">
        <x:f>IF(ISBLANK('_SCHEDULE'!K375),"",'_SCHEDULE'!K375)</x:f>
      </x:c>
      <x:c r="L407" s="530" t="str">
        <x:f>IF(ISBLANK('_SCHEDULE'!L375),"",'_SCHEDULE'!L375)</x:f>
      </x:c>
      <x:c r="M407" s="530" t="str">
        <x:f>IF(ISBLANK('_SCHEDULE'!M375),"",'_SCHEDULE'!M375)</x:f>
      </x:c>
      <x:c r="N407" s="530" t="str">
        <x:f>IF(ISBLANK('_SCHEDULE'!N375),"",'_SCHEDULE'!N375)</x:f>
      </x:c>
      <x:c r="O407" s="530" t="str">
        <x:f>IF(ISBLANK('_SCHEDULE'!O375),"",'_SCHEDULE'!O375)</x:f>
      </x:c>
      <x:c r="P407" s="530" t="str">
        <x:f>IF(ISBLANK('_SCHEDULE'!P375),"",'_SCHEDULE'!P375)</x:f>
      </x:c>
      <x:c r="Q407" s="530" t="str">
        <x:f>IF(ISBLANK('_SCHEDULE'!Q375),"",'_SCHEDULE'!Q375)</x:f>
      </x:c>
      <x:c r="R407" s="530" t="str">
        <x:f>IF(ISBLANK('_SCHEDULE'!R375),"",'_SCHEDULE'!R375)</x:f>
      </x:c>
      <x:c r="S407" s="523" t="str">
        <x:f>IF(ISBLANK('_SCHEDULE'!S375),"",'_SCHEDULE'!S375)</x:f>
      </x:c>
      <x:c r="T407" s="38"/>
      <x:c r="U407" s="38"/>
      <x:c r="V407" s="38"/>
      <x:c r="W407" s="38"/>
      <x:c r="X407" s="38"/>
      <x:c r="Y407" s="38"/>
      <x:c r="Z407" s="38"/>
      <x:c r="AA407" s="38"/>
      <x:c r="AB407" s="38"/>
      <x:c r="AC407" s="38"/>
      <x:c r="AD407" s="38"/>
      <x:c r="AE407" s="38"/>
      <x:c r="AF407" s="38"/>
      <x:c r="AG407" s="38"/>
      <x:c r="AH407" s="38"/>
      <x:c r="AI407" s="38"/>
      <x:c r="AJ407" s="38"/>
      <x:c r="AK407" s="38"/>
      <x:c r="AL407" s="38"/>
      <x:c r="AM407" s="38"/>
    </x:row>
    <x:row r="408">
      <x:c r="A408" s="523" t="str">
        <x:f>IF(ISBLANK('_SCHEDULE'!A376),"",'_SCHEDULE'!A376)</x:f>
      </x:c>
      <x:c r="B408" s="523" t="str">
        <x:f>IF(ISBLANK('_SCHEDULE'!B376),"",IF('_CONFIG'!$B$2="pt-BR",IF('_SCHEDULE'!B376="scheduled","programado",IF('_SCHEDULE'!B376="rejected","rejeitado",'_SCHEDULE'!B376)),'_SCHEDULE'!B376))</x:f>
      </x:c>
      <x:c r="C408" s="523" t="str">
        <x:f>IF(ISBLANK('_SCHEDULE'!C376),"",'_SCHEDULE'!C376)</x:f>
      </x:c>
      <x:c r="D408" s="523" t="str">
        <x:f>IF(ISBLANK('_SCHEDULE'!D376),"",'_SCHEDULE'!D376)</x:f>
      </x:c>
      <x:c r="E408" s="530" t="str">
        <x:f>IF(ISBLANK('_SCHEDULE'!E376),"",'_SCHEDULE'!E376)</x:f>
      </x:c>
      <x:c r="F408" s="530" t="str">
        <x:f>IF(ISBLANK('_SCHEDULE'!F376),"",'_SCHEDULE'!F376)</x:f>
      </x:c>
      <x:c r="G408" s="530" t="str">
        <x:f>IF(ISBLANK('_SCHEDULE'!G376),"",'_SCHEDULE'!G376)</x:f>
      </x:c>
      <x:c r="H408" s="530" t="str">
        <x:f>IF(ISBLANK('_SCHEDULE'!H376),"",'_SCHEDULE'!H376)</x:f>
      </x:c>
      <x:c r="I408" s="530" t="str">
        <x:f>IF(ISBLANK('_SCHEDULE'!I376),"",'_SCHEDULE'!I376)</x:f>
      </x:c>
      <x:c r="J408" s="530" t="str">
        <x:f>IF(ISBLANK('_SCHEDULE'!J376),"",'_SCHEDULE'!J376)</x:f>
      </x:c>
      <x:c r="K408" s="530" t="str">
        <x:f>IF(ISBLANK('_SCHEDULE'!K376),"",'_SCHEDULE'!K376)</x:f>
      </x:c>
      <x:c r="L408" s="530" t="str">
        <x:f>IF(ISBLANK('_SCHEDULE'!L376),"",'_SCHEDULE'!L376)</x:f>
      </x:c>
      <x:c r="M408" s="530" t="str">
        <x:f>IF(ISBLANK('_SCHEDULE'!M376),"",'_SCHEDULE'!M376)</x:f>
      </x:c>
      <x:c r="N408" s="530" t="str">
        <x:f>IF(ISBLANK('_SCHEDULE'!N376),"",'_SCHEDULE'!N376)</x:f>
      </x:c>
      <x:c r="O408" s="530" t="str">
        <x:f>IF(ISBLANK('_SCHEDULE'!O376),"",'_SCHEDULE'!O376)</x:f>
      </x:c>
      <x:c r="P408" s="530" t="str">
        <x:f>IF(ISBLANK('_SCHEDULE'!P376),"",'_SCHEDULE'!P376)</x:f>
      </x:c>
      <x:c r="Q408" s="530" t="str">
        <x:f>IF(ISBLANK('_SCHEDULE'!Q376),"",'_SCHEDULE'!Q376)</x:f>
      </x:c>
      <x:c r="R408" s="530" t="str">
        <x:f>IF(ISBLANK('_SCHEDULE'!R376),"",'_SCHEDULE'!R376)</x:f>
      </x:c>
      <x:c r="S408" s="523" t="str">
        <x:f>IF(ISBLANK('_SCHEDULE'!S376),"",'_SCHEDULE'!S376)</x:f>
      </x:c>
      <x:c r="T408" s="38"/>
      <x:c r="U408" s="38"/>
      <x:c r="V408" s="38"/>
      <x:c r="W408" s="38"/>
      <x:c r="X408" s="38"/>
      <x:c r="Y408" s="38"/>
      <x:c r="Z408" s="38"/>
      <x:c r="AA408" s="38"/>
      <x:c r="AB408" s="38"/>
      <x:c r="AC408" s="38"/>
      <x:c r="AD408" s="38"/>
      <x:c r="AE408" s="38"/>
      <x:c r="AF408" s="38"/>
      <x:c r="AG408" s="38"/>
      <x:c r="AH408" s="38"/>
      <x:c r="AI408" s="38"/>
      <x:c r="AJ408" s="38"/>
      <x:c r="AK408" s="38"/>
      <x:c r="AL408" s="38"/>
      <x:c r="AM408" s="38"/>
    </x:row>
    <x:row r="409">
      <x:c r="A409" s="523" t="str">
        <x:f>IF(ISBLANK('_SCHEDULE'!A377),"",'_SCHEDULE'!A377)</x:f>
      </x:c>
      <x:c r="B409" s="523" t="str">
        <x:f>IF(ISBLANK('_SCHEDULE'!B377),"",IF('_CONFIG'!$B$2="pt-BR",IF('_SCHEDULE'!B377="scheduled","programado",IF('_SCHEDULE'!B377="rejected","rejeitado",'_SCHEDULE'!B377)),'_SCHEDULE'!B377))</x:f>
      </x:c>
      <x:c r="C409" s="523" t="str">
        <x:f>IF(ISBLANK('_SCHEDULE'!C377),"",'_SCHEDULE'!C377)</x:f>
      </x:c>
      <x:c r="D409" s="523" t="str">
        <x:f>IF(ISBLANK('_SCHEDULE'!D377),"",'_SCHEDULE'!D377)</x:f>
      </x:c>
      <x:c r="E409" s="530" t="str">
        <x:f>IF(ISBLANK('_SCHEDULE'!E377),"",'_SCHEDULE'!E377)</x:f>
      </x:c>
      <x:c r="F409" s="530" t="str">
        <x:f>IF(ISBLANK('_SCHEDULE'!F377),"",'_SCHEDULE'!F377)</x:f>
      </x:c>
      <x:c r="G409" s="530" t="str">
        <x:f>IF(ISBLANK('_SCHEDULE'!G377),"",'_SCHEDULE'!G377)</x:f>
      </x:c>
      <x:c r="H409" s="530" t="str">
        <x:f>IF(ISBLANK('_SCHEDULE'!H377),"",'_SCHEDULE'!H377)</x:f>
      </x:c>
      <x:c r="I409" s="530" t="str">
        <x:f>IF(ISBLANK('_SCHEDULE'!I377),"",'_SCHEDULE'!I377)</x:f>
      </x:c>
      <x:c r="J409" s="530" t="str">
        <x:f>IF(ISBLANK('_SCHEDULE'!J377),"",'_SCHEDULE'!J377)</x:f>
      </x:c>
      <x:c r="K409" s="530" t="str">
        <x:f>IF(ISBLANK('_SCHEDULE'!K377),"",'_SCHEDULE'!K377)</x:f>
      </x:c>
      <x:c r="L409" s="530" t="str">
        <x:f>IF(ISBLANK('_SCHEDULE'!L377),"",'_SCHEDULE'!L377)</x:f>
      </x:c>
      <x:c r="M409" s="530" t="str">
        <x:f>IF(ISBLANK('_SCHEDULE'!M377),"",'_SCHEDULE'!M377)</x:f>
      </x:c>
      <x:c r="N409" s="530" t="str">
        <x:f>IF(ISBLANK('_SCHEDULE'!N377),"",'_SCHEDULE'!N377)</x:f>
      </x:c>
      <x:c r="O409" s="530" t="str">
        <x:f>IF(ISBLANK('_SCHEDULE'!O377),"",'_SCHEDULE'!O377)</x:f>
      </x:c>
      <x:c r="P409" s="530" t="str">
        <x:f>IF(ISBLANK('_SCHEDULE'!P377),"",'_SCHEDULE'!P377)</x:f>
      </x:c>
      <x:c r="Q409" s="530" t="str">
        <x:f>IF(ISBLANK('_SCHEDULE'!Q377),"",'_SCHEDULE'!Q377)</x:f>
      </x:c>
      <x:c r="R409" s="530" t="str">
        <x:f>IF(ISBLANK('_SCHEDULE'!R377),"",'_SCHEDULE'!R377)</x:f>
      </x:c>
      <x:c r="S409" s="523" t="str">
        <x:f>IF(ISBLANK('_SCHEDULE'!S377),"",'_SCHEDULE'!S377)</x:f>
      </x:c>
      <x:c r="T409" s="38"/>
      <x:c r="U409" s="38"/>
      <x:c r="V409" s="38"/>
      <x:c r="W409" s="38"/>
      <x:c r="X409" s="38"/>
      <x:c r="Y409" s="38"/>
      <x:c r="Z409" s="38"/>
      <x:c r="AA409" s="38"/>
      <x:c r="AB409" s="38"/>
      <x:c r="AC409" s="38"/>
      <x:c r="AD409" s="38"/>
      <x:c r="AE409" s="38"/>
      <x:c r="AF409" s="38"/>
      <x:c r="AG409" s="38"/>
      <x:c r="AH409" s="38"/>
      <x:c r="AI409" s="38"/>
      <x:c r="AJ409" s="38"/>
      <x:c r="AK409" s="38"/>
      <x:c r="AL409" s="38"/>
      <x:c r="AM409" s="38"/>
    </x:row>
    <x:row r="410">
      <x:c r="A410" s="523" t="str">
        <x:f>IF(ISBLANK('_SCHEDULE'!A378),"",'_SCHEDULE'!A378)</x:f>
      </x:c>
      <x:c r="B410" s="523" t="str">
        <x:f>IF(ISBLANK('_SCHEDULE'!B378),"",IF('_CONFIG'!$B$2="pt-BR",IF('_SCHEDULE'!B378="scheduled","programado",IF('_SCHEDULE'!B378="rejected","rejeitado",'_SCHEDULE'!B378)),'_SCHEDULE'!B378))</x:f>
      </x:c>
      <x:c r="C410" s="523" t="str">
        <x:f>IF(ISBLANK('_SCHEDULE'!C378),"",'_SCHEDULE'!C378)</x:f>
      </x:c>
      <x:c r="D410" s="523" t="str">
        <x:f>IF(ISBLANK('_SCHEDULE'!D378),"",'_SCHEDULE'!D378)</x:f>
      </x:c>
      <x:c r="E410" s="530" t="str">
        <x:f>IF(ISBLANK('_SCHEDULE'!E378),"",'_SCHEDULE'!E378)</x:f>
      </x:c>
      <x:c r="F410" s="530" t="str">
        <x:f>IF(ISBLANK('_SCHEDULE'!F378),"",'_SCHEDULE'!F378)</x:f>
      </x:c>
      <x:c r="G410" s="530" t="str">
        <x:f>IF(ISBLANK('_SCHEDULE'!G378),"",'_SCHEDULE'!G378)</x:f>
      </x:c>
      <x:c r="H410" s="530" t="str">
        <x:f>IF(ISBLANK('_SCHEDULE'!H378),"",'_SCHEDULE'!H378)</x:f>
      </x:c>
      <x:c r="I410" s="530" t="str">
        <x:f>IF(ISBLANK('_SCHEDULE'!I378),"",'_SCHEDULE'!I378)</x:f>
      </x:c>
      <x:c r="J410" s="530" t="str">
        <x:f>IF(ISBLANK('_SCHEDULE'!J378),"",'_SCHEDULE'!J378)</x:f>
      </x:c>
      <x:c r="K410" s="530" t="str">
        <x:f>IF(ISBLANK('_SCHEDULE'!K378),"",'_SCHEDULE'!K378)</x:f>
      </x:c>
      <x:c r="L410" s="530" t="str">
        <x:f>IF(ISBLANK('_SCHEDULE'!L378),"",'_SCHEDULE'!L378)</x:f>
      </x:c>
      <x:c r="M410" s="530" t="str">
        <x:f>IF(ISBLANK('_SCHEDULE'!M378),"",'_SCHEDULE'!M378)</x:f>
      </x:c>
      <x:c r="N410" s="530" t="str">
        <x:f>IF(ISBLANK('_SCHEDULE'!N378),"",'_SCHEDULE'!N378)</x:f>
      </x:c>
      <x:c r="O410" s="530" t="str">
        <x:f>IF(ISBLANK('_SCHEDULE'!O378),"",'_SCHEDULE'!O378)</x:f>
      </x:c>
      <x:c r="P410" s="530" t="str">
        <x:f>IF(ISBLANK('_SCHEDULE'!P378),"",'_SCHEDULE'!P378)</x:f>
      </x:c>
      <x:c r="Q410" s="530" t="str">
        <x:f>IF(ISBLANK('_SCHEDULE'!Q378),"",'_SCHEDULE'!Q378)</x:f>
      </x:c>
      <x:c r="R410" s="530" t="str">
        <x:f>IF(ISBLANK('_SCHEDULE'!R378),"",'_SCHEDULE'!R378)</x:f>
      </x:c>
      <x:c r="S410" s="523" t="str">
        <x:f>IF(ISBLANK('_SCHEDULE'!S378),"",'_SCHEDULE'!S378)</x:f>
      </x:c>
      <x:c r="T410" s="38"/>
      <x:c r="U410" s="38"/>
      <x:c r="V410" s="38"/>
      <x:c r="W410" s="38"/>
      <x:c r="X410" s="38"/>
      <x:c r="Y410" s="38"/>
      <x:c r="Z410" s="38"/>
      <x:c r="AA410" s="38"/>
      <x:c r="AB410" s="38"/>
      <x:c r="AC410" s="38"/>
      <x:c r="AD410" s="38"/>
      <x:c r="AE410" s="38"/>
      <x:c r="AF410" s="38"/>
      <x:c r="AG410" s="38"/>
      <x:c r="AH410" s="38"/>
      <x:c r="AI410" s="38"/>
      <x:c r="AJ410" s="38"/>
      <x:c r="AK410" s="38"/>
      <x:c r="AL410" s="38"/>
      <x:c r="AM410" s="38"/>
    </x:row>
    <x:row r="411">
      <x:c r="A411" s="523" t="str">
        <x:f>IF(ISBLANK('_SCHEDULE'!A379),"",'_SCHEDULE'!A379)</x:f>
      </x:c>
      <x:c r="B411" s="523" t="str">
        <x:f>IF(ISBLANK('_SCHEDULE'!B379),"",IF('_CONFIG'!$B$2="pt-BR",IF('_SCHEDULE'!B379="scheduled","programado",IF('_SCHEDULE'!B379="rejected","rejeitado",'_SCHEDULE'!B379)),'_SCHEDULE'!B379))</x:f>
      </x:c>
      <x:c r="C411" s="523" t="str">
        <x:f>IF(ISBLANK('_SCHEDULE'!C379),"",'_SCHEDULE'!C379)</x:f>
      </x:c>
      <x:c r="D411" s="523" t="str">
        <x:f>IF(ISBLANK('_SCHEDULE'!D379),"",'_SCHEDULE'!D379)</x:f>
      </x:c>
      <x:c r="E411" s="530" t="str">
        <x:f>IF(ISBLANK('_SCHEDULE'!E379),"",'_SCHEDULE'!E379)</x:f>
      </x:c>
      <x:c r="F411" s="530" t="str">
        <x:f>IF(ISBLANK('_SCHEDULE'!F379),"",'_SCHEDULE'!F379)</x:f>
      </x:c>
      <x:c r="G411" s="530" t="str">
        <x:f>IF(ISBLANK('_SCHEDULE'!G379),"",'_SCHEDULE'!G379)</x:f>
      </x:c>
      <x:c r="H411" s="530" t="str">
        <x:f>IF(ISBLANK('_SCHEDULE'!H379),"",'_SCHEDULE'!H379)</x:f>
      </x:c>
      <x:c r="I411" s="530" t="str">
        <x:f>IF(ISBLANK('_SCHEDULE'!I379),"",'_SCHEDULE'!I379)</x:f>
      </x:c>
      <x:c r="J411" s="530" t="str">
        <x:f>IF(ISBLANK('_SCHEDULE'!J379),"",'_SCHEDULE'!J379)</x:f>
      </x:c>
      <x:c r="K411" s="530" t="str">
        <x:f>IF(ISBLANK('_SCHEDULE'!K379),"",'_SCHEDULE'!K379)</x:f>
      </x:c>
      <x:c r="L411" s="530" t="str">
        <x:f>IF(ISBLANK('_SCHEDULE'!L379),"",'_SCHEDULE'!L379)</x:f>
      </x:c>
      <x:c r="M411" s="530" t="str">
        <x:f>IF(ISBLANK('_SCHEDULE'!M379),"",'_SCHEDULE'!M379)</x:f>
      </x:c>
      <x:c r="N411" s="530" t="str">
        <x:f>IF(ISBLANK('_SCHEDULE'!N379),"",'_SCHEDULE'!N379)</x:f>
      </x:c>
      <x:c r="O411" s="530" t="str">
        <x:f>IF(ISBLANK('_SCHEDULE'!O379),"",'_SCHEDULE'!O379)</x:f>
      </x:c>
      <x:c r="P411" s="530" t="str">
        <x:f>IF(ISBLANK('_SCHEDULE'!P379),"",'_SCHEDULE'!P379)</x:f>
      </x:c>
      <x:c r="Q411" s="530" t="str">
        <x:f>IF(ISBLANK('_SCHEDULE'!Q379),"",'_SCHEDULE'!Q379)</x:f>
      </x:c>
      <x:c r="R411" s="530" t="str">
        <x:f>IF(ISBLANK('_SCHEDULE'!R379),"",'_SCHEDULE'!R379)</x:f>
      </x:c>
      <x:c r="S411" s="523" t="str">
        <x:f>IF(ISBLANK('_SCHEDULE'!S379),"",'_SCHEDULE'!S379)</x:f>
      </x:c>
      <x:c r="T411" s="38"/>
      <x:c r="U411" s="38"/>
      <x:c r="V411" s="38"/>
      <x:c r="W411" s="38"/>
      <x:c r="X411" s="38"/>
      <x:c r="Y411" s="38"/>
      <x:c r="Z411" s="38"/>
      <x:c r="AA411" s="38"/>
      <x:c r="AB411" s="38"/>
      <x:c r="AC411" s="38"/>
      <x:c r="AD411" s="38"/>
      <x:c r="AE411" s="38"/>
      <x:c r="AF411" s="38"/>
      <x:c r="AG411" s="38"/>
      <x:c r="AH411" s="38"/>
      <x:c r="AI411" s="38"/>
      <x:c r="AJ411" s="38"/>
      <x:c r="AK411" s="38"/>
      <x:c r="AL411" s="38"/>
      <x:c r="AM411" s="38"/>
    </x:row>
    <x:row r="412">
      <x:c r="A412" s="523" t="str">
        <x:f>IF(ISBLANK('_SCHEDULE'!A380),"",'_SCHEDULE'!A380)</x:f>
      </x:c>
      <x:c r="B412" s="523" t="str">
        <x:f>IF(ISBLANK('_SCHEDULE'!B380),"",IF('_CONFIG'!$B$2="pt-BR",IF('_SCHEDULE'!B380="scheduled","programado",IF('_SCHEDULE'!B380="rejected","rejeitado",'_SCHEDULE'!B380)),'_SCHEDULE'!B380))</x:f>
      </x:c>
      <x:c r="C412" s="523" t="str">
        <x:f>IF(ISBLANK('_SCHEDULE'!C380),"",'_SCHEDULE'!C380)</x:f>
      </x:c>
      <x:c r="D412" s="523" t="str">
        <x:f>IF(ISBLANK('_SCHEDULE'!D380),"",'_SCHEDULE'!D380)</x:f>
      </x:c>
      <x:c r="E412" s="530" t="str">
        <x:f>IF(ISBLANK('_SCHEDULE'!E380),"",'_SCHEDULE'!E380)</x:f>
      </x:c>
      <x:c r="F412" s="530" t="str">
        <x:f>IF(ISBLANK('_SCHEDULE'!F380),"",'_SCHEDULE'!F380)</x:f>
      </x:c>
      <x:c r="G412" s="530" t="str">
        <x:f>IF(ISBLANK('_SCHEDULE'!G380),"",'_SCHEDULE'!G380)</x:f>
      </x:c>
      <x:c r="H412" s="530" t="str">
        <x:f>IF(ISBLANK('_SCHEDULE'!H380),"",'_SCHEDULE'!H380)</x:f>
      </x:c>
      <x:c r="I412" s="530" t="str">
        <x:f>IF(ISBLANK('_SCHEDULE'!I380),"",'_SCHEDULE'!I380)</x:f>
      </x:c>
      <x:c r="J412" s="530" t="str">
        <x:f>IF(ISBLANK('_SCHEDULE'!J380),"",'_SCHEDULE'!J380)</x:f>
      </x:c>
      <x:c r="K412" s="530" t="str">
        <x:f>IF(ISBLANK('_SCHEDULE'!K380),"",'_SCHEDULE'!K380)</x:f>
      </x:c>
      <x:c r="L412" s="530" t="str">
        <x:f>IF(ISBLANK('_SCHEDULE'!L380),"",'_SCHEDULE'!L380)</x:f>
      </x:c>
      <x:c r="M412" s="530" t="str">
        <x:f>IF(ISBLANK('_SCHEDULE'!M380),"",'_SCHEDULE'!M380)</x:f>
      </x:c>
      <x:c r="N412" s="530" t="str">
        <x:f>IF(ISBLANK('_SCHEDULE'!N380),"",'_SCHEDULE'!N380)</x:f>
      </x:c>
      <x:c r="O412" s="530" t="str">
        <x:f>IF(ISBLANK('_SCHEDULE'!O380),"",'_SCHEDULE'!O380)</x:f>
      </x:c>
      <x:c r="P412" s="530" t="str">
        <x:f>IF(ISBLANK('_SCHEDULE'!P380),"",'_SCHEDULE'!P380)</x:f>
      </x:c>
      <x:c r="Q412" s="530" t="str">
        <x:f>IF(ISBLANK('_SCHEDULE'!Q380),"",'_SCHEDULE'!Q380)</x:f>
      </x:c>
      <x:c r="R412" s="530" t="str">
        <x:f>IF(ISBLANK('_SCHEDULE'!R380),"",'_SCHEDULE'!R380)</x:f>
      </x:c>
      <x:c r="S412" s="523" t="str">
        <x:f>IF(ISBLANK('_SCHEDULE'!S380),"",'_SCHEDULE'!S380)</x:f>
      </x:c>
      <x:c r="T412" s="38"/>
      <x:c r="U412" s="38"/>
      <x:c r="V412" s="38"/>
      <x:c r="W412" s="38"/>
      <x:c r="X412" s="38"/>
      <x:c r="Y412" s="38"/>
      <x:c r="Z412" s="38"/>
      <x:c r="AA412" s="38"/>
      <x:c r="AB412" s="38"/>
      <x:c r="AC412" s="38"/>
      <x:c r="AD412" s="38"/>
      <x:c r="AE412" s="38"/>
      <x:c r="AF412" s="38"/>
      <x:c r="AG412" s="38"/>
      <x:c r="AH412" s="38"/>
      <x:c r="AI412" s="38"/>
      <x:c r="AJ412" s="38"/>
      <x:c r="AK412" s="38"/>
      <x:c r="AL412" s="38"/>
      <x:c r="AM412" s="38"/>
    </x:row>
    <x:row r="413">
      <x:c r="A413" s="523" t="str">
        <x:f>IF(ISBLANK('_SCHEDULE'!A381),"",'_SCHEDULE'!A381)</x:f>
      </x:c>
      <x:c r="B413" s="523" t="str">
        <x:f>IF(ISBLANK('_SCHEDULE'!B381),"",IF('_CONFIG'!$B$2="pt-BR",IF('_SCHEDULE'!B381="scheduled","programado",IF('_SCHEDULE'!B381="rejected","rejeitado",'_SCHEDULE'!B381)),'_SCHEDULE'!B381))</x:f>
      </x:c>
      <x:c r="C413" s="523" t="str">
        <x:f>IF(ISBLANK('_SCHEDULE'!C381),"",'_SCHEDULE'!C381)</x:f>
      </x:c>
      <x:c r="D413" s="523" t="str">
        <x:f>IF(ISBLANK('_SCHEDULE'!D381),"",'_SCHEDULE'!D381)</x:f>
      </x:c>
      <x:c r="E413" s="530" t="str">
        <x:f>IF(ISBLANK('_SCHEDULE'!E381),"",'_SCHEDULE'!E381)</x:f>
      </x:c>
      <x:c r="F413" s="530" t="str">
        <x:f>IF(ISBLANK('_SCHEDULE'!F381),"",'_SCHEDULE'!F381)</x:f>
      </x:c>
      <x:c r="G413" s="530" t="str">
        <x:f>IF(ISBLANK('_SCHEDULE'!G381),"",'_SCHEDULE'!G381)</x:f>
      </x:c>
      <x:c r="H413" s="530" t="str">
        <x:f>IF(ISBLANK('_SCHEDULE'!H381),"",'_SCHEDULE'!H381)</x:f>
      </x:c>
      <x:c r="I413" s="530" t="str">
        <x:f>IF(ISBLANK('_SCHEDULE'!I381),"",'_SCHEDULE'!I381)</x:f>
      </x:c>
      <x:c r="J413" s="530" t="str">
        <x:f>IF(ISBLANK('_SCHEDULE'!J381),"",'_SCHEDULE'!J381)</x:f>
      </x:c>
      <x:c r="K413" s="530" t="str">
        <x:f>IF(ISBLANK('_SCHEDULE'!K381),"",'_SCHEDULE'!K381)</x:f>
      </x:c>
      <x:c r="L413" s="530" t="str">
        <x:f>IF(ISBLANK('_SCHEDULE'!L381),"",'_SCHEDULE'!L381)</x:f>
      </x:c>
      <x:c r="M413" s="530" t="str">
        <x:f>IF(ISBLANK('_SCHEDULE'!M381),"",'_SCHEDULE'!M381)</x:f>
      </x:c>
      <x:c r="N413" s="530" t="str">
        <x:f>IF(ISBLANK('_SCHEDULE'!N381),"",'_SCHEDULE'!N381)</x:f>
      </x:c>
      <x:c r="O413" s="530" t="str">
        <x:f>IF(ISBLANK('_SCHEDULE'!O381),"",'_SCHEDULE'!O381)</x:f>
      </x:c>
      <x:c r="P413" s="530" t="str">
        <x:f>IF(ISBLANK('_SCHEDULE'!P381),"",'_SCHEDULE'!P381)</x:f>
      </x:c>
      <x:c r="Q413" s="530" t="str">
        <x:f>IF(ISBLANK('_SCHEDULE'!Q381),"",'_SCHEDULE'!Q381)</x:f>
      </x:c>
      <x:c r="R413" s="530" t="str">
        <x:f>IF(ISBLANK('_SCHEDULE'!R381),"",'_SCHEDULE'!R381)</x:f>
      </x:c>
      <x:c r="S413" s="523" t="str">
        <x:f>IF(ISBLANK('_SCHEDULE'!S381),"",'_SCHEDULE'!S381)</x:f>
      </x:c>
      <x:c r="T413" s="38"/>
      <x:c r="U413" s="38"/>
      <x:c r="V413" s="38"/>
      <x:c r="W413" s="38"/>
      <x:c r="X413" s="38"/>
      <x:c r="Y413" s="38"/>
      <x:c r="Z413" s="38"/>
      <x:c r="AA413" s="38"/>
      <x:c r="AB413" s="38"/>
      <x:c r="AC413" s="38"/>
      <x:c r="AD413" s="38"/>
      <x:c r="AE413" s="38"/>
      <x:c r="AF413" s="38"/>
      <x:c r="AG413" s="38"/>
      <x:c r="AH413" s="38"/>
      <x:c r="AI413" s="38"/>
      <x:c r="AJ413" s="38"/>
      <x:c r="AK413" s="38"/>
      <x:c r="AL413" s="38"/>
      <x:c r="AM413" s="38"/>
    </x:row>
    <x:row r="414">
      <x:c r="A414" s="523" t="str">
        <x:f>IF(ISBLANK('_SCHEDULE'!A382),"",'_SCHEDULE'!A382)</x:f>
      </x:c>
      <x:c r="B414" s="523" t="str">
        <x:f>IF(ISBLANK('_SCHEDULE'!B382),"",IF('_CONFIG'!$B$2="pt-BR",IF('_SCHEDULE'!B382="scheduled","programado",IF('_SCHEDULE'!B382="rejected","rejeitado",'_SCHEDULE'!B382)),'_SCHEDULE'!B382))</x:f>
      </x:c>
      <x:c r="C414" s="523" t="str">
        <x:f>IF(ISBLANK('_SCHEDULE'!C382),"",'_SCHEDULE'!C382)</x:f>
      </x:c>
      <x:c r="D414" s="523" t="str">
        <x:f>IF(ISBLANK('_SCHEDULE'!D382),"",'_SCHEDULE'!D382)</x:f>
      </x:c>
      <x:c r="E414" s="530" t="str">
        <x:f>IF(ISBLANK('_SCHEDULE'!E382),"",'_SCHEDULE'!E382)</x:f>
      </x:c>
      <x:c r="F414" s="530" t="str">
        <x:f>IF(ISBLANK('_SCHEDULE'!F382),"",'_SCHEDULE'!F382)</x:f>
      </x:c>
      <x:c r="G414" s="530" t="str">
        <x:f>IF(ISBLANK('_SCHEDULE'!G382),"",'_SCHEDULE'!G382)</x:f>
      </x:c>
      <x:c r="H414" s="530" t="str">
        <x:f>IF(ISBLANK('_SCHEDULE'!H382),"",'_SCHEDULE'!H382)</x:f>
      </x:c>
      <x:c r="I414" s="530" t="str">
        <x:f>IF(ISBLANK('_SCHEDULE'!I382),"",'_SCHEDULE'!I382)</x:f>
      </x:c>
      <x:c r="J414" s="530" t="str">
        <x:f>IF(ISBLANK('_SCHEDULE'!J382),"",'_SCHEDULE'!J382)</x:f>
      </x:c>
      <x:c r="K414" s="530" t="str">
        <x:f>IF(ISBLANK('_SCHEDULE'!K382),"",'_SCHEDULE'!K382)</x:f>
      </x:c>
      <x:c r="L414" s="530" t="str">
        <x:f>IF(ISBLANK('_SCHEDULE'!L382),"",'_SCHEDULE'!L382)</x:f>
      </x:c>
      <x:c r="M414" s="530" t="str">
        <x:f>IF(ISBLANK('_SCHEDULE'!M382),"",'_SCHEDULE'!M382)</x:f>
      </x:c>
      <x:c r="N414" s="530" t="str">
        <x:f>IF(ISBLANK('_SCHEDULE'!N382),"",'_SCHEDULE'!N382)</x:f>
      </x:c>
      <x:c r="O414" s="530" t="str">
        <x:f>IF(ISBLANK('_SCHEDULE'!O382),"",'_SCHEDULE'!O382)</x:f>
      </x:c>
      <x:c r="P414" s="530" t="str">
        <x:f>IF(ISBLANK('_SCHEDULE'!P382),"",'_SCHEDULE'!P382)</x:f>
      </x:c>
      <x:c r="Q414" s="530" t="str">
        <x:f>IF(ISBLANK('_SCHEDULE'!Q382),"",'_SCHEDULE'!Q382)</x:f>
      </x:c>
      <x:c r="R414" s="530" t="str">
        <x:f>IF(ISBLANK('_SCHEDULE'!R382),"",'_SCHEDULE'!R382)</x:f>
      </x:c>
      <x:c r="S414" s="523" t="str">
        <x:f>IF(ISBLANK('_SCHEDULE'!S382),"",'_SCHEDULE'!S382)</x:f>
      </x:c>
      <x:c r="T414" s="38"/>
      <x:c r="U414" s="38"/>
      <x:c r="V414" s="38"/>
      <x:c r="W414" s="38"/>
      <x:c r="X414" s="38"/>
      <x:c r="Y414" s="38"/>
      <x:c r="Z414" s="38"/>
      <x:c r="AA414" s="38"/>
      <x:c r="AB414" s="38"/>
      <x:c r="AC414" s="38"/>
      <x:c r="AD414" s="38"/>
      <x:c r="AE414" s="38"/>
      <x:c r="AF414" s="38"/>
      <x:c r="AG414" s="38"/>
      <x:c r="AH414" s="38"/>
      <x:c r="AI414" s="38"/>
      <x:c r="AJ414" s="38"/>
      <x:c r="AK414" s="38"/>
      <x:c r="AL414" s="38"/>
      <x:c r="AM414" s="38"/>
    </x:row>
    <x:row r="415">
      <x:c r="A415" s="523" t="str">
        <x:f>IF(ISBLANK('_SCHEDULE'!A383),"",'_SCHEDULE'!A383)</x:f>
      </x:c>
      <x:c r="B415" s="523" t="str">
        <x:f>IF(ISBLANK('_SCHEDULE'!B383),"",IF('_CONFIG'!$B$2="pt-BR",IF('_SCHEDULE'!B383="scheduled","programado",IF('_SCHEDULE'!B383="rejected","rejeitado",'_SCHEDULE'!B383)),'_SCHEDULE'!B383))</x:f>
      </x:c>
      <x:c r="C415" s="523" t="str">
        <x:f>IF(ISBLANK('_SCHEDULE'!C383),"",'_SCHEDULE'!C383)</x:f>
      </x:c>
      <x:c r="D415" s="523" t="str">
        <x:f>IF(ISBLANK('_SCHEDULE'!D383),"",'_SCHEDULE'!D383)</x:f>
      </x:c>
      <x:c r="E415" s="530" t="str">
        <x:f>IF(ISBLANK('_SCHEDULE'!E383),"",'_SCHEDULE'!E383)</x:f>
      </x:c>
      <x:c r="F415" s="530" t="str">
        <x:f>IF(ISBLANK('_SCHEDULE'!F383),"",'_SCHEDULE'!F383)</x:f>
      </x:c>
      <x:c r="G415" s="530" t="str">
        <x:f>IF(ISBLANK('_SCHEDULE'!G383),"",'_SCHEDULE'!G383)</x:f>
      </x:c>
      <x:c r="H415" s="530" t="str">
        <x:f>IF(ISBLANK('_SCHEDULE'!H383),"",'_SCHEDULE'!H383)</x:f>
      </x:c>
      <x:c r="I415" s="530" t="str">
        <x:f>IF(ISBLANK('_SCHEDULE'!I383),"",'_SCHEDULE'!I383)</x:f>
      </x:c>
      <x:c r="J415" s="530" t="str">
        <x:f>IF(ISBLANK('_SCHEDULE'!J383),"",'_SCHEDULE'!J383)</x:f>
      </x:c>
      <x:c r="K415" s="530" t="str">
        <x:f>IF(ISBLANK('_SCHEDULE'!K383),"",'_SCHEDULE'!K383)</x:f>
      </x:c>
      <x:c r="L415" s="530" t="str">
        <x:f>IF(ISBLANK('_SCHEDULE'!L383),"",'_SCHEDULE'!L383)</x:f>
      </x:c>
      <x:c r="M415" s="530" t="str">
        <x:f>IF(ISBLANK('_SCHEDULE'!M383),"",'_SCHEDULE'!M383)</x:f>
      </x:c>
      <x:c r="N415" s="530" t="str">
        <x:f>IF(ISBLANK('_SCHEDULE'!N383),"",'_SCHEDULE'!N383)</x:f>
      </x:c>
      <x:c r="O415" s="530" t="str">
        <x:f>IF(ISBLANK('_SCHEDULE'!O383),"",'_SCHEDULE'!O383)</x:f>
      </x:c>
      <x:c r="P415" s="530" t="str">
        <x:f>IF(ISBLANK('_SCHEDULE'!P383),"",'_SCHEDULE'!P383)</x:f>
      </x:c>
      <x:c r="Q415" s="530" t="str">
        <x:f>IF(ISBLANK('_SCHEDULE'!Q383),"",'_SCHEDULE'!Q383)</x:f>
      </x:c>
      <x:c r="R415" s="530" t="str">
        <x:f>IF(ISBLANK('_SCHEDULE'!R383),"",'_SCHEDULE'!R383)</x:f>
      </x:c>
      <x:c r="S415" s="523" t="str">
        <x:f>IF(ISBLANK('_SCHEDULE'!S383),"",'_SCHEDULE'!S383)</x:f>
      </x:c>
      <x:c r="T415" s="38"/>
      <x:c r="U415" s="38"/>
      <x:c r="V415" s="38"/>
      <x:c r="W415" s="38"/>
      <x:c r="X415" s="38"/>
      <x:c r="Y415" s="38"/>
      <x:c r="Z415" s="38"/>
      <x:c r="AA415" s="38"/>
      <x:c r="AB415" s="38"/>
      <x:c r="AC415" s="38"/>
      <x:c r="AD415" s="38"/>
      <x:c r="AE415" s="38"/>
      <x:c r="AF415" s="38"/>
      <x:c r="AG415" s="38"/>
      <x:c r="AH415" s="38"/>
      <x:c r="AI415" s="38"/>
      <x:c r="AJ415" s="38"/>
      <x:c r="AK415" s="38"/>
      <x:c r="AL415" s="38"/>
      <x:c r="AM415" s="38"/>
    </x:row>
    <x:row r="416">
      <x:c r="A416" s="523" t="str">
        <x:f>IF(ISBLANK('_SCHEDULE'!A384),"",'_SCHEDULE'!A384)</x:f>
      </x:c>
      <x:c r="B416" s="523" t="str">
        <x:f>IF(ISBLANK('_SCHEDULE'!B384),"",IF('_CONFIG'!$B$2="pt-BR",IF('_SCHEDULE'!B384="scheduled","programado",IF('_SCHEDULE'!B384="rejected","rejeitado",'_SCHEDULE'!B384)),'_SCHEDULE'!B384))</x:f>
      </x:c>
      <x:c r="C416" s="523" t="str">
        <x:f>IF(ISBLANK('_SCHEDULE'!C384),"",'_SCHEDULE'!C384)</x:f>
      </x:c>
      <x:c r="D416" s="523" t="str">
        <x:f>IF(ISBLANK('_SCHEDULE'!D384),"",'_SCHEDULE'!D384)</x:f>
      </x:c>
      <x:c r="E416" s="530" t="str">
        <x:f>IF(ISBLANK('_SCHEDULE'!E384),"",'_SCHEDULE'!E384)</x:f>
      </x:c>
      <x:c r="F416" s="530" t="str">
        <x:f>IF(ISBLANK('_SCHEDULE'!F384),"",'_SCHEDULE'!F384)</x:f>
      </x:c>
      <x:c r="G416" s="530" t="str">
        <x:f>IF(ISBLANK('_SCHEDULE'!G384),"",'_SCHEDULE'!G384)</x:f>
      </x:c>
      <x:c r="H416" s="530" t="str">
        <x:f>IF(ISBLANK('_SCHEDULE'!H384),"",'_SCHEDULE'!H384)</x:f>
      </x:c>
      <x:c r="I416" s="530" t="str">
        <x:f>IF(ISBLANK('_SCHEDULE'!I384),"",'_SCHEDULE'!I384)</x:f>
      </x:c>
      <x:c r="J416" s="530" t="str">
        <x:f>IF(ISBLANK('_SCHEDULE'!J384),"",'_SCHEDULE'!J384)</x:f>
      </x:c>
      <x:c r="K416" s="530" t="str">
        <x:f>IF(ISBLANK('_SCHEDULE'!K384),"",'_SCHEDULE'!K384)</x:f>
      </x:c>
      <x:c r="L416" s="530" t="str">
        <x:f>IF(ISBLANK('_SCHEDULE'!L384),"",'_SCHEDULE'!L384)</x:f>
      </x:c>
      <x:c r="M416" s="530" t="str">
        <x:f>IF(ISBLANK('_SCHEDULE'!M384),"",'_SCHEDULE'!M384)</x:f>
      </x:c>
      <x:c r="N416" s="530" t="str">
        <x:f>IF(ISBLANK('_SCHEDULE'!N384),"",'_SCHEDULE'!N384)</x:f>
      </x:c>
      <x:c r="O416" s="530" t="str">
        <x:f>IF(ISBLANK('_SCHEDULE'!O384),"",'_SCHEDULE'!O384)</x:f>
      </x:c>
      <x:c r="P416" s="530" t="str">
        <x:f>IF(ISBLANK('_SCHEDULE'!P384),"",'_SCHEDULE'!P384)</x:f>
      </x:c>
      <x:c r="Q416" s="530" t="str">
        <x:f>IF(ISBLANK('_SCHEDULE'!Q384),"",'_SCHEDULE'!Q384)</x:f>
      </x:c>
      <x:c r="R416" s="530" t="str">
        <x:f>IF(ISBLANK('_SCHEDULE'!R384),"",'_SCHEDULE'!R384)</x:f>
      </x:c>
      <x:c r="S416" s="523" t="str">
        <x:f>IF(ISBLANK('_SCHEDULE'!S384),"",'_SCHEDULE'!S384)</x:f>
      </x:c>
      <x:c r="T416" s="38"/>
      <x:c r="U416" s="38"/>
      <x:c r="V416" s="38"/>
      <x:c r="W416" s="38"/>
      <x:c r="X416" s="38"/>
      <x:c r="Y416" s="38"/>
      <x:c r="Z416" s="38"/>
      <x:c r="AA416" s="38"/>
      <x:c r="AB416" s="38"/>
      <x:c r="AC416" s="38"/>
      <x:c r="AD416" s="38"/>
      <x:c r="AE416" s="38"/>
      <x:c r="AF416" s="38"/>
      <x:c r="AG416" s="38"/>
      <x:c r="AH416" s="38"/>
      <x:c r="AI416" s="38"/>
      <x:c r="AJ416" s="38"/>
      <x:c r="AK416" s="38"/>
      <x:c r="AL416" s="38"/>
      <x:c r="AM416" s="38"/>
    </x:row>
    <x:row r="417">
      <x:c r="A417" s="523" t="str">
        <x:f>IF(ISBLANK('_SCHEDULE'!A385),"",'_SCHEDULE'!A385)</x:f>
      </x:c>
      <x:c r="B417" s="523" t="str">
        <x:f>IF(ISBLANK('_SCHEDULE'!B385),"",IF('_CONFIG'!$B$2="pt-BR",IF('_SCHEDULE'!B385="scheduled","programado",IF('_SCHEDULE'!B385="rejected","rejeitado",'_SCHEDULE'!B385)),'_SCHEDULE'!B385))</x:f>
      </x:c>
      <x:c r="C417" s="523" t="str">
        <x:f>IF(ISBLANK('_SCHEDULE'!C385),"",'_SCHEDULE'!C385)</x:f>
      </x:c>
      <x:c r="D417" s="523" t="str">
        <x:f>IF(ISBLANK('_SCHEDULE'!D385),"",'_SCHEDULE'!D385)</x:f>
      </x:c>
      <x:c r="E417" s="530" t="str">
        <x:f>IF(ISBLANK('_SCHEDULE'!E385),"",'_SCHEDULE'!E385)</x:f>
      </x:c>
      <x:c r="F417" s="530" t="str">
        <x:f>IF(ISBLANK('_SCHEDULE'!F385),"",'_SCHEDULE'!F385)</x:f>
      </x:c>
      <x:c r="G417" s="530" t="str">
        <x:f>IF(ISBLANK('_SCHEDULE'!G385),"",'_SCHEDULE'!G385)</x:f>
      </x:c>
      <x:c r="H417" s="530" t="str">
        <x:f>IF(ISBLANK('_SCHEDULE'!H385),"",'_SCHEDULE'!H385)</x:f>
      </x:c>
      <x:c r="I417" s="530" t="str">
        <x:f>IF(ISBLANK('_SCHEDULE'!I385),"",'_SCHEDULE'!I385)</x:f>
      </x:c>
      <x:c r="J417" s="530" t="str">
        <x:f>IF(ISBLANK('_SCHEDULE'!J385),"",'_SCHEDULE'!J385)</x:f>
      </x:c>
      <x:c r="K417" s="530" t="str">
        <x:f>IF(ISBLANK('_SCHEDULE'!K385),"",'_SCHEDULE'!K385)</x:f>
      </x:c>
      <x:c r="L417" s="530" t="str">
        <x:f>IF(ISBLANK('_SCHEDULE'!L385),"",'_SCHEDULE'!L385)</x:f>
      </x:c>
      <x:c r="M417" s="530" t="str">
        <x:f>IF(ISBLANK('_SCHEDULE'!M385),"",'_SCHEDULE'!M385)</x:f>
      </x:c>
      <x:c r="N417" s="530" t="str">
        <x:f>IF(ISBLANK('_SCHEDULE'!N385),"",'_SCHEDULE'!N385)</x:f>
      </x:c>
      <x:c r="O417" s="530" t="str">
        <x:f>IF(ISBLANK('_SCHEDULE'!O385),"",'_SCHEDULE'!O385)</x:f>
      </x:c>
      <x:c r="P417" s="530" t="str">
        <x:f>IF(ISBLANK('_SCHEDULE'!P385),"",'_SCHEDULE'!P385)</x:f>
      </x:c>
      <x:c r="Q417" s="530" t="str">
        <x:f>IF(ISBLANK('_SCHEDULE'!Q385),"",'_SCHEDULE'!Q385)</x:f>
      </x:c>
      <x:c r="R417" s="530" t="str">
        <x:f>IF(ISBLANK('_SCHEDULE'!R385),"",'_SCHEDULE'!R385)</x:f>
      </x:c>
      <x:c r="S417" s="523" t="str">
        <x:f>IF(ISBLANK('_SCHEDULE'!S385),"",'_SCHEDULE'!S385)</x:f>
      </x:c>
      <x:c r="T417" s="38"/>
      <x:c r="U417" s="38"/>
      <x:c r="V417" s="38"/>
      <x:c r="W417" s="38"/>
      <x:c r="X417" s="38"/>
      <x:c r="Y417" s="38"/>
      <x:c r="Z417" s="38"/>
      <x:c r="AA417" s="38"/>
      <x:c r="AB417" s="38"/>
      <x:c r="AC417" s="38"/>
      <x:c r="AD417" s="38"/>
      <x:c r="AE417" s="38"/>
      <x:c r="AF417" s="38"/>
      <x:c r="AG417" s="38"/>
      <x:c r="AH417" s="38"/>
      <x:c r="AI417" s="38"/>
      <x:c r="AJ417" s="38"/>
      <x:c r="AK417" s="38"/>
      <x:c r="AL417" s="38"/>
      <x:c r="AM417" s="38"/>
    </x:row>
    <x:row r="418">
      <x:c r="A418" s="523" t="str">
        <x:f>IF(ISBLANK('_SCHEDULE'!A386),"",'_SCHEDULE'!A386)</x:f>
      </x:c>
      <x:c r="B418" s="523" t="str">
        <x:f>IF(ISBLANK('_SCHEDULE'!B386),"",IF('_CONFIG'!$B$2="pt-BR",IF('_SCHEDULE'!B386="scheduled","programado",IF('_SCHEDULE'!B386="rejected","rejeitado",'_SCHEDULE'!B386)),'_SCHEDULE'!B386))</x:f>
      </x:c>
      <x:c r="C418" s="523" t="str">
        <x:f>IF(ISBLANK('_SCHEDULE'!C386),"",'_SCHEDULE'!C386)</x:f>
      </x:c>
      <x:c r="D418" s="523" t="str">
        <x:f>IF(ISBLANK('_SCHEDULE'!D386),"",'_SCHEDULE'!D386)</x:f>
      </x:c>
      <x:c r="E418" s="530" t="str">
        <x:f>IF(ISBLANK('_SCHEDULE'!E386),"",'_SCHEDULE'!E386)</x:f>
      </x:c>
      <x:c r="F418" s="530" t="str">
        <x:f>IF(ISBLANK('_SCHEDULE'!F386),"",'_SCHEDULE'!F386)</x:f>
      </x:c>
      <x:c r="G418" s="530" t="str">
        <x:f>IF(ISBLANK('_SCHEDULE'!G386),"",'_SCHEDULE'!G386)</x:f>
      </x:c>
      <x:c r="H418" s="530" t="str">
        <x:f>IF(ISBLANK('_SCHEDULE'!H386),"",'_SCHEDULE'!H386)</x:f>
      </x:c>
      <x:c r="I418" s="530" t="str">
        <x:f>IF(ISBLANK('_SCHEDULE'!I386),"",'_SCHEDULE'!I386)</x:f>
      </x:c>
      <x:c r="J418" s="530" t="str">
        <x:f>IF(ISBLANK('_SCHEDULE'!J386),"",'_SCHEDULE'!J386)</x:f>
      </x:c>
      <x:c r="K418" s="530" t="str">
        <x:f>IF(ISBLANK('_SCHEDULE'!K386),"",'_SCHEDULE'!K386)</x:f>
      </x:c>
      <x:c r="L418" s="530" t="str">
        <x:f>IF(ISBLANK('_SCHEDULE'!L386),"",'_SCHEDULE'!L386)</x:f>
      </x:c>
      <x:c r="M418" s="530" t="str">
        <x:f>IF(ISBLANK('_SCHEDULE'!M386),"",'_SCHEDULE'!M386)</x:f>
      </x:c>
      <x:c r="N418" s="530" t="str">
        <x:f>IF(ISBLANK('_SCHEDULE'!N386),"",'_SCHEDULE'!N386)</x:f>
      </x:c>
      <x:c r="O418" s="530" t="str">
        <x:f>IF(ISBLANK('_SCHEDULE'!O386),"",'_SCHEDULE'!O386)</x:f>
      </x:c>
      <x:c r="P418" s="530" t="str">
        <x:f>IF(ISBLANK('_SCHEDULE'!P386),"",'_SCHEDULE'!P386)</x:f>
      </x:c>
      <x:c r="Q418" s="530" t="str">
        <x:f>IF(ISBLANK('_SCHEDULE'!Q386),"",'_SCHEDULE'!Q386)</x:f>
      </x:c>
      <x:c r="R418" s="530" t="str">
        <x:f>IF(ISBLANK('_SCHEDULE'!R386),"",'_SCHEDULE'!R386)</x:f>
      </x:c>
      <x:c r="S418" s="523" t="str">
        <x:f>IF(ISBLANK('_SCHEDULE'!S386),"",'_SCHEDULE'!S386)</x:f>
      </x:c>
      <x:c r="T418" s="38"/>
      <x:c r="U418" s="38"/>
      <x:c r="V418" s="38"/>
      <x:c r="W418" s="38"/>
      <x:c r="X418" s="38"/>
      <x:c r="Y418" s="38"/>
      <x:c r="Z418" s="38"/>
      <x:c r="AA418" s="38"/>
      <x:c r="AB418" s="38"/>
      <x:c r="AC418" s="38"/>
      <x:c r="AD418" s="38"/>
      <x:c r="AE418" s="38"/>
      <x:c r="AF418" s="38"/>
      <x:c r="AG418" s="38"/>
      <x:c r="AH418" s="38"/>
      <x:c r="AI418" s="38"/>
      <x:c r="AJ418" s="38"/>
      <x:c r="AK418" s="38"/>
      <x:c r="AL418" s="38"/>
      <x:c r="AM418" s="38"/>
    </x:row>
    <x:row r="419">
      <x:c r="A419" s="523" t="str">
        <x:f>IF(ISBLANK('_SCHEDULE'!A387),"",'_SCHEDULE'!A387)</x:f>
      </x:c>
      <x:c r="B419" s="523" t="str">
        <x:f>IF(ISBLANK('_SCHEDULE'!B387),"",IF('_CONFIG'!$B$2="pt-BR",IF('_SCHEDULE'!B387="scheduled","programado",IF('_SCHEDULE'!B387="rejected","rejeitado",'_SCHEDULE'!B387)),'_SCHEDULE'!B387))</x:f>
      </x:c>
      <x:c r="C419" s="523" t="str">
        <x:f>IF(ISBLANK('_SCHEDULE'!C387),"",'_SCHEDULE'!C387)</x:f>
      </x:c>
      <x:c r="D419" s="523" t="str">
        <x:f>IF(ISBLANK('_SCHEDULE'!D387),"",'_SCHEDULE'!D387)</x:f>
      </x:c>
      <x:c r="E419" s="530" t="str">
        <x:f>IF(ISBLANK('_SCHEDULE'!E387),"",'_SCHEDULE'!E387)</x:f>
      </x:c>
      <x:c r="F419" s="530" t="str">
        <x:f>IF(ISBLANK('_SCHEDULE'!F387),"",'_SCHEDULE'!F387)</x:f>
      </x:c>
      <x:c r="G419" s="530" t="str">
        <x:f>IF(ISBLANK('_SCHEDULE'!G387),"",'_SCHEDULE'!G387)</x:f>
      </x:c>
      <x:c r="H419" s="530" t="str">
        <x:f>IF(ISBLANK('_SCHEDULE'!H387),"",'_SCHEDULE'!H387)</x:f>
      </x:c>
      <x:c r="I419" s="530" t="str">
        <x:f>IF(ISBLANK('_SCHEDULE'!I387),"",'_SCHEDULE'!I387)</x:f>
      </x:c>
      <x:c r="J419" s="530" t="str">
        <x:f>IF(ISBLANK('_SCHEDULE'!J387),"",'_SCHEDULE'!J387)</x:f>
      </x:c>
      <x:c r="K419" s="530" t="str">
        <x:f>IF(ISBLANK('_SCHEDULE'!K387),"",'_SCHEDULE'!K387)</x:f>
      </x:c>
      <x:c r="L419" s="530" t="str">
        <x:f>IF(ISBLANK('_SCHEDULE'!L387),"",'_SCHEDULE'!L387)</x:f>
      </x:c>
      <x:c r="M419" s="530" t="str">
        <x:f>IF(ISBLANK('_SCHEDULE'!M387),"",'_SCHEDULE'!M387)</x:f>
      </x:c>
      <x:c r="N419" s="530" t="str">
        <x:f>IF(ISBLANK('_SCHEDULE'!N387),"",'_SCHEDULE'!N387)</x:f>
      </x:c>
      <x:c r="O419" s="530" t="str">
        <x:f>IF(ISBLANK('_SCHEDULE'!O387),"",'_SCHEDULE'!O387)</x:f>
      </x:c>
      <x:c r="P419" s="530" t="str">
        <x:f>IF(ISBLANK('_SCHEDULE'!P387),"",'_SCHEDULE'!P387)</x:f>
      </x:c>
      <x:c r="Q419" s="530" t="str">
        <x:f>IF(ISBLANK('_SCHEDULE'!Q387),"",'_SCHEDULE'!Q387)</x:f>
      </x:c>
      <x:c r="R419" s="530" t="str">
        <x:f>IF(ISBLANK('_SCHEDULE'!R387),"",'_SCHEDULE'!R387)</x:f>
      </x:c>
      <x:c r="S419" s="523" t="str">
        <x:f>IF(ISBLANK('_SCHEDULE'!S387),"",'_SCHEDULE'!S387)</x:f>
      </x:c>
      <x:c r="T419" s="38"/>
      <x:c r="U419" s="38"/>
      <x:c r="V419" s="38"/>
      <x:c r="W419" s="38"/>
      <x:c r="X419" s="38"/>
      <x:c r="Y419" s="38"/>
      <x:c r="Z419" s="38"/>
      <x:c r="AA419" s="38"/>
      <x:c r="AB419" s="38"/>
      <x:c r="AC419" s="38"/>
      <x:c r="AD419" s="38"/>
      <x:c r="AE419" s="38"/>
      <x:c r="AF419" s="38"/>
      <x:c r="AG419" s="38"/>
      <x:c r="AH419" s="38"/>
      <x:c r="AI419" s="38"/>
      <x:c r="AJ419" s="38"/>
      <x:c r="AK419" s="38"/>
      <x:c r="AL419" s="38"/>
      <x:c r="AM419" s="38"/>
    </x:row>
    <x:row r="420">
      <x:c r="A420" s="523" t="str">
        <x:f>IF(ISBLANK('_SCHEDULE'!A388),"",'_SCHEDULE'!A388)</x:f>
      </x:c>
      <x:c r="B420" s="523" t="str">
        <x:f>IF(ISBLANK('_SCHEDULE'!B388),"",IF('_CONFIG'!$B$2="pt-BR",IF('_SCHEDULE'!B388="scheduled","programado",IF('_SCHEDULE'!B388="rejected","rejeitado",'_SCHEDULE'!B388)),'_SCHEDULE'!B388))</x:f>
      </x:c>
      <x:c r="C420" s="523" t="str">
        <x:f>IF(ISBLANK('_SCHEDULE'!C388),"",'_SCHEDULE'!C388)</x:f>
      </x:c>
      <x:c r="D420" s="523" t="str">
        <x:f>IF(ISBLANK('_SCHEDULE'!D388),"",'_SCHEDULE'!D388)</x:f>
      </x:c>
      <x:c r="E420" s="530" t="str">
        <x:f>IF(ISBLANK('_SCHEDULE'!E388),"",'_SCHEDULE'!E388)</x:f>
      </x:c>
      <x:c r="F420" s="530" t="str">
        <x:f>IF(ISBLANK('_SCHEDULE'!F388),"",'_SCHEDULE'!F388)</x:f>
      </x:c>
      <x:c r="G420" s="530" t="str">
        <x:f>IF(ISBLANK('_SCHEDULE'!G388),"",'_SCHEDULE'!G388)</x:f>
      </x:c>
      <x:c r="H420" s="530" t="str">
        <x:f>IF(ISBLANK('_SCHEDULE'!H388),"",'_SCHEDULE'!H388)</x:f>
      </x:c>
      <x:c r="I420" s="530" t="str">
        <x:f>IF(ISBLANK('_SCHEDULE'!I388),"",'_SCHEDULE'!I388)</x:f>
      </x:c>
      <x:c r="J420" s="530" t="str">
        <x:f>IF(ISBLANK('_SCHEDULE'!J388),"",'_SCHEDULE'!J388)</x:f>
      </x:c>
      <x:c r="K420" s="530" t="str">
        <x:f>IF(ISBLANK('_SCHEDULE'!K388),"",'_SCHEDULE'!K388)</x:f>
      </x:c>
      <x:c r="L420" s="530" t="str">
        <x:f>IF(ISBLANK('_SCHEDULE'!L388),"",'_SCHEDULE'!L388)</x:f>
      </x:c>
      <x:c r="M420" s="530" t="str">
        <x:f>IF(ISBLANK('_SCHEDULE'!M388),"",'_SCHEDULE'!M388)</x:f>
      </x:c>
      <x:c r="N420" s="530" t="str">
        <x:f>IF(ISBLANK('_SCHEDULE'!N388),"",'_SCHEDULE'!N388)</x:f>
      </x:c>
      <x:c r="O420" s="530" t="str">
        <x:f>IF(ISBLANK('_SCHEDULE'!O388),"",'_SCHEDULE'!O388)</x:f>
      </x:c>
      <x:c r="P420" s="530" t="str">
        <x:f>IF(ISBLANK('_SCHEDULE'!P388),"",'_SCHEDULE'!P388)</x:f>
      </x:c>
      <x:c r="Q420" s="530" t="str">
        <x:f>IF(ISBLANK('_SCHEDULE'!Q388),"",'_SCHEDULE'!Q388)</x:f>
      </x:c>
      <x:c r="R420" s="530" t="str">
        <x:f>IF(ISBLANK('_SCHEDULE'!R388),"",'_SCHEDULE'!R388)</x:f>
      </x:c>
      <x:c r="S420" s="523" t="str">
        <x:f>IF(ISBLANK('_SCHEDULE'!S388),"",'_SCHEDULE'!S388)</x:f>
      </x:c>
      <x:c r="T420" s="38"/>
      <x:c r="U420" s="38"/>
      <x:c r="V420" s="38"/>
      <x:c r="W420" s="38"/>
      <x:c r="X420" s="38"/>
      <x:c r="Y420" s="38"/>
      <x:c r="Z420" s="38"/>
      <x:c r="AA420" s="38"/>
      <x:c r="AB420" s="38"/>
      <x:c r="AC420" s="38"/>
      <x:c r="AD420" s="38"/>
      <x:c r="AE420" s="38"/>
      <x:c r="AF420" s="38"/>
      <x:c r="AG420" s="38"/>
      <x:c r="AH420" s="38"/>
      <x:c r="AI420" s="38"/>
      <x:c r="AJ420" s="38"/>
      <x:c r="AK420" s="38"/>
      <x:c r="AL420" s="38"/>
      <x:c r="AM420" s="38"/>
    </x:row>
    <x:row r="421">
      <x:c r="A421" s="523" t="str">
        <x:f>IF(ISBLANK('_SCHEDULE'!A389),"",'_SCHEDULE'!A389)</x:f>
      </x:c>
      <x:c r="B421" s="523" t="str">
        <x:f>IF(ISBLANK('_SCHEDULE'!B389),"",IF('_CONFIG'!$B$2="pt-BR",IF('_SCHEDULE'!B389="scheduled","programado",IF('_SCHEDULE'!B389="rejected","rejeitado",'_SCHEDULE'!B389)),'_SCHEDULE'!B389))</x:f>
      </x:c>
      <x:c r="C421" s="523" t="str">
        <x:f>IF(ISBLANK('_SCHEDULE'!C389),"",'_SCHEDULE'!C389)</x:f>
      </x:c>
      <x:c r="D421" s="523" t="str">
        <x:f>IF(ISBLANK('_SCHEDULE'!D389),"",'_SCHEDULE'!D389)</x:f>
      </x:c>
      <x:c r="E421" s="530" t="str">
        <x:f>IF(ISBLANK('_SCHEDULE'!E389),"",'_SCHEDULE'!E389)</x:f>
      </x:c>
      <x:c r="F421" s="530" t="str">
        <x:f>IF(ISBLANK('_SCHEDULE'!F389),"",'_SCHEDULE'!F389)</x:f>
      </x:c>
      <x:c r="G421" s="530" t="str">
        <x:f>IF(ISBLANK('_SCHEDULE'!G389),"",'_SCHEDULE'!G389)</x:f>
      </x:c>
      <x:c r="H421" s="530" t="str">
        <x:f>IF(ISBLANK('_SCHEDULE'!H389),"",'_SCHEDULE'!H389)</x:f>
      </x:c>
      <x:c r="I421" s="530" t="str">
        <x:f>IF(ISBLANK('_SCHEDULE'!I389),"",'_SCHEDULE'!I389)</x:f>
      </x:c>
      <x:c r="J421" s="530" t="str">
        <x:f>IF(ISBLANK('_SCHEDULE'!J389),"",'_SCHEDULE'!J389)</x:f>
      </x:c>
      <x:c r="K421" s="530" t="str">
        <x:f>IF(ISBLANK('_SCHEDULE'!K389),"",'_SCHEDULE'!K389)</x:f>
      </x:c>
      <x:c r="L421" s="530" t="str">
        <x:f>IF(ISBLANK('_SCHEDULE'!L389),"",'_SCHEDULE'!L389)</x:f>
      </x:c>
      <x:c r="M421" s="530" t="str">
        <x:f>IF(ISBLANK('_SCHEDULE'!M389),"",'_SCHEDULE'!M389)</x:f>
      </x:c>
      <x:c r="N421" s="530" t="str">
        <x:f>IF(ISBLANK('_SCHEDULE'!N389),"",'_SCHEDULE'!N389)</x:f>
      </x:c>
      <x:c r="O421" s="530" t="str">
        <x:f>IF(ISBLANK('_SCHEDULE'!O389),"",'_SCHEDULE'!O389)</x:f>
      </x:c>
      <x:c r="P421" s="530" t="str">
        <x:f>IF(ISBLANK('_SCHEDULE'!P389),"",'_SCHEDULE'!P389)</x:f>
      </x:c>
      <x:c r="Q421" s="530" t="str">
        <x:f>IF(ISBLANK('_SCHEDULE'!Q389),"",'_SCHEDULE'!Q389)</x:f>
      </x:c>
      <x:c r="R421" s="530" t="str">
        <x:f>IF(ISBLANK('_SCHEDULE'!R389),"",'_SCHEDULE'!R389)</x:f>
      </x:c>
      <x:c r="S421" s="523" t="str">
        <x:f>IF(ISBLANK('_SCHEDULE'!S389),"",'_SCHEDULE'!S389)</x:f>
      </x:c>
      <x:c r="T421" s="38"/>
      <x:c r="U421" s="38"/>
      <x:c r="V421" s="38"/>
      <x:c r="W421" s="38"/>
      <x:c r="X421" s="38"/>
      <x:c r="Y421" s="38"/>
      <x:c r="Z421" s="38"/>
      <x:c r="AA421" s="38"/>
      <x:c r="AB421" s="38"/>
      <x:c r="AC421" s="38"/>
      <x:c r="AD421" s="38"/>
      <x:c r="AE421" s="38"/>
      <x:c r="AF421" s="38"/>
      <x:c r="AG421" s="38"/>
      <x:c r="AH421" s="38"/>
      <x:c r="AI421" s="38"/>
      <x:c r="AJ421" s="38"/>
      <x:c r="AK421" s="38"/>
      <x:c r="AL421" s="38"/>
      <x:c r="AM421" s="38"/>
    </x:row>
    <x:row r="422">
      <x:c r="A422" s="523" t="str">
        <x:f>IF(ISBLANK('_SCHEDULE'!A390),"",'_SCHEDULE'!A390)</x:f>
      </x:c>
      <x:c r="B422" s="523" t="str">
        <x:f>IF(ISBLANK('_SCHEDULE'!B390),"",IF('_CONFIG'!$B$2="pt-BR",IF('_SCHEDULE'!B390="scheduled","programado",IF('_SCHEDULE'!B390="rejected","rejeitado",'_SCHEDULE'!B390)),'_SCHEDULE'!B390))</x:f>
      </x:c>
      <x:c r="C422" s="523" t="str">
        <x:f>IF(ISBLANK('_SCHEDULE'!C390),"",'_SCHEDULE'!C390)</x:f>
      </x:c>
      <x:c r="D422" s="523" t="str">
        <x:f>IF(ISBLANK('_SCHEDULE'!D390),"",'_SCHEDULE'!D390)</x:f>
      </x:c>
      <x:c r="E422" s="530" t="str">
        <x:f>IF(ISBLANK('_SCHEDULE'!E390),"",'_SCHEDULE'!E390)</x:f>
      </x:c>
      <x:c r="F422" s="530" t="str">
        <x:f>IF(ISBLANK('_SCHEDULE'!F390),"",'_SCHEDULE'!F390)</x:f>
      </x:c>
      <x:c r="G422" s="530" t="str">
        <x:f>IF(ISBLANK('_SCHEDULE'!G390),"",'_SCHEDULE'!G390)</x:f>
      </x:c>
      <x:c r="H422" s="530" t="str">
        <x:f>IF(ISBLANK('_SCHEDULE'!H390),"",'_SCHEDULE'!H390)</x:f>
      </x:c>
      <x:c r="I422" s="530" t="str">
        <x:f>IF(ISBLANK('_SCHEDULE'!I390),"",'_SCHEDULE'!I390)</x:f>
      </x:c>
      <x:c r="J422" s="530" t="str">
        <x:f>IF(ISBLANK('_SCHEDULE'!J390),"",'_SCHEDULE'!J390)</x:f>
      </x:c>
      <x:c r="K422" s="530" t="str">
        <x:f>IF(ISBLANK('_SCHEDULE'!K390),"",'_SCHEDULE'!K390)</x:f>
      </x:c>
      <x:c r="L422" s="530" t="str">
        <x:f>IF(ISBLANK('_SCHEDULE'!L390),"",'_SCHEDULE'!L390)</x:f>
      </x:c>
      <x:c r="M422" s="530" t="str">
        <x:f>IF(ISBLANK('_SCHEDULE'!M390),"",'_SCHEDULE'!M390)</x:f>
      </x:c>
      <x:c r="N422" s="530" t="str">
        <x:f>IF(ISBLANK('_SCHEDULE'!N390),"",'_SCHEDULE'!N390)</x:f>
      </x:c>
      <x:c r="O422" s="530" t="str">
        <x:f>IF(ISBLANK('_SCHEDULE'!O390),"",'_SCHEDULE'!O390)</x:f>
      </x:c>
      <x:c r="P422" s="530" t="str">
        <x:f>IF(ISBLANK('_SCHEDULE'!P390),"",'_SCHEDULE'!P390)</x:f>
      </x:c>
      <x:c r="Q422" s="530" t="str">
        <x:f>IF(ISBLANK('_SCHEDULE'!Q390),"",'_SCHEDULE'!Q390)</x:f>
      </x:c>
      <x:c r="R422" s="530" t="str">
        <x:f>IF(ISBLANK('_SCHEDULE'!R390),"",'_SCHEDULE'!R390)</x:f>
      </x:c>
      <x:c r="S422" s="523" t="str">
        <x:f>IF(ISBLANK('_SCHEDULE'!S390),"",'_SCHEDULE'!S390)</x:f>
      </x:c>
      <x:c r="T422" s="38"/>
      <x:c r="U422" s="38"/>
      <x:c r="V422" s="38"/>
      <x:c r="W422" s="38"/>
      <x:c r="X422" s="38"/>
      <x:c r="Y422" s="38"/>
      <x:c r="Z422" s="38"/>
      <x:c r="AA422" s="38"/>
      <x:c r="AB422" s="38"/>
      <x:c r="AC422" s="38"/>
      <x:c r="AD422" s="38"/>
      <x:c r="AE422" s="38"/>
      <x:c r="AF422" s="38"/>
      <x:c r="AG422" s="38"/>
      <x:c r="AH422" s="38"/>
      <x:c r="AI422" s="38"/>
      <x:c r="AJ422" s="38"/>
      <x:c r="AK422" s="38"/>
      <x:c r="AL422" s="38"/>
      <x:c r="AM422" s="38"/>
    </x:row>
    <x:row r="423">
      <x:c r="A423" s="523" t="str">
        <x:f>IF(ISBLANK('_SCHEDULE'!A391),"",'_SCHEDULE'!A391)</x:f>
      </x:c>
      <x:c r="B423" s="523" t="str">
        <x:f>IF(ISBLANK('_SCHEDULE'!B391),"",IF('_CONFIG'!$B$2="pt-BR",IF('_SCHEDULE'!B391="scheduled","programado",IF('_SCHEDULE'!B391="rejected","rejeitado",'_SCHEDULE'!B391)),'_SCHEDULE'!B391))</x:f>
      </x:c>
      <x:c r="C423" s="523" t="str">
        <x:f>IF(ISBLANK('_SCHEDULE'!C391),"",'_SCHEDULE'!C391)</x:f>
      </x:c>
      <x:c r="D423" s="523" t="str">
        <x:f>IF(ISBLANK('_SCHEDULE'!D391),"",'_SCHEDULE'!D391)</x:f>
      </x:c>
      <x:c r="E423" s="530" t="str">
        <x:f>IF(ISBLANK('_SCHEDULE'!E391),"",'_SCHEDULE'!E391)</x:f>
      </x:c>
      <x:c r="F423" s="530" t="str">
        <x:f>IF(ISBLANK('_SCHEDULE'!F391),"",'_SCHEDULE'!F391)</x:f>
      </x:c>
      <x:c r="G423" s="530" t="str">
        <x:f>IF(ISBLANK('_SCHEDULE'!G391),"",'_SCHEDULE'!G391)</x:f>
      </x:c>
      <x:c r="H423" s="530" t="str">
        <x:f>IF(ISBLANK('_SCHEDULE'!H391),"",'_SCHEDULE'!H391)</x:f>
      </x:c>
      <x:c r="I423" s="530" t="str">
        <x:f>IF(ISBLANK('_SCHEDULE'!I391),"",'_SCHEDULE'!I391)</x:f>
      </x:c>
      <x:c r="J423" s="530" t="str">
        <x:f>IF(ISBLANK('_SCHEDULE'!J391),"",'_SCHEDULE'!J391)</x:f>
      </x:c>
      <x:c r="K423" s="530" t="str">
        <x:f>IF(ISBLANK('_SCHEDULE'!K391),"",'_SCHEDULE'!K391)</x:f>
      </x:c>
      <x:c r="L423" s="530" t="str">
        <x:f>IF(ISBLANK('_SCHEDULE'!L391),"",'_SCHEDULE'!L391)</x:f>
      </x:c>
      <x:c r="M423" s="530" t="str">
        <x:f>IF(ISBLANK('_SCHEDULE'!M391),"",'_SCHEDULE'!M391)</x:f>
      </x:c>
      <x:c r="N423" s="530" t="str">
        <x:f>IF(ISBLANK('_SCHEDULE'!N391),"",'_SCHEDULE'!N391)</x:f>
      </x:c>
      <x:c r="O423" s="530" t="str">
        <x:f>IF(ISBLANK('_SCHEDULE'!O391),"",'_SCHEDULE'!O391)</x:f>
      </x:c>
      <x:c r="P423" s="530" t="str">
        <x:f>IF(ISBLANK('_SCHEDULE'!P391),"",'_SCHEDULE'!P391)</x:f>
      </x:c>
      <x:c r="Q423" s="530" t="str">
        <x:f>IF(ISBLANK('_SCHEDULE'!Q391),"",'_SCHEDULE'!Q391)</x:f>
      </x:c>
      <x:c r="R423" s="530" t="str">
        <x:f>IF(ISBLANK('_SCHEDULE'!R391),"",'_SCHEDULE'!R391)</x:f>
      </x:c>
      <x:c r="S423" s="523" t="str">
        <x:f>IF(ISBLANK('_SCHEDULE'!S391),"",'_SCHEDULE'!S391)</x:f>
      </x:c>
      <x:c r="T423" s="38"/>
      <x:c r="U423" s="38"/>
      <x:c r="V423" s="38"/>
      <x:c r="W423" s="38"/>
      <x:c r="X423" s="38"/>
      <x:c r="Y423" s="38"/>
      <x:c r="Z423" s="38"/>
      <x:c r="AA423" s="38"/>
      <x:c r="AB423" s="38"/>
      <x:c r="AC423" s="38"/>
      <x:c r="AD423" s="38"/>
      <x:c r="AE423" s="38"/>
      <x:c r="AF423" s="38"/>
      <x:c r="AG423" s="38"/>
      <x:c r="AH423" s="38"/>
      <x:c r="AI423" s="38"/>
      <x:c r="AJ423" s="38"/>
      <x:c r="AK423" s="38"/>
      <x:c r="AL423" s="38"/>
      <x:c r="AM423" s="38"/>
    </x:row>
    <x:row r="424">
      <x:c r="A424" s="523" t="str">
        <x:f>IF(ISBLANK('_SCHEDULE'!A392),"",'_SCHEDULE'!A392)</x:f>
      </x:c>
      <x:c r="B424" s="523" t="str">
        <x:f>IF(ISBLANK('_SCHEDULE'!B392),"",IF('_CONFIG'!$B$2="pt-BR",IF('_SCHEDULE'!B392="scheduled","programado",IF('_SCHEDULE'!B392="rejected","rejeitado",'_SCHEDULE'!B392)),'_SCHEDULE'!B392))</x:f>
      </x:c>
      <x:c r="C424" s="523" t="str">
        <x:f>IF(ISBLANK('_SCHEDULE'!C392),"",'_SCHEDULE'!C392)</x:f>
      </x:c>
      <x:c r="D424" s="523" t="str">
        <x:f>IF(ISBLANK('_SCHEDULE'!D392),"",'_SCHEDULE'!D392)</x:f>
      </x:c>
      <x:c r="E424" s="530" t="str">
        <x:f>IF(ISBLANK('_SCHEDULE'!E392),"",'_SCHEDULE'!E392)</x:f>
      </x:c>
      <x:c r="F424" s="530" t="str">
        <x:f>IF(ISBLANK('_SCHEDULE'!F392),"",'_SCHEDULE'!F392)</x:f>
      </x:c>
      <x:c r="G424" s="530" t="str">
        <x:f>IF(ISBLANK('_SCHEDULE'!G392),"",'_SCHEDULE'!G392)</x:f>
      </x:c>
      <x:c r="H424" s="530" t="str">
        <x:f>IF(ISBLANK('_SCHEDULE'!H392),"",'_SCHEDULE'!H392)</x:f>
      </x:c>
      <x:c r="I424" s="530" t="str">
        <x:f>IF(ISBLANK('_SCHEDULE'!I392),"",'_SCHEDULE'!I392)</x:f>
      </x:c>
      <x:c r="J424" s="530" t="str">
        <x:f>IF(ISBLANK('_SCHEDULE'!J392),"",'_SCHEDULE'!J392)</x:f>
      </x:c>
      <x:c r="K424" s="530" t="str">
        <x:f>IF(ISBLANK('_SCHEDULE'!K392),"",'_SCHEDULE'!K392)</x:f>
      </x:c>
      <x:c r="L424" s="530" t="str">
        <x:f>IF(ISBLANK('_SCHEDULE'!L392),"",'_SCHEDULE'!L392)</x:f>
      </x:c>
      <x:c r="M424" s="530" t="str">
        <x:f>IF(ISBLANK('_SCHEDULE'!M392),"",'_SCHEDULE'!M392)</x:f>
      </x:c>
      <x:c r="N424" s="530" t="str">
        <x:f>IF(ISBLANK('_SCHEDULE'!N392),"",'_SCHEDULE'!N392)</x:f>
      </x:c>
      <x:c r="O424" s="530" t="str">
        <x:f>IF(ISBLANK('_SCHEDULE'!O392),"",'_SCHEDULE'!O392)</x:f>
      </x:c>
      <x:c r="P424" s="530" t="str">
        <x:f>IF(ISBLANK('_SCHEDULE'!P392),"",'_SCHEDULE'!P392)</x:f>
      </x:c>
      <x:c r="Q424" s="530" t="str">
        <x:f>IF(ISBLANK('_SCHEDULE'!Q392),"",'_SCHEDULE'!Q392)</x:f>
      </x:c>
      <x:c r="R424" s="530" t="str">
        <x:f>IF(ISBLANK('_SCHEDULE'!R392),"",'_SCHEDULE'!R392)</x:f>
      </x:c>
      <x:c r="S424" s="523" t="str">
        <x:f>IF(ISBLANK('_SCHEDULE'!S392),"",'_SCHEDULE'!S392)</x:f>
      </x:c>
      <x:c r="T424" s="38"/>
      <x:c r="U424" s="38"/>
      <x:c r="V424" s="38"/>
      <x:c r="W424" s="38"/>
      <x:c r="X424" s="38"/>
      <x:c r="Y424" s="38"/>
      <x:c r="Z424" s="38"/>
      <x:c r="AA424" s="38"/>
      <x:c r="AB424" s="38"/>
      <x:c r="AC424" s="38"/>
      <x:c r="AD424" s="38"/>
      <x:c r="AE424" s="38"/>
      <x:c r="AF424" s="38"/>
      <x:c r="AG424" s="38"/>
      <x:c r="AH424" s="38"/>
      <x:c r="AI424" s="38"/>
      <x:c r="AJ424" s="38"/>
      <x:c r="AK424" s="38"/>
      <x:c r="AL424" s="38"/>
      <x:c r="AM424" s="38"/>
    </x:row>
    <x:row r="425">
      <x:c r="A425" s="523" t="str">
        <x:f>IF(ISBLANK('_SCHEDULE'!A393),"",'_SCHEDULE'!A393)</x:f>
      </x:c>
      <x:c r="B425" s="523" t="str">
        <x:f>IF(ISBLANK('_SCHEDULE'!B393),"",IF('_CONFIG'!$B$2="pt-BR",IF('_SCHEDULE'!B393="scheduled","programado",IF('_SCHEDULE'!B393="rejected","rejeitado",'_SCHEDULE'!B393)),'_SCHEDULE'!B393))</x:f>
      </x:c>
      <x:c r="C425" s="523" t="str">
        <x:f>IF(ISBLANK('_SCHEDULE'!C393),"",'_SCHEDULE'!C393)</x:f>
      </x:c>
      <x:c r="D425" s="523" t="str">
        <x:f>IF(ISBLANK('_SCHEDULE'!D393),"",'_SCHEDULE'!D393)</x:f>
      </x:c>
      <x:c r="E425" s="530" t="str">
        <x:f>IF(ISBLANK('_SCHEDULE'!E393),"",'_SCHEDULE'!E393)</x:f>
      </x:c>
      <x:c r="F425" s="530" t="str">
        <x:f>IF(ISBLANK('_SCHEDULE'!F393),"",'_SCHEDULE'!F393)</x:f>
      </x:c>
      <x:c r="G425" s="530" t="str">
        <x:f>IF(ISBLANK('_SCHEDULE'!G393),"",'_SCHEDULE'!G393)</x:f>
      </x:c>
      <x:c r="H425" s="530" t="str">
        <x:f>IF(ISBLANK('_SCHEDULE'!H393),"",'_SCHEDULE'!H393)</x:f>
      </x:c>
      <x:c r="I425" s="530" t="str">
        <x:f>IF(ISBLANK('_SCHEDULE'!I393),"",'_SCHEDULE'!I393)</x:f>
      </x:c>
      <x:c r="J425" s="530" t="str">
        <x:f>IF(ISBLANK('_SCHEDULE'!J393),"",'_SCHEDULE'!J393)</x:f>
      </x:c>
      <x:c r="K425" s="530" t="str">
        <x:f>IF(ISBLANK('_SCHEDULE'!K393),"",'_SCHEDULE'!K393)</x:f>
      </x:c>
      <x:c r="L425" s="530" t="str">
        <x:f>IF(ISBLANK('_SCHEDULE'!L393),"",'_SCHEDULE'!L393)</x:f>
      </x:c>
      <x:c r="M425" s="530" t="str">
        <x:f>IF(ISBLANK('_SCHEDULE'!M393),"",'_SCHEDULE'!M393)</x:f>
      </x:c>
      <x:c r="N425" s="530" t="str">
        <x:f>IF(ISBLANK('_SCHEDULE'!N393),"",'_SCHEDULE'!N393)</x:f>
      </x:c>
      <x:c r="O425" s="530" t="str">
        <x:f>IF(ISBLANK('_SCHEDULE'!O393),"",'_SCHEDULE'!O393)</x:f>
      </x:c>
      <x:c r="P425" s="530" t="str">
        <x:f>IF(ISBLANK('_SCHEDULE'!P393),"",'_SCHEDULE'!P393)</x:f>
      </x:c>
      <x:c r="Q425" s="530" t="str">
        <x:f>IF(ISBLANK('_SCHEDULE'!Q393),"",'_SCHEDULE'!Q393)</x:f>
      </x:c>
      <x:c r="R425" s="530" t="str">
        <x:f>IF(ISBLANK('_SCHEDULE'!R393),"",'_SCHEDULE'!R393)</x:f>
      </x:c>
      <x:c r="S425" s="523" t="str">
        <x:f>IF(ISBLANK('_SCHEDULE'!S393),"",'_SCHEDULE'!S393)</x:f>
      </x:c>
      <x:c r="T425" s="38"/>
      <x:c r="U425" s="38"/>
      <x:c r="V425" s="38"/>
      <x:c r="W425" s="38"/>
      <x:c r="X425" s="38"/>
      <x:c r="Y425" s="38"/>
      <x:c r="Z425" s="38"/>
      <x:c r="AA425" s="38"/>
      <x:c r="AB425" s="38"/>
      <x:c r="AC425" s="38"/>
      <x:c r="AD425" s="38"/>
      <x:c r="AE425" s="38"/>
      <x:c r="AF425" s="38"/>
      <x:c r="AG425" s="38"/>
      <x:c r="AH425" s="38"/>
      <x:c r="AI425" s="38"/>
      <x:c r="AJ425" s="38"/>
      <x:c r="AK425" s="38"/>
      <x:c r="AL425" s="38"/>
      <x:c r="AM425" s="38"/>
    </x:row>
    <x:row r="426">
      <x:c r="A426" s="523" t="str">
        <x:f>IF(ISBLANK('_SCHEDULE'!A394),"",'_SCHEDULE'!A394)</x:f>
      </x:c>
      <x:c r="B426" s="523" t="str">
        <x:f>IF(ISBLANK('_SCHEDULE'!B394),"",IF('_CONFIG'!$B$2="pt-BR",IF('_SCHEDULE'!B394="scheduled","programado",IF('_SCHEDULE'!B394="rejected","rejeitado",'_SCHEDULE'!B394)),'_SCHEDULE'!B394))</x:f>
      </x:c>
      <x:c r="C426" s="523" t="str">
        <x:f>IF(ISBLANK('_SCHEDULE'!C394),"",'_SCHEDULE'!C394)</x:f>
      </x:c>
      <x:c r="D426" s="523" t="str">
        <x:f>IF(ISBLANK('_SCHEDULE'!D394),"",'_SCHEDULE'!D394)</x:f>
      </x:c>
      <x:c r="E426" s="530" t="str">
        <x:f>IF(ISBLANK('_SCHEDULE'!E394),"",'_SCHEDULE'!E394)</x:f>
      </x:c>
      <x:c r="F426" s="530" t="str">
        <x:f>IF(ISBLANK('_SCHEDULE'!F394),"",'_SCHEDULE'!F394)</x:f>
      </x:c>
      <x:c r="G426" s="530" t="str">
        <x:f>IF(ISBLANK('_SCHEDULE'!G394),"",'_SCHEDULE'!G394)</x:f>
      </x:c>
      <x:c r="H426" s="530" t="str">
        <x:f>IF(ISBLANK('_SCHEDULE'!H394),"",'_SCHEDULE'!H394)</x:f>
      </x:c>
      <x:c r="I426" s="530" t="str">
        <x:f>IF(ISBLANK('_SCHEDULE'!I394),"",'_SCHEDULE'!I394)</x:f>
      </x:c>
      <x:c r="J426" s="530" t="str">
        <x:f>IF(ISBLANK('_SCHEDULE'!J394),"",'_SCHEDULE'!J394)</x:f>
      </x:c>
      <x:c r="K426" s="530" t="str">
        <x:f>IF(ISBLANK('_SCHEDULE'!K394),"",'_SCHEDULE'!K394)</x:f>
      </x:c>
      <x:c r="L426" s="530" t="str">
        <x:f>IF(ISBLANK('_SCHEDULE'!L394),"",'_SCHEDULE'!L394)</x:f>
      </x:c>
      <x:c r="M426" s="530" t="str">
        <x:f>IF(ISBLANK('_SCHEDULE'!M394),"",'_SCHEDULE'!M394)</x:f>
      </x:c>
      <x:c r="N426" s="530" t="str">
        <x:f>IF(ISBLANK('_SCHEDULE'!N394),"",'_SCHEDULE'!N394)</x:f>
      </x:c>
      <x:c r="O426" s="530" t="str">
        <x:f>IF(ISBLANK('_SCHEDULE'!O394),"",'_SCHEDULE'!O394)</x:f>
      </x:c>
      <x:c r="P426" s="530" t="str">
        <x:f>IF(ISBLANK('_SCHEDULE'!P394),"",'_SCHEDULE'!P394)</x:f>
      </x:c>
      <x:c r="Q426" s="530" t="str">
        <x:f>IF(ISBLANK('_SCHEDULE'!Q394),"",'_SCHEDULE'!Q394)</x:f>
      </x:c>
      <x:c r="R426" s="530" t="str">
        <x:f>IF(ISBLANK('_SCHEDULE'!R394),"",'_SCHEDULE'!R394)</x:f>
      </x:c>
      <x:c r="S426" s="523" t="str">
        <x:f>IF(ISBLANK('_SCHEDULE'!S394),"",'_SCHEDULE'!S394)</x:f>
      </x:c>
      <x:c r="T426" s="38"/>
      <x:c r="U426" s="38"/>
      <x:c r="V426" s="38"/>
      <x:c r="W426" s="38"/>
      <x:c r="X426" s="38"/>
      <x:c r="Y426" s="38"/>
      <x:c r="Z426" s="38"/>
      <x:c r="AA426" s="38"/>
      <x:c r="AB426" s="38"/>
      <x:c r="AC426" s="38"/>
      <x:c r="AD426" s="38"/>
      <x:c r="AE426" s="38"/>
      <x:c r="AF426" s="38"/>
      <x:c r="AG426" s="38"/>
      <x:c r="AH426" s="38"/>
      <x:c r="AI426" s="38"/>
      <x:c r="AJ426" s="38"/>
      <x:c r="AK426" s="38"/>
      <x:c r="AL426" s="38"/>
      <x:c r="AM426" s="38"/>
    </x:row>
    <x:row r="427">
      <x:c r="A427" s="523" t="str">
        <x:f>IF(ISBLANK('_SCHEDULE'!A395),"",'_SCHEDULE'!A395)</x:f>
      </x:c>
      <x:c r="B427" s="523" t="str">
        <x:f>IF(ISBLANK('_SCHEDULE'!B395),"",IF('_CONFIG'!$B$2="pt-BR",IF('_SCHEDULE'!B395="scheduled","programado",IF('_SCHEDULE'!B395="rejected","rejeitado",'_SCHEDULE'!B395)),'_SCHEDULE'!B395))</x:f>
      </x:c>
      <x:c r="C427" s="523" t="str">
        <x:f>IF(ISBLANK('_SCHEDULE'!C395),"",'_SCHEDULE'!C395)</x:f>
      </x:c>
      <x:c r="D427" s="523" t="str">
        <x:f>IF(ISBLANK('_SCHEDULE'!D395),"",'_SCHEDULE'!D395)</x:f>
      </x:c>
      <x:c r="E427" s="530" t="str">
        <x:f>IF(ISBLANK('_SCHEDULE'!E395),"",'_SCHEDULE'!E395)</x:f>
      </x:c>
      <x:c r="F427" s="530" t="str">
        <x:f>IF(ISBLANK('_SCHEDULE'!F395),"",'_SCHEDULE'!F395)</x:f>
      </x:c>
      <x:c r="G427" s="530" t="str">
        <x:f>IF(ISBLANK('_SCHEDULE'!G395),"",'_SCHEDULE'!G395)</x:f>
      </x:c>
      <x:c r="H427" s="530" t="str">
        <x:f>IF(ISBLANK('_SCHEDULE'!H395),"",'_SCHEDULE'!H395)</x:f>
      </x:c>
      <x:c r="I427" s="530" t="str">
        <x:f>IF(ISBLANK('_SCHEDULE'!I395),"",'_SCHEDULE'!I395)</x:f>
      </x:c>
      <x:c r="J427" s="530" t="str">
        <x:f>IF(ISBLANK('_SCHEDULE'!J395),"",'_SCHEDULE'!J395)</x:f>
      </x:c>
      <x:c r="K427" s="530" t="str">
        <x:f>IF(ISBLANK('_SCHEDULE'!K395),"",'_SCHEDULE'!K395)</x:f>
      </x:c>
      <x:c r="L427" s="530" t="str">
        <x:f>IF(ISBLANK('_SCHEDULE'!L395),"",'_SCHEDULE'!L395)</x:f>
      </x:c>
      <x:c r="M427" s="530" t="str">
        <x:f>IF(ISBLANK('_SCHEDULE'!M395),"",'_SCHEDULE'!M395)</x:f>
      </x:c>
      <x:c r="N427" s="530" t="str">
        <x:f>IF(ISBLANK('_SCHEDULE'!N395),"",'_SCHEDULE'!N395)</x:f>
      </x:c>
      <x:c r="O427" s="530" t="str">
        <x:f>IF(ISBLANK('_SCHEDULE'!O395),"",'_SCHEDULE'!O395)</x:f>
      </x:c>
      <x:c r="P427" s="530" t="str">
        <x:f>IF(ISBLANK('_SCHEDULE'!P395),"",'_SCHEDULE'!P395)</x:f>
      </x:c>
      <x:c r="Q427" s="530" t="str">
        <x:f>IF(ISBLANK('_SCHEDULE'!Q395),"",'_SCHEDULE'!Q395)</x:f>
      </x:c>
      <x:c r="R427" s="530" t="str">
        <x:f>IF(ISBLANK('_SCHEDULE'!R395),"",'_SCHEDULE'!R395)</x:f>
      </x:c>
      <x:c r="S427" s="523" t="str">
        <x:f>IF(ISBLANK('_SCHEDULE'!S395),"",'_SCHEDULE'!S395)</x:f>
      </x:c>
      <x:c r="T427" s="38"/>
      <x:c r="U427" s="38"/>
      <x:c r="V427" s="38"/>
      <x:c r="W427" s="38"/>
      <x:c r="X427" s="38"/>
      <x:c r="Y427" s="38"/>
      <x:c r="Z427" s="38"/>
      <x:c r="AA427" s="38"/>
      <x:c r="AB427" s="38"/>
      <x:c r="AC427" s="38"/>
      <x:c r="AD427" s="38"/>
      <x:c r="AE427" s="38"/>
      <x:c r="AF427" s="38"/>
      <x:c r="AG427" s="38"/>
      <x:c r="AH427" s="38"/>
      <x:c r="AI427" s="38"/>
      <x:c r="AJ427" s="38"/>
      <x:c r="AK427" s="38"/>
      <x:c r="AL427" s="38"/>
      <x:c r="AM427" s="38"/>
    </x:row>
    <x:row r="428">
      <x:c r="A428" s="523" t="str">
        <x:f>IF(ISBLANK('_SCHEDULE'!A396),"",'_SCHEDULE'!A396)</x:f>
      </x:c>
      <x:c r="B428" s="523" t="str">
        <x:f>IF(ISBLANK('_SCHEDULE'!B396),"",IF('_CONFIG'!$B$2="pt-BR",IF('_SCHEDULE'!B396="scheduled","programado",IF('_SCHEDULE'!B396="rejected","rejeitado",'_SCHEDULE'!B396)),'_SCHEDULE'!B396))</x:f>
      </x:c>
      <x:c r="C428" s="523" t="str">
        <x:f>IF(ISBLANK('_SCHEDULE'!C396),"",'_SCHEDULE'!C396)</x:f>
      </x:c>
      <x:c r="D428" s="523" t="str">
        <x:f>IF(ISBLANK('_SCHEDULE'!D396),"",'_SCHEDULE'!D396)</x:f>
      </x:c>
      <x:c r="E428" s="530" t="str">
        <x:f>IF(ISBLANK('_SCHEDULE'!E396),"",'_SCHEDULE'!E396)</x:f>
      </x:c>
      <x:c r="F428" s="530" t="str">
        <x:f>IF(ISBLANK('_SCHEDULE'!F396),"",'_SCHEDULE'!F396)</x:f>
      </x:c>
      <x:c r="G428" s="530" t="str">
        <x:f>IF(ISBLANK('_SCHEDULE'!G396),"",'_SCHEDULE'!G396)</x:f>
      </x:c>
      <x:c r="H428" s="530" t="str">
        <x:f>IF(ISBLANK('_SCHEDULE'!H396),"",'_SCHEDULE'!H396)</x:f>
      </x:c>
      <x:c r="I428" s="530" t="str">
        <x:f>IF(ISBLANK('_SCHEDULE'!I396),"",'_SCHEDULE'!I396)</x:f>
      </x:c>
      <x:c r="J428" s="530" t="str">
        <x:f>IF(ISBLANK('_SCHEDULE'!J396),"",'_SCHEDULE'!J396)</x:f>
      </x:c>
      <x:c r="K428" s="530" t="str">
        <x:f>IF(ISBLANK('_SCHEDULE'!K396),"",'_SCHEDULE'!K396)</x:f>
      </x:c>
      <x:c r="L428" s="530" t="str">
        <x:f>IF(ISBLANK('_SCHEDULE'!L396),"",'_SCHEDULE'!L396)</x:f>
      </x:c>
      <x:c r="M428" s="530" t="str">
        <x:f>IF(ISBLANK('_SCHEDULE'!M396),"",'_SCHEDULE'!M396)</x:f>
      </x:c>
      <x:c r="N428" s="530" t="str">
        <x:f>IF(ISBLANK('_SCHEDULE'!N396),"",'_SCHEDULE'!N396)</x:f>
      </x:c>
      <x:c r="O428" s="530" t="str">
        <x:f>IF(ISBLANK('_SCHEDULE'!O396),"",'_SCHEDULE'!O396)</x:f>
      </x:c>
      <x:c r="P428" s="530" t="str">
        <x:f>IF(ISBLANK('_SCHEDULE'!P396),"",'_SCHEDULE'!P396)</x:f>
      </x:c>
      <x:c r="Q428" s="530" t="str">
        <x:f>IF(ISBLANK('_SCHEDULE'!Q396),"",'_SCHEDULE'!Q396)</x:f>
      </x:c>
      <x:c r="R428" s="530" t="str">
        <x:f>IF(ISBLANK('_SCHEDULE'!R396),"",'_SCHEDULE'!R396)</x:f>
      </x:c>
      <x:c r="S428" s="523" t="str">
        <x:f>IF(ISBLANK('_SCHEDULE'!S396),"",'_SCHEDULE'!S396)</x:f>
      </x:c>
      <x:c r="T428" s="38"/>
      <x:c r="U428" s="38"/>
      <x:c r="V428" s="38"/>
      <x:c r="W428" s="38"/>
      <x:c r="X428" s="38"/>
      <x:c r="Y428" s="38"/>
      <x:c r="Z428" s="38"/>
      <x:c r="AA428" s="38"/>
      <x:c r="AB428" s="38"/>
      <x:c r="AC428" s="38"/>
      <x:c r="AD428" s="38"/>
      <x:c r="AE428" s="38"/>
      <x:c r="AF428" s="38"/>
      <x:c r="AG428" s="38"/>
      <x:c r="AH428" s="38"/>
      <x:c r="AI428" s="38"/>
      <x:c r="AJ428" s="38"/>
      <x:c r="AK428" s="38"/>
      <x:c r="AL428" s="38"/>
      <x:c r="AM428" s="38"/>
    </x:row>
    <x:row r="429">
      <x:c r="A429" s="523" t="str">
        <x:f>IF(ISBLANK('_SCHEDULE'!A397),"",'_SCHEDULE'!A397)</x:f>
      </x:c>
      <x:c r="B429" s="523" t="str">
        <x:f>IF(ISBLANK('_SCHEDULE'!B397),"",IF('_CONFIG'!$B$2="pt-BR",IF('_SCHEDULE'!B397="scheduled","programado",IF('_SCHEDULE'!B397="rejected","rejeitado",'_SCHEDULE'!B397)),'_SCHEDULE'!B397))</x:f>
      </x:c>
      <x:c r="C429" s="523" t="str">
        <x:f>IF(ISBLANK('_SCHEDULE'!C397),"",'_SCHEDULE'!C397)</x:f>
      </x:c>
      <x:c r="D429" s="523" t="str">
        <x:f>IF(ISBLANK('_SCHEDULE'!D397),"",'_SCHEDULE'!D397)</x:f>
      </x:c>
      <x:c r="E429" s="530" t="str">
        <x:f>IF(ISBLANK('_SCHEDULE'!E397),"",'_SCHEDULE'!E397)</x:f>
      </x:c>
      <x:c r="F429" s="530" t="str">
        <x:f>IF(ISBLANK('_SCHEDULE'!F397),"",'_SCHEDULE'!F397)</x:f>
      </x:c>
      <x:c r="G429" s="530" t="str">
        <x:f>IF(ISBLANK('_SCHEDULE'!G397),"",'_SCHEDULE'!G397)</x:f>
      </x:c>
      <x:c r="H429" s="530" t="str">
        <x:f>IF(ISBLANK('_SCHEDULE'!H397),"",'_SCHEDULE'!H397)</x:f>
      </x:c>
      <x:c r="I429" s="530" t="str">
        <x:f>IF(ISBLANK('_SCHEDULE'!I397),"",'_SCHEDULE'!I397)</x:f>
      </x:c>
      <x:c r="J429" s="530" t="str">
        <x:f>IF(ISBLANK('_SCHEDULE'!J397),"",'_SCHEDULE'!J397)</x:f>
      </x:c>
      <x:c r="K429" s="530" t="str">
        <x:f>IF(ISBLANK('_SCHEDULE'!K397),"",'_SCHEDULE'!K397)</x:f>
      </x:c>
      <x:c r="L429" s="530" t="str">
        <x:f>IF(ISBLANK('_SCHEDULE'!L397),"",'_SCHEDULE'!L397)</x:f>
      </x:c>
      <x:c r="M429" s="530" t="str">
        <x:f>IF(ISBLANK('_SCHEDULE'!M397),"",'_SCHEDULE'!M397)</x:f>
      </x:c>
      <x:c r="N429" s="530" t="str">
        <x:f>IF(ISBLANK('_SCHEDULE'!N397),"",'_SCHEDULE'!N397)</x:f>
      </x:c>
      <x:c r="O429" s="530" t="str">
        <x:f>IF(ISBLANK('_SCHEDULE'!O397),"",'_SCHEDULE'!O397)</x:f>
      </x:c>
      <x:c r="P429" s="530" t="str">
        <x:f>IF(ISBLANK('_SCHEDULE'!P397),"",'_SCHEDULE'!P397)</x:f>
      </x:c>
      <x:c r="Q429" s="530" t="str">
        <x:f>IF(ISBLANK('_SCHEDULE'!Q397),"",'_SCHEDULE'!Q397)</x:f>
      </x:c>
      <x:c r="R429" s="530" t="str">
        <x:f>IF(ISBLANK('_SCHEDULE'!R397),"",'_SCHEDULE'!R397)</x:f>
      </x:c>
      <x:c r="S429" s="523" t="str">
        <x:f>IF(ISBLANK('_SCHEDULE'!S397),"",'_SCHEDULE'!S397)</x:f>
      </x:c>
      <x:c r="T429" s="38"/>
      <x:c r="U429" s="38"/>
      <x:c r="V429" s="38"/>
      <x:c r="W429" s="38"/>
      <x:c r="X429" s="38"/>
      <x:c r="Y429" s="38"/>
      <x:c r="Z429" s="38"/>
      <x:c r="AA429" s="38"/>
      <x:c r="AB429" s="38"/>
      <x:c r="AC429" s="38"/>
      <x:c r="AD429" s="38"/>
      <x:c r="AE429" s="38"/>
      <x:c r="AF429" s="38"/>
      <x:c r="AG429" s="38"/>
      <x:c r="AH429" s="38"/>
      <x:c r="AI429" s="38"/>
      <x:c r="AJ429" s="38"/>
      <x:c r="AK429" s="38"/>
      <x:c r="AL429" s="38"/>
      <x:c r="AM429" s="38"/>
    </x:row>
    <x:row r="430">
      <x:c r="A430" s="523" t="str">
        <x:f>IF(ISBLANK('_SCHEDULE'!A398),"",'_SCHEDULE'!A398)</x:f>
      </x:c>
      <x:c r="B430" s="523" t="str">
        <x:f>IF(ISBLANK('_SCHEDULE'!B398),"",IF('_CONFIG'!$B$2="pt-BR",IF('_SCHEDULE'!B398="scheduled","programado",IF('_SCHEDULE'!B398="rejected","rejeitado",'_SCHEDULE'!B398)),'_SCHEDULE'!B398))</x:f>
      </x:c>
      <x:c r="C430" s="523" t="str">
        <x:f>IF(ISBLANK('_SCHEDULE'!C398),"",'_SCHEDULE'!C398)</x:f>
      </x:c>
      <x:c r="D430" s="523" t="str">
        <x:f>IF(ISBLANK('_SCHEDULE'!D398),"",'_SCHEDULE'!D398)</x:f>
      </x:c>
      <x:c r="E430" s="530" t="str">
        <x:f>IF(ISBLANK('_SCHEDULE'!E398),"",'_SCHEDULE'!E398)</x:f>
      </x:c>
      <x:c r="F430" s="530" t="str">
        <x:f>IF(ISBLANK('_SCHEDULE'!F398),"",'_SCHEDULE'!F398)</x:f>
      </x:c>
      <x:c r="G430" s="530" t="str">
        <x:f>IF(ISBLANK('_SCHEDULE'!G398),"",'_SCHEDULE'!G398)</x:f>
      </x:c>
      <x:c r="H430" s="530" t="str">
        <x:f>IF(ISBLANK('_SCHEDULE'!H398),"",'_SCHEDULE'!H398)</x:f>
      </x:c>
      <x:c r="I430" s="530" t="str">
        <x:f>IF(ISBLANK('_SCHEDULE'!I398),"",'_SCHEDULE'!I398)</x:f>
      </x:c>
      <x:c r="J430" s="530" t="str">
        <x:f>IF(ISBLANK('_SCHEDULE'!J398),"",'_SCHEDULE'!J398)</x:f>
      </x:c>
      <x:c r="K430" s="530" t="str">
        <x:f>IF(ISBLANK('_SCHEDULE'!K398),"",'_SCHEDULE'!K398)</x:f>
      </x:c>
      <x:c r="L430" s="530" t="str">
        <x:f>IF(ISBLANK('_SCHEDULE'!L398),"",'_SCHEDULE'!L398)</x:f>
      </x:c>
      <x:c r="M430" s="530" t="str">
        <x:f>IF(ISBLANK('_SCHEDULE'!M398),"",'_SCHEDULE'!M398)</x:f>
      </x:c>
      <x:c r="N430" s="530" t="str">
        <x:f>IF(ISBLANK('_SCHEDULE'!N398),"",'_SCHEDULE'!N398)</x:f>
      </x:c>
      <x:c r="O430" s="530" t="str">
        <x:f>IF(ISBLANK('_SCHEDULE'!O398),"",'_SCHEDULE'!O398)</x:f>
      </x:c>
      <x:c r="P430" s="530" t="str">
        <x:f>IF(ISBLANK('_SCHEDULE'!P398),"",'_SCHEDULE'!P398)</x:f>
      </x:c>
      <x:c r="Q430" s="530" t="str">
        <x:f>IF(ISBLANK('_SCHEDULE'!Q398),"",'_SCHEDULE'!Q398)</x:f>
      </x:c>
      <x:c r="R430" s="530" t="str">
        <x:f>IF(ISBLANK('_SCHEDULE'!R398),"",'_SCHEDULE'!R398)</x:f>
      </x:c>
      <x:c r="S430" s="523" t="str">
        <x:f>IF(ISBLANK('_SCHEDULE'!S398),"",'_SCHEDULE'!S398)</x:f>
      </x:c>
      <x:c r="T430" s="38"/>
      <x:c r="U430" s="38"/>
      <x:c r="V430" s="38"/>
      <x:c r="W430" s="38"/>
      <x:c r="X430" s="38"/>
      <x:c r="Y430" s="38"/>
      <x:c r="Z430" s="38"/>
      <x:c r="AA430" s="38"/>
      <x:c r="AB430" s="38"/>
      <x:c r="AC430" s="38"/>
      <x:c r="AD430" s="38"/>
      <x:c r="AE430" s="38"/>
      <x:c r="AF430" s="38"/>
      <x:c r="AG430" s="38"/>
      <x:c r="AH430" s="38"/>
      <x:c r="AI430" s="38"/>
      <x:c r="AJ430" s="38"/>
      <x:c r="AK430" s="38"/>
      <x:c r="AL430" s="38"/>
      <x:c r="AM430" s="38"/>
    </x:row>
    <x:row r="431">
      <x:c r="A431" s="523" t="str">
        <x:f>IF(ISBLANK('_SCHEDULE'!A399),"",'_SCHEDULE'!A399)</x:f>
      </x:c>
      <x:c r="B431" s="523" t="str">
        <x:f>IF(ISBLANK('_SCHEDULE'!B399),"",IF('_CONFIG'!$B$2="pt-BR",IF('_SCHEDULE'!B399="scheduled","programado",IF('_SCHEDULE'!B399="rejected","rejeitado",'_SCHEDULE'!B399)),'_SCHEDULE'!B399))</x:f>
      </x:c>
      <x:c r="C431" s="523" t="str">
        <x:f>IF(ISBLANK('_SCHEDULE'!C399),"",'_SCHEDULE'!C399)</x:f>
      </x:c>
      <x:c r="D431" s="523" t="str">
        <x:f>IF(ISBLANK('_SCHEDULE'!D399),"",'_SCHEDULE'!D399)</x:f>
      </x:c>
      <x:c r="E431" s="530" t="str">
        <x:f>IF(ISBLANK('_SCHEDULE'!E399),"",'_SCHEDULE'!E399)</x:f>
      </x:c>
      <x:c r="F431" s="530" t="str">
        <x:f>IF(ISBLANK('_SCHEDULE'!F399),"",'_SCHEDULE'!F399)</x:f>
      </x:c>
      <x:c r="G431" s="530" t="str">
        <x:f>IF(ISBLANK('_SCHEDULE'!G399),"",'_SCHEDULE'!G399)</x:f>
      </x:c>
      <x:c r="H431" s="530" t="str">
        <x:f>IF(ISBLANK('_SCHEDULE'!H399),"",'_SCHEDULE'!H399)</x:f>
      </x:c>
      <x:c r="I431" s="530" t="str">
        <x:f>IF(ISBLANK('_SCHEDULE'!I399),"",'_SCHEDULE'!I399)</x:f>
      </x:c>
      <x:c r="J431" s="530" t="str">
        <x:f>IF(ISBLANK('_SCHEDULE'!J399),"",'_SCHEDULE'!J399)</x:f>
      </x:c>
      <x:c r="K431" s="530" t="str">
        <x:f>IF(ISBLANK('_SCHEDULE'!K399),"",'_SCHEDULE'!K399)</x:f>
      </x:c>
      <x:c r="L431" s="530" t="str">
        <x:f>IF(ISBLANK('_SCHEDULE'!L399),"",'_SCHEDULE'!L399)</x:f>
      </x:c>
      <x:c r="M431" s="530" t="str">
        <x:f>IF(ISBLANK('_SCHEDULE'!M399),"",'_SCHEDULE'!M399)</x:f>
      </x:c>
      <x:c r="N431" s="530" t="str">
        <x:f>IF(ISBLANK('_SCHEDULE'!N399),"",'_SCHEDULE'!N399)</x:f>
      </x:c>
      <x:c r="O431" s="530" t="str">
        <x:f>IF(ISBLANK('_SCHEDULE'!O399),"",'_SCHEDULE'!O399)</x:f>
      </x:c>
      <x:c r="P431" s="530" t="str">
        <x:f>IF(ISBLANK('_SCHEDULE'!P399),"",'_SCHEDULE'!P399)</x:f>
      </x:c>
      <x:c r="Q431" s="530" t="str">
        <x:f>IF(ISBLANK('_SCHEDULE'!Q399),"",'_SCHEDULE'!Q399)</x:f>
      </x:c>
      <x:c r="R431" s="530" t="str">
        <x:f>IF(ISBLANK('_SCHEDULE'!R399),"",'_SCHEDULE'!R399)</x:f>
      </x:c>
      <x:c r="S431" s="523" t="str">
        <x:f>IF(ISBLANK('_SCHEDULE'!S399),"",'_SCHEDULE'!S399)</x:f>
      </x:c>
      <x:c r="T431" s="38"/>
      <x:c r="U431" s="38"/>
      <x:c r="V431" s="38"/>
      <x:c r="W431" s="38"/>
      <x:c r="X431" s="38"/>
      <x:c r="Y431" s="38"/>
      <x:c r="Z431" s="38"/>
      <x:c r="AA431" s="38"/>
      <x:c r="AB431" s="38"/>
      <x:c r="AC431" s="38"/>
      <x:c r="AD431" s="38"/>
      <x:c r="AE431" s="38"/>
      <x:c r="AF431" s="38"/>
      <x:c r="AG431" s="38"/>
      <x:c r="AH431" s="38"/>
      <x:c r="AI431" s="38"/>
      <x:c r="AJ431" s="38"/>
      <x:c r="AK431" s="38"/>
      <x:c r="AL431" s="38"/>
      <x:c r="AM431" s="38"/>
    </x:row>
    <x:row r="432">
      <x:c r="A432" s="523" t="str">
        <x:f>IF(ISBLANK('_SCHEDULE'!A400),"",'_SCHEDULE'!A400)</x:f>
      </x:c>
      <x:c r="B432" s="523" t="str">
        <x:f>IF(ISBLANK('_SCHEDULE'!B400),"",IF('_CONFIG'!$B$2="pt-BR",IF('_SCHEDULE'!B400="scheduled","programado",IF('_SCHEDULE'!B400="rejected","rejeitado",'_SCHEDULE'!B400)),'_SCHEDULE'!B400))</x:f>
      </x:c>
      <x:c r="C432" s="523" t="str">
        <x:f>IF(ISBLANK('_SCHEDULE'!C400),"",'_SCHEDULE'!C400)</x:f>
      </x:c>
      <x:c r="D432" s="523" t="str">
        <x:f>IF(ISBLANK('_SCHEDULE'!D400),"",'_SCHEDULE'!D400)</x:f>
      </x:c>
      <x:c r="E432" s="530" t="str">
        <x:f>IF(ISBLANK('_SCHEDULE'!E400),"",'_SCHEDULE'!E400)</x:f>
      </x:c>
      <x:c r="F432" s="530" t="str">
        <x:f>IF(ISBLANK('_SCHEDULE'!F400),"",'_SCHEDULE'!F400)</x:f>
      </x:c>
      <x:c r="G432" s="530" t="str">
        <x:f>IF(ISBLANK('_SCHEDULE'!G400),"",'_SCHEDULE'!G400)</x:f>
      </x:c>
      <x:c r="H432" s="530" t="str">
        <x:f>IF(ISBLANK('_SCHEDULE'!H400),"",'_SCHEDULE'!H400)</x:f>
      </x:c>
      <x:c r="I432" s="530" t="str">
        <x:f>IF(ISBLANK('_SCHEDULE'!I400),"",'_SCHEDULE'!I400)</x:f>
      </x:c>
      <x:c r="J432" s="530" t="str">
        <x:f>IF(ISBLANK('_SCHEDULE'!J400),"",'_SCHEDULE'!J400)</x:f>
      </x:c>
      <x:c r="K432" s="530" t="str">
        <x:f>IF(ISBLANK('_SCHEDULE'!K400),"",'_SCHEDULE'!K400)</x:f>
      </x:c>
      <x:c r="L432" s="530" t="str">
        <x:f>IF(ISBLANK('_SCHEDULE'!L400),"",'_SCHEDULE'!L400)</x:f>
      </x:c>
      <x:c r="M432" s="530" t="str">
        <x:f>IF(ISBLANK('_SCHEDULE'!M400),"",'_SCHEDULE'!M400)</x:f>
      </x:c>
      <x:c r="N432" s="530" t="str">
        <x:f>IF(ISBLANK('_SCHEDULE'!N400),"",'_SCHEDULE'!N400)</x:f>
      </x:c>
      <x:c r="O432" s="530" t="str">
        <x:f>IF(ISBLANK('_SCHEDULE'!O400),"",'_SCHEDULE'!O400)</x:f>
      </x:c>
      <x:c r="P432" s="530" t="str">
        <x:f>IF(ISBLANK('_SCHEDULE'!P400),"",'_SCHEDULE'!P400)</x:f>
      </x:c>
      <x:c r="Q432" s="530" t="str">
        <x:f>IF(ISBLANK('_SCHEDULE'!Q400),"",'_SCHEDULE'!Q400)</x:f>
      </x:c>
      <x:c r="R432" s="530" t="str">
        <x:f>IF(ISBLANK('_SCHEDULE'!R400),"",'_SCHEDULE'!R400)</x:f>
      </x:c>
      <x:c r="S432" s="523" t="str">
        <x:f>IF(ISBLANK('_SCHEDULE'!S400),"",'_SCHEDULE'!S400)</x:f>
      </x:c>
      <x:c r="T432" s="38"/>
      <x:c r="U432" s="38"/>
      <x:c r="V432" s="38"/>
      <x:c r="W432" s="38"/>
      <x:c r="X432" s="38"/>
      <x:c r="Y432" s="38"/>
      <x:c r="Z432" s="38"/>
      <x:c r="AA432" s="38"/>
      <x:c r="AB432" s="38"/>
      <x:c r="AC432" s="38"/>
      <x:c r="AD432" s="38"/>
      <x:c r="AE432" s="38"/>
      <x:c r="AF432" s="38"/>
      <x:c r="AG432" s="38"/>
      <x:c r="AH432" s="38"/>
      <x:c r="AI432" s="38"/>
      <x:c r="AJ432" s="38"/>
      <x:c r="AK432" s="38"/>
      <x:c r="AL432" s="38"/>
      <x:c r="AM432" s="38"/>
    </x:row>
    <x:row r="433">
      <x:c r="A433" s="523" t="str">
        <x:f>IF(ISBLANK('_SCHEDULE'!A401),"",'_SCHEDULE'!A401)</x:f>
      </x:c>
      <x:c r="B433" s="523" t="str">
        <x:f>IF(ISBLANK('_SCHEDULE'!B401),"",IF('_CONFIG'!$B$2="pt-BR",IF('_SCHEDULE'!B401="scheduled","programado",IF('_SCHEDULE'!B401="rejected","rejeitado",'_SCHEDULE'!B401)),'_SCHEDULE'!B401))</x:f>
      </x:c>
      <x:c r="C433" s="523" t="str">
        <x:f>IF(ISBLANK('_SCHEDULE'!C401),"",'_SCHEDULE'!C401)</x:f>
      </x:c>
      <x:c r="D433" s="523" t="str">
        <x:f>IF(ISBLANK('_SCHEDULE'!D401),"",'_SCHEDULE'!D401)</x:f>
      </x:c>
      <x:c r="E433" s="530" t="str">
        <x:f>IF(ISBLANK('_SCHEDULE'!E401),"",'_SCHEDULE'!E401)</x:f>
      </x:c>
      <x:c r="F433" s="530" t="str">
        <x:f>IF(ISBLANK('_SCHEDULE'!F401),"",'_SCHEDULE'!F401)</x:f>
      </x:c>
      <x:c r="G433" s="530" t="str">
        <x:f>IF(ISBLANK('_SCHEDULE'!G401),"",'_SCHEDULE'!G401)</x:f>
      </x:c>
      <x:c r="H433" s="530" t="str">
        <x:f>IF(ISBLANK('_SCHEDULE'!H401),"",'_SCHEDULE'!H401)</x:f>
      </x:c>
      <x:c r="I433" s="530" t="str">
        <x:f>IF(ISBLANK('_SCHEDULE'!I401),"",'_SCHEDULE'!I401)</x:f>
      </x:c>
      <x:c r="J433" s="530" t="str">
        <x:f>IF(ISBLANK('_SCHEDULE'!J401),"",'_SCHEDULE'!J401)</x:f>
      </x:c>
      <x:c r="K433" s="530" t="str">
        <x:f>IF(ISBLANK('_SCHEDULE'!K401),"",'_SCHEDULE'!K401)</x:f>
      </x:c>
      <x:c r="L433" s="530" t="str">
        <x:f>IF(ISBLANK('_SCHEDULE'!L401),"",'_SCHEDULE'!L401)</x:f>
      </x:c>
      <x:c r="M433" s="530" t="str">
        <x:f>IF(ISBLANK('_SCHEDULE'!M401),"",'_SCHEDULE'!M401)</x:f>
      </x:c>
      <x:c r="N433" s="530" t="str">
        <x:f>IF(ISBLANK('_SCHEDULE'!N401),"",'_SCHEDULE'!N401)</x:f>
      </x:c>
      <x:c r="O433" s="530" t="str">
        <x:f>IF(ISBLANK('_SCHEDULE'!O401),"",'_SCHEDULE'!O401)</x:f>
      </x:c>
      <x:c r="P433" s="530" t="str">
        <x:f>IF(ISBLANK('_SCHEDULE'!P401),"",'_SCHEDULE'!P401)</x:f>
      </x:c>
      <x:c r="Q433" s="530" t="str">
        <x:f>IF(ISBLANK('_SCHEDULE'!Q401),"",'_SCHEDULE'!Q401)</x:f>
      </x:c>
      <x:c r="R433" s="530" t="str">
        <x:f>IF(ISBLANK('_SCHEDULE'!R401),"",'_SCHEDULE'!R401)</x:f>
      </x:c>
      <x:c r="S433" s="523" t="str">
        <x:f>IF(ISBLANK('_SCHEDULE'!S401),"",'_SCHEDULE'!S401)</x:f>
      </x:c>
      <x:c r="T433" s="38"/>
      <x:c r="U433" s="38"/>
      <x:c r="V433" s="38"/>
      <x:c r="W433" s="38"/>
      <x:c r="X433" s="38"/>
      <x:c r="Y433" s="38"/>
      <x:c r="Z433" s="38"/>
      <x:c r="AA433" s="38"/>
      <x:c r="AB433" s="38"/>
      <x:c r="AC433" s="38"/>
      <x:c r="AD433" s="38"/>
      <x:c r="AE433" s="38"/>
      <x:c r="AF433" s="38"/>
      <x:c r="AG433" s="38"/>
      <x:c r="AH433" s="38"/>
      <x:c r="AI433" s="38"/>
      <x:c r="AJ433" s="38"/>
      <x:c r="AK433" s="38"/>
      <x:c r="AL433" s="38"/>
      <x:c r="AM433" s="38"/>
    </x:row>
    <x:row r="434">
      <x:c r="A434" s="523" t="str">
        <x:f>IF(ISBLANK('_SCHEDULE'!A402),"",'_SCHEDULE'!A402)</x:f>
      </x:c>
      <x:c r="B434" s="523" t="str">
        <x:f>IF(ISBLANK('_SCHEDULE'!B402),"",IF('_CONFIG'!$B$2="pt-BR",IF('_SCHEDULE'!B402="scheduled","programado",IF('_SCHEDULE'!B402="rejected","rejeitado",'_SCHEDULE'!B402)),'_SCHEDULE'!B402))</x:f>
      </x:c>
      <x:c r="C434" s="523" t="str">
        <x:f>IF(ISBLANK('_SCHEDULE'!C402),"",'_SCHEDULE'!C402)</x:f>
      </x:c>
      <x:c r="D434" s="523" t="str">
        <x:f>IF(ISBLANK('_SCHEDULE'!D402),"",'_SCHEDULE'!D402)</x:f>
      </x:c>
      <x:c r="E434" s="530" t="str">
        <x:f>IF(ISBLANK('_SCHEDULE'!E402),"",'_SCHEDULE'!E402)</x:f>
      </x:c>
      <x:c r="F434" s="530" t="str">
        <x:f>IF(ISBLANK('_SCHEDULE'!F402),"",'_SCHEDULE'!F402)</x:f>
      </x:c>
      <x:c r="G434" s="530" t="str">
        <x:f>IF(ISBLANK('_SCHEDULE'!G402),"",'_SCHEDULE'!G402)</x:f>
      </x:c>
      <x:c r="H434" s="530" t="str">
        <x:f>IF(ISBLANK('_SCHEDULE'!H402),"",'_SCHEDULE'!H402)</x:f>
      </x:c>
      <x:c r="I434" s="530" t="str">
        <x:f>IF(ISBLANK('_SCHEDULE'!I402),"",'_SCHEDULE'!I402)</x:f>
      </x:c>
      <x:c r="J434" s="530" t="str">
        <x:f>IF(ISBLANK('_SCHEDULE'!J402),"",'_SCHEDULE'!J402)</x:f>
      </x:c>
      <x:c r="K434" s="530" t="str">
        <x:f>IF(ISBLANK('_SCHEDULE'!K402),"",'_SCHEDULE'!K402)</x:f>
      </x:c>
      <x:c r="L434" s="530" t="str">
        <x:f>IF(ISBLANK('_SCHEDULE'!L402),"",'_SCHEDULE'!L402)</x:f>
      </x:c>
      <x:c r="M434" s="530" t="str">
        <x:f>IF(ISBLANK('_SCHEDULE'!M402),"",'_SCHEDULE'!M402)</x:f>
      </x:c>
      <x:c r="N434" s="530" t="str">
        <x:f>IF(ISBLANK('_SCHEDULE'!N402),"",'_SCHEDULE'!N402)</x:f>
      </x:c>
      <x:c r="O434" s="530" t="str">
        <x:f>IF(ISBLANK('_SCHEDULE'!O402),"",'_SCHEDULE'!O402)</x:f>
      </x:c>
      <x:c r="P434" s="530" t="str">
        <x:f>IF(ISBLANK('_SCHEDULE'!P402),"",'_SCHEDULE'!P402)</x:f>
      </x:c>
      <x:c r="Q434" s="530" t="str">
        <x:f>IF(ISBLANK('_SCHEDULE'!Q402),"",'_SCHEDULE'!Q402)</x:f>
      </x:c>
      <x:c r="R434" s="530" t="str">
        <x:f>IF(ISBLANK('_SCHEDULE'!R402),"",'_SCHEDULE'!R402)</x:f>
      </x:c>
      <x:c r="S434" s="523" t="str">
        <x:f>IF(ISBLANK('_SCHEDULE'!S402),"",'_SCHEDULE'!S402)</x:f>
      </x:c>
      <x:c r="T434" s="38"/>
      <x:c r="U434" s="38"/>
      <x:c r="V434" s="38"/>
      <x:c r="W434" s="38"/>
      <x:c r="X434" s="38"/>
      <x:c r="Y434" s="38"/>
      <x:c r="Z434" s="38"/>
      <x:c r="AA434" s="38"/>
      <x:c r="AB434" s="38"/>
      <x:c r="AC434" s="38"/>
      <x:c r="AD434" s="38"/>
      <x:c r="AE434" s="38"/>
      <x:c r="AF434" s="38"/>
      <x:c r="AG434" s="38"/>
      <x:c r="AH434" s="38"/>
      <x:c r="AI434" s="38"/>
      <x:c r="AJ434" s="38"/>
      <x:c r="AK434" s="38"/>
      <x:c r="AL434" s="38"/>
      <x:c r="AM434" s="38"/>
    </x:row>
    <x:row r="435">
      <x:c r="A435" s="523" t="str">
        <x:f>IF(ISBLANK('_SCHEDULE'!A403),"",'_SCHEDULE'!A403)</x:f>
      </x:c>
      <x:c r="B435" s="523" t="str">
        <x:f>IF(ISBLANK('_SCHEDULE'!B403),"",IF('_CONFIG'!$B$2="pt-BR",IF('_SCHEDULE'!B403="scheduled","programado",IF('_SCHEDULE'!B403="rejected","rejeitado",'_SCHEDULE'!B403)),'_SCHEDULE'!B403))</x:f>
      </x:c>
      <x:c r="C435" s="523" t="str">
        <x:f>IF(ISBLANK('_SCHEDULE'!C403),"",'_SCHEDULE'!C403)</x:f>
      </x:c>
      <x:c r="D435" s="523" t="str">
        <x:f>IF(ISBLANK('_SCHEDULE'!D403),"",'_SCHEDULE'!D403)</x:f>
      </x:c>
      <x:c r="E435" s="530" t="str">
        <x:f>IF(ISBLANK('_SCHEDULE'!E403),"",'_SCHEDULE'!E403)</x:f>
      </x:c>
      <x:c r="F435" s="530" t="str">
        <x:f>IF(ISBLANK('_SCHEDULE'!F403),"",'_SCHEDULE'!F403)</x:f>
      </x:c>
      <x:c r="G435" s="530" t="str">
        <x:f>IF(ISBLANK('_SCHEDULE'!G403),"",'_SCHEDULE'!G403)</x:f>
      </x:c>
      <x:c r="H435" s="530" t="str">
        <x:f>IF(ISBLANK('_SCHEDULE'!H403),"",'_SCHEDULE'!H403)</x:f>
      </x:c>
      <x:c r="I435" s="530" t="str">
        <x:f>IF(ISBLANK('_SCHEDULE'!I403),"",'_SCHEDULE'!I403)</x:f>
      </x:c>
      <x:c r="J435" s="530" t="str">
        <x:f>IF(ISBLANK('_SCHEDULE'!J403),"",'_SCHEDULE'!J403)</x:f>
      </x:c>
      <x:c r="K435" s="530" t="str">
        <x:f>IF(ISBLANK('_SCHEDULE'!K403),"",'_SCHEDULE'!K403)</x:f>
      </x:c>
      <x:c r="L435" s="530" t="str">
        <x:f>IF(ISBLANK('_SCHEDULE'!L403),"",'_SCHEDULE'!L403)</x:f>
      </x:c>
      <x:c r="M435" s="530" t="str">
        <x:f>IF(ISBLANK('_SCHEDULE'!M403),"",'_SCHEDULE'!M403)</x:f>
      </x:c>
      <x:c r="N435" s="530" t="str">
        <x:f>IF(ISBLANK('_SCHEDULE'!N403),"",'_SCHEDULE'!N403)</x:f>
      </x:c>
      <x:c r="O435" s="530" t="str">
        <x:f>IF(ISBLANK('_SCHEDULE'!O403),"",'_SCHEDULE'!O403)</x:f>
      </x:c>
      <x:c r="P435" s="530" t="str">
        <x:f>IF(ISBLANK('_SCHEDULE'!P403),"",'_SCHEDULE'!P403)</x:f>
      </x:c>
      <x:c r="Q435" s="530" t="str">
        <x:f>IF(ISBLANK('_SCHEDULE'!Q403),"",'_SCHEDULE'!Q403)</x:f>
      </x:c>
      <x:c r="R435" s="530" t="str">
        <x:f>IF(ISBLANK('_SCHEDULE'!R403),"",'_SCHEDULE'!R403)</x:f>
      </x:c>
      <x:c r="S435" s="523" t="str">
        <x:f>IF(ISBLANK('_SCHEDULE'!S403),"",'_SCHEDULE'!S403)</x:f>
      </x:c>
      <x:c r="T435" s="38"/>
      <x:c r="U435" s="38"/>
      <x:c r="V435" s="38"/>
      <x:c r="W435" s="38"/>
      <x:c r="X435" s="38"/>
      <x:c r="Y435" s="38"/>
      <x:c r="Z435" s="38"/>
      <x:c r="AA435" s="38"/>
      <x:c r="AB435" s="38"/>
      <x:c r="AC435" s="38"/>
      <x:c r="AD435" s="38"/>
      <x:c r="AE435" s="38"/>
      <x:c r="AF435" s="38"/>
      <x:c r="AG435" s="38"/>
      <x:c r="AH435" s="38"/>
      <x:c r="AI435" s="38"/>
      <x:c r="AJ435" s="38"/>
      <x:c r="AK435" s="38"/>
      <x:c r="AL435" s="38"/>
      <x:c r="AM435" s="38"/>
    </x:row>
    <x:row r="436">
      <x:c r="A436" s="523" t="str">
        <x:f>IF(ISBLANK('_SCHEDULE'!A404),"",'_SCHEDULE'!A404)</x:f>
      </x:c>
      <x:c r="B436" s="523" t="str">
        <x:f>IF(ISBLANK('_SCHEDULE'!B404),"",IF('_CONFIG'!$B$2="pt-BR",IF('_SCHEDULE'!B404="scheduled","programado",IF('_SCHEDULE'!B404="rejected","rejeitado",'_SCHEDULE'!B404)),'_SCHEDULE'!B404))</x:f>
      </x:c>
      <x:c r="C436" s="523" t="str">
        <x:f>IF(ISBLANK('_SCHEDULE'!C404),"",'_SCHEDULE'!C404)</x:f>
      </x:c>
      <x:c r="D436" s="523" t="str">
        <x:f>IF(ISBLANK('_SCHEDULE'!D404),"",'_SCHEDULE'!D404)</x:f>
      </x:c>
      <x:c r="E436" s="530" t="str">
        <x:f>IF(ISBLANK('_SCHEDULE'!E404),"",'_SCHEDULE'!E404)</x:f>
      </x:c>
      <x:c r="F436" s="530" t="str">
        <x:f>IF(ISBLANK('_SCHEDULE'!F404),"",'_SCHEDULE'!F404)</x:f>
      </x:c>
      <x:c r="G436" s="530" t="str">
        <x:f>IF(ISBLANK('_SCHEDULE'!G404),"",'_SCHEDULE'!G404)</x:f>
      </x:c>
      <x:c r="H436" s="530" t="str">
        <x:f>IF(ISBLANK('_SCHEDULE'!H404),"",'_SCHEDULE'!H404)</x:f>
      </x:c>
      <x:c r="I436" s="530" t="str">
        <x:f>IF(ISBLANK('_SCHEDULE'!I404),"",'_SCHEDULE'!I404)</x:f>
      </x:c>
      <x:c r="J436" s="530" t="str">
        <x:f>IF(ISBLANK('_SCHEDULE'!J404),"",'_SCHEDULE'!J404)</x:f>
      </x:c>
      <x:c r="K436" s="530" t="str">
        <x:f>IF(ISBLANK('_SCHEDULE'!K404),"",'_SCHEDULE'!K404)</x:f>
      </x:c>
      <x:c r="L436" s="530" t="str">
        <x:f>IF(ISBLANK('_SCHEDULE'!L404),"",'_SCHEDULE'!L404)</x:f>
      </x:c>
      <x:c r="M436" s="530" t="str">
        <x:f>IF(ISBLANK('_SCHEDULE'!M404),"",'_SCHEDULE'!M404)</x:f>
      </x:c>
      <x:c r="N436" s="530" t="str">
        <x:f>IF(ISBLANK('_SCHEDULE'!N404),"",'_SCHEDULE'!N404)</x:f>
      </x:c>
      <x:c r="O436" s="530" t="str">
        <x:f>IF(ISBLANK('_SCHEDULE'!O404),"",'_SCHEDULE'!O404)</x:f>
      </x:c>
      <x:c r="P436" s="530" t="str">
        <x:f>IF(ISBLANK('_SCHEDULE'!P404),"",'_SCHEDULE'!P404)</x:f>
      </x:c>
      <x:c r="Q436" s="530" t="str">
        <x:f>IF(ISBLANK('_SCHEDULE'!Q404),"",'_SCHEDULE'!Q404)</x:f>
      </x:c>
      <x:c r="R436" s="530" t="str">
        <x:f>IF(ISBLANK('_SCHEDULE'!R404),"",'_SCHEDULE'!R404)</x:f>
      </x:c>
      <x:c r="S436" s="523" t="str">
        <x:f>IF(ISBLANK('_SCHEDULE'!S404),"",'_SCHEDULE'!S404)</x:f>
      </x:c>
      <x:c r="T436" s="38"/>
      <x:c r="U436" s="38"/>
      <x:c r="V436" s="38"/>
      <x:c r="W436" s="38"/>
      <x:c r="X436" s="38"/>
      <x:c r="Y436" s="38"/>
      <x:c r="Z436" s="38"/>
      <x:c r="AA436" s="38"/>
      <x:c r="AB436" s="38"/>
      <x:c r="AC436" s="38"/>
      <x:c r="AD436" s="38"/>
      <x:c r="AE436" s="38"/>
      <x:c r="AF436" s="38"/>
      <x:c r="AG436" s="38"/>
      <x:c r="AH436" s="38"/>
      <x:c r="AI436" s="38"/>
      <x:c r="AJ436" s="38"/>
      <x:c r="AK436" s="38"/>
      <x:c r="AL436" s="38"/>
      <x:c r="AM436" s="38"/>
    </x:row>
    <x:row r="437">
      <x:c r="A437" s="523" t="str">
        <x:f>IF(ISBLANK('_SCHEDULE'!A405),"",'_SCHEDULE'!A405)</x:f>
      </x:c>
      <x:c r="B437" s="523" t="str">
        <x:f>IF(ISBLANK('_SCHEDULE'!B405),"",IF('_CONFIG'!$B$2="pt-BR",IF('_SCHEDULE'!B405="scheduled","programado",IF('_SCHEDULE'!B405="rejected","rejeitado",'_SCHEDULE'!B405)),'_SCHEDULE'!B405))</x:f>
      </x:c>
      <x:c r="C437" s="523" t="str">
        <x:f>IF(ISBLANK('_SCHEDULE'!C405),"",'_SCHEDULE'!C405)</x:f>
      </x:c>
      <x:c r="D437" s="523" t="str">
        <x:f>IF(ISBLANK('_SCHEDULE'!D405),"",'_SCHEDULE'!D405)</x:f>
      </x:c>
      <x:c r="E437" s="530" t="str">
        <x:f>IF(ISBLANK('_SCHEDULE'!E405),"",'_SCHEDULE'!E405)</x:f>
      </x:c>
      <x:c r="F437" s="530" t="str">
        <x:f>IF(ISBLANK('_SCHEDULE'!F405),"",'_SCHEDULE'!F405)</x:f>
      </x:c>
      <x:c r="G437" s="530" t="str">
        <x:f>IF(ISBLANK('_SCHEDULE'!G405),"",'_SCHEDULE'!G405)</x:f>
      </x:c>
      <x:c r="H437" s="530" t="str">
        <x:f>IF(ISBLANK('_SCHEDULE'!H405),"",'_SCHEDULE'!H405)</x:f>
      </x:c>
      <x:c r="I437" s="530" t="str">
        <x:f>IF(ISBLANK('_SCHEDULE'!I405),"",'_SCHEDULE'!I405)</x:f>
      </x:c>
      <x:c r="J437" s="530" t="str">
        <x:f>IF(ISBLANK('_SCHEDULE'!J405),"",'_SCHEDULE'!J405)</x:f>
      </x:c>
      <x:c r="K437" s="530" t="str">
        <x:f>IF(ISBLANK('_SCHEDULE'!K405),"",'_SCHEDULE'!K405)</x:f>
      </x:c>
      <x:c r="L437" s="530" t="str">
        <x:f>IF(ISBLANK('_SCHEDULE'!L405),"",'_SCHEDULE'!L405)</x:f>
      </x:c>
      <x:c r="M437" s="530" t="str">
        <x:f>IF(ISBLANK('_SCHEDULE'!M405),"",'_SCHEDULE'!M405)</x:f>
      </x:c>
      <x:c r="N437" s="530" t="str">
        <x:f>IF(ISBLANK('_SCHEDULE'!N405),"",'_SCHEDULE'!N405)</x:f>
      </x:c>
      <x:c r="O437" s="530" t="str">
        <x:f>IF(ISBLANK('_SCHEDULE'!O405),"",'_SCHEDULE'!O405)</x:f>
      </x:c>
      <x:c r="P437" s="530" t="str">
        <x:f>IF(ISBLANK('_SCHEDULE'!P405),"",'_SCHEDULE'!P405)</x:f>
      </x:c>
      <x:c r="Q437" s="530" t="str">
        <x:f>IF(ISBLANK('_SCHEDULE'!Q405),"",'_SCHEDULE'!Q405)</x:f>
      </x:c>
      <x:c r="R437" s="530" t="str">
        <x:f>IF(ISBLANK('_SCHEDULE'!R405),"",'_SCHEDULE'!R405)</x:f>
      </x:c>
      <x:c r="S437" s="523" t="str">
        <x:f>IF(ISBLANK('_SCHEDULE'!S405),"",'_SCHEDULE'!S405)</x:f>
      </x:c>
      <x:c r="T437" s="38"/>
      <x:c r="U437" s="38"/>
      <x:c r="V437" s="38"/>
      <x:c r="W437" s="38"/>
      <x:c r="X437" s="38"/>
      <x:c r="Y437" s="38"/>
      <x:c r="Z437" s="38"/>
      <x:c r="AA437" s="38"/>
      <x:c r="AB437" s="38"/>
      <x:c r="AC437" s="38"/>
      <x:c r="AD437" s="38"/>
      <x:c r="AE437" s="38"/>
      <x:c r="AF437" s="38"/>
      <x:c r="AG437" s="38"/>
      <x:c r="AH437" s="38"/>
      <x:c r="AI437" s="38"/>
      <x:c r="AJ437" s="38"/>
      <x:c r="AK437" s="38"/>
      <x:c r="AL437" s="38"/>
      <x:c r="AM437" s="38"/>
    </x:row>
    <x:row r="438">
      <x:c r="A438" s="523" t="str">
        <x:f>IF(ISBLANK('_SCHEDULE'!A406),"",'_SCHEDULE'!A406)</x:f>
      </x:c>
      <x:c r="B438" s="523" t="str">
        <x:f>IF(ISBLANK('_SCHEDULE'!B406),"",IF('_CONFIG'!$B$2="pt-BR",IF('_SCHEDULE'!B406="scheduled","programado",IF('_SCHEDULE'!B406="rejected","rejeitado",'_SCHEDULE'!B406)),'_SCHEDULE'!B406))</x:f>
      </x:c>
      <x:c r="C438" s="523" t="str">
        <x:f>IF(ISBLANK('_SCHEDULE'!C406),"",'_SCHEDULE'!C406)</x:f>
      </x:c>
      <x:c r="D438" s="523" t="str">
        <x:f>IF(ISBLANK('_SCHEDULE'!D406),"",'_SCHEDULE'!D406)</x:f>
      </x:c>
      <x:c r="E438" s="530" t="str">
        <x:f>IF(ISBLANK('_SCHEDULE'!E406),"",'_SCHEDULE'!E406)</x:f>
      </x:c>
      <x:c r="F438" s="530" t="str">
        <x:f>IF(ISBLANK('_SCHEDULE'!F406),"",'_SCHEDULE'!F406)</x:f>
      </x:c>
      <x:c r="G438" s="530" t="str">
        <x:f>IF(ISBLANK('_SCHEDULE'!G406),"",'_SCHEDULE'!G406)</x:f>
      </x:c>
      <x:c r="H438" s="530" t="str">
        <x:f>IF(ISBLANK('_SCHEDULE'!H406),"",'_SCHEDULE'!H406)</x:f>
      </x:c>
      <x:c r="I438" s="530" t="str">
        <x:f>IF(ISBLANK('_SCHEDULE'!I406),"",'_SCHEDULE'!I406)</x:f>
      </x:c>
      <x:c r="J438" s="530" t="str">
        <x:f>IF(ISBLANK('_SCHEDULE'!J406),"",'_SCHEDULE'!J406)</x:f>
      </x:c>
      <x:c r="K438" s="530" t="str">
        <x:f>IF(ISBLANK('_SCHEDULE'!K406),"",'_SCHEDULE'!K406)</x:f>
      </x:c>
      <x:c r="L438" s="530" t="str">
        <x:f>IF(ISBLANK('_SCHEDULE'!L406),"",'_SCHEDULE'!L406)</x:f>
      </x:c>
      <x:c r="M438" s="530" t="str">
        <x:f>IF(ISBLANK('_SCHEDULE'!M406),"",'_SCHEDULE'!M406)</x:f>
      </x:c>
      <x:c r="N438" s="530" t="str">
        <x:f>IF(ISBLANK('_SCHEDULE'!N406),"",'_SCHEDULE'!N406)</x:f>
      </x:c>
      <x:c r="O438" s="530" t="str">
        <x:f>IF(ISBLANK('_SCHEDULE'!O406),"",'_SCHEDULE'!O406)</x:f>
      </x:c>
      <x:c r="P438" s="530" t="str">
        <x:f>IF(ISBLANK('_SCHEDULE'!P406),"",'_SCHEDULE'!P406)</x:f>
      </x:c>
      <x:c r="Q438" s="530" t="str">
        <x:f>IF(ISBLANK('_SCHEDULE'!Q406),"",'_SCHEDULE'!Q406)</x:f>
      </x:c>
      <x:c r="R438" s="530" t="str">
        <x:f>IF(ISBLANK('_SCHEDULE'!R406),"",'_SCHEDULE'!R406)</x:f>
      </x:c>
      <x:c r="S438" s="523" t="str">
        <x:f>IF(ISBLANK('_SCHEDULE'!S406),"",'_SCHEDULE'!S406)</x:f>
      </x:c>
      <x:c r="T438" s="38"/>
      <x:c r="U438" s="38"/>
      <x:c r="V438" s="38"/>
      <x:c r="W438" s="38"/>
      <x:c r="X438" s="38"/>
      <x:c r="Y438" s="38"/>
      <x:c r="Z438" s="38"/>
      <x:c r="AA438" s="38"/>
      <x:c r="AB438" s="38"/>
      <x:c r="AC438" s="38"/>
      <x:c r="AD438" s="38"/>
      <x:c r="AE438" s="38"/>
      <x:c r="AF438" s="38"/>
      <x:c r="AG438" s="38"/>
      <x:c r="AH438" s="38"/>
      <x:c r="AI438" s="38"/>
      <x:c r="AJ438" s="38"/>
      <x:c r="AK438" s="38"/>
      <x:c r="AL438" s="38"/>
      <x:c r="AM438" s="38"/>
    </x:row>
    <x:row r="439">
      <x:c r="A439" s="523" t="str">
        <x:f>IF(ISBLANK('_SCHEDULE'!A407),"",'_SCHEDULE'!A407)</x:f>
      </x:c>
      <x:c r="B439" s="523" t="str">
        <x:f>IF(ISBLANK('_SCHEDULE'!B407),"",IF('_CONFIG'!$B$2="pt-BR",IF('_SCHEDULE'!B407="scheduled","programado",IF('_SCHEDULE'!B407="rejected","rejeitado",'_SCHEDULE'!B407)),'_SCHEDULE'!B407))</x:f>
      </x:c>
      <x:c r="C439" s="523" t="str">
        <x:f>IF(ISBLANK('_SCHEDULE'!C407),"",'_SCHEDULE'!C407)</x:f>
      </x:c>
      <x:c r="D439" s="523" t="str">
        <x:f>IF(ISBLANK('_SCHEDULE'!D407),"",'_SCHEDULE'!D407)</x:f>
      </x:c>
      <x:c r="E439" s="530" t="str">
        <x:f>IF(ISBLANK('_SCHEDULE'!E407),"",'_SCHEDULE'!E407)</x:f>
      </x:c>
      <x:c r="F439" s="530" t="str">
        <x:f>IF(ISBLANK('_SCHEDULE'!F407),"",'_SCHEDULE'!F407)</x:f>
      </x:c>
      <x:c r="G439" s="530" t="str">
        <x:f>IF(ISBLANK('_SCHEDULE'!G407),"",'_SCHEDULE'!G407)</x:f>
      </x:c>
      <x:c r="H439" s="530" t="str">
        <x:f>IF(ISBLANK('_SCHEDULE'!H407),"",'_SCHEDULE'!H407)</x:f>
      </x:c>
      <x:c r="I439" s="530" t="str">
        <x:f>IF(ISBLANK('_SCHEDULE'!I407),"",'_SCHEDULE'!I407)</x:f>
      </x:c>
      <x:c r="J439" s="530" t="str">
        <x:f>IF(ISBLANK('_SCHEDULE'!J407),"",'_SCHEDULE'!J407)</x:f>
      </x:c>
      <x:c r="K439" s="530" t="str">
        <x:f>IF(ISBLANK('_SCHEDULE'!K407),"",'_SCHEDULE'!K407)</x:f>
      </x:c>
      <x:c r="L439" s="530" t="str">
        <x:f>IF(ISBLANK('_SCHEDULE'!L407),"",'_SCHEDULE'!L407)</x:f>
      </x:c>
      <x:c r="M439" s="530" t="str">
        <x:f>IF(ISBLANK('_SCHEDULE'!M407),"",'_SCHEDULE'!M407)</x:f>
      </x:c>
      <x:c r="N439" s="530" t="str">
        <x:f>IF(ISBLANK('_SCHEDULE'!N407),"",'_SCHEDULE'!N407)</x:f>
      </x:c>
      <x:c r="O439" s="530" t="str">
        <x:f>IF(ISBLANK('_SCHEDULE'!O407),"",'_SCHEDULE'!O407)</x:f>
      </x:c>
      <x:c r="P439" s="530" t="str">
        <x:f>IF(ISBLANK('_SCHEDULE'!P407),"",'_SCHEDULE'!P407)</x:f>
      </x:c>
      <x:c r="Q439" s="530" t="str">
        <x:f>IF(ISBLANK('_SCHEDULE'!Q407),"",'_SCHEDULE'!Q407)</x:f>
      </x:c>
      <x:c r="R439" s="530" t="str">
        <x:f>IF(ISBLANK('_SCHEDULE'!R407),"",'_SCHEDULE'!R407)</x:f>
      </x:c>
      <x:c r="S439" s="523" t="str">
        <x:f>IF(ISBLANK('_SCHEDULE'!S407),"",'_SCHEDULE'!S407)</x:f>
      </x:c>
      <x:c r="T439" s="38"/>
      <x:c r="U439" s="38"/>
      <x:c r="V439" s="38"/>
      <x:c r="W439" s="38"/>
      <x:c r="X439" s="38"/>
      <x:c r="Y439" s="38"/>
      <x:c r="Z439" s="38"/>
      <x:c r="AA439" s="38"/>
      <x:c r="AB439" s="38"/>
      <x:c r="AC439" s="38"/>
      <x:c r="AD439" s="38"/>
      <x:c r="AE439" s="38"/>
      <x:c r="AF439" s="38"/>
      <x:c r="AG439" s="38"/>
      <x:c r="AH439" s="38"/>
      <x:c r="AI439" s="38"/>
      <x:c r="AJ439" s="38"/>
      <x:c r="AK439" s="38"/>
      <x:c r="AL439" s="38"/>
      <x:c r="AM439" s="38"/>
    </x:row>
    <x:row r="440">
      <x:c r="A440" s="523" t="str">
        <x:f>IF(ISBLANK('_SCHEDULE'!A408),"",'_SCHEDULE'!A408)</x:f>
      </x:c>
      <x:c r="B440" s="523" t="str">
        <x:f>IF(ISBLANK('_SCHEDULE'!B408),"",IF('_CONFIG'!$B$2="pt-BR",IF('_SCHEDULE'!B408="scheduled","programado",IF('_SCHEDULE'!B408="rejected","rejeitado",'_SCHEDULE'!B408)),'_SCHEDULE'!B408))</x:f>
      </x:c>
      <x:c r="C440" s="523" t="str">
        <x:f>IF(ISBLANK('_SCHEDULE'!C408),"",'_SCHEDULE'!C408)</x:f>
      </x:c>
      <x:c r="D440" s="523" t="str">
        <x:f>IF(ISBLANK('_SCHEDULE'!D408),"",'_SCHEDULE'!D408)</x:f>
      </x:c>
      <x:c r="E440" s="530" t="str">
        <x:f>IF(ISBLANK('_SCHEDULE'!E408),"",'_SCHEDULE'!E408)</x:f>
      </x:c>
      <x:c r="F440" s="530" t="str">
        <x:f>IF(ISBLANK('_SCHEDULE'!F408),"",'_SCHEDULE'!F408)</x:f>
      </x:c>
      <x:c r="G440" s="530" t="str">
        <x:f>IF(ISBLANK('_SCHEDULE'!G408),"",'_SCHEDULE'!G408)</x:f>
      </x:c>
      <x:c r="H440" s="530" t="str">
        <x:f>IF(ISBLANK('_SCHEDULE'!H408),"",'_SCHEDULE'!H408)</x:f>
      </x:c>
      <x:c r="I440" s="530" t="str">
        <x:f>IF(ISBLANK('_SCHEDULE'!I408),"",'_SCHEDULE'!I408)</x:f>
      </x:c>
      <x:c r="J440" s="530" t="str">
        <x:f>IF(ISBLANK('_SCHEDULE'!J408),"",'_SCHEDULE'!J408)</x:f>
      </x:c>
      <x:c r="K440" s="530" t="str">
        <x:f>IF(ISBLANK('_SCHEDULE'!K408),"",'_SCHEDULE'!K408)</x:f>
      </x:c>
      <x:c r="L440" s="530" t="str">
        <x:f>IF(ISBLANK('_SCHEDULE'!L408),"",'_SCHEDULE'!L408)</x:f>
      </x:c>
      <x:c r="M440" s="530" t="str">
        <x:f>IF(ISBLANK('_SCHEDULE'!M408),"",'_SCHEDULE'!M408)</x:f>
      </x:c>
      <x:c r="N440" s="530" t="str">
        <x:f>IF(ISBLANK('_SCHEDULE'!N408),"",'_SCHEDULE'!N408)</x:f>
      </x:c>
      <x:c r="O440" s="530" t="str">
        <x:f>IF(ISBLANK('_SCHEDULE'!O408),"",'_SCHEDULE'!O408)</x:f>
      </x:c>
      <x:c r="P440" s="530" t="str">
        <x:f>IF(ISBLANK('_SCHEDULE'!P408),"",'_SCHEDULE'!P408)</x:f>
      </x:c>
      <x:c r="Q440" s="530" t="str">
        <x:f>IF(ISBLANK('_SCHEDULE'!Q408),"",'_SCHEDULE'!Q408)</x:f>
      </x:c>
      <x:c r="R440" s="530" t="str">
        <x:f>IF(ISBLANK('_SCHEDULE'!R408),"",'_SCHEDULE'!R408)</x:f>
      </x:c>
      <x:c r="S440" s="523" t="str">
        <x:f>IF(ISBLANK('_SCHEDULE'!S408),"",'_SCHEDULE'!S408)</x:f>
      </x:c>
      <x:c r="T440" s="38"/>
      <x:c r="U440" s="38"/>
      <x:c r="V440" s="38"/>
      <x:c r="W440" s="38"/>
      <x:c r="X440" s="38"/>
      <x:c r="Y440" s="38"/>
      <x:c r="Z440" s="38"/>
      <x:c r="AA440" s="38"/>
      <x:c r="AB440" s="38"/>
      <x:c r="AC440" s="38"/>
      <x:c r="AD440" s="38"/>
      <x:c r="AE440" s="38"/>
      <x:c r="AF440" s="38"/>
      <x:c r="AG440" s="38"/>
      <x:c r="AH440" s="38"/>
      <x:c r="AI440" s="38"/>
      <x:c r="AJ440" s="38"/>
      <x:c r="AK440" s="38"/>
      <x:c r="AL440" s="38"/>
      <x:c r="AM440" s="38"/>
    </x:row>
    <x:row r="441">
      <x:c r="A441" s="523" t="str">
        <x:f>IF(ISBLANK('_SCHEDULE'!A409),"",'_SCHEDULE'!A409)</x:f>
      </x:c>
      <x:c r="B441" s="523" t="str">
        <x:f>IF(ISBLANK('_SCHEDULE'!B409),"",IF('_CONFIG'!$B$2="pt-BR",IF('_SCHEDULE'!B409="scheduled","programado",IF('_SCHEDULE'!B409="rejected","rejeitado",'_SCHEDULE'!B409)),'_SCHEDULE'!B409))</x:f>
      </x:c>
      <x:c r="C441" s="523" t="str">
        <x:f>IF(ISBLANK('_SCHEDULE'!C409),"",'_SCHEDULE'!C409)</x:f>
      </x:c>
      <x:c r="D441" s="523" t="str">
        <x:f>IF(ISBLANK('_SCHEDULE'!D409),"",'_SCHEDULE'!D409)</x:f>
      </x:c>
      <x:c r="E441" s="530" t="str">
        <x:f>IF(ISBLANK('_SCHEDULE'!E409),"",'_SCHEDULE'!E409)</x:f>
      </x:c>
      <x:c r="F441" s="530" t="str">
        <x:f>IF(ISBLANK('_SCHEDULE'!F409),"",'_SCHEDULE'!F409)</x:f>
      </x:c>
      <x:c r="G441" s="530" t="str">
        <x:f>IF(ISBLANK('_SCHEDULE'!G409),"",'_SCHEDULE'!G409)</x:f>
      </x:c>
      <x:c r="H441" s="530" t="str">
        <x:f>IF(ISBLANK('_SCHEDULE'!H409),"",'_SCHEDULE'!H409)</x:f>
      </x:c>
      <x:c r="I441" s="530" t="str">
        <x:f>IF(ISBLANK('_SCHEDULE'!I409),"",'_SCHEDULE'!I409)</x:f>
      </x:c>
      <x:c r="J441" s="530" t="str">
        <x:f>IF(ISBLANK('_SCHEDULE'!J409),"",'_SCHEDULE'!J409)</x:f>
      </x:c>
      <x:c r="K441" s="530" t="str">
        <x:f>IF(ISBLANK('_SCHEDULE'!K409),"",'_SCHEDULE'!K409)</x:f>
      </x:c>
      <x:c r="L441" s="530" t="str">
        <x:f>IF(ISBLANK('_SCHEDULE'!L409),"",'_SCHEDULE'!L409)</x:f>
      </x:c>
      <x:c r="M441" s="530" t="str">
        <x:f>IF(ISBLANK('_SCHEDULE'!M409),"",'_SCHEDULE'!M409)</x:f>
      </x:c>
      <x:c r="N441" s="530" t="str">
        <x:f>IF(ISBLANK('_SCHEDULE'!N409),"",'_SCHEDULE'!N409)</x:f>
      </x:c>
      <x:c r="O441" s="530" t="str">
        <x:f>IF(ISBLANK('_SCHEDULE'!O409),"",'_SCHEDULE'!O409)</x:f>
      </x:c>
      <x:c r="P441" s="530" t="str">
        <x:f>IF(ISBLANK('_SCHEDULE'!P409),"",'_SCHEDULE'!P409)</x:f>
      </x:c>
      <x:c r="Q441" s="530" t="str">
        <x:f>IF(ISBLANK('_SCHEDULE'!Q409),"",'_SCHEDULE'!Q409)</x:f>
      </x:c>
      <x:c r="R441" s="530" t="str">
        <x:f>IF(ISBLANK('_SCHEDULE'!R409),"",'_SCHEDULE'!R409)</x:f>
      </x:c>
      <x:c r="S441" s="523" t="str">
        <x:f>IF(ISBLANK('_SCHEDULE'!S409),"",'_SCHEDULE'!S409)</x:f>
      </x:c>
      <x:c r="T441" s="38"/>
      <x:c r="U441" s="38"/>
      <x:c r="V441" s="38"/>
      <x:c r="W441" s="38"/>
      <x:c r="X441" s="38"/>
      <x:c r="Y441" s="38"/>
      <x:c r="Z441" s="38"/>
      <x:c r="AA441" s="38"/>
      <x:c r="AB441" s="38"/>
      <x:c r="AC441" s="38"/>
      <x:c r="AD441" s="38"/>
      <x:c r="AE441" s="38"/>
      <x:c r="AF441" s="38"/>
      <x:c r="AG441" s="38"/>
      <x:c r="AH441" s="38"/>
      <x:c r="AI441" s="38"/>
      <x:c r="AJ441" s="38"/>
      <x:c r="AK441" s="38"/>
      <x:c r="AL441" s="38"/>
      <x:c r="AM441" s="38"/>
    </x:row>
    <x:row r="442">
      <x:c r="A442" s="523" t="str">
        <x:f>IF(ISBLANK('_SCHEDULE'!A410),"",'_SCHEDULE'!A410)</x:f>
      </x:c>
      <x:c r="B442" s="523" t="str">
        <x:f>IF(ISBLANK('_SCHEDULE'!B410),"",IF('_CONFIG'!$B$2="pt-BR",IF('_SCHEDULE'!B410="scheduled","programado",IF('_SCHEDULE'!B410="rejected","rejeitado",'_SCHEDULE'!B410)),'_SCHEDULE'!B410))</x:f>
      </x:c>
      <x:c r="C442" s="523" t="str">
        <x:f>IF(ISBLANK('_SCHEDULE'!C410),"",'_SCHEDULE'!C410)</x:f>
      </x:c>
      <x:c r="D442" s="523" t="str">
        <x:f>IF(ISBLANK('_SCHEDULE'!D410),"",'_SCHEDULE'!D410)</x:f>
      </x:c>
      <x:c r="E442" s="530" t="str">
        <x:f>IF(ISBLANK('_SCHEDULE'!E410),"",'_SCHEDULE'!E410)</x:f>
      </x:c>
      <x:c r="F442" s="530" t="str">
        <x:f>IF(ISBLANK('_SCHEDULE'!F410),"",'_SCHEDULE'!F410)</x:f>
      </x:c>
      <x:c r="G442" s="530" t="str">
        <x:f>IF(ISBLANK('_SCHEDULE'!G410),"",'_SCHEDULE'!G410)</x:f>
      </x:c>
      <x:c r="H442" s="530" t="str">
        <x:f>IF(ISBLANK('_SCHEDULE'!H410),"",'_SCHEDULE'!H410)</x:f>
      </x:c>
      <x:c r="I442" s="530" t="str">
        <x:f>IF(ISBLANK('_SCHEDULE'!I410),"",'_SCHEDULE'!I410)</x:f>
      </x:c>
      <x:c r="J442" s="530" t="str">
        <x:f>IF(ISBLANK('_SCHEDULE'!J410),"",'_SCHEDULE'!J410)</x:f>
      </x:c>
      <x:c r="K442" s="530" t="str">
        <x:f>IF(ISBLANK('_SCHEDULE'!K410),"",'_SCHEDULE'!K410)</x:f>
      </x:c>
      <x:c r="L442" s="530" t="str">
        <x:f>IF(ISBLANK('_SCHEDULE'!L410),"",'_SCHEDULE'!L410)</x:f>
      </x:c>
      <x:c r="M442" s="530" t="str">
        <x:f>IF(ISBLANK('_SCHEDULE'!M410),"",'_SCHEDULE'!M410)</x:f>
      </x:c>
      <x:c r="N442" s="530" t="str">
        <x:f>IF(ISBLANK('_SCHEDULE'!N410),"",'_SCHEDULE'!N410)</x:f>
      </x:c>
      <x:c r="O442" s="530" t="str">
        <x:f>IF(ISBLANK('_SCHEDULE'!O410),"",'_SCHEDULE'!O410)</x:f>
      </x:c>
      <x:c r="P442" s="530" t="str">
        <x:f>IF(ISBLANK('_SCHEDULE'!P410),"",'_SCHEDULE'!P410)</x:f>
      </x:c>
      <x:c r="Q442" s="530" t="str">
        <x:f>IF(ISBLANK('_SCHEDULE'!Q410),"",'_SCHEDULE'!Q410)</x:f>
      </x:c>
      <x:c r="R442" s="530" t="str">
        <x:f>IF(ISBLANK('_SCHEDULE'!R410),"",'_SCHEDULE'!R410)</x:f>
      </x:c>
      <x:c r="S442" s="523" t="str">
        <x:f>IF(ISBLANK('_SCHEDULE'!S410),"",'_SCHEDULE'!S410)</x:f>
      </x:c>
      <x:c r="T442" s="38"/>
      <x:c r="U442" s="38"/>
      <x:c r="V442" s="38"/>
      <x:c r="W442" s="38"/>
      <x:c r="X442" s="38"/>
      <x:c r="Y442" s="38"/>
      <x:c r="Z442" s="38"/>
      <x:c r="AA442" s="38"/>
      <x:c r="AB442" s="38"/>
      <x:c r="AC442" s="38"/>
      <x:c r="AD442" s="38"/>
      <x:c r="AE442" s="38"/>
      <x:c r="AF442" s="38"/>
      <x:c r="AG442" s="38"/>
      <x:c r="AH442" s="38"/>
      <x:c r="AI442" s="38"/>
      <x:c r="AJ442" s="38"/>
      <x:c r="AK442" s="38"/>
      <x:c r="AL442" s="38"/>
      <x:c r="AM442" s="38"/>
    </x:row>
    <x:row r="443">
      <x:c r="A443" s="523" t="str">
        <x:f>IF(ISBLANK('_SCHEDULE'!A411),"",'_SCHEDULE'!A411)</x:f>
      </x:c>
      <x:c r="B443" s="523" t="str">
        <x:f>IF(ISBLANK('_SCHEDULE'!B411),"",IF('_CONFIG'!$B$2="pt-BR",IF('_SCHEDULE'!B411="scheduled","programado",IF('_SCHEDULE'!B411="rejected","rejeitado",'_SCHEDULE'!B411)),'_SCHEDULE'!B411))</x:f>
      </x:c>
      <x:c r="C443" s="523" t="str">
        <x:f>IF(ISBLANK('_SCHEDULE'!C411),"",'_SCHEDULE'!C411)</x:f>
      </x:c>
      <x:c r="D443" s="523" t="str">
        <x:f>IF(ISBLANK('_SCHEDULE'!D411),"",'_SCHEDULE'!D411)</x:f>
      </x:c>
      <x:c r="E443" s="530" t="str">
        <x:f>IF(ISBLANK('_SCHEDULE'!E411),"",'_SCHEDULE'!E411)</x:f>
      </x:c>
      <x:c r="F443" s="530" t="str">
        <x:f>IF(ISBLANK('_SCHEDULE'!F411),"",'_SCHEDULE'!F411)</x:f>
      </x:c>
      <x:c r="G443" s="530" t="str">
        <x:f>IF(ISBLANK('_SCHEDULE'!G411),"",'_SCHEDULE'!G411)</x:f>
      </x:c>
      <x:c r="H443" s="530" t="str">
        <x:f>IF(ISBLANK('_SCHEDULE'!H411),"",'_SCHEDULE'!H411)</x:f>
      </x:c>
      <x:c r="I443" s="530" t="str">
        <x:f>IF(ISBLANK('_SCHEDULE'!I411),"",'_SCHEDULE'!I411)</x:f>
      </x:c>
      <x:c r="J443" s="530" t="str">
        <x:f>IF(ISBLANK('_SCHEDULE'!J411),"",'_SCHEDULE'!J411)</x:f>
      </x:c>
      <x:c r="K443" s="530" t="str">
        <x:f>IF(ISBLANK('_SCHEDULE'!K411),"",'_SCHEDULE'!K411)</x:f>
      </x:c>
      <x:c r="L443" s="530" t="str">
        <x:f>IF(ISBLANK('_SCHEDULE'!L411),"",'_SCHEDULE'!L411)</x:f>
      </x:c>
      <x:c r="M443" s="530" t="str">
        <x:f>IF(ISBLANK('_SCHEDULE'!M411),"",'_SCHEDULE'!M411)</x:f>
      </x:c>
      <x:c r="N443" s="530" t="str">
        <x:f>IF(ISBLANK('_SCHEDULE'!N411),"",'_SCHEDULE'!N411)</x:f>
      </x:c>
      <x:c r="O443" s="530" t="str">
        <x:f>IF(ISBLANK('_SCHEDULE'!O411),"",'_SCHEDULE'!O411)</x:f>
      </x:c>
      <x:c r="P443" s="530" t="str">
        <x:f>IF(ISBLANK('_SCHEDULE'!P411),"",'_SCHEDULE'!P411)</x:f>
      </x:c>
      <x:c r="Q443" s="530" t="str">
        <x:f>IF(ISBLANK('_SCHEDULE'!Q411),"",'_SCHEDULE'!Q411)</x:f>
      </x:c>
      <x:c r="R443" s="530" t="str">
        <x:f>IF(ISBLANK('_SCHEDULE'!R411),"",'_SCHEDULE'!R411)</x:f>
      </x:c>
      <x:c r="S443" s="523" t="str">
        <x:f>IF(ISBLANK('_SCHEDULE'!S411),"",'_SCHEDULE'!S411)</x:f>
      </x:c>
      <x:c r="T443" s="38"/>
      <x:c r="U443" s="38"/>
      <x:c r="V443" s="38"/>
      <x:c r="W443" s="38"/>
      <x:c r="X443" s="38"/>
      <x:c r="Y443" s="38"/>
      <x:c r="Z443" s="38"/>
      <x:c r="AA443" s="38"/>
      <x:c r="AB443" s="38"/>
      <x:c r="AC443" s="38"/>
      <x:c r="AD443" s="38"/>
      <x:c r="AE443" s="38"/>
      <x:c r="AF443" s="38"/>
      <x:c r="AG443" s="38"/>
      <x:c r="AH443" s="38"/>
      <x:c r="AI443" s="38"/>
      <x:c r="AJ443" s="38"/>
      <x:c r="AK443" s="38"/>
      <x:c r="AL443" s="38"/>
      <x:c r="AM443" s="38"/>
    </x:row>
    <x:row r="444">
      <x:c r="A444" s="523" t="str">
        <x:f>IF(ISBLANK('_SCHEDULE'!A412),"",'_SCHEDULE'!A412)</x:f>
      </x:c>
      <x:c r="B444" s="523" t="str">
        <x:f>IF(ISBLANK('_SCHEDULE'!B412),"",IF('_CONFIG'!$B$2="pt-BR",IF('_SCHEDULE'!B412="scheduled","programado",IF('_SCHEDULE'!B412="rejected","rejeitado",'_SCHEDULE'!B412)),'_SCHEDULE'!B412))</x:f>
      </x:c>
      <x:c r="C444" s="523" t="str">
        <x:f>IF(ISBLANK('_SCHEDULE'!C412),"",'_SCHEDULE'!C412)</x:f>
      </x:c>
      <x:c r="D444" s="523" t="str">
        <x:f>IF(ISBLANK('_SCHEDULE'!D412),"",'_SCHEDULE'!D412)</x:f>
      </x:c>
      <x:c r="E444" s="530" t="str">
        <x:f>IF(ISBLANK('_SCHEDULE'!E412),"",'_SCHEDULE'!E412)</x:f>
      </x:c>
      <x:c r="F444" s="530" t="str">
        <x:f>IF(ISBLANK('_SCHEDULE'!F412),"",'_SCHEDULE'!F412)</x:f>
      </x:c>
      <x:c r="G444" s="530" t="str">
        <x:f>IF(ISBLANK('_SCHEDULE'!G412),"",'_SCHEDULE'!G412)</x:f>
      </x:c>
      <x:c r="H444" s="530" t="str">
        <x:f>IF(ISBLANK('_SCHEDULE'!H412),"",'_SCHEDULE'!H412)</x:f>
      </x:c>
      <x:c r="I444" s="530" t="str">
        <x:f>IF(ISBLANK('_SCHEDULE'!I412),"",'_SCHEDULE'!I412)</x:f>
      </x:c>
      <x:c r="J444" s="530" t="str">
        <x:f>IF(ISBLANK('_SCHEDULE'!J412),"",'_SCHEDULE'!J412)</x:f>
      </x:c>
      <x:c r="K444" s="530" t="str">
        <x:f>IF(ISBLANK('_SCHEDULE'!K412),"",'_SCHEDULE'!K412)</x:f>
      </x:c>
      <x:c r="L444" s="530" t="str">
        <x:f>IF(ISBLANK('_SCHEDULE'!L412),"",'_SCHEDULE'!L412)</x:f>
      </x:c>
      <x:c r="M444" s="530" t="str">
        <x:f>IF(ISBLANK('_SCHEDULE'!M412),"",'_SCHEDULE'!M412)</x:f>
      </x:c>
      <x:c r="N444" s="530" t="str">
        <x:f>IF(ISBLANK('_SCHEDULE'!N412),"",'_SCHEDULE'!N412)</x:f>
      </x:c>
      <x:c r="O444" s="530" t="str">
        <x:f>IF(ISBLANK('_SCHEDULE'!O412),"",'_SCHEDULE'!O412)</x:f>
      </x:c>
      <x:c r="P444" s="530" t="str">
        <x:f>IF(ISBLANK('_SCHEDULE'!P412),"",'_SCHEDULE'!P412)</x:f>
      </x:c>
      <x:c r="Q444" s="530" t="str">
        <x:f>IF(ISBLANK('_SCHEDULE'!Q412),"",'_SCHEDULE'!Q412)</x:f>
      </x:c>
      <x:c r="R444" s="530" t="str">
        <x:f>IF(ISBLANK('_SCHEDULE'!R412),"",'_SCHEDULE'!R412)</x:f>
      </x:c>
      <x:c r="S444" s="523" t="str">
        <x:f>IF(ISBLANK('_SCHEDULE'!S412),"",'_SCHEDULE'!S412)</x:f>
      </x:c>
      <x:c r="T444" s="38"/>
      <x:c r="U444" s="38"/>
      <x:c r="V444" s="38"/>
      <x:c r="W444" s="38"/>
      <x:c r="X444" s="38"/>
      <x:c r="Y444" s="38"/>
      <x:c r="Z444" s="38"/>
      <x:c r="AA444" s="38"/>
      <x:c r="AB444" s="38"/>
      <x:c r="AC444" s="38"/>
      <x:c r="AD444" s="38"/>
      <x:c r="AE444" s="38"/>
      <x:c r="AF444" s="38"/>
      <x:c r="AG444" s="38"/>
      <x:c r="AH444" s="38"/>
      <x:c r="AI444" s="38"/>
      <x:c r="AJ444" s="38"/>
      <x:c r="AK444" s="38"/>
      <x:c r="AL444" s="38"/>
      <x:c r="AM444" s="38"/>
    </x:row>
    <x:row r="445">
      <x:c r="A445" s="523" t="str">
        <x:f>IF(ISBLANK('_SCHEDULE'!A413),"",'_SCHEDULE'!A413)</x:f>
      </x:c>
      <x:c r="B445" s="523" t="str">
        <x:f>IF(ISBLANK('_SCHEDULE'!B413),"",IF('_CONFIG'!$B$2="pt-BR",IF('_SCHEDULE'!B413="scheduled","programado",IF('_SCHEDULE'!B413="rejected","rejeitado",'_SCHEDULE'!B413)),'_SCHEDULE'!B413))</x:f>
      </x:c>
      <x:c r="C445" s="523" t="str">
        <x:f>IF(ISBLANK('_SCHEDULE'!C413),"",'_SCHEDULE'!C413)</x:f>
      </x:c>
      <x:c r="D445" s="523" t="str">
        <x:f>IF(ISBLANK('_SCHEDULE'!D413),"",'_SCHEDULE'!D413)</x:f>
      </x:c>
      <x:c r="E445" s="530" t="str">
        <x:f>IF(ISBLANK('_SCHEDULE'!E413),"",'_SCHEDULE'!E413)</x:f>
      </x:c>
      <x:c r="F445" s="530" t="str">
        <x:f>IF(ISBLANK('_SCHEDULE'!F413),"",'_SCHEDULE'!F413)</x:f>
      </x:c>
      <x:c r="G445" s="530" t="str">
        <x:f>IF(ISBLANK('_SCHEDULE'!G413),"",'_SCHEDULE'!G413)</x:f>
      </x:c>
      <x:c r="H445" s="530" t="str">
        <x:f>IF(ISBLANK('_SCHEDULE'!H413),"",'_SCHEDULE'!H413)</x:f>
      </x:c>
      <x:c r="I445" s="530" t="str">
        <x:f>IF(ISBLANK('_SCHEDULE'!I413),"",'_SCHEDULE'!I413)</x:f>
      </x:c>
      <x:c r="J445" s="530" t="str">
        <x:f>IF(ISBLANK('_SCHEDULE'!J413),"",'_SCHEDULE'!J413)</x:f>
      </x:c>
      <x:c r="K445" s="530" t="str">
        <x:f>IF(ISBLANK('_SCHEDULE'!K413),"",'_SCHEDULE'!K413)</x:f>
      </x:c>
      <x:c r="L445" s="530" t="str">
        <x:f>IF(ISBLANK('_SCHEDULE'!L413),"",'_SCHEDULE'!L413)</x:f>
      </x:c>
      <x:c r="M445" s="530" t="str">
        <x:f>IF(ISBLANK('_SCHEDULE'!M413),"",'_SCHEDULE'!M413)</x:f>
      </x:c>
      <x:c r="N445" s="530" t="str">
        <x:f>IF(ISBLANK('_SCHEDULE'!N413),"",'_SCHEDULE'!N413)</x:f>
      </x:c>
      <x:c r="O445" s="530" t="str">
        <x:f>IF(ISBLANK('_SCHEDULE'!O413),"",'_SCHEDULE'!O413)</x:f>
      </x:c>
      <x:c r="P445" s="530" t="str">
        <x:f>IF(ISBLANK('_SCHEDULE'!P413),"",'_SCHEDULE'!P413)</x:f>
      </x:c>
      <x:c r="Q445" s="530" t="str">
        <x:f>IF(ISBLANK('_SCHEDULE'!Q413),"",'_SCHEDULE'!Q413)</x:f>
      </x:c>
      <x:c r="R445" s="530" t="str">
        <x:f>IF(ISBLANK('_SCHEDULE'!R413),"",'_SCHEDULE'!R413)</x:f>
      </x:c>
      <x:c r="S445" s="523" t="str">
        <x:f>IF(ISBLANK('_SCHEDULE'!S413),"",'_SCHEDULE'!S413)</x:f>
      </x:c>
      <x:c r="T445" s="38"/>
      <x:c r="U445" s="38"/>
      <x:c r="V445" s="38"/>
      <x:c r="W445" s="38"/>
      <x:c r="X445" s="38"/>
      <x:c r="Y445" s="38"/>
      <x:c r="Z445" s="38"/>
      <x:c r="AA445" s="38"/>
      <x:c r="AB445" s="38"/>
      <x:c r="AC445" s="38"/>
      <x:c r="AD445" s="38"/>
      <x:c r="AE445" s="38"/>
      <x:c r="AF445" s="38"/>
      <x:c r="AG445" s="38"/>
      <x:c r="AH445" s="38"/>
      <x:c r="AI445" s="38"/>
      <x:c r="AJ445" s="38"/>
      <x:c r="AK445" s="38"/>
      <x:c r="AL445" s="38"/>
      <x:c r="AM445" s="38"/>
    </x:row>
    <x:row r="446">
      <x:c r="A446" s="523" t="str">
        <x:f>IF(ISBLANK('_SCHEDULE'!A414),"",'_SCHEDULE'!A414)</x:f>
      </x:c>
      <x:c r="B446" s="523" t="str">
        <x:f>IF(ISBLANK('_SCHEDULE'!B414),"",IF('_CONFIG'!$B$2="pt-BR",IF('_SCHEDULE'!B414="scheduled","programado",IF('_SCHEDULE'!B414="rejected","rejeitado",'_SCHEDULE'!B414)),'_SCHEDULE'!B414))</x:f>
      </x:c>
      <x:c r="C446" s="523" t="str">
        <x:f>IF(ISBLANK('_SCHEDULE'!C414),"",'_SCHEDULE'!C414)</x:f>
      </x:c>
      <x:c r="D446" s="523" t="str">
        <x:f>IF(ISBLANK('_SCHEDULE'!D414),"",'_SCHEDULE'!D414)</x:f>
      </x:c>
      <x:c r="E446" s="530" t="str">
        <x:f>IF(ISBLANK('_SCHEDULE'!E414),"",'_SCHEDULE'!E414)</x:f>
      </x:c>
      <x:c r="F446" s="530" t="str">
        <x:f>IF(ISBLANK('_SCHEDULE'!F414),"",'_SCHEDULE'!F414)</x:f>
      </x:c>
      <x:c r="G446" s="530" t="str">
        <x:f>IF(ISBLANK('_SCHEDULE'!G414),"",'_SCHEDULE'!G414)</x:f>
      </x:c>
      <x:c r="H446" s="530" t="str">
        <x:f>IF(ISBLANK('_SCHEDULE'!H414),"",'_SCHEDULE'!H414)</x:f>
      </x:c>
      <x:c r="I446" s="530" t="str">
        <x:f>IF(ISBLANK('_SCHEDULE'!I414),"",'_SCHEDULE'!I414)</x:f>
      </x:c>
      <x:c r="J446" s="530" t="str">
        <x:f>IF(ISBLANK('_SCHEDULE'!J414),"",'_SCHEDULE'!J414)</x:f>
      </x:c>
      <x:c r="K446" s="530" t="str">
        <x:f>IF(ISBLANK('_SCHEDULE'!K414),"",'_SCHEDULE'!K414)</x:f>
      </x:c>
      <x:c r="L446" s="530" t="str">
        <x:f>IF(ISBLANK('_SCHEDULE'!L414),"",'_SCHEDULE'!L414)</x:f>
      </x:c>
      <x:c r="M446" s="530" t="str">
        <x:f>IF(ISBLANK('_SCHEDULE'!M414),"",'_SCHEDULE'!M414)</x:f>
      </x:c>
      <x:c r="N446" s="530" t="str">
        <x:f>IF(ISBLANK('_SCHEDULE'!N414),"",'_SCHEDULE'!N414)</x:f>
      </x:c>
      <x:c r="O446" s="530" t="str">
        <x:f>IF(ISBLANK('_SCHEDULE'!O414),"",'_SCHEDULE'!O414)</x:f>
      </x:c>
      <x:c r="P446" s="530" t="str">
        <x:f>IF(ISBLANK('_SCHEDULE'!P414),"",'_SCHEDULE'!P414)</x:f>
      </x:c>
      <x:c r="Q446" s="530" t="str">
        <x:f>IF(ISBLANK('_SCHEDULE'!Q414),"",'_SCHEDULE'!Q414)</x:f>
      </x:c>
      <x:c r="R446" s="530" t="str">
        <x:f>IF(ISBLANK('_SCHEDULE'!R414),"",'_SCHEDULE'!R414)</x:f>
      </x:c>
      <x:c r="S446" s="523" t="str">
        <x:f>IF(ISBLANK('_SCHEDULE'!S414),"",'_SCHEDULE'!S414)</x:f>
      </x:c>
      <x:c r="T446" s="38"/>
      <x:c r="U446" s="38"/>
      <x:c r="V446" s="38"/>
      <x:c r="W446" s="38"/>
      <x:c r="X446" s="38"/>
      <x:c r="Y446" s="38"/>
      <x:c r="Z446" s="38"/>
      <x:c r="AA446" s="38"/>
      <x:c r="AB446" s="38"/>
      <x:c r="AC446" s="38"/>
      <x:c r="AD446" s="38"/>
      <x:c r="AE446" s="38"/>
      <x:c r="AF446" s="38"/>
      <x:c r="AG446" s="38"/>
      <x:c r="AH446" s="38"/>
      <x:c r="AI446" s="38"/>
      <x:c r="AJ446" s="38"/>
      <x:c r="AK446" s="38"/>
      <x:c r="AL446" s="38"/>
      <x:c r="AM446" s="38"/>
    </x:row>
    <x:row r="447">
      <x:c r="A447" s="523" t="str">
        <x:f>IF(ISBLANK('_SCHEDULE'!A415),"",'_SCHEDULE'!A415)</x:f>
      </x:c>
      <x:c r="B447" s="523" t="str">
        <x:f>IF(ISBLANK('_SCHEDULE'!B415),"",IF('_CONFIG'!$B$2="pt-BR",IF('_SCHEDULE'!B415="scheduled","programado",IF('_SCHEDULE'!B415="rejected","rejeitado",'_SCHEDULE'!B415)),'_SCHEDULE'!B415))</x:f>
      </x:c>
      <x:c r="C447" s="523" t="str">
        <x:f>IF(ISBLANK('_SCHEDULE'!C415),"",'_SCHEDULE'!C415)</x:f>
      </x:c>
      <x:c r="D447" s="523" t="str">
        <x:f>IF(ISBLANK('_SCHEDULE'!D415),"",'_SCHEDULE'!D415)</x:f>
      </x:c>
      <x:c r="E447" s="530" t="str">
        <x:f>IF(ISBLANK('_SCHEDULE'!E415),"",'_SCHEDULE'!E415)</x:f>
      </x:c>
      <x:c r="F447" s="530" t="str">
        <x:f>IF(ISBLANK('_SCHEDULE'!F415),"",'_SCHEDULE'!F415)</x:f>
      </x:c>
      <x:c r="G447" s="530" t="str">
        <x:f>IF(ISBLANK('_SCHEDULE'!G415),"",'_SCHEDULE'!G415)</x:f>
      </x:c>
      <x:c r="H447" s="530" t="str">
        <x:f>IF(ISBLANK('_SCHEDULE'!H415),"",'_SCHEDULE'!H415)</x:f>
      </x:c>
      <x:c r="I447" s="530" t="str">
        <x:f>IF(ISBLANK('_SCHEDULE'!I415),"",'_SCHEDULE'!I415)</x:f>
      </x:c>
      <x:c r="J447" s="530" t="str">
        <x:f>IF(ISBLANK('_SCHEDULE'!J415),"",'_SCHEDULE'!J415)</x:f>
      </x:c>
      <x:c r="K447" s="530" t="str">
        <x:f>IF(ISBLANK('_SCHEDULE'!K415),"",'_SCHEDULE'!K415)</x:f>
      </x:c>
      <x:c r="L447" s="530" t="str">
        <x:f>IF(ISBLANK('_SCHEDULE'!L415),"",'_SCHEDULE'!L415)</x:f>
      </x:c>
      <x:c r="M447" s="530" t="str">
        <x:f>IF(ISBLANK('_SCHEDULE'!M415),"",'_SCHEDULE'!M415)</x:f>
      </x:c>
      <x:c r="N447" s="530" t="str">
        <x:f>IF(ISBLANK('_SCHEDULE'!N415),"",'_SCHEDULE'!N415)</x:f>
      </x:c>
      <x:c r="O447" s="530" t="str">
        <x:f>IF(ISBLANK('_SCHEDULE'!O415),"",'_SCHEDULE'!O415)</x:f>
      </x:c>
      <x:c r="P447" s="530" t="str">
        <x:f>IF(ISBLANK('_SCHEDULE'!P415),"",'_SCHEDULE'!P415)</x:f>
      </x:c>
      <x:c r="Q447" s="530" t="str">
        <x:f>IF(ISBLANK('_SCHEDULE'!Q415),"",'_SCHEDULE'!Q415)</x:f>
      </x:c>
      <x:c r="R447" s="530" t="str">
        <x:f>IF(ISBLANK('_SCHEDULE'!R415),"",'_SCHEDULE'!R415)</x:f>
      </x:c>
      <x:c r="S447" s="523" t="str">
        <x:f>IF(ISBLANK('_SCHEDULE'!S415),"",'_SCHEDULE'!S415)</x:f>
      </x:c>
      <x:c r="T447" s="38"/>
      <x:c r="U447" s="38"/>
      <x:c r="V447" s="38"/>
      <x:c r="W447" s="38"/>
      <x:c r="X447" s="38"/>
      <x:c r="Y447" s="38"/>
      <x:c r="Z447" s="38"/>
      <x:c r="AA447" s="38"/>
      <x:c r="AB447" s="38"/>
      <x:c r="AC447" s="38"/>
      <x:c r="AD447" s="38"/>
      <x:c r="AE447" s="38"/>
      <x:c r="AF447" s="38"/>
      <x:c r="AG447" s="38"/>
      <x:c r="AH447" s="38"/>
      <x:c r="AI447" s="38"/>
      <x:c r="AJ447" s="38"/>
      <x:c r="AK447" s="38"/>
      <x:c r="AL447" s="38"/>
      <x:c r="AM447" s="38"/>
    </x:row>
    <x:row r="448">
      <x:c r="A448" s="523" t="str">
        <x:f>IF(ISBLANK('_SCHEDULE'!A416),"",'_SCHEDULE'!A416)</x:f>
      </x:c>
      <x:c r="B448" s="523" t="str">
        <x:f>IF(ISBLANK('_SCHEDULE'!B416),"",IF('_CONFIG'!$B$2="pt-BR",IF('_SCHEDULE'!B416="scheduled","programado",IF('_SCHEDULE'!B416="rejected","rejeitado",'_SCHEDULE'!B416)),'_SCHEDULE'!B416))</x:f>
      </x:c>
      <x:c r="C448" s="523" t="str">
        <x:f>IF(ISBLANK('_SCHEDULE'!C416),"",'_SCHEDULE'!C416)</x:f>
      </x:c>
      <x:c r="D448" s="523" t="str">
        <x:f>IF(ISBLANK('_SCHEDULE'!D416),"",'_SCHEDULE'!D416)</x:f>
      </x:c>
      <x:c r="E448" s="530" t="str">
        <x:f>IF(ISBLANK('_SCHEDULE'!E416),"",'_SCHEDULE'!E416)</x:f>
      </x:c>
      <x:c r="F448" s="530" t="str">
        <x:f>IF(ISBLANK('_SCHEDULE'!F416),"",'_SCHEDULE'!F416)</x:f>
      </x:c>
      <x:c r="G448" s="530" t="str">
        <x:f>IF(ISBLANK('_SCHEDULE'!G416),"",'_SCHEDULE'!G416)</x:f>
      </x:c>
      <x:c r="H448" s="530" t="str">
        <x:f>IF(ISBLANK('_SCHEDULE'!H416),"",'_SCHEDULE'!H416)</x:f>
      </x:c>
      <x:c r="I448" s="530" t="str">
        <x:f>IF(ISBLANK('_SCHEDULE'!I416),"",'_SCHEDULE'!I416)</x:f>
      </x:c>
      <x:c r="J448" s="530" t="str">
        <x:f>IF(ISBLANK('_SCHEDULE'!J416),"",'_SCHEDULE'!J416)</x:f>
      </x:c>
      <x:c r="K448" s="530" t="str">
        <x:f>IF(ISBLANK('_SCHEDULE'!K416),"",'_SCHEDULE'!K416)</x:f>
      </x:c>
      <x:c r="L448" s="530" t="str">
        <x:f>IF(ISBLANK('_SCHEDULE'!L416),"",'_SCHEDULE'!L416)</x:f>
      </x:c>
      <x:c r="M448" s="530" t="str">
        <x:f>IF(ISBLANK('_SCHEDULE'!M416),"",'_SCHEDULE'!M416)</x:f>
      </x:c>
      <x:c r="N448" s="530" t="str">
        <x:f>IF(ISBLANK('_SCHEDULE'!N416),"",'_SCHEDULE'!N416)</x:f>
      </x:c>
      <x:c r="O448" s="530" t="str">
        <x:f>IF(ISBLANK('_SCHEDULE'!O416),"",'_SCHEDULE'!O416)</x:f>
      </x:c>
      <x:c r="P448" s="530" t="str">
        <x:f>IF(ISBLANK('_SCHEDULE'!P416),"",'_SCHEDULE'!P416)</x:f>
      </x:c>
      <x:c r="Q448" s="530" t="str">
        <x:f>IF(ISBLANK('_SCHEDULE'!Q416),"",'_SCHEDULE'!Q416)</x:f>
      </x:c>
      <x:c r="R448" s="530" t="str">
        <x:f>IF(ISBLANK('_SCHEDULE'!R416),"",'_SCHEDULE'!R416)</x:f>
      </x:c>
      <x:c r="S448" s="523" t="str">
        <x:f>IF(ISBLANK('_SCHEDULE'!S416),"",'_SCHEDULE'!S416)</x:f>
      </x:c>
      <x:c r="T448" s="38"/>
      <x:c r="U448" s="38"/>
      <x:c r="V448" s="38"/>
      <x:c r="W448" s="38"/>
      <x:c r="X448" s="38"/>
      <x:c r="Y448" s="38"/>
      <x:c r="Z448" s="38"/>
      <x:c r="AA448" s="38"/>
      <x:c r="AB448" s="38"/>
      <x:c r="AC448" s="38"/>
      <x:c r="AD448" s="38"/>
      <x:c r="AE448" s="38"/>
      <x:c r="AF448" s="38"/>
      <x:c r="AG448" s="38"/>
      <x:c r="AH448" s="38"/>
      <x:c r="AI448" s="38"/>
      <x:c r="AJ448" s="38"/>
      <x:c r="AK448" s="38"/>
      <x:c r="AL448" s="38"/>
      <x:c r="AM448" s="38"/>
    </x:row>
    <x:row r="449">
      <x:c r="A449" s="523" t="str">
        <x:f>IF(ISBLANK('_SCHEDULE'!A417),"",'_SCHEDULE'!A417)</x:f>
      </x:c>
      <x:c r="B449" s="523" t="str">
        <x:f>IF(ISBLANK('_SCHEDULE'!B417),"",IF('_CONFIG'!$B$2="pt-BR",IF('_SCHEDULE'!B417="scheduled","programado",IF('_SCHEDULE'!B417="rejected","rejeitado",'_SCHEDULE'!B417)),'_SCHEDULE'!B417))</x:f>
      </x:c>
      <x:c r="C449" s="523" t="str">
        <x:f>IF(ISBLANK('_SCHEDULE'!C417),"",'_SCHEDULE'!C417)</x:f>
      </x:c>
      <x:c r="D449" s="523" t="str">
        <x:f>IF(ISBLANK('_SCHEDULE'!D417),"",'_SCHEDULE'!D417)</x:f>
      </x:c>
      <x:c r="E449" s="530" t="str">
        <x:f>IF(ISBLANK('_SCHEDULE'!E417),"",'_SCHEDULE'!E417)</x:f>
      </x:c>
      <x:c r="F449" s="530" t="str">
        <x:f>IF(ISBLANK('_SCHEDULE'!F417),"",'_SCHEDULE'!F417)</x:f>
      </x:c>
      <x:c r="G449" s="530" t="str">
        <x:f>IF(ISBLANK('_SCHEDULE'!G417),"",'_SCHEDULE'!G417)</x:f>
      </x:c>
      <x:c r="H449" s="530" t="str">
        <x:f>IF(ISBLANK('_SCHEDULE'!H417),"",'_SCHEDULE'!H417)</x:f>
      </x:c>
      <x:c r="I449" s="530" t="str">
        <x:f>IF(ISBLANK('_SCHEDULE'!I417),"",'_SCHEDULE'!I417)</x:f>
      </x:c>
      <x:c r="J449" s="530" t="str">
        <x:f>IF(ISBLANK('_SCHEDULE'!J417),"",'_SCHEDULE'!J417)</x:f>
      </x:c>
      <x:c r="K449" s="530" t="str">
        <x:f>IF(ISBLANK('_SCHEDULE'!K417),"",'_SCHEDULE'!K417)</x:f>
      </x:c>
      <x:c r="L449" s="530" t="str">
        <x:f>IF(ISBLANK('_SCHEDULE'!L417),"",'_SCHEDULE'!L417)</x:f>
      </x:c>
      <x:c r="M449" s="530" t="str">
        <x:f>IF(ISBLANK('_SCHEDULE'!M417),"",'_SCHEDULE'!M417)</x:f>
      </x:c>
      <x:c r="N449" s="530" t="str">
        <x:f>IF(ISBLANK('_SCHEDULE'!N417),"",'_SCHEDULE'!N417)</x:f>
      </x:c>
      <x:c r="O449" s="530" t="str">
        <x:f>IF(ISBLANK('_SCHEDULE'!O417),"",'_SCHEDULE'!O417)</x:f>
      </x:c>
      <x:c r="P449" s="530" t="str">
        <x:f>IF(ISBLANK('_SCHEDULE'!P417),"",'_SCHEDULE'!P417)</x:f>
      </x:c>
      <x:c r="Q449" s="530" t="str">
        <x:f>IF(ISBLANK('_SCHEDULE'!Q417),"",'_SCHEDULE'!Q417)</x:f>
      </x:c>
      <x:c r="R449" s="530" t="str">
        <x:f>IF(ISBLANK('_SCHEDULE'!R417),"",'_SCHEDULE'!R417)</x:f>
      </x:c>
      <x:c r="S449" s="523" t="str">
        <x:f>IF(ISBLANK('_SCHEDULE'!S417),"",'_SCHEDULE'!S417)</x:f>
      </x:c>
      <x:c r="T449" s="38"/>
      <x:c r="U449" s="38"/>
      <x:c r="V449" s="38"/>
      <x:c r="W449" s="38"/>
      <x:c r="X449" s="38"/>
      <x:c r="Y449" s="38"/>
      <x:c r="Z449" s="38"/>
      <x:c r="AA449" s="38"/>
      <x:c r="AB449" s="38"/>
      <x:c r="AC449" s="38"/>
      <x:c r="AD449" s="38"/>
      <x:c r="AE449" s="38"/>
      <x:c r="AF449" s="38"/>
      <x:c r="AG449" s="38"/>
      <x:c r="AH449" s="38"/>
      <x:c r="AI449" s="38"/>
      <x:c r="AJ449" s="38"/>
      <x:c r="AK449" s="38"/>
      <x:c r="AL449" s="38"/>
      <x:c r="AM449" s="38"/>
    </x:row>
    <x:row r="450">
      <x:c r="A450" s="523" t="str">
        <x:f>IF(ISBLANK('_SCHEDULE'!A418),"",'_SCHEDULE'!A418)</x:f>
      </x:c>
      <x:c r="B450" s="523" t="str">
        <x:f>IF(ISBLANK('_SCHEDULE'!B418),"",IF('_CONFIG'!$B$2="pt-BR",IF('_SCHEDULE'!B418="scheduled","programado",IF('_SCHEDULE'!B418="rejected","rejeitado",'_SCHEDULE'!B418)),'_SCHEDULE'!B418))</x:f>
      </x:c>
      <x:c r="C450" s="523" t="str">
        <x:f>IF(ISBLANK('_SCHEDULE'!C418),"",'_SCHEDULE'!C418)</x:f>
      </x:c>
      <x:c r="D450" s="523" t="str">
        <x:f>IF(ISBLANK('_SCHEDULE'!D418),"",'_SCHEDULE'!D418)</x:f>
      </x:c>
      <x:c r="E450" s="530" t="str">
        <x:f>IF(ISBLANK('_SCHEDULE'!E418),"",'_SCHEDULE'!E418)</x:f>
      </x:c>
      <x:c r="F450" s="530" t="str">
        <x:f>IF(ISBLANK('_SCHEDULE'!F418),"",'_SCHEDULE'!F418)</x:f>
      </x:c>
      <x:c r="G450" s="530" t="str">
        <x:f>IF(ISBLANK('_SCHEDULE'!G418),"",'_SCHEDULE'!G418)</x:f>
      </x:c>
      <x:c r="H450" s="530" t="str">
        <x:f>IF(ISBLANK('_SCHEDULE'!H418),"",'_SCHEDULE'!H418)</x:f>
      </x:c>
      <x:c r="I450" s="530" t="str">
        <x:f>IF(ISBLANK('_SCHEDULE'!I418),"",'_SCHEDULE'!I418)</x:f>
      </x:c>
      <x:c r="J450" s="530" t="str">
        <x:f>IF(ISBLANK('_SCHEDULE'!J418),"",'_SCHEDULE'!J418)</x:f>
      </x:c>
      <x:c r="K450" s="530" t="str">
        <x:f>IF(ISBLANK('_SCHEDULE'!K418),"",'_SCHEDULE'!K418)</x:f>
      </x:c>
      <x:c r="L450" s="530" t="str">
        <x:f>IF(ISBLANK('_SCHEDULE'!L418),"",'_SCHEDULE'!L418)</x:f>
      </x:c>
      <x:c r="M450" s="530" t="str">
        <x:f>IF(ISBLANK('_SCHEDULE'!M418),"",'_SCHEDULE'!M418)</x:f>
      </x:c>
      <x:c r="N450" s="530" t="str">
        <x:f>IF(ISBLANK('_SCHEDULE'!N418),"",'_SCHEDULE'!N418)</x:f>
      </x:c>
      <x:c r="O450" s="530" t="str">
        <x:f>IF(ISBLANK('_SCHEDULE'!O418),"",'_SCHEDULE'!O418)</x:f>
      </x:c>
      <x:c r="P450" s="530" t="str">
        <x:f>IF(ISBLANK('_SCHEDULE'!P418),"",'_SCHEDULE'!P418)</x:f>
      </x:c>
      <x:c r="Q450" s="530" t="str">
        <x:f>IF(ISBLANK('_SCHEDULE'!Q418),"",'_SCHEDULE'!Q418)</x:f>
      </x:c>
      <x:c r="R450" s="530" t="str">
        <x:f>IF(ISBLANK('_SCHEDULE'!R418),"",'_SCHEDULE'!R418)</x:f>
      </x:c>
      <x:c r="S450" s="523" t="str">
        <x:f>IF(ISBLANK('_SCHEDULE'!S418),"",'_SCHEDULE'!S418)</x:f>
      </x:c>
      <x:c r="T450" s="38"/>
      <x:c r="U450" s="38"/>
      <x:c r="V450" s="38"/>
      <x:c r="W450" s="38"/>
      <x:c r="X450" s="38"/>
      <x:c r="Y450" s="38"/>
      <x:c r="Z450" s="38"/>
      <x:c r="AA450" s="38"/>
      <x:c r="AB450" s="38"/>
      <x:c r="AC450" s="38"/>
      <x:c r="AD450" s="38"/>
      <x:c r="AE450" s="38"/>
      <x:c r="AF450" s="38"/>
      <x:c r="AG450" s="38"/>
      <x:c r="AH450" s="38"/>
      <x:c r="AI450" s="38"/>
      <x:c r="AJ450" s="38"/>
      <x:c r="AK450" s="38"/>
      <x:c r="AL450" s="38"/>
      <x:c r="AM450" s="38"/>
    </x:row>
    <x:row r="451">
      <x:c r="A451" s="523" t="str">
        <x:f>IF(ISBLANK('_SCHEDULE'!A419),"",'_SCHEDULE'!A419)</x:f>
      </x:c>
      <x:c r="B451" s="523" t="str">
        <x:f>IF(ISBLANK('_SCHEDULE'!B419),"",IF('_CONFIG'!$B$2="pt-BR",IF('_SCHEDULE'!B419="scheduled","programado",IF('_SCHEDULE'!B419="rejected","rejeitado",'_SCHEDULE'!B419)),'_SCHEDULE'!B419))</x:f>
      </x:c>
      <x:c r="C451" s="523" t="str">
        <x:f>IF(ISBLANK('_SCHEDULE'!C419),"",'_SCHEDULE'!C419)</x:f>
      </x:c>
      <x:c r="D451" s="523" t="str">
        <x:f>IF(ISBLANK('_SCHEDULE'!D419),"",'_SCHEDULE'!D419)</x:f>
      </x:c>
      <x:c r="E451" s="530" t="str">
        <x:f>IF(ISBLANK('_SCHEDULE'!E419),"",'_SCHEDULE'!E419)</x:f>
      </x:c>
      <x:c r="F451" s="530" t="str">
        <x:f>IF(ISBLANK('_SCHEDULE'!F419),"",'_SCHEDULE'!F419)</x:f>
      </x:c>
      <x:c r="G451" s="530" t="str">
        <x:f>IF(ISBLANK('_SCHEDULE'!G419),"",'_SCHEDULE'!G419)</x:f>
      </x:c>
      <x:c r="H451" s="530" t="str">
        <x:f>IF(ISBLANK('_SCHEDULE'!H419),"",'_SCHEDULE'!H419)</x:f>
      </x:c>
      <x:c r="I451" s="530" t="str">
        <x:f>IF(ISBLANK('_SCHEDULE'!I419),"",'_SCHEDULE'!I419)</x:f>
      </x:c>
      <x:c r="J451" s="530" t="str">
        <x:f>IF(ISBLANK('_SCHEDULE'!J419),"",'_SCHEDULE'!J419)</x:f>
      </x:c>
      <x:c r="K451" s="530" t="str">
        <x:f>IF(ISBLANK('_SCHEDULE'!K419),"",'_SCHEDULE'!K419)</x:f>
      </x:c>
      <x:c r="L451" s="530" t="str">
        <x:f>IF(ISBLANK('_SCHEDULE'!L419),"",'_SCHEDULE'!L419)</x:f>
      </x:c>
      <x:c r="M451" s="530" t="str">
        <x:f>IF(ISBLANK('_SCHEDULE'!M419),"",'_SCHEDULE'!M419)</x:f>
      </x:c>
      <x:c r="N451" s="530" t="str">
        <x:f>IF(ISBLANK('_SCHEDULE'!N419),"",'_SCHEDULE'!N419)</x:f>
      </x:c>
      <x:c r="O451" s="530" t="str">
        <x:f>IF(ISBLANK('_SCHEDULE'!O419),"",'_SCHEDULE'!O419)</x:f>
      </x:c>
      <x:c r="P451" s="530" t="str">
        <x:f>IF(ISBLANK('_SCHEDULE'!P419),"",'_SCHEDULE'!P419)</x:f>
      </x:c>
      <x:c r="Q451" s="530" t="str">
        <x:f>IF(ISBLANK('_SCHEDULE'!Q419),"",'_SCHEDULE'!Q419)</x:f>
      </x:c>
      <x:c r="R451" s="530" t="str">
        <x:f>IF(ISBLANK('_SCHEDULE'!R419),"",'_SCHEDULE'!R419)</x:f>
      </x:c>
      <x:c r="S451" s="523" t="str">
        <x:f>IF(ISBLANK('_SCHEDULE'!S419),"",'_SCHEDULE'!S419)</x:f>
      </x:c>
      <x:c r="T451" s="38"/>
      <x:c r="U451" s="38"/>
      <x:c r="V451" s="38"/>
      <x:c r="W451" s="38"/>
      <x:c r="X451" s="38"/>
      <x:c r="Y451" s="38"/>
      <x:c r="Z451" s="38"/>
      <x:c r="AA451" s="38"/>
      <x:c r="AB451" s="38"/>
      <x:c r="AC451" s="38"/>
      <x:c r="AD451" s="38"/>
      <x:c r="AE451" s="38"/>
      <x:c r="AF451" s="38"/>
      <x:c r="AG451" s="38"/>
      <x:c r="AH451" s="38"/>
      <x:c r="AI451" s="38"/>
      <x:c r="AJ451" s="38"/>
      <x:c r="AK451" s="38"/>
      <x:c r="AL451" s="38"/>
      <x:c r="AM451" s="38"/>
    </x:row>
    <x:row r="452">
      <x:c r="A452" s="523" t="str">
        <x:f>IF(ISBLANK('_SCHEDULE'!A420),"",'_SCHEDULE'!A420)</x:f>
      </x:c>
      <x:c r="B452" s="523" t="str">
        <x:f>IF(ISBLANK('_SCHEDULE'!B420),"",IF('_CONFIG'!$B$2="pt-BR",IF('_SCHEDULE'!B420="scheduled","programado",IF('_SCHEDULE'!B420="rejected","rejeitado",'_SCHEDULE'!B420)),'_SCHEDULE'!B420))</x:f>
      </x:c>
      <x:c r="C452" s="523" t="str">
        <x:f>IF(ISBLANK('_SCHEDULE'!C420),"",'_SCHEDULE'!C420)</x:f>
      </x:c>
      <x:c r="D452" s="523" t="str">
        <x:f>IF(ISBLANK('_SCHEDULE'!D420),"",'_SCHEDULE'!D420)</x:f>
      </x:c>
      <x:c r="E452" s="530" t="str">
        <x:f>IF(ISBLANK('_SCHEDULE'!E420),"",'_SCHEDULE'!E420)</x:f>
      </x:c>
      <x:c r="F452" s="530" t="str">
        <x:f>IF(ISBLANK('_SCHEDULE'!F420),"",'_SCHEDULE'!F420)</x:f>
      </x:c>
      <x:c r="G452" s="530" t="str">
        <x:f>IF(ISBLANK('_SCHEDULE'!G420),"",'_SCHEDULE'!G420)</x:f>
      </x:c>
      <x:c r="H452" s="530" t="str">
        <x:f>IF(ISBLANK('_SCHEDULE'!H420),"",'_SCHEDULE'!H420)</x:f>
      </x:c>
      <x:c r="I452" s="530" t="str">
        <x:f>IF(ISBLANK('_SCHEDULE'!I420),"",'_SCHEDULE'!I420)</x:f>
      </x:c>
      <x:c r="J452" s="530" t="str">
        <x:f>IF(ISBLANK('_SCHEDULE'!J420),"",'_SCHEDULE'!J420)</x:f>
      </x:c>
      <x:c r="K452" s="530" t="str">
        <x:f>IF(ISBLANK('_SCHEDULE'!K420),"",'_SCHEDULE'!K420)</x:f>
      </x:c>
      <x:c r="L452" s="530" t="str">
        <x:f>IF(ISBLANK('_SCHEDULE'!L420),"",'_SCHEDULE'!L420)</x:f>
      </x:c>
      <x:c r="M452" s="530" t="str">
        <x:f>IF(ISBLANK('_SCHEDULE'!M420),"",'_SCHEDULE'!M420)</x:f>
      </x:c>
      <x:c r="N452" s="530" t="str">
        <x:f>IF(ISBLANK('_SCHEDULE'!N420),"",'_SCHEDULE'!N420)</x:f>
      </x:c>
      <x:c r="O452" s="530" t="str">
        <x:f>IF(ISBLANK('_SCHEDULE'!O420),"",'_SCHEDULE'!O420)</x:f>
      </x:c>
      <x:c r="P452" s="530" t="str">
        <x:f>IF(ISBLANK('_SCHEDULE'!P420),"",'_SCHEDULE'!P420)</x:f>
      </x:c>
      <x:c r="Q452" s="530" t="str">
        <x:f>IF(ISBLANK('_SCHEDULE'!Q420),"",'_SCHEDULE'!Q420)</x:f>
      </x:c>
      <x:c r="R452" s="530" t="str">
        <x:f>IF(ISBLANK('_SCHEDULE'!R420),"",'_SCHEDULE'!R420)</x:f>
      </x:c>
      <x:c r="S452" s="523" t="str">
        <x:f>IF(ISBLANK('_SCHEDULE'!S420),"",'_SCHEDULE'!S420)</x:f>
      </x:c>
      <x:c r="T452" s="38"/>
      <x:c r="U452" s="38"/>
      <x:c r="V452" s="38"/>
      <x:c r="W452" s="38"/>
      <x:c r="X452" s="38"/>
      <x:c r="Y452" s="38"/>
      <x:c r="Z452" s="38"/>
      <x:c r="AA452" s="38"/>
      <x:c r="AB452" s="38"/>
      <x:c r="AC452" s="38"/>
      <x:c r="AD452" s="38"/>
      <x:c r="AE452" s="38"/>
      <x:c r="AF452" s="38"/>
      <x:c r="AG452" s="38"/>
      <x:c r="AH452" s="38"/>
      <x:c r="AI452" s="38"/>
      <x:c r="AJ452" s="38"/>
      <x:c r="AK452" s="38"/>
      <x:c r="AL452" s="38"/>
      <x:c r="AM452" s="38"/>
    </x:row>
    <x:row r="453">
      <x:c r="A453" s="523" t="str">
        <x:f>IF(ISBLANK('_SCHEDULE'!A421),"",'_SCHEDULE'!A421)</x:f>
      </x:c>
      <x:c r="B453" s="523" t="str">
        <x:f>IF(ISBLANK('_SCHEDULE'!B421),"",IF('_CONFIG'!$B$2="pt-BR",IF('_SCHEDULE'!B421="scheduled","programado",IF('_SCHEDULE'!B421="rejected","rejeitado",'_SCHEDULE'!B421)),'_SCHEDULE'!B421))</x:f>
      </x:c>
      <x:c r="C453" s="523" t="str">
        <x:f>IF(ISBLANK('_SCHEDULE'!C421),"",'_SCHEDULE'!C421)</x:f>
      </x:c>
      <x:c r="D453" s="523" t="str">
        <x:f>IF(ISBLANK('_SCHEDULE'!D421),"",'_SCHEDULE'!D421)</x:f>
      </x:c>
      <x:c r="E453" s="530" t="str">
        <x:f>IF(ISBLANK('_SCHEDULE'!E421),"",'_SCHEDULE'!E421)</x:f>
      </x:c>
      <x:c r="F453" s="530" t="str">
        <x:f>IF(ISBLANK('_SCHEDULE'!F421),"",'_SCHEDULE'!F421)</x:f>
      </x:c>
      <x:c r="G453" s="530" t="str">
        <x:f>IF(ISBLANK('_SCHEDULE'!G421),"",'_SCHEDULE'!G421)</x:f>
      </x:c>
      <x:c r="H453" s="530" t="str">
        <x:f>IF(ISBLANK('_SCHEDULE'!H421),"",'_SCHEDULE'!H421)</x:f>
      </x:c>
      <x:c r="I453" s="530" t="str">
        <x:f>IF(ISBLANK('_SCHEDULE'!I421),"",'_SCHEDULE'!I421)</x:f>
      </x:c>
      <x:c r="J453" s="530" t="str">
        <x:f>IF(ISBLANK('_SCHEDULE'!J421),"",'_SCHEDULE'!J421)</x:f>
      </x:c>
      <x:c r="K453" s="530" t="str">
        <x:f>IF(ISBLANK('_SCHEDULE'!K421),"",'_SCHEDULE'!K421)</x:f>
      </x:c>
      <x:c r="L453" s="530" t="str">
        <x:f>IF(ISBLANK('_SCHEDULE'!L421),"",'_SCHEDULE'!L421)</x:f>
      </x:c>
      <x:c r="M453" s="530" t="str">
        <x:f>IF(ISBLANK('_SCHEDULE'!M421),"",'_SCHEDULE'!M421)</x:f>
      </x:c>
      <x:c r="N453" s="530" t="str">
        <x:f>IF(ISBLANK('_SCHEDULE'!N421),"",'_SCHEDULE'!N421)</x:f>
      </x:c>
      <x:c r="O453" s="530" t="str">
        <x:f>IF(ISBLANK('_SCHEDULE'!O421),"",'_SCHEDULE'!O421)</x:f>
      </x:c>
      <x:c r="P453" s="530" t="str">
        <x:f>IF(ISBLANK('_SCHEDULE'!P421),"",'_SCHEDULE'!P421)</x:f>
      </x:c>
      <x:c r="Q453" s="530" t="str">
        <x:f>IF(ISBLANK('_SCHEDULE'!Q421),"",'_SCHEDULE'!Q421)</x:f>
      </x:c>
      <x:c r="R453" s="530" t="str">
        <x:f>IF(ISBLANK('_SCHEDULE'!R421),"",'_SCHEDULE'!R421)</x:f>
      </x:c>
      <x:c r="S453" s="523" t="str">
        <x:f>IF(ISBLANK('_SCHEDULE'!S421),"",'_SCHEDULE'!S421)</x:f>
      </x:c>
      <x:c r="T453" s="38"/>
      <x:c r="U453" s="38"/>
      <x:c r="V453" s="38"/>
      <x:c r="W453" s="38"/>
      <x:c r="X453" s="38"/>
      <x:c r="Y453" s="38"/>
      <x:c r="Z453" s="38"/>
      <x:c r="AA453" s="38"/>
      <x:c r="AB453" s="38"/>
      <x:c r="AC453" s="38"/>
      <x:c r="AD453" s="38"/>
      <x:c r="AE453" s="38"/>
      <x:c r="AF453" s="38"/>
      <x:c r="AG453" s="38"/>
      <x:c r="AH453" s="38"/>
      <x:c r="AI453" s="38"/>
      <x:c r="AJ453" s="38"/>
      <x:c r="AK453" s="38"/>
      <x:c r="AL453" s="38"/>
      <x:c r="AM453" s="38"/>
    </x:row>
    <x:row r="454">
      <x:c r="A454" s="523" t="str">
        <x:f>IF(ISBLANK('_SCHEDULE'!A422),"",'_SCHEDULE'!A422)</x:f>
      </x:c>
      <x:c r="B454" s="523" t="str">
        <x:f>IF(ISBLANK('_SCHEDULE'!B422),"",IF('_CONFIG'!$B$2="pt-BR",IF('_SCHEDULE'!B422="scheduled","programado",IF('_SCHEDULE'!B422="rejected","rejeitado",'_SCHEDULE'!B422)),'_SCHEDULE'!B422))</x:f>
      </x:c>
      <x:c r="C454" s="523" t="str">
        <x:f>IF(ISBLANK('_SCHEDULE'!C422),"",'_SCHEDULE'!C422)</x:f>
      </x:c>
      <x:c r="D454" s="523" t="str">
        <x:f>IF(ISBLANK('_SCHEDULE'!D422),"",'_SCHEDULE'!D422)</x:f>
      </x:c>
      <x:c r="E454" s="530" t="str">
        <x:f>IF(ISBLANK('_SCHEDULE'!E422),"",'_SCHEDULE'!E422)</x:f>
      </x:c>
      <x:c r="F454" s="530" t="str">
        <x:f>IF(ISBLANK('_SCHEDULE'!F422),"",'_SCHEDULE'!F422)</x:f>
      </x:c>
      <x:c r="G454" s="530" t="str">
        <x:f>IF(ISBLANK('_SCHEDULE'!G422),"",'_SCHEDULE'!G422)</x:f>
      </x:c>
      <x:c r="H454" s="530" t="str">
        <x:f>IF(ISBLANK('_SCHEDULE'!H422),"",'_SCHEDULE'!H422)</x:f>
      </x:c>
      <x:c r="I454" s="530" t="str">
        <x:f>IF(ISBLANK('_SCHEDULE'!I422),"",'_SCHEDULE'!I422)</x:f>
      </x:c>
      <x:c r="J454" s="530" t="str">
        <x:f>IF(ISBLANK('_SCHEDULE'!J422),"",'_SCHEDULE'!J422)</x:f>
      </x:c>
      <x:c r="K454" s="530" t="str">
        <x:f>IF(ISBLANK('_SCHEDULE'!K422),"",'_SCHEDULE'!K422)</x:f>
      </x:c>
      <x:c r="L454" s="530" t="str">
        <x:f>IF(ISBLANK('_SCHEDULE'!L422),"",'_SCHEDULE'!L422)</x:f>
      </x:c>
      <x:c r="M454" s="530" t="str">
        <x:f>IF(ISBLANK('_SCHEDULE'!M422),"",'_SCHEDULE'!M422)</x:f>
      </x:c>
      <x:c r="N454" s="530" t="str">
        <x:f>IF(ISBLANK('_SCHEDULE'!N422),"",'_SCHEDULE'!N422)</x:f>
      </x:c>
      <x:c r="O454" s="530" t="str">
        <x:f>IF(ISBLANK('_SCHEDULE'!O422),"",'_SCHEDULE'!O422)</x:f>
      </x:c>
      <x:c r="P454" s="530" t="str">
        <x:f>IF(ISBLANK('_SCHEDULE'!P422),"",'_SCHEDULE'!P422)</x:f>
      </x:c>
      <x:c r="Q454" s="530" t="str">
        <x:f>IF(ISBLANK('_SCHEDULE'!Q422),"",'_SCHEDULE'!Q422)</x:f>
      </x:c>
      <x:c r="R454" s="530" t="str">
        <x:f>IF(ISBLANK('_SCHEDULE'!R422),"",'_SCHEDULE'!R422)</x:f>
      </x:c>
      <x:c r="S454" s="523" t="str">
        <x:f>IF(ISBLANK('_SCHEDULE'!S422),"",'_SCHEDULE'!S422)</x:f>
      </x:c>
      <x:c r="T454" s="38"/>
      <x:c r="U454" s="38"/>
      <x:c r="V454" s="38"/>
      <x:c r="W454" s="38"/>
      <x:c r="X454" s="38"/>
      <x:c r="Y454" s="38"/>
      <x:c r="Z454" s="38"/>
      <x:c r="AA454" s="38"/>
      <x:c r="AB454" s="38"/>
      <x:c r="AC454" s="38"/>
      <x:c r="AD454" s="38"/>
      <x:c r="AE454" s="38"/>
      <x:c r="AF454" s="38"/>
      <x:c r="AG454" s="38"/>
      <x:c r="AH454" s="38"/>
      <x:c r="AI454" s="38"/>
      <x:c r="AJ454" s="38"/>
      <x:c r="AK454" s="38"/>
      <x:c r="AL454" s="38"/>
      <x:c r="AM454" s="38"/>
    </x:row>
    <x:row r="455">
      <x:c r="A455" s="523" t="str">
        <x:f>IF(ISBLANK('_SCHEDULE'!A423),"",'_SCHEDULE'!A423)</x:f>
      </x:c>
      <x:c r="B455" s="523" t="str">
        <x:f>IF(ISBLANK('_SCHEDULE'!B423),"",IF('_CONFIG'!$B$2="pt-BR",IF('_SCHEDULE'!B423="scheduled","programado",IF('_SCHEDULE'!B423="rejected","rejeitado",'_SCHEDULE'!B423)),'_SCHEDULE'!B423))</x:f>
      </x:c>
      <x:c r="C455" s="523" t="str">
        <x:f>IF(ISBLANK('_SCHEDULE'!C423),"",'_SCHEDULE'!C423)</x:f>
      </x:c>
      <x:c r="D455" s="523" t="str">
        <x:f>IF(ISBLANK('_SCHEDULE'!D423),"",'_SCHEDULE'!D423)</x:f>
      </x:c>
      <x:c r="E455" s="530" t="str">
        <x:f>IF(ISBLANK('_SCHEDULE'!E423),"",'_SCHEDULE'!E423)</x:f>
      </x:c>
      <x:c r="F455" s="530" t="str">
        <x:f>IF(ISBLANK('_SCHEDULE'!F423),"",'_SCHEDULE'!F423)</x:f>
      </x:c>
      <x:c r="G455" s="530" t="str">
        <x:f>IF(ISBLANK('_SCHEDULE'!G423),"",'_SCHEDULE'!G423)</x:f>
      </x:c>
      <x:c r="H455" s="530" t="str">
        <x:f>IF(ISBLANK('_SCHEDULE'!H423),"",'_SCHEDULE'!H423)</x:f>
      </x:c>
      <x:c r="I455" s="530" t="str">
        <x:f>IF(ISBLANK('_SCHEDULE'!I423),"",'_SCHEDULE'!I423)</x:f>
      </x:c>
      <x:c r="J455" s="530" t="str">
        <x:f>IF(ISBLANK('_SCHEDULE'!J423),"",'_SCHEDULE'!J423)</x:f>
      </x:c>
      <x:c r="K455" s="530" t="str">
        <x:f>IF(ISBLANK('_SCHEDULE'!K423),"",'_SCHEDULE'!K423)</x:f>
      </x:c>
      <x:c r="L455" s="530" t="str">
        <x:f>IF(ISBLANK('_SCHEDULE'!L423),"",'_SCHEDULE'!L423)</x:f>
      </x:c>
      <x:c r="M455" s="530" t="str">
        <x:f>IF(ISBLANK('_SCHEDULE'!M423),"",'_SCHEDULE'!M423)</x:f>
      </x:c>
      <x:c r="N455" s="530" t="str">
        <x:f>IF(ISBLANK('_SCHEDULE'!N423),"",'_SCHEDULE'!N423)</x:f>
      </x:c>
      <x:c r="O455" s="530" t="str">
        <x:f>IF(ISBLANK('_SCHEDULE'!O423),"",'_SCHEDULE'!O423)</x:f>
      </x:c>
      <x:c r="P455" s="530" t="str">
        <x:f>IF(ISBLANK('_SCHEDULE'!P423),"",'_SCHEDULE'!P423)</x:f>
      </x:c>
      <x:c r="Q455" s="530" t="str">
        <x:f>IF(ISBLANK('_SCHEDULE'!Q423),"",'_SCHEDULE'!Q423)</x:f>
      </x:c>
      <x:c r="R455" s="530" t="str">
        <x:f>IF(ISBLANK('_SCHEDULE'!R423),"",'_SCHEDULE'!R423)</x:f>
      </x:c>
      <x:c r="S455" s="523" t="str">
        <x:f>IF(ISBLANK('_SCHEDULE'!S423),"",'_SCHEDULE'!S423)</x:f>
      </x:c>
      <x:c r="T455" s="38"/>
      <x:c r="U455" s="38"/>
      <x:c r="V455" s="38"/>
      <x:c r="W455" s="38"/>
      <x:c r="X455" s="38"/>
      <x:c r="Y455" s="38"/>
      <x:c r="Z455" s="38"/>
      <x:c r="AA455" s="38"/>
      <x:c r="AB455" s="38"/>
      <x:c r="AC455" s="38"/>
      <x:c r="AD455" s="38"/>
      <x:c r="AE455" s="38"/>
      <x:c r="AF455" s="38"/>
      <x:c r="AG455" s="38"/>
      <x:c r="AH455" s="38"/>
      <x:c r="AI455" s="38"/>
      <x:c r="AJ455" s="38"/>
      <x:c r="AK455" s="38"/>
      <x:c r="AL455" s="38"/>
      <x:c r="AM455" s="38"/>
    </x:row>
    <x:row r="456">
      <x:c r="A456" s="523" t="str">
        <x:f>IF(ISBLANK('_SCHEDULE'!A424),"",'_SCHEDULE'!A424)</x:f>
      </x:c>
      <x:c r="B456" s="523" t="str">
        <x:f>IF(ISBLANK('_SCHEDULE'!B424),"",IF('_CONFIG'!$B$2="pt-BR",IF('_SCHEDULE'!B424="scheduled","programado",IF('_SCHEDULE'!B424="rejected","rejeitado",'_SCHEDULE'!B424)),'_SCHEDULE'!B424))</x:f>
      </x:c>
      <x:c r="C456" s="523" t="str">
        <x:f>IF(ISBLANK('_SCHEDULE'!C424),"",'_SCHEDULE'!C424)</x:f>
      </x:c>
      <x:c r="D456" s="523" t="str">
        <x:f>IF(ISBLANK('_SCHEDULE'!D424),"",'_SCHEDULE'!D424)</x:f>
      </x:c>
      <x:c r="E456" s="530" t="str">
        <x:f>IF(ISBLANK('_SCHEDULE'!E424),"",'_SCHEDULE'!E424)</x:f>
      </x:c>
      <x:c r="F456" s="530" t="str">
        <x:f>IF(ISBLANK('_SCHEDULE'!F424),"",'_SCHEDULE'!F424)</x:f>
      </x:c>
      <x:c r="G456" s="530" t="str">
        <x:f>IF(ISBLANK('_SCHEDULE'!G424),"",'_SCHEDULE'!G424)</x:f>
      </x:c>
      <x:c r="H456" s="530" t="str">
        <x:f>IF(ISBLANK('_SCHEDULE'!H424),"",'_SCHEDULE'!H424)</x:f>
      </x:c>
      <x:c r="I456" s="530" t="str">
        <x:f>IF(ISBLANK('_SCHEDULE'!I424),"",'_SCHEDULE'!I424)</x:f>
      </x:c>
      <x:c r="J456" s="530" t="str">
        <x:f>IF(ISBLANK('_SCHEDULE'!J424),"",'_SCHEDULE'!J424)</x:f>
      </x:c>
      <x:c r="K456" s="530" t="str">
        <x:f>IF(ISBLANK('_SCHEDULE'!K424),"",'_SCHEDULE'!K424)</x:f>
      </x:c>
      <x:c r="L456" s="530" t="str">
        <x:f>IF(ISBLANK('_SCHEDULE'!L424),"",'_SCHEDULE'!L424)</x:f>
      </x:c>
      <x:c r="M456" s="530" t="str">
        <x:f>IF(ISBLANK('_SCHEDULE'!M424),"",'_SCHEDULE'!M424)</x:f>
      </x:c>
      <x:c r="N456" s="530" t="str">
        <x:f>IF(ISBLANK('_SCHEDULE'!N424),"",'_SCHEDULE'!N424)</x:f>
      </x:c>
      <x:c r="O456" s="530" t="str">
        <x:f>IF(ISBLANK('_SCHEDULE'!O424),"",'_SCHEDULE'!O424)</x:f>
      </x:c>
      <x:c r="P456" s="530" t="str">
        <x:f>IF(ISBLANK('_SCHEDULE'!P424),"",'_SCHEDULE'!P424)</x:f>
      </x:c>
      <x:c r="Q456" s="530" t="str">
        <x:f>IF(ISBLANK('_SCHEDULE'!Q424),"",'_SCHEDULE'!Q424)</x:f>
      </x:c>
      <x:c r="R456" s="530" t="str">
        <x:f>IF(ISBLANK('_SCHEDULE'!R424),"",'_SCHEDULE'!R424)</x:f>
      </x:c>
      <x:c r="S456" s="523" t="str">
        <x:f>IF(ISBLANK('_SCHEDULE'!S424),"",'_SCHEDULE'!S424)</x:f>
      </x:c>
      <x:c r="T456" s="38"/>
      <x:c r="U456" s="38"/>
      <x:c r="V456" s="38"/>
      <x:c r="W456" s="38"/>
      <x:c r="X456" s="38"/>
      <x:c r="Y456" s="38"/>
      <x:c r="Z456" s="38"/>
      <x:c r="AA456" s="38"/>
      <x:c r="AB456" s="38"/>
      <x:c r="AC456" s="38"/>
      <x:c r="AD456" s="38"/>
      <x:c r="AE456" s="38"/>
      <x:c r="AF456" s="38"/>
      <x:c r="AG456" s="38"/>
      <x:c r="AH456" s="38"/>
      <x:c r="AI456" s="38"/>
      <x:c r="AJ456" s="38"/>
      <x:c r="AK456" s="38"/>
      <x:c r="AL456" s="38"/>
      <x:c r="AM456" s="38"/>
    </x:row>
    <x:row r="457">
      <x:c r="A457" s="523" t="str">
        <x:f>IF(ISBLANK('_SCHEDULE'!A425),"",'_SCHEDULE'!A425)</x:f>
      </x:c>
      <x:c r="B457" s="523" t="str">
        <x:f>IF(ISBLANK('_SCHEDULE'!B425),"",IF('_CONFIG'!$B$2="pt-BR",IF('_SCHEDULE'!B425="scheduled","programado",IF('_SCHEDULE'!B425="rejected","rejeitado",'_SCHEDULE'!B425)),'_SCHEDULE'!B425))</x:f>
      </x:c>
      <x:c r="C457" s="523" t="str">
        <x:f>IF(ISBLANK('_SCHEDULE'!C425),"",'_SCHEDULE'!C425)</x:f>
      </x:c>
      <x:c r="D457" s="523" t="str">
        <x:f>IF(ISBLANK('_SCHEDULE'!D425),"",'_SCHEDULE'!D425)</x:f>
      </x:c>
      <x:c r="E457" s="530" t="str">
        <x:f>IF(ISBLANK('_SCHEDULE'!E425),"",'_SCHEDULE'!E425)</x:f>
      </x:c>
      <x:c r="F457" s="530" t="str">
        <x:f>IF(ISBLANK('_SCHEDULE'!F425),"",'_SCHEDULE'!F425)</x:f>
      </x:c>
      <x:c r="G457" s="530" t="str">
        <x:f>IF(ISBLANK('_SCHEDULE'!G425),"",'_SCHEDULE'!G425)</x:f>
      </x:c>
      <x:c r="H457" s="530" t="str">
        <x:f>IF(ISBLANK('_SCHEDULE'!H425),"",'_SCHEDULE'!H425)</x:f>
      </x:c>
      <x:c r="I457" s="530" t="str">
        <x:f>IF(ISBLANK('_SCHEDULE'!I425),"",'_SCHEDULE'!I425)</x:f>
      </x:c>
      <x:c r="J457" s="530" t="str">
        <x:f>IF(ISBLANK('_SCHEDULE'!J425),"",'_SCHEDULE'!J425)</x:f>
      </x:c>
      <x:c r="K457" s="530" t="str">
        <x:f>IF(ISBLANK('_SCHEDULE'!K425),"",'_SCHEDULE'!K425)</x:f>
      </x:c>
      <x:c r="L457" s="530" t="str">
        <x:f>IF(ISBLANK('_SCHEDULE'!L425),"",'_SCHEDULE'!L425)</x:f>
      </x:c>
      <x:c r="M457" s="530" t="str">
        <x:f>IF(ISBLANK('_SCHEDULE'!M425),"",'_SCHEDULE'!M425)</x:f>
      </x:c>
      <x:c r="N457" s="530" t="str">
        <x:f>IF(ISBLANK('_SCHEDULE'!N425),"",'_SCHEDULE'!N425)</x:f>
      </x:c>
      <x:c r="O457" s="530" t="str">
        <x:f>IF(ISBLANK('_SCHEDULE'!O425),"",'_SCHEDULE'!O425)</x:f>
      </x:c>
      <x:c r="P457" s="530" t="str">
        <x:f>IF(ISBLANK('_SCHEDULE'!P425),"",'_SCHEDULE'!P425)</x:f>
      </x:c>
      <x:c r="Q457" s="530" t="str">
        <x:f>IF(ISBLANK('_SCHEDULE'!Q425),"",'_SCHEDULE'!Q425)</x:f>
      </x:c>
      <x:c r="R457" s="530" t="str">
        <x:f>IF(ISBLANK('_SCHEDULE'!R425),"",'_SCHEDULE'!R425)</x:f>
      </x:c>
      <x:c r="S457" s="523" t="str">
        <x:f>IF(ISBLANK('_SCHEDULE'!S425),"",'_SCHEDULE'!S425)</x:f>
      </x:c>
      <x:c r="T457" s="38"/>
      <x:c r="U457" s="38"/>
      <x:c r="V457" s="38"/>
      <x:c r="W457" s="38"/>
      <x:c r="X457" s="38"/>
      <x:c r="Y457" s="38"/>
      <x:c r="Z457" s="38"/>
      <x:c r="AA457" s="38"/>
      <x:c r="AB457" s="38"/>
      <x:c r="AC457" s="38"/>
      <x:c r="AD457" s="38"/>
      <x:c r="AE457" s="38"/>
      <x:c r="AF457" s="38"/>
      <x:c r="AG457" s="38"/>
      <x:c r="AH457" s="38"/>
      <x:c r="AI457" s="38"/>
      <x:c r="AJ457" s="38"/>
      <x:c r="AK457" s="38"/>
      <x:c r="AL457" s="38"/>
      <x:c r="AM457" s="38"/>
    </x:row>
    <x:row r="458">
      <x:c r="A458" s="523" t="str">
        <x:f>IF(ISBLANK('_SCHEDULE'!A426),"",'_SCHEDULE'!A426)</x:f>
      </x:c>
      <x:c r="B458" s="523" t="str">
        <x:f>IF(ISBLANK('_SCHEDULE'!B426),"",IF('_CONFIG'!$B$2="pt-BR",IF('_SCHEDULE'!B426="scheduled","programado",IF('_SCHEDULE'!B426="rejected","rejeitado",'_SCHEDULE'!B426)),'_SCHEDULE'!B426))</x:f>
      </x:c>
      <x:c r="C458" s="523" t="str">
        <x:f>IF(ISBLANK('_SCHEDULE'!C426),"",'_SCHEDULE'!C426)</x:f>
      </x:c>
      <x:c r="D458" s="523" t="str">
        <x:f>IF(ISBLANK('_SCHEDULE'!D426),"",'_SCHEDULE'!D426)</x:f>
      </x:c>
      <x:c r="E458" s="530" t="str">
        <x:f>IF(ISBLANK('_SCHEDULE'!E426),"",'_SCHEDULE'!E426)</x:f>
      </x:c>
      <x:c r="F458" s="530" t="str">
        <x:f>IF(ISBLANK('_SCHEDULE'!F426),"",'_SCHEDULE'!F426)</x:f>
      </x:c>
      <x:c r="G458" s="530" t="str">
        <x:f>IF(ISBLANK('_SCHEDULE'!G426),"",'_SCHEDULE'!G426)</x:f>
      </x:c>
      <x:c r="H458" s="530" t="str">
        <x:f>IF(ISBLANK('_SCHEDULE'!H426),"",'_SCHEDULE'!H426)</x:f>
      </x:c>
      <x:c r="I458" s="530" t="str">
        <x:f>IF(ISBLANK('_SCHEDULE'!I426),"",'_SCHEDULE'!I426)</x:f>
      </x:c>
      <x:c r="J458" s="530" t="str">
        <x:f>IF(ISBLANK('_SCHEDULE'!J426),"",'_SCHEDULE'!J426)</x:f>
      </x:c>
      <x:c r="K458" s="530" t="str">
        <x:f>IF(ISBLANK('_SCHEDULE'!K426),"",'_SCHEDULE'!K426)</x:f>
      </x:c>
      <x:c r="L458" s="530" t="str">
        <x:f>IF(ISBLANK('_SCHEDULE'!L426),"",'_SCHEDULE'!L426)</x:f>
      </x:c>
      <x:c r="M458" s="530" t="str">
        <x:f>IF(ISBLANK('_SCHEDULE'!M426),"",'_SCHEDULE'!M426)</x:f>
      </x:c>
      <x:c r="N458" s="530" t="str">
        <x:f>IF(ISBLANK('_SCHEDULE'!N426),"",'_SCHEDULE'!N426)</x:f>
      </x:c>
      <x:c r="O458" s="530" t="str">
        <x:f>IF(ISBLANK('_SCHEDULE'!O426),"",'_SCHEDULE'!O426)</x:f>
      </x:c>
      <x:c r="P458" s="530" t="str">
        <x:f>IF(ISBLANK('_SCHEDULE'!P426),"",'_SCHEDULE'!P426)</x:f>
      </x:c>
      <x:c r="Q458" s="530" t="str">
        <x:f>IF(ISBLANK('_SCHEDULE'!Q426),"",'_SCHEDULE'!Q426)</x:f>
      </x:c>
      <x:c r="R458" s="530" t="str">
        <x:f>IF(ISBLANK('_SCHEDULE'!R426),"",'_SCHEDULE'!R426)</x:f>
      </x:c>
      <x:c r="S458" s="523" t="str">
        <x:f>IF(ISBLANK('_SCHEDULE'!S426),"",'_SCHEDULE'!S426)</x:f>
      </x:c>
      <x:c r="T458" s="38"/>
      <x:c r="U458" s="38"/>
      <x:c r="V458" s="38"/>
      <x:c r="W458" s="38"/>
      <x:c r="X458" s="38"/>
      <x:c r="Y458" s="38"/>
      <x:c r="Z458" s="38"/>
      <x:c r="AA458" s="38"/>
      <x:c r="AB458" s="38"/>
      <x:c r="AC458" s="38"/>
      <x:c r="AD458" s="38"/>
      <x:c r="AE458" s="38"/>
      <x:c r="AF458" s="38"/>
      <x:c r="AG458" s="38"/>
      <x:c r="AH458" s="38"/>
      <x:c r="AI458" s="38"/>
      <x:c r="AJ458" s="38"/>
      <x:c r="AK458" s="38"/>
      <x:c r="AL458" s="38"/>
      <x:c r="AM458" s="38"/>
    </x:row>
    <x:row r="459">
      <x:c r="A459" s="523" t="str">
        <x:f>IF(ISBLANK('_SCHEDULE'!A427),"",'_SCHEDULE'!A427)</x:f>
      </x:c>
      <x:c r="B459" s="523" t="str">
        <x:f>IF(ISBLANK('_SCHEDULE'!B427),"",IF('_CONFIG'!$B$2="pt-BR",IF('_SCHEDULE'!B427="scheduled","programado",IF('_SCHEDULE'!B427="rejected","rejeitado",'_SCHEDULE'!B427)),'_SCHEDULE'!B427))</x:f>
      </x:c>
      <x:c r="C459" s="523" t="str">
        <x:f>IF(ISBLANK('_SCHEDULE'!C427),"",'_SCHEDULE'!C427)</x:f>
      </x:c>
      <x:c r="D459" s="523" t="str">
        <x:f>IF(ISBLANK('_SCHEDULE'!D427),"",'_SCHEDULE'!D427)</x:f>
      </x:c>
      <x:c r="E459" s="530" t="str">
        <x:f>IF(ISBLANK('_SCHEDULE'!E427),"",'_SCHEDULE'!E427)</x:f>
      </x:c>
      <x:c r="F459" s="530" t="str">
        <x:f>IF(ISBLANK('_SCHEDULE'!F427),"",'_SCHEDULE'!F427)</x:f>
      </x:c>
      <x:c r="G459" s="530" t="str">
        <x:f>IF(ISBLANK('_SCHEDULE'!G427),"",'_SCHEDULE'!G427)</x:f>
      </x:c>
      <x:c r="H459" s="530" t="str">
        <x:f>IF(ISBLANK('_SCHEDULE'!H427),"",'_SCHEDULE'!H427)</x:f>
      </x:c>
      <x:c r="I459" s="530" t="str">
        <x:f>IF(ISBLANK('_SCHEDULE'!I427),"",'_SCHEDULE'!I427)</x:f>
      </x:c>
      <x:c r="J459" s="530" t="str">
        <x:f>IF(ISBLANK('_SCHEDULE'!J427),"",'_SCHEDULE'!J427)</x:f>
      </x:c>
      <x:c r="K459" s="530" t="str">
        <x:f>IF(ISBLANK('_SCHEDULE'!K427),"",'_SCHEDULE'!K427)</x:f>
      </x:c>
      <x:c r="L459" s="530" t="str">
        <x:f>IF(ISBLANK('_SCHEDULE'!L427),"",'_SCHEDULE'!L427)</x:f>
      </x:c>
      <x:c r="M459" s="530" t="str">
        <x:f>IF(ISBLANK('_SCHEDULE'!M427),"",'_SCHEDULE'!M427)</x:f>
      </x:c>
      <x:c r="N459" s="530" t="str">
        <x:f>IF(ISBLANK('_SCHEDULE'!N427),"",'_SCHEDULE'!N427)</x:f>
      </x:c>
      <x:c r="O459" s="530" t="str">
        <x:f>IF(ISBLANK('_SCHEDULE'!O427),"",'_SCHEDULE'!O427)</x:f>
      </x:c>
      <x:c r="P459" s="530" t="str">
        <x:f>IF(ISBLANK('_SCHEDULE'!P427),"",'_SCHEDULE'!P427)</x:f>
      </x:c>
      <x:c r="Q459" s="530" t="str">
        <x:f>IF(ISBLANK('_SCHEDULE'!Q427),"",'_SCHEDULE'!Q427)</x:f>
      </x:c>
      <x:c r="R459" s="530" t="str">
        <x:f>IF(ISBLANK('_SCHEDULE'!R427),"",'_SCHEDULE'!R427)</x:f>
      </x:c>
      <x:c r="S459" s="523" t="str">
        <x:f>IF(ISBLANK('_SCHEDULE'!S427),"",'_SCHEDULE'!S427)</x:f>
      </x:c>
      <x:c r="T459" s="38"/>
      <x:c r="U459" s="38"/>
      <x:c r="V459" s="38"/>
      <x:c r="W459" s="38"/>
      <x:c r="X459" s="38"/>
      <x:c r="Y459" s="38"/>
      <x:c r="Z459" s="38"/>
      <x:c r="AA459" s="38"/>
      <x:c r="AB459" s="38"/>
      <x:c r="AC459" s="38"/>
      <x:c r="AD459" s="38"/>
      <x:c r="AE459" s="38"/>
      <x:c r="AF459" s="38"/>
      <x:c r="AG459" s="38"/>
      <x:c r="AH459" s="38"/>
      <x:c r="AI459" s="38"/>
      <x:c r="AJ459" s="38"/>
      <x:c r="AK459" s="38"/>
      <x:c r="AL459" s="38"/>
      <x:c r="AM459" s="38"/>
    </x:row>
    <x:row r="460">
      <x:c r="A460" s="523" t="str">
        <x:f>IF(ISBLANK('_SCHEDULE'!A428),"",'_SCHEDULE'!A428)</x:f>
      </x:c>
      <x:c r="B460" s="523" t="str">
        <x:f>IF(ISBLANK('_SCHEDULE'!B428),"",IF('_CONFIG'!$B$2="pt-BR",IF('_SCHEDULE'!B428="scheduled","programado",IF('_SCHEDULE'!B428="rejected","rejeitado",'_SCHEDULE'!B428)),'_SCHEDULE'!B428))</x:f>
      </x:c>
      <x:c r="C460" s="523" t="str">
        <x:f>IF(ISBLANK('_SCHEDULE'!C428),"",'_SCHEDULE'!C428)</x:f>
      </x:c>
      <x:c r="D460" s="523" t="str">
        <x:f>IF(ISBLANK('_SCHEDULE'!D428),"",'_SCHEDULE'!D428)</x:f>
      </x:c>
      <x:c r="E460" s="530" t="str">
        <x:f>IF(ISBLANK('_SCHEDULE'!E428),"",'_SCHEDULE'!E428)</x:f>
      </x:c>
      <x:c r="F460" s="530" t="str">
        <x:f>IF(ISBLANK('_SCHEDULE'!F428),"",'_SCHEDULE'!F428)</x:f>
      </x:c>
      <x:c r="G460" s="530" t="str">
        <x:f>IF(ISBLANK('_SCHEDULE'!G428),"",'_SCHEDULE'!G428)</x:f>
      </x:c>
      <x:c r="H460" s="530" t="str">
        <x:f>IF(ISBLANK('_SCHEDULE'!H428),"",'_SCHEDULE'!H428)</x:f>
      </x:c>
      <x:c r="I460" s="530" t="str">
        <x:f>IF(ISBLANK('_SCHEDULE'!I428),"",'_SCHEDULE'!I428)</x:f>
      </x:c>
      <x:c r="J460" s="530" t="str">
        <x:f>IF(ISBLANK('_SCHEDULE'!J428),"",'_SCHEDULE'!J428)</x:f>
      </x:c>
      <x:c r="K460" s="530" t="str">
        <x:f>IF(ISBLANK('_SCHEDULE'!K428),"",'_SCHEDULE'!K428)</x:f>
      </x:c>
      <x:c r="L460" s="530" t="str">
        <x:f>IF(ISBLANK('_SCHEDULE'!L428),"",'_SCHEDULE'!L428)</x:f>
      </x:c>
      <x:c r="M460" s="530" t="str">
        <x:f>IF(ISBLANK('_SCHEDULE'!M428),"",'_SCHEDULE'!M428)</x:f>
      </x:c>
      <x:c r="N460" s="530" t="str">
        <x:f>IF(ISBLANK('_SCHEDULE'!N428),"",'_SCHEDULE'!N428)</x:f>
      </x:c>
      <x:c r="O460" s="530" t="str">
        <x:f>IF(ISBLANK('_SCHEDULE'!O428),"",'_SCHEDULE'!O428)</x:f>
      </x:c>
      <x:c r="P460" s="530" t="str">
        <x:f>IF(ISBLANK('_SCHEDULE'!P428),"",'_SCHEDULE'!P428)</x:f>
      </x:c>
      <x:c r="Q460" s="530" t="str">
        <x:f>IF(ISBLANK('_SCHEDULE'!Q428),"",'_SCHEDULE'!Q428)</x:f>
      </x:c>
      <x:c r="R460" s="530" t="str">
        <x:f>IF(ISBLANK('_SCHEDULE'!R428),"",'_SCHEDULE'!R428)</x:f>
      </x:c>
      <x:c r="S460" s="523" t="str">
        <x:f>IF(ISBLANK('_SCHEDULE'!S428),"",'_SCHEDULE'!S428)</x:f>
      </x:c>
      <x:c r="T460" s="38"/>
      <x:c r="U460" s="38"/>
      <x:c r="V460" s="38"/>
      <x:c r="W460" s="38"/>
      <x:c r="X460" s="38"/>
      <x:c r="Y460" s="38"/>
      <x:c r="Z460" s="38"/>
      <x:c r="AA460" s="38"/>
      <x:c r="AB460" s="38"/>
      <x:c r="AC460" s="38"/>
      <x:c r="AD460" s="38"/>
      <x:c r="AE460" s="38"/>
      <x:c r="AF460" s="38"/>
      <x:c r="AG460" s="38"/>
      <x:c r="AH460" s="38"/>
      <x:c r="AI460" s="38"/>
      <x:c r="AJ460" s="38"/>
      <x:c r="AK460" s="38"/>
      <x:c r="AL460" s="38"/>
      <x:c r="AM460" s="38"/>
    </x:row>
    <x:row r="461">
      <x:c r="A461" s="523" t="str">
        <x:f>IF(ISBLANK('_SCHEDULE'!A429),"",'_SCHEDULE'!A429)</x:f>
      </x:c>
      <x:c r="B461" s="523" t="str">
        <x:f>IF(ISBLANK('_SCHEDULE'!B429),"",IF('_CONFIG'!$B$2="pt-BR",IF('_SCHEDULE'!B429="scheduled","programado",IF('_SCHEDULE'!B429="rejected","rejeitado",'_SCHEDULE'!B429)),'_SCHEDULE'!B429))</x:f>
      </x:c>
      <x:c r="C461" s="523" t="str">
        <x:f>IF(ISBLANK('_SCHEDULE'!C429),"",'_SCHEDULE'!C429)</x:f>
      </x:c>
      <x:c r="D461" s="523" t="str">
        <x:f>IF(ISBLANK('_SCHEDULE'!D429),"",'_SCHEDULE'!D429)</x:f>
      </x:c>
      <x:c r="E461" s="530" t="str">
        <x:f>IF(ISBLANK('_SCHEDULE'!E429),"",'_SCHEDULE'!E429)</x:f>
      </x:c>
      <x:c r="F461" s="530" t="str">
        <x:f>IF(ISBLANK('_SCHEDULE'!F429),"",'_SCHEDULE'!F429)</x:f>
      </x:c>
      <x:c r="G461" s="530" t="str">
        <x:f>IF(ISBLANK('_SCHEDULE'!G429),"",'_SCHEDULE'!G429)</x:f>
      </x:c>
      <x:c r="H461" s="530" t="str">
        <x:f>IF(ISBLANK('_SCHEDULE'!H429),"",'_SCHEDULE'!H429)</x:f>
      </x:c>
      <x:c r="I461" s="530" t="str">
        <x:f>IF(ISBLANK('_SCHEDULE'!I429),"",'_SCHEDULE'!I429)</x:f>
      </x:c>
      <x:c r="J461" s="530" t="str">
        <x:f>IF(ISBLANK('_SCHEDULE'!J429),"",'_SCHEDULE'!J429)</x:f>
      </x:c>
      <x:c r="K461" s="530" t="str">
        <x:f>IF(ISBLANK('_SCHEDULE'!K429),"",'_SCHEDULE'!K429)</x:f>
      </x:c>
      <x:c r="L461" s="530" t="str">
        <x:f>IF(ISBLANK('_SCHEDULE'!L429),"",'_SCHEDULE'!L429)</x:f>
      </x:c>
      <x:c r="M461" s="530" t="str">
        <x:f>IF(ISBLANK('_SCHEDULE'!M429),"",'_SCHEDULE'!M429)</x:f>
      </x:c>
      <x:c r="N461" s="530" t="str">
        <x:f>IF(ISBLANK('_SCHEDULE'!N429),"",'_SCHEDULE'!N429)</x:f>
      </x:c>
      <x:c r="O461" s="530" t="str">
        <x:f>IF(ISBLANK('_SCHEDULE'!O429),"",'_SCHEDULE'!O429)</x:f>
      </x:c>
      <x:c r="P461" s="530" t="str">
        <x:f>IF(ISBLANK('_SCHEDULE'!P429),"",'_SCHEDULE'!P429)</x:f>
      </x:c>
      <x:c r="Q461" s="530" t="str">
        <x:f>IF(ISBLANK('_SCHEDULE'!Q429),"",'_SCHEDULE'!Q429)</x:f>
      </x:c>
      <x:c r="R461" s="530" t="str">
        <x:f>IF(ISBLANK('_SCHEDULE'!R429),"",'_SCHEDULE'!R429)</x:f>
      </x:c>
      <x:c r="S461" s="523" t="str">
        <x:f>IF(ISBLANK('_SCHEDULE'!S429),"",'_SCHEDULE'!S429)</x:f>
      </x:c>
      <x:c r="T461" s="38"/>
      <x:c r="U461" s="38"/>
      <x:c r="V461" s="38"/>
      <x:c r="W461" s="38"/>
      <x:c r="X461" s="38"/>
      <x:c r="Y461" s="38"/>
      <x:c r="Z461" s="38"/>
      <x:c r="AA461" s="38"/>
      <x:c r="AB461" s="38"/>
      <x:c r="AC461" s="38"/>
      <x:c r="AD461" s="38"/>
      <x:c r="AE461" s="38"/>
      <x:c r="AF461" s="38"/>
      <x:c r="AG461" s="38"/>
      <x:c r="AH461" s="38"/>
      <x:c r="AI461" s="38"/>
      <x:c r="AJ461" s="38"/>
      <x:c r="AK461" s="38"/>
      <x:c r="AL461" s="38"/>
      <x:c r="AM461" s="38"/>
    </x:row>
    <x:row r="462">
      <x:c r="A462" s="523" t="str">
        <x:f>IF(ISBLANK('_SCHEDULE'!A430),"",'_SCHEDULE'!A430)</x:f>
      </x:c>
      <x:c r="B462" s="523" t="str">
        <x:f>IF(ISBLANK('_SCHEDULE'!B430),"",IF('_CONFIG'!$B$2="pt-BR",IF('_SCHEDULE'!B430="scheduled","programado",IF('_SCHEDULE'!B430="rejected","rejeitado",'_SCHEDULE'!B430)),'_SCHEDULE'!B430))</x:f>
      </x:c>
      <x:c r="C462" s="523" t="str">
        <x:f>IF(ISBLANK('_SCHEDULE'!C430),"",'_SCHEDULE'!C430)</x:f>
      </x:c>
      <x:c r="D462" s="523" t="str">
        <x:f>IF(ISBLANK('_SCHEDULE'!D430),"",'_SCHEDULE'!D430)</x:f>
      </x:c>
      <x:c r="E462" s="530" t="str">
        <x:f>IF(ISBLANK('_SCHEDULE'!E430),"",'_SCHEDULE'!E430)</x:f>
      </x:c>
      <x:c r="F462" s="530" t="str">
        <x:f>IF(ISBLANK('_SCHEDULE'!F430),"",'_SCHEDULE'!F430)</x:f>
      </x:c>
      <x:c r="G462" s="530" t="str">
        <x:f>IF(ISBLANK('_SCHEDULE'!G430),"",'_SCHEDULE'!G430)</x:f>
      </x:c>
      <x:c r="H462" s="530" t="str">
        <x:f>IF(ISBLANK('_SCHEDULE'!H430),"",'_SCHEDULE'!H430)</x:f>
      </x:c>
      <x:c r="I462" s="530" t="str">
        <x:f>IF(ISBLANK('_SCHEDULE'!I430),"",'_SCHEDULE'!I430)</x:f>
      </x:c>
      <x:c r="J462" s="530" t="str">
        <x:f>IF(ISBLANK('_SCHEDULE'!J430),"",'_SCHEDULE'!J430)</x:f>
      </x:c>
      <x:c r="K462" s="530" t="str">
        <x:f>IF(ISBLANK('_SCHEDULE'!K430),"",'_SCHEDULE'!K430)</x:f>
      </x:c>
      <x:c r="L462" s="530" t="str">
        <x:f>IF(ISBLANK('_SCHEDULE'!L430),"",'_SCHEDULE'!L430)</x:f>
      </x:c>
      <x:c r="M462" s="530" t="str">
        <x:f>IF(ISBLANK('_SCHEDULE'!M430),"",'_SCHEDULE'!M430)</x:f>
      </x:c>
      <x:c r="N462" s="530" t="str">
        <x:f>IF(ISBLANK('_SCHEDULE'!N430),"",'_SCHEDULE'!N430)</x:f>
      </x:c>
      <x:c r="O462" s="530" t="str">
        <x:f>IF(ISBLANK('_SCHEDULE'!O430),"",'_SCHEDULE'!O430)</x:f>
      </x:c>
      <x:c r="P462" s="530" t="str">
        <x:f>IF(ISBLANK('_SCHEDULE'!P430),"",'_SCHEDULE'!P430)</x:f>
      </x:c>
      <x:c r="Q462" s="530" t="str">
        <x:f>IF(ISBLANK('_SCHEDULE'!Q430),"",'_SCHEDULE'!Q430)</x:f>
      </x:c>
      <x:c r="R462" s="530" t="str">
        <x:f>IF(ISBLANK('_SCHEDULE'!R430),"",'_SCHEDULE'!R430)</x:f>
      </x:c>
      <x:c r="S462" s="523" t="str">
        <x:f>IF(ISBLANK('_SCHEDULE'!S430),"",'_SCHEDULE'!S430)</x:f>
      </x:c>
      <x:c r="T462" s="38"/>
      <x:c r="U462" s="38"/>
      <x:c r="V462" s="38"/>
      <x:c r="W462" s="38"/>
      <x:c r="X462" s="38"/>
      <x:c r="Y462" s="38"/>
      <x:c r="Z462" s="38"/>
      <x:c r="AA462" s="38"/>
      <x:c r="AB462" s="38"/>
      <x:c r="AC462" s="38"/>
      <x:c r="AD462" s="38"/>
      <x:c r="AE462" s="38"/>
      <x:c r="AF462" s="38"/>
      <x:c r="AG462" s="38"/>
      <x:c r="AH462" s="38"/>
      <x:c r="AI462" s="38"/>
      <x:c r="AJ462" s="38"/>
      <x:c r="AK462" s="38"/>
      <x:c r="AL462" s="38"/>
      <x:c r="AM462" s="38"/>
    </x:row>
    <x:row r="463">
      <x:c r="A463" s="523" t="str">
        <x:f>IF(ISBLANK('_SCHEDULE'!A431),"",'_SCHEDULE'!A431)</x:f>
      </x:c>
      <x:c r="B463" s="523" t="str">
        <x:f>IF(ISBLANK('_SCHEDULE'!B431),"",IF('_CONFIG'!$B$2="pt-BR",IF('_SCHEDULE'!B431="scheduled","programado",IF('_SCHEDULE'!B431="rejected","rejeitado",'_SCHEDULE'!B431)),'_SCHEDULE'!B431))</x:f>
      </x:c>
      <x:c r="C463" s="523" t="str">
        <x:f>IF(ISBLANK('_SCHEDULE'!C431),"",'_SCHEDULE'!C431)</x:f>
      </x:c>
      <x:c r="D463" s="523" t="str">
        <x:f>IF(ISBLANK('_SCHEDULE'!D431),"",'_SCHEDULE'!D431)</x:f>
      </x:c>
      <x:c r="E463" s="530" t="str">
        <x:f>IF(ISBLANK('_SCHEDULE'!E431),"",'_SCHEDULE'!E431)</x:f>
      </x:c>
      <x:c r="F463" s="530" t="str">
        <x:f>IF(ISBLANK('_SCHEDULE'!F431),"",'_SCHEDULE'!F431)</x:f>
      </x:c>
      <x:c r="G463" s="530" t="str">
        <x:f>IF(ISBLANK('_SCHEDULE'!G431),"",'_SCHEDULE'!G431)</x:f>
      </x:c>
      <x:c r="H463" s="530" t="str">
        <x:f>IF(ISBLANK('_SCHEDULE'!H431),"",'_SCHEDULE'!H431)</x:f>
      </x:c>
      <x:c r="I463" s="530" t="str">
        <x:f>IF(ISBLANK('_SCHEDULE'!I431),"",'_SCHEDULE'!I431)</x:f>
      </x:c>
      <x:c r="J463" s="530" t="str">
        <x:f>IF(ISBLANK('_SCHEDULE'!J431),"",'_SCHEDULE'!J431)</x:f>
      </x:c>
      <x:c r="K463" s="530" t="str">
        <x:f>IF(ISBLANK('_SCHEDULE'!K431),"",'_SCHEDULE'!K431)</x:f>
      </x:c>
      <x:c r="L463" s="530" t="str">
        <x:f>IF(ISBLANK('_SCHEDULE'!L431),"",'_SCHEDULE'!L431)</x:f>
      </x:c>
      <x:c r="M463" s="530" t="str">
        <x:f>IF(ISBLANK('_SCHEDULE'!M431),"",'_SCHEDULE'!M431)</x:f>
      </x:c>
      <x:c r="N463" s="530" t="str">
        <x:f>IF(ISBLANK('_SCHEDULE'!N431),"",'_SCHEDULE'!N431)</x:f>
      </x:c>
      <x:c r="O463" s="530" t="str">
        <x:f>IF(ISBLANK('_SCHEDULE'!O431),"",'_SCHEDULE'!O431)</x:f>
      </x:c>
      <x:c r="P463" s="530" t="str">
        <x:f>IF(ISBLANK('_SCHEDULE'!P431),"",'_SCHEDULE'!P431)</x:f>
      </x:c>
      <x:c r="Q463" s="530" t="str">
        <x:f>IF(ISBLANK('_SCHEDULE'!Q431),"",'_SCHEDULE'!Q431)</x:f>
      </x:c>
      <x:c r="R463" s="530" t="str">
        <x:f>IF(ISBLANK('_SCHEDULE'!R431),"",'_SCHEDULE'!R431)</x:f>
      </x:c>
      <x:c r="S463" s="523" t="str">
        <x:f>IF(ISBLANK('_SCHEDULE'!S431),"",'_SCHEDULE'!S431)</x:f>
      </x:c>
      <x:c r="T463" s="38"/>
      <x:c r="U463" s="38"/>
      <x:c r="V463" s="38"/>
      <x:c r="W463" s="38"/>
      <x:c r="X463" s="38"/>
      <x:c r="Y463" s="38"/>
      <x:c r="Z463" s="38"/>
      <x:c r="AA463" s="38"/>
      <x:c r="AB463" s="38"/>
      <x:c r="AC463" s="38"/>
      <x:c r="AD463" s="38"/>
      <x:c r="AE463" s="38"/>
      <x:c r="AF463" s="38"/>
      <x:c r="AG463" s="38"/>
      <x:c r="AH463" s="38"/>
      <x:c r="AI463" s="38"/>
      <x:c r="AJ463" s="38"/>
      <x:c r="AK463" s="38"/>
      <x:c r="AL463" s="38"/>
      <x:c r="AM463" s="38"/>
    </x:row>
    <x:row r="464">
      <x:c r="A464" s="523" t="str">
        <x:f>IF(ISBLANK('_SCHEDULE'!A432),"",'_SCHEDULE'!A432)</x:f>
      </x:c>
      <x:c r="B464" s="523" t="str">
        <x:f>IF(ISBLANK('_SCHEDULE'!B432),"",IF('_CONFIG'!$B$2="pt-BR",IF('_SCHEDULE'!B432="scheduled","programado",IF('_SCHEDULE'!B432="rejected","rejeitado",'_SCHEDULE'!B432)),'_SCHEDULE'!B432))</x:f>
      </x:c>
      <x:c r="C464" s="523" t="str">
        <x:f>IF(ISBLANK('_SCHEDULE'!C432),"",'_SCHEDULE'!C432)</x:f>
      </x:c>
      <x:c r="D464" s="523" t="str">
        <x:f>IF(ISBLANK('_SCHEDULE'!D432),"",'_SCHEDULE'!D432)</x:f>
      </x:c>
      <x:c r="E464" s="530" t="str">
        <x:f>IF(ISBLANK('_SCHEDULE'!E432),"",'_SCHEDULE'!E432)</x:f>
      </x:c>
      <x:c r="F464" s="530" t="str">
        <x:f>IF(ISBLANK('_SCHEDULE'!F432),"",'_SCHEDULE'!F432)</x:f>
      </x:c>
      <x:c r="G464" s="530" t="str">
        <x:f>IF(ISBLANK('_SCHEDULE'!G432),"",'_SCHEDULE'!G432)</x:f>
      </x:c>
      <x:c r="H464" s="530" t="str">
        <x:f>IF(ISBLANK('_SCHEDULE'!H432),"",'_SCHEDULE'!H432)</x:f>
      </x:c>
      <x:c r="I464" s="530" t="str">
        <x:f>IF(ISBLANK('_SCHEDULE'!I432),"",'_SCHEDULE'!I432)</x:f>
      </x:c>
      <x:c r="J464" s="530" t="str">
        <x:f>IF(ISBLANK('_SCHEDULE'!J432),"",'_SCHEDULE'!J432)</x:f>
      </x:c>
      <x:c r="K464" s="530" t="str">
        <x:f>IF(ISBLANK('_SCHEDULE'!K432),"",'_SCHEDULE'!K432)</x:f>
      </x:c>
      <x:c r="L464" s="530" t="str">
        <x:f>IF(ISBLANK('_SCHEDULE'!L432),"",'_SCHEDULE'!L432)</x:f>
      </x:c>
      <x:c r="M464" s="530" t="str">
        <x:f>IF(ISBLANK('_SCHEDULE'!M432),"",'_SCHEDULE'!M432)</x:f>
      </x:c>
      <x:c r="N464" s="530" t="str">
        <x:f>IF(ISBLANK('_SCHEDULE'!N432),"",'_SCHEDULE'!N432)</x:f>
      </x:c>
      <x:c r="O464" s="530" t="str">
        <x:f>IF(ISBLANK('_SCHEDULE'!O432),"",'_SCHEDULE'!O432)</x:f>
      </x:c>
      <x:c r="P464" s="530" t="str">
        <x:f>IF(ISBLANK('_SCHEDULE'!P432),"",'_SCHEDULE'!P432)</x:f>
      </x:c>
      <x:c r="Q464" s="530" t="str">
        <x:f>IF(ISBLANK('_SCHEDULE'!Q432),"",'_SCHEDULE'!Q432)</x:f>
      </x:c>
      <x:c r="R464" s="530" t="str">
        <x:f>IF(ISBLANK('_SCHEDULE'!R432),"",'_SCHEDULE'!R432)</x:f>
      </x:c>
      <x:c r="S464" s="523" t="str">
        <x:f>IF(ISBLANK('_SCHEDULE'!S432),"",'_SCHEDULE'!S432)</x:f>
      </x:c>
      <x:c r="T464" s="38"/>
      <x:c r="U464" s="38"/>
      <x:c r="V464" s="38"/>
      <x:c r="W464" s="38"/>
      <x:c r="X464" s="38"/>
      <x:c r="Y464" s="38"/>
      <x:c r="Z464" s="38"/>
      <x:c r="AA464" s="38"/>
      <x:c r="AB464" s="38"/>
      <x:c r="AC464" s="38"/>
      <x:c r="AD464" s="38"/>
      <x:c r="AE464" s="38"/>
      <x:c r="AF464" s="38"/>
      <x:c r="AG464" s="38"/>
      <x:c r="AH464" s="38"/>
      <x:c r="AI464" s="38"/>
      <x:c r="AJ464" s="38"/>
      <x:c r="AK464" s="38"/>
      <x:c r="AL464" s="38"/>
      <x:c r="AM464" s="38"/>
    </x:row>
    <x:row r="465">
      <x:c r="A465" s="523" t="str">
        <x:f>IF(ISBLANK('_SCHEDULE'!A433),"",'_SCHEDULE'!A433)</x:f>
      </x:c>
      <x:c r="B465" s="523" t="str">
        <x:f>IF(ISBLANK('_SCHEDULE'!B433),"",IF('_CONFIG'!$B$2="pt-BR",IF('_SCHEDULE'!B433="scheduled","programado",IF('_SCHEDULE'!B433="rejected","rejeitado",'_SCHEDULE'!B433)),'_SCHEDULE'!B433))</x:f>
      </x:c>
      <x:c r="C465" s="523" t="str">
        <x:f>IF(ISBLANK('_SCHEDULE'!C433),"",'_SCHEDULE'!C433)</x:f>
      </x:c>
      <x:c r="D465" s="523" t="str">
        <x:f>IF(ISBLANK('_SCHEDULE'!D433),"",'_SCHEDULE'!D433)</x:f>
      </x:c>
      <x:c r="E465" s="530" t="str">
        <x:f>IF(ISBLANK('_SCHEDULE'!E433),"",'_SCHEDULE'!E433)</x:f>
      </x:c>
      <x:c r="F465" s="530" t="str">
        <x:f>IF(ISBLANK('_SCHEDULE'!F433),"",'_SCHEDULE'!F433)</x:f>
      </x:c>
      <x:c r="G465" s="530" t="str">
        <x:f>IF(ISBLANK('_SCHEDULE'!G433),"",'_SCHEDULE'!G433)</x:f>
      </x:c>
      <x:c r="H465" s="530" t="str">
        <x:f>IF(ISBLANK('_SCHEDULE'!H433),"",'_SCHEDULE'!H433)</x:f>
      </x:c>
      <x:c r="I465" s="530" t="str">
        <x:f>IF(ISBLANK('_SCHEDULE'!I433),"",'_SCHEDULE'!I433)</x:f>
      </x:c>
      <x:c r="J465" s="530" t="str">
        <x:f>IF(ISBLANK('_SCHEDULE'!J433),"",'_SCHEDULE'!J433)</x:f>
      </x:c>
      <x:c r="K465" s="530" t="str">
        <x:f>IF(ISBLANK('_SCHEDULE'!K433),"",'_SCHEDULE'!K433)</x:f>
      </x:c>
      <x:c r="L465" s="530" t="str">
        <x:f>IF(ISBLANK('_SCHEDULE'!L433),"",'_SCHEDULE'!L433)</x:f>
      </x:c>
      <x:c r="M465" s="530" t="str">
        <x:f>IF(ISBLANK('_SCHEDULE'!M433),"",'_SCHEDULE'!M433)</x:f>
      </x:c>
      <x:c r="N465" s="530" t="str">
        <x:f>IF(ISBLANK('_SCHEDULE'!N433),"",'_SCHEDULE'!N433)</x:f>
      </x:c>
      <x:c r="O465" s="530" t="str">
        <x:f>IF(ISBLANK('_SCHEDULE'!O433),"",'_SCHEDULE'!O433)</x:f>
      </x:c>
      <x:c r="P465" s="530" t="str">
        <x:f>IF(ISBLANK('_SCHEDULE'!P433),"",'_SCHEDULE'!P433)</x:f>
      </x:c>
      <x:c r="Q465" s="530" t="str">
        <x:f>IF(ISBLANK('_SCHEDULE'!Q433),"",'_SCHEDULE'!Q433)</x:f>
      </x:c>
      <x:c r="R465" s="530" t="str">
        <x:f>IF(ISBLANK('_SCHEDULE'!R433),"",'_SCHEDULE'!R433)</x:f>
      </x:c>
      <x:c r="S465" s="523" t="str">
        <x:f>IF(ISBLANK('_SCHEDULE'!S433),"",'_SCHEDULE'!S433)</x:f>
      </x:c>
      <x:c r="T465" s="38"/>
      <x:c r="U465" s="38"/>
      <x:c r="V465" s="38"/>
      <x:c r="W465" s="38"/>
      <x:c r="X465" s="38"/>
      <x:c r="Y465" s="38"/>
      <x:c r="Z465" s="38"/>
      <x:c r="AA465" s="38"/>
      <x:c r="AB465" s="38"/>
      <x:c r="AC465" s="38"/>
      <x:c r="AD465" s="38"/>
      <x:c r="AE465" s="38"/>
      <x:c r="AF465" s="38"/>
      <x:c r="AG465" s="38"/>
      <x:c r="AH465" s="38"/>
      <x:c r="AI465" s="38"/>
      <x:c r="AJ465" s="38"/>
      <x:c r="AK465" s="38"/>
      <x:c r="AL465" s="38"/>
      <x:c r="AM465" s="38"/>
    </x:row>
    <x:row r="466">
      <x:c r="A466" s="523" t="str">
        <x:f>IF(ISBLANK('_SCHEDULE'!A434),"",'_SCHEDULE'!A434)</x:f>
      </x:c>
      <x:c r="B466" s="523" t="str">
        <x:f>IF(ISBLANK('_SCHEDULE'!B434),"",IF('_CONFIG'!$B$2="pt-BR",IF('_SCHEDULE'!B434="scheduled","programado",IF('_SCHEDULE'!B434="rejected","rejeitado",'_SCHEDULE'!B434)),'_SCHEDULE'!B434))</x:f>
      </x:c>
      <x:c r="C466" s="523" t="str">
        <x:f>IF(ISBLANK('_SCHEDULE'!C434),"",'_SCHEDULE'!C434)</x:f>
      </x:c>
      <x:c r="D466" s="523" t="str">
        <x:f>IF(ISBLANK('_SCHEDULE'!D434),"",'_SCHEDULE'!D434)</x:f>
      </x:c>
      <x:c r="E466" s="530" t="str">
        <x:f>IF(ISBLANK('_SCHEDULE'!E434),"",'_SCHEDULE'!E434)</x:f>
      </x:c>
      <x:c r="F466" s="530" t="str">
        <x:f>IF(ISBLANK('_SCHEDULE'!F434),"",'_SCHEDULE'!F434)</x:f>
      </x:c>
      <x:c r="G466" s="530" t="str">
        <x:f>IF(ISBLANK('_SCHEDULE'!G434),"",'_SCHEDULE'!G434)</x:f>
      </x:c>
      <x:c r="H466" s="530" t="str">
        <x:f>IF(ISBLANK('_SCHEDULE'!H434),"",'_SCHEDULE'!H434)</x:f>
      </x:c>
      <x:c r="I466" s="530" t="str">
        <x:f>IF(ISBLANK('_SCHEDULE'!I434),"",'_SCHEDULE'!I434)</x:f>
      </x:c>
      <x:c r="J466" s="530" t="str">
        <x:f>IF(ISBLANK('_SCHEDULE'!J434),"",'_SCHEDULE'!J434)</x:f>
      </x:c>
      <x:c r="K466" s="530" t="str">
        <x:f>IF(ISBLANK('_SCHEDULE'!K434),"",'_SCHEDULE'!K434)</x:f>
      </x:c>
      <x:c r="L466" s="530" t="str">
        <x:f>IF(ISBLANK('_SCHEDULE'!L434),"",'_SCHEDULE'!L434)</x:f>
      </x:c>
      <x:c r="M466" s="530" t="str">
        <x:f>IF(ISBLANK('_SCHEDULE'!M434),"",'_SCHEDULE'!M434)</x:f>
      </x:c>
      <x:c r="N466" s="530" t="str">
        <x:f>IF(ISBLANK('_SCHEDULE'!N434),"",'_SCHEDULE'!N434)</x:f>
      </x:c>
      <x:c r="O466" s="530" t="str">
        <x:f>IF(ISBLANK('_SCHEDULE'!O434),"",'_SCHEDULE'!O434)</x:f>
      </x:c>
      <x:c r="P466" s="530" t="str">
        <x:f>IF(ISBLANK('_SCHEDULE'!P434),"",'_SCHEDULE'!P434)</x:f>
      </x:c>
      <x:c r="Q466" s="530" t="str">
        <x:f>IF(ISBLANK('_SCHEDULE'!Q434),"",'_SCHEDULE'!Q434)</x:f>
      </x:c>
      <x:c r="R466" s="530" t="str">
        <x:f>IF(ISBLANK('_SCHEDULE'!R434),"",'_SCHEDULE'!R434)</x:f>
      </x:c>
      <x:c r="S466" s="523" t="str">
        <x:f>IF(ISBLANK('_SCHEDULE'!S434),"",'_SCHEDULE'!S434)</x:f>
      </x:c>
      <x:c r="T466" s="38"/>
      <x:c r="U466" s="38"/>
      <x:c r="V466" s="38"/>
      <x:c r="W466" s="38"/>
      <x:c r="X466" s="38"/>
      <x:c r="Y466" s="38"/>
      <x:c r="Z466" s="38"/>
      <x:c r="AA466" s="38"/>
      <x:c r="AB466" s="38"/>
      <x:c r="AC466" s="38"/>
      <x:c r="AD466" s="38"/>
      <x:c r="AE466" s="38"/>
      <x:c r="AF466" s="38"/>
      <x:c r="AG466" s="38"/>
      <x:c r="AH466" s="38"/>
      <x:c r="AI466" s="38"/>
      <x:c r="AJ466" s="38"/>
      <x:c r="AK466" s="38"/>
      <x:c r="AL466" s="38"/>
      <x:c r="AM466" s="38"/>
    </x:row>
    <x:row r="467">
      <x:c r="A467" s="523" t="str">
        <x:f>IF(ISBLANK('_SCHEDULE'!A435),"",'_SCHEDULE'!A435)</x:f>
      </x:c>
      <x:c r="B467" s="523" t="str">
        <x:f>IF(ISBLANK('_SCHEDULE'!B435),"",IF('_CONFIG'!$B$2="pt-BR",IF('_SCHEDULE'!B435="scheduled","programado",IF('_SCHEDULE'!B435="rejected","rejeitado",'_SCHEDULE'!B435)),'_SCHEDULE'!B435))</x:f>
      </x:c>
      <x:c r="C467" s="523" t="str">
        <x:f>IF(ISBLANK('_SCHEDULE'!C435),"",'_SCHEDULE'!C435)</x:f>
      </x:c>
      <x:c r="D467" s="523" t="str">
        <x:f>IF(ISBLANK('_SCHEDULE'!D435),"",'_SCHEDULE'!D435)</x:f>
      </x:c>
      <x:c r="E467" s="530" t="str">
        <x:f>IF(ISBLANK('_SCHEDULE'!E435),"",'_SCHEDULE'!E435)</x:f>
      </x:c>
      <x:c r="F467" s="530" t="str">
        <x:f>IF(ISBLANK('_SCHEDULE'!F435),"",'_SCHEDULE'!F435)</x:f>
      </x:c>
      <x:c r="G467" s="530" t="str">
        <x:f>IF(ISBLANK('_SCHEDULE'!G435),"",'_SCHEDULE'!G435)</x:f>
      </x:c>
      <x:c r="H467" s="530" t="str">
        <x:f>IF(ISBLANK('_SCHEDULE'!H435),"",'_SCHEDULE'!H435)</x:f>
      </x:c>
      <x:c r="I467" s="530" t="str">
        <x:f>IF(ISBLANK('_SCHEDULE'!I435),"",'_SCHEDULE'!I435)</x:f>
      </x:c>
      <x:c r="J467" s="530" t="str">
        <x:f>IF(ISBLANK('_SCHEDULE'!J435),"",'_SCHEDULE'!J435)</x:f>
      </x:c>
      <x:c r="K467" s="530" t="str">
        <x:f>IF(ISBLANK('_SCHEDULE'!K435),"",'_SCHEDULE'!K435)</x:f>
      </x:c>
      <x:c r="L467" s="530" t="str">
        <x:f>IF(ISBLANK('_SCHEDULE'!L435),"",'_SCHEDULE'!L435)</x:f>
      </x:c>
      <x:c r="M467" s="530" t="str">
        <x:f>IF(ISBLANK('_SCHEDULE'!M435),"",'_SCHEDULE'!M435)</x:f>
      </x:c>
      <x:c r="N467" s="530" t="str">
        <x:f>IF(ISBLANK('_SCHEDULE'!N435),"",'_SCHEDULE'!N435)</x:f>
      </x:c>
      <x:c r="O467" s="530" t="str">
        <x:f>IF(ISBLANK('_SCHEDULE'!O435),"",'_SCHEDULE'!O435)</x:f>
      </x:c>
      <x:c r="P467" s="530" t="str">
        <x:f>IF(ISBLANK('_SCHEDULE'!P435),"",'_SCHEDULE'!P435)</x:f>
      </x:c>
      <x:c r="Q467" s="530" t="str">
        <x:f>IF(ISBLANK('_SCHEDULE'!Q435),"",'_SCHEDULE'!Q435)</x:f>
      </x:c>
      <x:c r="R467" s="530" t="str">
        <x:f>IF(ISBLANK('_SCHEDULE'!R435),"",'_SCHEDULE'!R435)</x:f>
      </x:c>
      <x:c r="S467" s="523" t="str">
        <x:f>IF(ISBLANK('_SCHEDULE'!S435),"",'_SCHEDULE'!S435)</x:f>
      </x:c>
      <x:c r="T467" s="38"/>
      <x:c r="U467" s="38"/>
      <x:c r="V467" s="38"/>
      <x:c r="W467" s="38"/>
      <x:c r="X467" s="38"/>
      <x:c r="Y467" s="38"/>
      <x:c r="Z467" s="38"/>
      <x:c r="AA467" s="38"/>
      <x:c r="AB467" s="38"/>
      <x:c r="AC467" s="38"/>
      <x:c r="AD467" s="38"/>
      <x:c r="AE467" s="38"/>
      <x:c r="AF467" s="38"/>
      <x:c r="AG467" s="38"/>
      <x:c r="AH467" s="38"/>
      <x:c r="AI467" s="38"/>
      <x:c r="AJ467" s="38"/>
      <x:c r="AK467" s="38"/>
      <x:c r="AL467" s="38"/>
      <x:c r="AM467" s="38"/>
    </x:row>
    <x:row r="468">
      <x:c r="A468" s="523" t="str">
        <x:f>IF(ISBLANK('_SCHEDULE'!A436),"",'_SCHEDULE'!A436)</x:f>
      </x:c>
      <x:c r="B468" s="523" t="str">
        <x:f>IF(ISBLANK('_SCHEDULE'!B436),"",IF('_CONFIG'!$B$2="pt-BR",IF('_SCHEDULE'!B436="scheduled","programado",IF('_SCHEDULE'!B436="rejected","rejeitado",'_SCHEDULE'!B436)),'_SCHEDULE'!B436))</x:f>
      </x:c>
      <x:c r="C468" s="523" t="str">
        <x:f>IF(ISBLANK('_SCHEDULE'!C436),"",'_SCHEDULE'!C436)</x:f>
      </x:c>
      <x:c r="D468" s="523" t="str">
        <x:f>IF(ISBLANK('_SCHEDULE'!D436),"",'_SCHEDULE'!D436)</x:f>
      </x:c>
      <x:c r="E468" s="530" t="str">
        <x:f>IF(ISBLANK('_SCHEDULE'!E436),"",'_SCHEDULE'!E436)</x:f>
      </x:c>
      <x:c r="F468" s="530" t="str">
        <x:f>IF(ISBLANK('_SCHEDULE'!F436),"",'_SCHEDULE'!F436)</x:f>
      </x:c>
      <x:c r="G468" s="530" t="str">
        <x:f>IF(ISBLANK('_SCHEDULE'!G436),"",'_SCHEDULE'!G436)</x:f>
      </x:c>
      <x:c r="H468" s="530" t="str">
        <x:f>IF(ISBLANK('_SCHEDULE'!H436),"",'_SCHEDULE'!H436)</x:f>
      </x:c>
      <x:c r="I468" s="530" t="str">
        <x:f>IF(ISBLANK('_SCHEDULE'!I436),"",'_SCHEDULE'!I436)</x:f>
      </x:c>
      <x:c r="J468" s="530" t="str">
        <x:f>IF(ISBLANK('_SCHEDULE'!J436),"",'_SCHEDULE'!J436)</x:f>
      </x:c>
      <x:c r="K468" s="530" t="str">
        <x:f>IF(ISBLANK('_SCHEDULE'!K436),"",'_SCHEDULE'!K436)</x:f>
      </x:c>
      <x:c r="L468" s="530" t="str">
        <x:f>IF(ISBLANK('_SCHEDULE'!L436),"",'_SCHEDULE'!L436)</x:f>
      </x:c>
      <x:c r="M468" s="530" t="str">
        <x:f>IF(ISBLANK('_SCHEDULE'!M436),"",'_SCHEDULE'!M436)</x:f>
      </x:c>
      <x:c r="N468" s="530" t="str">
        <x:f>IF(ISBLANK('_SCHEDULE'!N436),"",'_SCHEDULE'!N436)</x:f>
      </x:c>
      <x:c r="O468" s="530" t="str">
        <x:f>IF(ISBLANK('_SCHEDULE'!O436),"",'_SCHEDULE'!O436)</x:f>
      </x:c>
      <x:c r="P468" s="530" t="str">
        <x:f>IF(ISBLANK('_SCHEDULE'!P436),"",'_SCHEDULE'!P436)</x:f>
      </x:c>
      <x:c r="Q468" s="530" t="str">
        <x:f>IF(ISBLANK('_SCHEDULE'!Q436),"",'_SCHEDULE'!Q436)</x:f>
      </x:c>
      <x:c r="R468" s="530" t="str">
        <x:f>IF(ISBLANK('_SCHEDULE'!R436),"",'_SCHEDULE'!R436)</x:f>
      </x:c>
      <x:c r="S468" s="523" t="str">
        <x:f>IF(ISBLANK('_SCHEDULE'!S436),"",'_SCHEDULE'!S436)</x:f>
      </x:c>
      <x:c r="T468" s="38"/>
      <x:c r="U468" s="38"/>
      <x:c r="V468" s="38"/>
      <x:c r="W468" s="38"/>
      <x:c r="X468" s="38"/>
      <x:c r="Y468" s="38"/>
      <x:c r="Z468" s="38"/>
      <x:c r="AA468" s="38"/>
      <x:c r="AB468" s="38"/>
      <x:c r="AC468" s="38"/>
      <x:c r="AD468" s="38"/>
      <x:c r="AE468" s="38"/>
      <x:c r="AF468" s="38"/>
      <x:c r="AG468" s="38"/>
      <x:c r="AH468" s="38"/>
      <x:c r="AI468" s="38"/>
      <x:c r="AJ468" s="38"/>
      <x:c r="AK468" s="38"/>
      <x:c r="AL468" s="38"/>
      <x:c r="AM468" s="38"/>
    </x:row>
    <x:row r="469">
      <x:c r="A469" s="523" t="str">
        <x:f>IF(ISBLANK('_SCHEDULE'!A437),"",'_SCHEDULE'!A437)</x:f>
      </x:c>
      <x:c r="B469" s="523" t="str">
        <x:f>IF(ISBLANK('_SCHEDULE'!B437),"",IF('_CONFIG'!$B$2="pt-BR",IF('_SCHEDULE'!B437="scheduled","programado",IF('_SCHEDULE'!B437="rejected","rejeitado",'_SCHEDULE'!B437)),'_SCHEDULE'!B437))</x:f>
      </x:c>
      <x:c r="C469" s="523" t="str">
        <x:f>IF(ISBLANK('_SCHEDULE'!C437),"",'_SCHEDULE'!C437)</x:f>
      </x:c>
      <x:c r="D469" s="523" t="str">
        <x:f>IF(ISBLANK('_SCHEDULE'!D437),"",'_SCHEDULE'!D437)</x:f>
      </x:c>
      <x:c r="E469" s="530" t="str">
        <x:f>IF(ISBLANK('_SCHEDULE'!E437),"",'_SCHEDULE'!E437)</x:f>
      </x:c>
      <x:c r="F469" s="530" t="str">
        <x:f>IF(ISBLANK('_SCHEDULE'!F437),"",'_SCHEDULE'!F437)</x:f>
      </x:c>
      <x:c r="G469" s="530" t="str">
        <x:f>IF(ISBLANK('_SCHEDULE'!G437),"",'_SCHEDULE'!G437)</x:f>
      </x:c>
      <x:c r="H469" s="530" t="str">
        <x:f>IF(ISBLANK('_SCHEDULE'!H437),"",'_SCHEDULE'!H437)</x:f>
      </x:c>
      <x:c r="I469" s="530" t="str">
        <x:f>IF(ISBLANK('_SCHEDULE'!I437),"",'_SCHEDULE'!I437)</x:f>
      </x:c>
      <x:c r="J469" s="530" t="str">
        <x:f>IF(ISBLANK('_SCHEDULE'!J437),"",'_SCHEDULE'!J437)</x:f>
      </x:c>
      <x:c r="K469" s="530" t="str">
        <x:f>IF(ISBLANK('_SCHEDULE'!K437),"",'_SCHEDULE'!K437)</x:f>
      </x:c>
      <x:c r="L469" s="530" t="str">
        <x:f>IF(ISBLANK('_SCHEDULE'!L437),"",'_SCHEDULE'!L437)</x:f>
      </x:c>
      <x:c r="M469" s="530" t="str">
        <x:f>IF(ISBLANK('_SCHEDULE'!M437),"",'_SCHEDULE'!M437)</x:f>
      </x:c>
      <x:c r="N469" s="530" t="str">
        <x:f>IF(ISBLANK('_SCHEDULE'!N437),"",'_SCHEDULE'!N437)</x:f>
      </x:c>
      <x:c r="O469" s="530" t="str">
        <x:f>IF(ISBLANK('_SCHEDULE'!O437),"",'_SCHEDULE'!O437)</x:f>
      </x:c>
      <x:c r="P469" s="530" t="str">
        <x:f>IF(ISBLANK('_SCHEDULE'!P437),"",'_SCHEDULE'!P437)</x:f>
      </x:c>
      <x:c r="Q469" s="530" t="str">
        <x:f>IF(ISBLANK('_SCHEDULE'!Q437),"",'_SCHEDULE'!Q437)</x:f>
      </x:c>
      <x:c r="R469" s="530" t="str">
        <x:f>IF(ISBLANK('_SCHEDULE'!R437),"",'_SCHEDULE'!R437)</x:f>
      </x:c>
      <x:c r="S469" s="523" t="str">
        <x:f>IF(ISBLANK('_SCHEDULE'!S437),"",'_SCHEDULE'!S437)</x:f>
      </x:c>
      <x:c r="T469" s="38"/>
      <x:c r="U469" s="38"/>
      <x:c r="V469" s="38"/>
      <x:c r="W469" s="38"/>
      <x:c r="X469" s="38"/>
      <x:c r="Y469" s="38"/>
      <x:c r="Z469" s="38"/>
      <x:c r="AA469" s="38"/>
      <x:c r="AB469" s="38"/>
      <x:c r="AC469" s="38"/>
      <x:c r="AD469" s="38"/>
      <x:c r="AE469" s="38"/>
      <x:c r="AF469" s="38"/>
      <x:c r="AG469" s="38"/>
      <x:c r="AH469" s="38"/>
      <x:c r="AI469" s="38"/>
      <x:c r="AJ469" s="38"/>
      <x:c r="AK469" s="38"/>
      <x:c r="AL469" s="38"/>
      <x:c r="AM469" s="38"/>
    </x:row>
    <x:row r="470">
      <x:c r="A470" s="523" t="str">
        <x:f>IF(ISBLANK('_SCHEDULE'!A438),"",'_SCHEDULE'!A438)</x:f>
      </x:c>
      <x:c r="B470" s="523" t="str">
        <x:f>IF(ISBLANK('_SCHEDULE'!B438),"",IF('_CONFIG'!$B$2="pt-BR",IF('_SCHEDULE'!B438="scheduled","programado",IF('_SCHEDULE'!B438="rejected","rejeitado",'_SCHEDULE'!B438)),'_SCHEDULE'!B438))</x:f>
      </x:c>
      <x:c r="C470" s="523" t="str">
        <x:f>IF(ISBLANK('_SCHEDULE'!C438),"",'_SCHEDULE'!C438)</x:f>
      </x:c>
      <x:c r="D470" s="523" t="str">
        <x:f>IF(ISBLANK('_SCHEDULE'!D438),"",'_SCHEDULE'!D438)</x:f>
      </x:c>
      <x:c r="E470" s="530" t="str">
        <x:f>IF(ISBLANK('_SCHEDULE'!E438),"",'_SCHEDULE'!E438)</x:f>
      </x:c>
      <x:c r="F470" s="530" t="str">
        <x:f>IF(ISBLANK('_SCHEDULE'!F438),"",'_SCHEDULE'!F438)</x:f>
      </x:c>
      <x:c r="G470" s="530" t="str">
        <x:f>IF(ISBLANK('_SCHEDULE'!G438),"",'_SCHEDULE'!G438)</x:f>
      </x:c>
      <x:c r="H470" s="530" t="str">
        <x:f>IF(ISBLANK('_SCHEDULE'!H438),"",'_SCHEDULE'!H438)</x:f>
      </x:c>
      <x:c r="I470" s="530" t="str">
        <x:f>IF(ISBLANK('_SCHEDULE'!I438),"",'_SCHEDULE'!I438)</x:f>
      </x:c>
      <x:c r="J470" s="530" t="str">
        <x:f>IF(ISBLANK('_SCHEDULE'!J438),"",'_SCHEDULE'!J438)</x:f>
      </x:c>
      <x:c r="K470" s="530" t="str">
        <x:f>IF(ISBLANK('_SCHEDULE'!K438),"",'_SCHEDULE'!K438)</x:f>
      </x:c>
      <x:c r="L470" s="530" t="str">
        <x:f>IF(ISBLANK('_SCHEDULE'!L438),"",'_SCHEDULE'!L438)</x:f>
      </x:c>
      <x:c r="M470" s="530" t="str">
        <x:f>IF(ISBLANK('_SCHEDULE'!M438),"",'_SCHEDULE'!M438)</x:f>
      </x:c>
      <x:c r="N470" s="530" t="str">
        <x:f>IF(ISBLANK('_SCHEDULE'!N438),"",'_SCHEDULE'!N438)</x:f>
      </x:c>
      <x:c r="O470" s="530" t="str">
        <x:f>IF(ISBLANK('_SCHEDULE'!O438),"",'_SCHEDULE'!O438)</x:f>
      </x:c>
      <x:c r="P470" s="530" t="str">
        <x:f>IF(ISBLANK('_SCHEDULE'!P438),"",'_SCHEDULE'!P438)</x:f>
      </x:c>
      <x:c r="Q470" s="530" t="str">
        <x:f>IF(ISBLANK('_SCHEDULE'!Q438),"",'_SCHEDULE'!Q438)</x:f>
      </x:c>
      <x:c r="R470" s="530" t="str">
        <x:f>IF(ISBLANK('_SCHEDULE'!R438),"",'_SCHEDULE'!R438)</x:f>
      </x:c>
      <x:c r="S470" s="523" t="str">
        <x:f>IF(ISBLANK('_SCHEDULE'!S438),"",'_SCHEDULE'!S438)</x:f>
      </x:c>
      <x:c r="T470" s="38"/>
      <x:c r="U470" s="38"/>
      <x:c r="V470" s="38"/>
      <x:c r="W470" s="38"/>
      <x:c r="X470" s="38"/>
      <x:c r="Y470" s="38"/>
      <x:c r="Z470" s="38"/>
      <x:c r="AA470" s="38"/>
      <x:c r="AB470" s="38"/>
      <x:c r="AC470" s="38"/>
      <x:c r="AD470" s="38"/>
      <x:c r="AE470" s="38"/>
      <x:c r="AF470" s="38"/>
      <x:c r="AG470" s="38"/>
      <x:c r="AH470" s="38"/>
      <x:c r="AI470" s="38"/>
      <x:c r="AJ470" s="38"/>
      <x:c r="AK470" s="38"/>
      <x:c r="AL470" s="38"/>
      <x:c r="AM470" s="38"/>
    </x:row>
    <x:row r="471">
      <x:c r="A471" s="523" t="str">
        <x:f>IF(ISBLANK('_SCHEDULE'!A439),"",'_SCHEDULE'!A439)</x:f>
      </x:c>
      <x:c r="B471" s="523" t="str">
        <x:f>IF(ISBLANK('_SCHEDULE'!B439),"",IF('_CONFIG'!$B$2="pt-BR",IF('_SCHEDULE'!B439="scheduled","programado",IF('_SCHEDULE'!B439="rejected","rejeitado",'_SCHEDULE'!B439)),'_SCHEDULE'!B439))</x:f>
      </x:c>
      <x:c r="C471" s="523" t="str">
        <x:f>IF(ISBLANK('_SCHEDULE'!C439),"",'_SCHEDULE'!C439)</x:f>
      </x:c>
      <x:c r="D471" s="523" t="str">
        <x:f>IF(ISBLANK('_SCHEDULE'!D439),"",'_SCHEDULE'!D439)</x:f>
      </x:c>
      <x:c r="E471" s="530" t="str">
        <x:f>IF(ISBLANK('_SCHEDULE'!E439),"",'_SCHEDULE'!E439)</x:f>
      </x:c>
      <x:c r="F471" s="530" t="str">
        <x:f>IF(ISBLANK('_SCHEDULE'!F439),"",'_SCHEDULE'!F439)</x:f>
      </x:c>
      <x:c r="G471" s="530" t="str">
        <x:f>IF(ISBLANK('_SCHEDULE'!G439),"",'_SCHEDULE'!G439)</x:f>
      </x:c>
      <x:c r="H471" s="530" t="str">
        <x:f>IF(ISBLANK('_SCHEDULE'!H439),"",'_SCHEDULE'!H439)</x:f>
      </x:c>
      <x:c r="I471" s="530" t="str">
        <x:f>IF(ISBLANK('_SCHEDULE'!I439),"",'_SCHEDULE'!I439)</x:f>
      </x:c>
      <x:c r="J471" s="530" t="str">
        <x:f>IF(ISBLANK('_SCHEDULE'!J439),"",'_SCHEDULE'!J439)</x:f>
      </x:c>
      <x:c r="K471" s="530" t="str">
        <x:f>IF(ISBLANK('_SCHEDULE'!K439),"",'_SCHEDULE'!K439)</x:f>
      </x:c>
      <x:c r="L471" s="530" t="str">
        <x:f>IF(ISBLANK('_SCHEDULE'!L439),"",'_SCHEDULE'!L439)</x:f>
      </x:c>
      <x:c r="M471" s="530" t="str">
        <x:f>IF(ISBLANK('_SCHEDULE'!M439),"",'_SCHEDULE'!M439)</x:f>
      </x:c>
      <x:c r="N471" s="530" t="str">
        <x:f>IF(ISBLANK('_SCHEDULE'!N439),"",'_SCHEDULE'!N439)</x:f>
      </x:c>
      <x:c r="O471" s="530" t="str">
        <x:f>IF(ISBLANK('_SCHEDULE'!O439),"",'_SCHEDULE'!O439)</x:f>
      </x:c>
      <x:c r="P471" s="530" t="str">
        <x:f>IF(ISBLANK('_SCHEDULE'!P439),"",'_SCHEDULE'!P439)</x:f>
      </x:c>
      <x:c r="Q471" s="530" t="str">
        <x:f>IF(ISBLANK('_SCHEDULE'!Q439),"",'_SCHEDULE'!Q439)</x:f>
      </x:c>
      <x:c r="R471" s="530" t="str">
        <x:f>IF(ISBLANK('_SCHEDULE'!R439),"",'_SCHEDULE'!R439)</x:f>
      </x:c>
      <x:c r="S471" s="523" t="str">
        <x:f>IF(ISBLANK('_SCHEDULE'!S439),"",'_SCHEDULE'!S439)</x:f>
      </x:c>
      <x:c r="T471" s="38"/>
      <x:c r="U471" s="38"/>
      <x:c r="V471" s="38"/>
      <x:c r="W471" s="38"/>
      <x:c r="X471" s="38"/>
      <x:c r="Y471" s="38"/>
      <x:c r="Z471" s="38"/>
      <x:c r="AA471" s="38"/>
      <x:c r="AB471" s="38"/>
      <x:c r="AC471" s="38"/>
      <x:c r="AD471" s="38"/>
      <x:c r="AE471" s="38"/>
      <x:c r="AF471" s="38"/>
      <x:c r="AG471" s="38"/>
      <x:c r="AH471" s="38"/>
      <x:c r="AI471" s="38"/>
      <x:c r="AJ471" s="38"/>
      <x:c r="AK471" s="38"/>
      <x:c r="AL471" s="38"/>
      <x:c r="AM471" s="38"/>
    </x:row>
    <x:row r="472">
      <x:c r="A472" s="523" t="str">
        <x:f>IF(ISBLANK('_SCHEDULE'!A440),"",'_SCHEDULE'!A440)</x:f>
      </x:c>
      <x:c r="B472" s="523" t="str">
        <x:f>IF(ISBLANK('_SCHEDULE'!B440),"",IF('_CONFIG'!$B$2="pt-BR",IF('_SCHEDULE'!B440="scheduled","programado",IF('_SCHEDULE'!B440="rejected","rejeitado",'_SCHEDULE'!B440)),'_SCHEDULE'!B440))</x:f>
      </x:c>
      <x:c r="C472" s="523" t="str">
        <x:f>IF(ISBLANK('_SCHEDULE'!C440),"",'_SCHEDULE'!C440)</x:f>
      </x:c>
      <x:c r="D472" s="523" t="str">
        <x:f>IF(ISBLANK('_SCHEDULE'!D440),"",'_SCHEDULE'!D440)</x:f>
      </x:c>
      <x:c r="E472" s="530" t="str">
        <x:f>IF(ISBLANK('_SCHEDULE'!E440),"",'_SCHEDULE'!E440)</x:f>
      </x:c>
      <x:c r="F472" s="530" t="str">
        <x:f>IF(ISBLANK('_SCHEDULE'!F440),"",'_SCHEDULE'!F440)</x:f>
      </x:c>
      <x:c r="G472" s="530" t="str">
        <x:f>IF(ISBLANK('_SCHEDULE'!G440),"",'_SCHEDULE'!G440)</x:f>
      </x:c>
      <x:c r="H472" s="530" t="str">
        <x:f>IF(ISBLANK('_SCHEDULE'!H440),"",'_SCHEDULE'!H440)</x:f>
      </x:c>
      <x:c r="I472" s="530" t="str">
        <x:f>IF(ISBLANK('_SCHEDULE'!I440),"",'_SCHEDULE'!I440)</x:f>
      </x:c>
      <x:c r="J472" s="530" t="str">
        <x:f>IF(ISBLANK('_SCHEDULE'!J440),"",'_SCHEDULE'!J440)</x:f>
      </x:c>
      <x:c r="K472" s="530" t="str">
        <x:f>IF(ISBLANK('_SCHEDULE'!K440),"",'_SCHEDULE'!K440)</x:f>
      </x:c>
      <x:c r="L472" s="530" t="str">
        <x:f>IF(ISBLANK('_SCHEDULE'!L440),"",'_SCHEDULE'!L440)</x:f>
      </x:c>
      <x:c r="M472" s="530" t="str">
        <x:f>IF(ISBLANK('_SCHEDULE'!M440),"",'_SCHEDULE'!M440)</x:f>
      </x:c>
      <x:c r="N472" s="530" t="str">
        <x:f>IF(ISBLANK('_SCHEDULE'!N440),"",'_SCHEDULE'!N440)</x:f>
      </x:c>
      <x:c r="O472" s="530" t="str">
        <x:f>IF(ISBLANK('_SCHEDULE'!O440),"",'_SCHEDULE'!O440)</x:f>
      </x:c>
      <x:c r="P472" s="530" t="str">
        <x:f>IF(ISBLANK('_SCHEDULE'!P440),"",'_SCHEDULE'!P440)</x:f>
      </x:c>
      <x:c r="Q472" s="530" t="str">
        <x:f>IF(ISBLANK('_SCHEDULE'!Q440),"",'_SCHEDULE'!Q440)</x:f>
      </x:c>
      <x:c r="R472" s="530" t="str">
        <x:f>IF(ISBLANK('_SCHEDULE'!R440),"",'_SCHEDULE'!R440)</x:f>
      </x:c>
      <x:c r="S472" s="523" t="str">
        <x:f>IF(ISBLANK('_SCHEDULE'!S440),"",'_SCHEDULE'!S440)</x:f>
      </x:c>
      <x:c r="T472" s="38"/>
      <x:c r="U472" s="38"/>
      <x:c r="V472" s="38"/>
      <x:c r="W472" s="38"/>
      <x:c r="X472" s="38"/>
      <x:c r="Y472" s="38"/>
      <x:c r="Z472" s="38"/>
      <x:c r="AA472" s="38"/>
      <x:c r="AB472" s="38"/>
      <x:c r="AC472" s="38"/>
      <x:c r="AD472" s="38"/>
      <x:c r="AE472" s="38"/>
      <x:c r="AF472" s="38"/>
      <x:c r="AG472" s="38"/>
      <x:c r="AH472" s="38"/>
      <x:c r="AI472" s="38"/>
      <x:c r="AJ472" s="38"/>
      <x:c r="AK472" s="38"/>
      <x:c r="AL472" s="38"/>
      <x:c r="AM472" s="38"/>
    </x:row>
    <x:row r="473">
      <x:c r="A473" s="523" t="str">
        <x:f>IF(ISBLANK('_SCHEDULE'!A441),"",'_SCHEDULE'!A441)</x:f>
      </x:c>
      <x:c r="B473" s="523" t="str">
        <x:f>IF(ISBLANK('_SCHEDULE'!B441),"",IF('_CONFIG'!$B$2="pt-BR",IF('_SCHEDULE'!B441="scheduled","programado",IF('_SCHEDULE'!B441="rejected","rejeitado",'_SCHEDULE'!B441)),'_SCHEDULE'!B441))</x:f>
      </x:c>
      <x:c r="C473" s="523" t="str">
        <x:f>IF(ISBLANK('_SCHEDULE'!C441),"",'_SCHEDULE'!C441)</x:f>
      </x:c>
      <x:c r="D473" s="523" t="str">
        <x:f>IF(ISBLANK('_SCHEDULE'!D441),"",'_SCHEDULE'!D441)</x:f>
      </x:c>
      <x:c r="E473" s="530" t="str">
        <x:f>IF(ISBLANK('_SCHEDULE'!E441),"",'_SCHEDULE'!E441)</x:f>
      </x:c>
      <x:c r="F473" s="530" t="str">
        <x:f>IF(ISBLANK('_SCHEDULE'!F441),"",'_SCHEDULE'!F441)</x:f>
      </x:c>
      <x:c r="G473" s="530" t="str">
        <x:f>IF(ISBLANK('_SCHEDULE'!G441),"",'_SCHEDULE'!G441)</x:f>
      </x:c>
      <x:c r="H473" s="530" t="str">
        <x:f>IF(ISBLANK('_SCHEDULE'!H441),"",'_SCHEDULE'!H441)</x:f>
      </x:c>
      <x:c r="I473" s="530" t="str">
        <x:f>IF(ISBLANK('_SCHEDULE'!I441),"",'_SCHEDULE'!I441)</x:f>
      </x:c>
      <x:c r="J473" s="530" t="str">
        <x:f>IF(ISBLANK('_SCHEDULE'!J441),"",'_SCHEDULE'!J441)</x:f>
      </x:c>
      <x:c r="K473" s="530" t="str">
        <x:f>IF(ISBLANK('_SCHEDULE'!K441),"",'_SCHEDULE'!K441)</x:f>
      </x:c>
      <x:c r="L473" s="530" t="str">
        <x:f>IF(ISBLANK('_SCHEDULE'!L441),"",'_SCHEDULE'!L441)</x:f>
      </x:c>
      <x:c r="M473" s="530" t="str">
        <x:f>IF(ISBLANK('_SCHEDULE'!M441),"",'_SCHEDULE'!M441)</x:f>
      </x:c>
      <x:c r="N473" s="530" t="str">
        <x:f>IF(ISBLANK('_SCHEDULE'!N441),"",'_SCHEDULE'!N441)</x:f>
      </x:c>
      <x:c r="O473" s="530" t="str">
        <x:f>IF(ISBLANK('_SCHEDULE'!O441),"",'_SCHEDULE'!O441)</x:f>
      </x:c>
      <x:c r="P473" s="530" t="str">
        <x:f>IF(ISBLANK('_SCHEDULE'!P441),"",'_SCHEDULE'!P441)</x:f>
      </x:c>
      <x:c r="Q473" s="530" t="str">
        <x:f>IF(ISBLANK('_SCHEDULE'!Q441),"",'_SCHEDULE'!Q441)</x:f>
      </x:c>
      <x:c r="R473" s="530" t="str">
        <x:f>IF(ISBLANK('_SCHEDULE'!R441),"",'_SCHEDULE'!R441)</x:f>
      </x:c>
      <x:c r="S473" s="523" t="str">
        <x:f>IF(ISBLANK('_SCHEDULE'!S441),"",'_SCHEDULE'!S441)</x:f>
      </x:c>
      <x:c r="T473" s="38"/>
      <x:c r="U473" s="38"/>
      <x:c r="V473" s="38"/>
      <x:c r="W473" s="38"/>
      <x:c r="X473" s="38"/>
      <x:c r="Y473" s="38"/>
      <x:c r="Z473" s="38"/>
      <x:c r="AA473" s="38"/>
      <x:c r="AB473" s="38"/>
      <x:c r="AC473" s="38"/>
      <x:c r="AD473" s="38"/>
      <x:c r="AE473" s="38"/>
      <x:c r="AF473" s="38"/>
      <x:c r="AG473" s="38"/>
      <x:c r="AH473" s="38"/>
      <x:c r="AI473" s="38"/>
      <x:c r="AJ473" s="38"/>
      <x:c r="AK473" s="38"/>
      <x:c r="AL473" s="38"/>
      <x:c r="AM473" s="38"/>
    </x:row>
    <x:row r="474">
      <x:c r="A474" s="523" t="str">
        <x:f>IF(ISBLANK('_SCHEDULE'!A442),"",'_SCHEDULE'!A442)</x:f>
      </x:c>
      <x:c r="B474" s="523" t="str">
        <x:f>IF(ISBLANK('_SCHEDULE'!B442),"",IF('_CONFIG'!$B$2="pt-BR",IF('_SCHEDULE'!B442="scheduled","programado",IF('_SCHEDULE'!B442="rejected","rejeitado",'_SCHEDULE'!B442)),'_SCHEDULE'!B442))</x:f>
      </x:c>
      <x:c r="C474" s="523" t="str">
        <x:f>IF(ISBLANK('_SCHEDULE'!C442),"",'_SCHEDULE'!C442)</x:f>
      </x:c>
      <x:c r="D474" s="523" t="str">
        <x:f>IF(ISBLANK('_SCHEDULE'!D442),"",'_SCHEDULE'!D442)</x:f>
      </x:c>
      <x:c r="E474" s="530" t="str">
        <x:f>IF(ISBLANK('_SCHEDULE'!E442),"",'_SCHEDULE'!E442)</x:f>
      </x:c>
      <x:c r="F474" s="530" t="str">
        <x:f>IF(ISBLANK('_SCHEDULE'!F442),"",'_SCHEDULE'!F442)</x:f>
      </x:c>
      <x:c r="G474" s="530" t="str">
        <x:f>IF(ISBLANK('_SCHEDULE'!G442),"",'_SCHEDULE'!G442)</x:f>
      </x:c>
      <x:c r="H474" s="530" t="str">
        <x:f>IF(ISBLANK('_SCHEDULE'!H442),"",'_SCHEDULE'!H442)</x:f>
      </x:c>
      <x:c r="I474" s="530" t="str">
        <x:f>IF(ISBLANK('_SCHEDULE'!I442),"",'_SCHEDULE'!I442)</x:f>
      </x:c>
      <x:c r="J474" s="530" t="str">
        <x:f>IF(ISBLANK('_SCHEDULE'!J442),"",'_SCHEDULE'!J442)</x:f>
      </x:c>
      <x:c r="K474" s="530" t="str">
        <x:f>IF(ISBLANK('_SCHEDULE'!K442),"",'_SCHEDULE'!K442)</x:f>
      </x:c>
      <x:c r="L474" s="530" t="str">
        <x:f>IF(ISBLANK('_SCHEDULE'!L442),"",'_SCHEDULE'!L442)</x:f>
      </x:c>
      <x:c r="M474" s="530" t="str">
        <x:f>IF(ISBLANK('_SCHEDULE'!M442),"",'_SCHEDULE'!M442)</x:f>
      </x:c>
      <x:c r="N474" s="530" t="str">
        <x:f>IF(ISBLANK('_SCHEDULE'!N442),"",'_SCHEDULE'!N442)</x:f>
      </x:c>
      <x:c r="O474" s="530" t="str">
        <x:f>IF(ISBLANK('_SCHEDULE'!O442),"",'_SCHEDULE'!O442)</x:f>
      </x:c>
      <x:c r="P474" s="530" t="str">
        <x:f>IF(ISBLANK('_SCHEDULE'!P442),"",'_SCHEDULE'!P442)</x:f>
      </x:c>
      <x:c r="Q474" s="530" t="str">
        <x:f>IF(ISBLANK('_SCHEDULE'!Q442),"",'_SCHEDULE'!Q442)</x:f>
      </x:c>
      <x:c r="R474" s="530" t="str">
        <x:f>IF(ISBLANK('_SCHEDULE'!R442),"",'_SCHEDULE'!R442)</x:f>
      </x:c>
      <x:c r="S474" s="523" t="str">
        <x:f>IF(ISBLANK('_SCHEDULE'!S442),"",'_SCHEDULE'!S442)</x:f>
      </x:c>
      <x:c r="T474" s="38"/>
      <x:c r="U474" s="38"/>
      <x:c r="V474" s="38"/>
      <x:c r="W474" s="38"/>
      <x:c r="X474" s="38"/>
      <x:c r="Y474" s="38"/>
      <x:c r="Z474" s="38"/>
      <x:c r="AA474" s="38"/>
      <x:c r="AB474" s="38"/>
      <x:c r="AC474" s="38"/>
      <x:c r="AD474" s="38"/>
      <x:c r="AE474" s="38"/>
      <x:c r="AF474" s="38"/>
      <x:c r="AG474" s="38"/>
      <x:c r="AH474" s="38"/>
      <x:c r="AI474" s="38"/>
      <x:c r="AJ474" s="38"/>
      <x:c r="AK474" s="38"/>
      <x:c r="AL474" s="38"/>
      <x:c r="AM474" s="38"/>
    </x:row>
    <x:row r="475">
      <x:c r="A475" s="523" t="str">
        <x:f>IF(ISBLANK('_SCHEDULE'!A443),"",'_SCHEDULE'!A443)</x:f>
      </x:c>
      <x:c r="B475" s="523" t="str">
        <x:f>IF(ISBLANK('_SCHEDULE'!B443),"",IF('_CONFIG'!$B$2="pt-BR",IF('_SCHEDULE'!B443="scheduled","programado",IF('_SCHEDULE'!B443="rejected","rejeitado",'_SCHEDULE'!B443)),'_SCHEDULE'!B443))</x:f>
      </x:c>
      <x:c r="C475" s="523" t="str">
        <x:f>IF(ISBLANK('_SCHEDULE'!C443),"",'_SCHEDULE'!C443)</x:f>
      </x:c>
      <x:c r="D475" s="523" t="str">
        <x:f>IF(ISBLANK('_SCHEDULE'!D443),"",'_SCHEDULE'!D443)</x:f>
      </x:c>
      <x:c r="E475" s="530" t="str">
        <x:f>IF(ISBLANK('_SCHEDULE'!E443),"",'_SCHEDULE'!E443)</x:f>
      </x:c>
      <x:c r="F475" s="530" t="str">
        <x:f>IF(ISBLANK('_SCHEDULE'!F443),"",'_SCHEDULE'!F443)</x:f>
      </x:c>
      <x:c r="G475" s="530" t="str">
        <x:f>IF(ISBLANK('_SCHEDULE'!G443),"",'_SCHEDULE'!G443)</x:f>
      </x:c>
      <x:c r="H475" s="530" t="str">
        <x:f>IF(ISBLANK('_SCHEDULE'!H443),"",'_SCHEDULE'!H443)</x:f>
      </x:c>
      <x:c r="I475" s="530" t="str">
        <x:f>IF(ISBLANK('_SCHEDULE'!I443),"",'_SCHEDULE'!I443)</x:f>
      </x:c>
      <x:c r="J475" s="530" t="str">
        <x:f>IF(ISBLANK('_SCHEDULE'!J443),"",'_SCHEDULE'!J443)</x:f>
      </x:c>
      <x:c r="K475" s="530" t="str">
        <x:f>IF(ISBLANK('_SCHEDULE'!K443),"",'_SCHEDULE'!K443)</x:f>
      </x:c>
      <x:c r="L475" s="530" t="str">
        <x:f>IF(ISBLANK('_SCHEDULE'!L443),"",'_SCHEDULE'!L443)</x:f>
      </x:c>
      <x:c r="M475" s="530" t="str">
        <x:f>IF(ISBLANK('_SCHEDULE'!M443),"",'_SCHEDULE'!M443)</x:f>
      </x:c>
      <x:c r="N475" s="530" t="str">
        <x:f>IF(ISBLANK('_SCHEDULE'!N443),"",'_SCHEDULE'!N443)</x:f>
      </x:c>
      <x:c r="O475" s="530" t="str">
        <x:f>IF(ISBLANK('_SCHEDULE'!O443),"",'_SCHEDULE'!O443)</x:f>
      </x:c>
      <x:c r="P475" s="530" t="str">
        <x:f>IF(ISBLANK('_SCHEDULE'!P443),"",'_SCHEDULE'!P443)</x:f>
      </x:c>
      <x:c r="Q475" s="530" t="str">
        <x:f>IF(ISBLANK('_SCHEDULE'!Q443),"",'_SCHEDULE'!Q443)</x:f>
      </x:c>
      <x:c r="R475" s="530" t="str">
        <x:f>IF(ISBLANK('_SCHEDULE'!R443),"",'_SCHEDULE'!R443)</x:f>
      </x:c>
      <x:c r="S475" s="523" t="str">
        <x:f>IF(ISBLANK('_SCHEDULE'!S443),"",'_SCHEDULE'!S443)</x:f>
      </x:c>
      <x:c r="T475" s="38"/>
      <x:c r="U475" s="38"/>
      <x:c r="V475" s="38"/>
      <x:c r="W475" s="38"/>
      <x:c r="X475" s="38"/>
      <x:c r="Y475" s="38"/>
      <x:c r="Z475" s="38"/>
      <x:c r="AA475" s="38"/>
      <x:c r="AB475" s="38"/>
      <x:c r="AC475" s="38"/>
      <x:c r="AD475" s="38"/>
      <x:c r="AE475" s="38"/>
      <x:c r="AF475" s="38"/>
      <x:c r="AG475" s="38"/>
      <x:c r="AH475" s="38"/>
      <x:c r="AI475" s="38"/>
      <x:c r="AJ475" s="38"/>
      <x:c r="AK475" s="38"/>
      <x:c r="AL475" s="38"/>
      <x:c r="AM475" s="38"/>
    </x:row>
    <x:row r="476">
      <x:c r="A476" s="523" t="str">
        <x:f>IF(ISBLANK('_SCHEDULE'!A444),"",'_SCHEDULE'!A444)</x:f>
      </x:c>
      <x:c r="B476" s="523" t="str">
        <x:f>IF(ISBLANK('_SCHEDULE'!B444),"",IF('_CONFIG'!$B$2="pt-BR",IF('_SCHEDULE'!B444="scheduled","programado",IF('_SCHEDULE'!B444="rejected","rejeitado",'_SCHEDULE'!B444)),'_SCHEDULE'!B444))</x:f>
      </x:c>
      <x:c r="C476" s="523" t="str">
        <x:f>IF(ISBLANK('_SCHEDULE'!C444),"",'_SCHEDULE'!C444)</x:f>
      </x:c>
      <x:c r="D476" s="523" t="str">
        <x:f>IF(ISBLANK('_SCHEDULE'!D444),"",'_SCHEDULE'!D444)</x:f>
      </x:c>
      <x:c r="E476" s="530" t="str">
        <x:f>IF(ISBLANK('_SCHEDULE'!E444),"",'_SCHEDULE'!E444)</x:f>
      </x:c>
      <x:c r="F476" s="530" t="str">
        <x:f>IF(ISBLANK('_SCHEDULE'!F444),"",'_SCHEDULE'!F444)</x:f>
      </x:c>
      <x:c r="G476" s="530" t="str">
        <x:f>IF(ISBLANK('_SCHEDULE'!G444),"",'_SCHEDULE'!G444)</x:f>
      </x:c>
      <x:c r="H476" s="530" t="str">
        <x:f>IF(ISBLANK('_SCHEDULE'!H444),"",'_SCHEDULE'!H444)</x:f>
      </x:c>
      <x:c r="I476" s="530" t="str">
        <x:f>IF(ISBLANK('_SCHEDULE'!I444),"",'_SCHEDULE'!I444)</x:f>
      </x:c>
      <x:c r="J476" s="530" t="str">
        <x:f>IF(ISBLANK('_SCHEDULE'!J444),"",'_SCHEDULE'!J444)</x:f>
      </x:c>
      <x:c r="K476" s="530" t="str">
        <x:f>IF(ISBLANK('_SCHEDULE'!K444),"",'_SCHEDULE'!K444)</x:f>
      </x:c>
      <x:c r="L476" s="530" t="str">
        <x:f>IF(ISBLANK('_SCHEDULE'!L444),"",'_SCHEDULE'!L444)</x:f>
      </x:c>
      <x:c r="M476" s="530" t="str">
        <x:f>IF(ISBLANK('_SCHEDULE'!M444),"",'_SCHEDULE'!M444)</x:f>
      </x:c>
      <x:c r="N476" s="530" t="str">
        <x:f>IF(ISBLANK('_SCHEDULE'!N444),"",'_SCHEDULE'!N444)</x:f>
      </x:c>
      <x:c r="O476" s="530" t="str">
        <x:f>IF(ISBLANK('_SCHEDULE'!O444),"",'_SCHEDULE'!O444)</x:f>
      </x:c>
      <x:c r="P476" s="530" t="str">
        <x:f>IF(ISBLANK('_SCHEDULE'!P444),"",'_SCHEDULE'!P444)</x:f>
      </x:c>
      <x:c r="Q476" s="530" t="str">
        <x:f>IF(ISBLANK('_SCHEDULE'!Q444),"",'_SCHEDULE'!Q444)</x:f>
      </x:c>
      <x:c r="R476" s="530" t="str">
        <x:f>IF(ISBLANK('_SCHEDULE'!R444),"",'_SCHEDULE'!R444)</x:f>
      </x:c>
      <x:c r="S476" s="523" t="str">
        <x:f>IF(ISBLANK('_SCHEDULE'!S444),"",'_SCHEDULE'!S444)</x:f>
      </x:c>
      <x:c r="T476" s="38"/>
      <x:c r="U476" s="38"/>
      <x:c r="V476" s="38"/>
      <x:c r="W476" s="38"/>
      <x:c r="X476" s="38"/>
      <x:c r="Y476" s="38"/>
      <x:c r="Z476" s="38"/>
      <x:c r="AA476" s="38"/>
      <x:c r="AB476" s="38"/>
      <x:c r="AC476" s="38"/>
      <x:c r="AD476" s="38"/>
      <x:c r="AE476" s="38"/>
      <x:c r="AF476" s="38"/>
      <x:c r="AG476" s="38"/>
      <x:c r="AH476" s="38"/>
      <x:c r="AI476" s="38"/>
      <x:c r="AJ476" s="38"/>
      <x:c r="AK476" s="38"/>
      <x:c r="AL476" s="38"/>
      <x:c r="AM476" s="38"/>
    </x:row>
    <x:row r="477">
      <x:c r="A477" s="523" t="str">
        <x:f>IF(ISBLANK('_SCHEDULE'!A445),"",'_SCHEDULE'!A445)</x:f>
      </x:c>
      <x:c r="B477" s="523" t="str">
        <x:f>IF(ISBLANK('_SCHEDULE'!B445),"",IF('_CONFIG'!$B$2="pt-BR",IF('_SCHEDULE'!B445="scheduled","programado",IF('_SCHEDULE'!B445="rejected","rejeitado",'_SCHEDULE'!B445)),'_SCHEDULE'!B445))</x:f>
      </x:c>
      <x:c r="C477" s="523" t="str">
        <x:f>IF(ISBLANK('_SCHEDULE'!C445),"",'_SCHEDULE'!C445)</x:f>
      </x:c>
      <x:c r="D477" s="523" t="str">
        <x:f>IF(ISBLANK('_SCHEDULE'!D445),"",'_SCHEDULE'!D445)</x:f>
      </x:c>
      <x:c r="E477" s="530" t="str">
        <x:f>IF(ISBLANK('_SCHEDULE'!E445),"",'_SCHEDULE'!E445)</x:f>
      </x:c>
      <x:c r="F477" s="530" t="str">
        <x:f>IF(ISBLANK('_SCHEDULE'!F445),"",'_SCHEDULE'!F445)</x:f>
      </x:c>
      <x:c r="G477" s="530" t="str">
        <x:f>IF(ISBLANK('_SCHEDULE'!G445),"",'_SCHEDULE'!G445)</x:f>
      </x:c>
      <x:c r="H477" s="530" t="str">
        <x:f>IF(ISBLANK('_SCHEDULE'!H445),"",'_SCHEDULE'!H445)</x:f>
      </x:c>
      <x:c r="I477" s="530" t="str">
        <x:f>IF(ISBLANK('_SCHEDULE'!I445),"",'_SCHEDULE'!I445)</x:f>
      </x:c>
      <x:c r="J477" s="530" t="str">
        <x:f>IF(ISBLANK('_SCHEDULE'!J445),"",'_SCHEDULE'!J445)</x:f>
      </x:c>
      <x:c r="K477" s="530" t="str">
        <x:f>IF(ISBLANK('_SCHEDULE'!K445),"",'_SCHEDULE'!K445)</x:f>
      </x:c>
      <x:c r="L477" s="530" t="str">
        <x:f>IF(ISBLANK('_SCHEDULE'!L445),"",'_SCHEDULE'!L445)</x:f>
      </x:c>
      <x:c r="M477" s="530" t="str">
        <x:f>IF(ISBLANK('_SCHEDULE'!M445),"",'_SCHEDULE'!M445)</x:f>
      </x:c>
      <x:c r="N477" s="530" t="str">
        <x:f>IF(ISBLANK('_SCHEDULE'!N445),"",'_SCHEDULE'!N445)</x:f>
      </x:c>
      <x:c r="O477" s="530" t="str">
        <x:f>IF(ISBLANK('_SCHEDULE'!O445),"",'_SCHEDULE'!O445)</x:f>
      </x:c>
      <x:c r="P477" s="530" t="str">
        <x:f>IF(ISBLANK('_SCHEDULE'!P445),"",'_SCHEDULE'!P445)</x:f>
      </x:c>
      <x:c r="Q477" s="530" t="str">
        <x:f>IF(ISBLANK('_SCHEDULE'!Q445),"",'_SCHEDULE'!Q445)</x:f>
      </x:c>
      <x:c r="R477" s="530" t="str">
        <x:f>IF(ISBLANK('_SCHEDULE'!R445),"",'_SCHEDULE'!R445)</x:f>
      </x:c>
      <x:c r="S477" s="523" t="str">
        <x:f>IF(ISBLANK('_SCHEDULE'!S445),"",'_SCHEDULE'!S445)</x:f>
      </x:c>
      <x:c r="T477" s="38"/>
      <x:c r="U477" s="38"/>
      <x:c r="V477" s="38"/>
      <x:c r="W477" s="38"/>
      <x:c r="X477" s="38"/>
      <x:c r="Y477" s="38"/>
      <x:c r="Z477" s="38"/>
      <x:c r="AA477" s="38"/>
      <x:c r="AB477" s="38"/>
      <x:c r="AC477" s="38"/>
      <x:c r="AD477" s="38"/>
      <x:c r="AE477" s="38"/>
      <x:c r="AF477" s="38"/>
      <x:c r="AG477" s="38"/>
      <x:c r="AH477" s="38"/>
      <x:c r="AI477" s="38"/>
      <x:c r="AJ477" s="38"/>
      <x:c r="AK477" s="38"/>
      <x:c r="AL477" s="38"/>
      <x:c r="AM477" s="38"/>
    </x:row>
    <x:row r="478">
      <x:c r="A478" s="523" t="str">
        <x:f>IF(ISBLANK('_SCHEDULE'!A446),"",'_SCHEDULE'!A446)</x:f>
      </x:c>
      <x:c r="B478" s="523" t="str">
        <x:f>IF(ISBLANK('_SCHEDULE'!B446),"",IF('_CONFIG'!$B$2="pt-BR",IF('_SCHEDULE'!B446="scheduled","programado",IF('_SCHEDULE'!B446="rejected","rejeitado",'_SCHEDULE'!B446)),'_SCHEDULE'!B446))</x:f>
      </x:c>
      <x:c r="C478" s="523" t="str">
        <x:f>IF(ISBLANK('_SCHEDULE'!C446),"",'_SCHEDULE'!C446)</x:f>
      </x:c>
      <x:c r="D478" s="523" t="str">
        <x:f>IF(ISBLANK('_SCHEDULE'!D446),"",'_SCHEDULE'!D446)</x:f>
      </x:c>
      <x:c r="E478" s="530" t="str">
        <x:f>IF(ISBLANK('_SCHEDULE'!E446),"",'_SCHEDULE'!E446)</x:f>
      </x:c>
      <x:c r="F478" s="530" t="str">
        <x:f>IF(ISBLANK('_SCHEDULE'!F446),"",'_SCHEDULE'!F446)</x:f>
      </x:c>
      <x:c r="G478" s="530" t="str">
        <x:f>IF(ISBLANK('_SCHEDULE'!G446),"",'_SCHEDULE'!G446)</x:f>
      </x:c>
      <x:c r="H478" s="530" t="str">
        <x:f>IF(ISBLANK('_SCHEDULE'!H446),"",'_SCHEDULE'!H446)</x:f>
      </x:c>
      <x:c r="I478" s="530" t="str">
        <x:f>IF(ISBLANK('_SCHEDULE'!I446),"",'_SCHEDULE'!I446)</x:f>
      </x:c>
      <x:c r="J478" s="530" t="str">
        <x:f>IF(ISBLANK('_SCHEDULE'!J446),"",'_SCHEDULE'!J446)</x:f>
      </x:c>
      <x:c r="K478" s="530" t="str">
        <x:f>IF(ISBLANK('_SCHEDULE'!K446),"",'_SCHEDULE'!K446)</x:f>
      </x:c>
      <x:c r="L478" s="530" t="str">
        <x:f>IF(ISBLANK('_SCHEDULE'!L446),"",'_SCHEDULE'!L446)</x:f>
      </x:c>
      <x:c r="M478" s="530" t="str">
        <x:f>IF(ISBLANK('_SCHEDULE'!M446),"",'_SCHEDULE'!M446)</x:f>
      </x:c>
      <x:c r="N478" s="530" t="str">
        <x:f>IF(ISBLANK('_SCHEDULE'!N446),"",'_SCHEDULE'!N446)</x:f>
      </x:c>
      <x:c r="O478" s="530" t="str">
        <x:f>IF(ISBLANK('_SCHEDULE'!O446),"",'_SCHEDULE'!O446)</x:f>
      </x:c>
      <x:c r="P478" s="530" t="str">
        <x:f>IF(ISBLANK('_SCHEDULE'!P446),"",'_SCHEDULE'!P446)</x:f>
      </x:c>
      <x:c r="Q478" s="530" t="str">
        <x:f>IF(ISBLANK('_SCHEDULE'!Q446),"",'_SCHEDULE'!Q446)</x:f>
      </x:c>
      <x:c r="R478" s="530" t="str">
        <x:f>IF(ISBLANK('_SCHEDULE'!R446),"",'_SCHEDULE'!R446)</x:f>
      </x:c>
      <x:c r="S478" s="523" t="str">
        <x:f>IF(ISBLANK('_SCHEDULE'!S446),"",'_SCHEDULE'!S446)</x:f>
      </x:c>
      <x:c r="T478" s="38"/>
      <x:c r="U478" s="38"/>
      <x:c r="V478" s="38"/>
      <x:c r="W478" s="38"/>
      <x:c r="X478" s="38"/>
      <x:c r="Y478" s="38"/>
      <x:c r="Z478" s="38"/>
      <x:c r="AA478" s="38"/>
      <x:c r="AB478" s="38"/>
      <x:c r="AC478" s="38"/>
      <x:c r="AD478" s="38"/>
      <x:c r="AE478" s="38"/>
      <x:c r="AF478" s="38"/>
      <x:c r="AG478" s="38"/>
      <x:c r="AH478" s="38"/>
      <x:c r="AI478" s="38"/>
      <x:c r="AJ478" s="38"/>
      <x:c r="AK478" s="38"/>
      <x:c r="AL478" s="38"/>
      <x:c r="AM478" s="38"/>
    </x:row>
    <x:row r="479">
      <x:c r="A479" s="523" t="str">
        <x:f>IF(ISBLANK('_SCHEDULE'!A447),"",'_SCHEDULE'!A447)</x:f>
      </x:c>
      <x:c r="B479" s="523" t="str">
        <x:f>IF(ISBLANK('_SCHEDULE'!B447),"",IF('_CONFIG'!$B$2="pt-BR",IF('_SCHEDULE'!B447="scheduled","programado",IF('_SCHEDULE'!B447="rejected","rejeitado",'_SCHEDULE'!B447)),'_SCHEDULE'!B447))</x:f>
      </x:c>
      <x:c r="C479" s="523" t="str">
        <x:f>IF(ISBLANK('_SCHEDULE'!C447),"",'_SCHEDULE'!C447)</x:f>
      </x:c>
      <x:c r="D479" s="523" t="str">
        <x:f>IF(ISBLANK('_SCHEDULE'!D447),"",'_SCHEDULE'!D447)</x:f>
      </x:c>
      <x:c r="E479" s="530" t="str">
        <x:f>IF(ISBLANK('_SCHEDULE'!E447),"",'_SCHEDULE'!E447)</x:f>
      </x:c>
      <x:c r="F479" s="530" t="str">
        <x:f>IF(ISBLANK('_SCHEDULE'!F447),"",'_SCHEDULE'!F447)</x:f>
      </x:c>
      <x:c r="G479" s="530" t="str">
        <x:f>IF(ISBLANK('_SCHEDULE'!G447),"",'_SCHEDULE'!G447)</x:f>
      </x:c>
      <x:c r="H479" s="530" t="str">
        <x:f>IF(ISBLANK('_SCHEDULE'!H447),"",'_SCHEDULE'!H447)</x:f>
      </x:c>
      <x:c r="I479" s="530" t="str">
        <x:f>IF(ISBLANK('_SCHEDULE'!I447),"",'_SCHEDULE'!I447)</x:f>
      </x:c>
      <x:c r="J479" s="530" t="str">
        <x:f>IF(ISBLANK('_SCHEDULE'!J447),"",'_SCHEDULE'!J447)</x:f>
      </x:c>
      <x:c r="K479" s="530" t="str">
        <x:f>IF(ISBLANK('_SCHEDULE'!K447),"",'_SCHEDULE'!K447)</x:f>
      </x:c>
      <x:c r="L479" s="530" t="str">
        <x:f>IF(ISBLANK('_SCHEDULE'!L447),"",'_SCHEDULE'!L447)</x:f>
      </x:c>
      <x:c r="M479" s="530" t="str">
        <x:f>IF(ISBLANK('_SCHEDULE'!M447),"",'_SCHEDULE'!M447)</x:f>
      </x:c>
      <x:c r="N479" s="530" t="str">
        <x:f>IF(ISBLANK('_SCHEDULE'!N447),"",'_SCHEDULE'!N447)</x:f>
      </x:c>
      <x:c r="O479" s="530" t="str">
        <x:f>IF(ISBLANK('_SCHEDULE'!O447),"",'_SCHEDULE'!O447)</x:f>
      </x:c>
      <x:c r="P479" s="530" t="str">
        <x:f>IF(ISBLANK('_SCHEDULE'!P447),"",'_SCHEDULE'!P447)</x:f>
      </x:c>
      <x:c r="Q479" s="530" t="str">
        <x:f>IF(ISBLANK('_SCHEDULE'!Q447),"",'_SCHEDULE'!Q447)</x:f>
      </x:c>
      <x:c r="R479" s="530" t="str">
        <x:f>IF(ISBLANK('_SCHEDULE'!R447),"",'_SCHEDULE'!R447)</x:f>
      </x:c>
      <x:c r="S479" s="523" t="str">
        <x:f>IF(ISBLANK('_SCHEDULE'!S447),"",'_SCHEDULE'!S447)</x:f>
      </x:c>
      <x:c r="T479" s="38"/>
      <x:c r="U479" s="38"/>
      <x:c r="V479" s="38"/>
      <x:c r="W479" s="38"/>
      <x:c r="X479" s="38"/>
      <x:c r="Y479" s="38"/>
      <x:c r="Z479" s="38"/>
      <x:c r="AA479" s="38"/>
      <x:c r="AB479" s="38"/>
      <x:c r="AC479" s="38"/>
      <x:c r="AD479" s="38"/>
      <x:c r="AE479" s="38"/>
      <x:c r="AF479" s="38"/>
      <x:c r="AG479" s="38"/>
      <x:c r="AH479" s="38"/>
      <x:c r="AI479" s="38"/>
      <x:c r="AJ479" s="38"/>
      <x:c r="AK479" s="38"/>
      <x:c r="AL479" s="38"/>
      <x:c r="AM479" s="38"/>
    </x:row>
    <x:row r="480">
      <x:c r="A480" s="523" t="str">
        <x:f>IF(ISBLANK('_SCHEDULE'!A448),"",'_SCHEDULE'!A448)</x:f>
      </x:c>
      <x:c r="B480" s="523" t="str">
        <x:f>IF(ISBLANK('_SCHEDULE'!B448),"",IF('_CONFIG'!$B$2="pt-BR",IF('_SCHEDULE'!B448="scheduled","programado",IF('_SCHEDULE'!B448="rejected","rejeitado",'_SCHEDULE'!B448)),'_SCHEDULE'!B448))</x:f>
      </x:c>
      <x:c r="C480" s="523" t="str">
        <x:f>IF(ISBLANK('_SCHEDULE'!C448),"",'_SCHEDULE'!C448)</x:f>
      </x:c>
      <x:c r="D480" s="523" t="str">
        <x:f>IF(ISBLANK('_SCHEDULE'!D448),"",'_SCHEDULE'!D448)</x:f>
      </x:c>
      <x:c r="E480" s="530" t="str">
        <x:f>IF(ISBLANK('_SCHEDULE'!E448),"",'_SCHEDULE'!E448)</x:f>
      </x:c>
      <x:c r="F480" s="530" t="str">
        <x:f>IF(ISBLANK('_SCHEDULE'!F448),"",'_SCHEDULE'!F448)</x:f>
      </x:c>
      <x:c r="G480" s="530" t="str">
        <x:f>IF(ISBLANK('_SCHEDULE'!G448),"",'_SCHEDULE'!G448)</x:f>
      </x:c>
      <x:c r="H480" s="530" t="str">
        <x:f>IF(ISBLANK('_SCHEDULE'!H448),"",'_SCHEDULE'!H448)</x:f>
      </x:c>
      <x:c r="I480" s="530" t="str">
        <x:f>IF(ISBLANK('_SCHEDULE'!I448),"",'_SCHEDULE'!I448)</x:f>
      </x:c>
      <x:c r="J480" s="530" t="str">
        <x:f>IF(ISBLANK('_SCHEDULE'!J448),"",'_SCHEDULE'!J448)</x:f>
      </x:c>
      <x:c r="K480" s="530" t="str">
        <x:f>IF(ISBLANK('_SCHEDULE'!K448),"",'_SCHEDULE'!K448)</x:f>
      </x:c>
      <x:c r="L480" s="530" t="str">
        <x:f>IF(ISBLANK('_SCHEDULE'!L448),"",'_SCHEDULE'!L448)</x:f>
      </x:c>
      <x:c r="M480" s="530" t="str">
        <x:f>IF(ISBLANK('_SCHEDULE'!M448),"",'_SCHEDULE'!M448)</x:f>
      </x:c>
      <x:c r="N480" s="530" t="str">
        <x:f>IF(ISBLANK('_SCHEDULE'!N448),"",'_SCHEDULE'!N448)</x:f>
      </x:c>
      <x:c r="O480" s="530" t="str">
        <x:f>IF(ISBLANK('_SCHEDULE'!O448),"",'_SCHEDULE'!O448)</x:f>
      </x:c>
      <x:c r="P480" s="530" t="str">
        <x:f>IF(ISBLANK('_SCHEDULE'!P448),"",'_SCHEDULE'!P448)</x:f>
      </x:c>
      <x:c r="Q480" s="530" t="str">
        <x:f>IF(ISBLANK('_SCHEDULE'!Q448),"",'_SCHEDULE'!Q448)</x:f>
      </x:c>
      <x:c r="R480" s="530" t="str">
        <x:f>IF(ISBLANK('_SCHEDULE'!R448),"",'_SCHEDULE'!R448)</x:f>
      </x:c>
      <x:c r="S480" s="523" t="str">
        <x:f>IF(ISBLANK('_SCHEDULE'!S448),"",'_SCHEDULE'!S448)</x:f>
      </x:c>
      <x:c r="T480" s="38"/>
      <x:c r="U480" s="38"/>
      <x:c r="V480" s="38"/>
      <x:c r="W480" s="38"/>
      <x:c r="X480" s="38"/>
      <x:c r="Y480" s="38"/>
      <x:c r="Z480" s="38"/>
      <x:c r="AA480" s="38"/>
      <x:c r="AB480" s="38"/>
      <x:c r="AC480" s="38"/>
      <x:c r="AD480" s="38"/>
      <x:c r="AE480" s="38"/>
      <x:c r="AF480" s="38"/>
      <x:c r="AG480" s="38"/>
      <x:c r="AH480" s="38"/>
      <x:c r="AI480" s="38"/>
      <x:c r="AJ480" s="38"/>
      <x:c r="AK480" s="38"/>
      <x:c r="AL480" s="38"/>
      <x:c r="AM480" s="38"/>
    </x:row>
    <x:row r="481">
      <x:c r="A481" s="523" t="str">
        <x:f>IF(ISBLANK('_SCHEDULE'!A449),"",'_SCHEDULE'!A449)</x:f>
      </x:c>
      <x:c r="B481" s="523" t="str">
        <x:f>IF(ISBLANK('_SCHEDULE'!B449),"",IF('_CONFIG'!$B$2="pt-BR",IF('_SCHEDULE'!B449="scheduled","programado",IF('_SCHEDULE'!B449="rejected","rejeitado",'_SCHEDULE'!B449)),'_SCHEDULE'!B449))</x:f>
      </x:c>
      <x:c r="C481" s="523" t="str">
        <x:f>IF(ISBLANK('_SCHEDULE'!C449),"",'_SCHEDULE'!C449)</x:f>
      </x:c>
      <x:c r="D481" s="523" t="str">
        <x:f>IF(ISBLANK('_SCHEDULE'!D449),"",'_SCHEDULE'!D449)</x:f>
      </x:c>
      <x:c r="E481" s="530" t="str">
        <x:f>IF(ISBLANK('_SCHEDULE'!E449),"",'_SCHEDULE'!E449)</x:f>
      </x:c>
      <x:c r="F481" s="530" t="str">
        <x:f>IF(ISBLANK('_SCHEDULE'!F449),"",'_SCHEDULE'!F449)</x:f>
      </x:c>
      <x:c r="G481" s="530" t="str">
        <x:f>IF(ISBLANK('_SCHEDULE'!G449),"",'_SCHEDULE'!G449)</x:f>
      </x:c>
      <x:c r="H481" s="530" t="str">
        <x:f>IF(ISBLANK('_SCHEDULE'!H449),"",'_SCHEDULE'!H449)</x:f>
      </x:c>
      <x:c r="I481" s="530" t="str">
        <x:f>IF(ISBLANK('_SCHEDULE'!I449),"",'_SCHEDULE'!I449)</x:f>
      </x:c>
      <x:c r="J481" s="530" t="str">
        <x:f>IF(ISBLANK('_SCHEDULE'!J449),"",'_SCHEDULE'!J449)</x:f>
      </x:c>
      <x:c r="K481" s="530" t="str">
        <x:f>IF(ISBLANK('_SCHEDULE'!K449),"",'_SCHEDULE'!K449)</x:f>
      </x:c>
      <x:c r="L481" s="530" t="str">
        <x:f>IF(ISBLANK('_SCHEDULE'!L449),"",'_SCHEDULE'!L449)</x:f>
      </x:c>
      <x:c r="M481" s="530" t="str">
        <x:f>IF(ISBLANK('_SCHEDULE'!M449),"",'_SCHEDULE'!M449)</x:f>
      </x:c>
      <x:c r="N481" s="530" t="str">
        <x:f>IF(ISBLANK('_SCHEDULE'!N449),"",'_SCHEDULE'!N449)</x:f>
      </x:c>
      <x:c r="O481" s="530" t="str">
        <x:f>IF(ISBLANK('_SCHEDULE'!O449),"",'_SCHEDULE'!O449)</x:f>
      </x:c>
      <x:c r="P481" s="530" t="str">
        <x:f>IF(ISBLANK('_SCHEDULE'!P449),"",'_SCHEDULE'!P449)</x:f>
      </x:c>
      <x:c r="Q481" s="530" t="str">
        <x:f>IF(ISBLANK('_SCHEDULE'!Q449),"",'_SCHEDULE'!Q449)</x:f>
      </x:c>
      <x:c r="R481" s="530" t="str">
        <x:f>IF(ISBLANK('_SCHEDULE'!R449),"",'_SCHEDULE'!R449)</x:f>
      </x:c>
      <x:c r="S481" s="523" t="str">
        <x:f>IF(ISBLANK('_SCHEDULE'!S449),"",'_SCHEDULE'!S449)</x:f>
      </x:c>
      <x:c r="T481" s="38"/>
      <x:c r="U481" s="38"/>
      <x:c r="V481" s="38"/>
      <x:c r="W481" s="38"/>
      <x:c r="X481" s="38"/>
      <x:c r="Y481" s="38"/>
      <x:c r="Z481" s="38"/>
      <x:c r="AA481" s="38"/>
      <x:c r="AB481" s="38"/>
      <x:c r="AC481" s="38"/>
      <x:c r="AD481" s="38"/>
      <x:c r="AE481" s="38"/>
      <x:c r="AF481" s="38"/>
      <x:c r="AG481" s="38"/>
      <x:c r="AH481" s="38"/>
      <x:c r="AI481" s="38"/>
      <x:c r="AJ481" s="38"/>
      <x:c r="AK481" s="38"/>
      <x:c r="AL481" s="38"/>
      <x:c r="AM481" s="38"/>
    </x:row>
    <x:row r="482">
      <x:c r="A482" s="523" t="str">
        <x:f>IF(ISBLANK('_SCHEDULE'!A450),"",'_SCHEDULE'!A450)</x:f>
      </x:c>
      <x:c r="B482" s="523" t="str">
        <x:f>IF(ISBLANK('_SCHEDULE'!B450),"",IF('_CONFIG'!$B$2="pt-BR",IF('_SCHEDULE'!B450="scheduled","programado",IF('_SCHEDULE'!B450="rejected","rejeitado",'_SCHEDULE'!B450)),'_SCHEDULE'!B450))</x:f>
      </x:c>
      <x:c r="C482" s="523" t="str">
        <x:f>IF(ISBLANK('_SCHEDULE'!C450),"",'_SCHEDULE'!C450)</x:f>
      </x:c>
      <x:c r="D482" s="523" t="str">
        <x:f>IF(ISBLANK('_SCHEDULE'!D450),"",'_SCHEDULE'!D450)</x:f>
      </x:c>
      <x:c r="E482" s="530" t="str">
        <x:f>IF(ISBLANK('_SCHEDULE'!E450),"",'_SCHEDULE'!E450)</x:f>
      </x:c>
      <x:c r="F482" s="530" t="str">
        <x:f>IF(ISBLANK('_SCHEDULE'!F450),"",'_SCHEDULE'!F450)</x:f>
      </x:c>
      <x:c r="G482" s="530" t="str">
        <x:f>IF(ISBLANK('_SCHEDULE'!G450),"",'_SCHEDULE'!G450)</x:f>
      </x:c>
      <x:c r="H482" s="530" t="str">
        <x:f>IF(ISBLANK('_SCHEDULE'!H450),"",'_SCHEDULE'!H450)</x:f>
      </x:c>
      <x:c r="I482" s="530" t="str">
        <x:f>IF(ISBLANK('_SCHEDULE'!I450),"",'_SCHEDULE'!I450)</x:f>
      </x:c>
      <x:c r="J482" s="530" t="str">
        <x:f>IF(ISBLANK('_SCHEDULE'!J450),"",'_SCHEDULE'!J450)</x:f>
      </x:c>
      <x:c r="K482" s="530" t="str">
        <x:f>IF(ISBLANK('_SCHEDULE'!K450),"",'_SCHEDULE'!K450)</x:f>
      </x:c>
      <x:c r="L482" s="530" t="str">
        <x:f>IF(ISBLANK('_SCHEDULE'!L450),"",'_SCHEDULE'!L450)</x:f>
      </x:c>
      <x:c r="M482" s="530" t="str">
        <x:f>IF(ISBLANK('_SCHEDULE'!M450),"",'_SCHEDULE'!M450)</x:f>
      </x:c>
      <x:c r="N482" s="530" t="str">
        <x:f>IF(ISBLANK('_SCHEDULE'!N450),"",'_SCHEDULE'!N450)</x:f>
      </x:c>
      <x:c r="O482" s="530" t="str">
        <x:f>IF(ISBLANK('_SCHEDULE'!O450),"",'_SCHEDULE'!O450)</x:f>
      </x:c>
      <x:c r="P482" s="530" t="str">
        <x:f>IF(ISBLANK('_SCHEDULE'!P450),"",'_SCHEDULE'!P450)</x:f>
      </x:c>
      <x:c r="Q482" s="530" t="str">
        <x:f>IF(ISBLANK('_SCHEDULE'!Q450),"",'_SCHEDULE'!Q450)</x:f>
      </x:c>
      <x:c r="R482" s="530" t="str">
        <x:f>IF(ISBLANK('_SCHEDULE'!R450),"",'_SCHEDULE'!R450)</x:f>
      </x:c>
      <x:c r="S482" s="523" t="str">
        <x:f>IF(ISBLANK('_SCHEDULE'!S450),"",'_SCHEDULE'!S450)</x:f>
      </x:c>
      <x:c r="T482" s="38"/>
      <x:c r="U482" s="38"/>
      <x:c r="V482" s="38"/>
      <x:c r="W482" s="38"/>
      <x:c r="X482" s="38"/>
      <x:c r="Y482" s="38"/>
      <x:c r="Z482" s="38"/>
      <x:c r="AA482" s="38"/>
      <x:c r="AB482" s="38"/>
      <x:c r="AC482" s="38"/>
      <x:c r="AD482" s="38"/>
      <x:c r="AE482" s="38"/>
      <x:c r="AF482" s="38"/>
      <x:c r="AG482" s="38"/>
      <x:c r="AH482" s="38"/>
      <x:c r="AI482" s="38"/>
      <x:c r="AJ482" s="38"/>
      <x:c r="AK482" s="38"/>
      <x:c r="AL482" s="38"/>
      <x:c r="AM482" s="38"/>
    </x:row>
    <x:row r="483">
      <x:c r="A483" s="523" t="str">
        <x:f>IF(ISBLANK('_SCHEDULE'!A451),"",'_SCHEDULE'!A451)</x:f>
      </x:c>
      <x:c r="B483" s="523" t="str">
        <x:f>IF(ISBLANK('_SCHEDULE'!B451),"",IF('_CONFIG'!$B$2="pt-BR",IF('_SCHEDULE'!B451="scheduled","programado",IF('_SCHEDULE'!B451="rejected","rejeitado",'_SCHEDULE'!B451)),'_SCHEDULE'!B451))</x:f>
      </x:c>
      <x:c r="C483" s="523" t="str">
        <x:f>IF(ISBLANK('_SCHEDULE'!C451),"",'_SCHEDULE'!C451)</x:f>
      </x:c>
      <x:c r="D483" s="523" t="str">
        <x:f>IF(ISBLANK('_SCHEDULE'!D451),"",'_SCHEDULE'!D451)</x:f>
      </x:c>
      <x:c r="E483" s="530" t="str">
        <x:f>IF(ISBLANK('_SCHEDULE'!E451),"",'_SCHEDULE'!E451)</x:f>
      </x:c>
      <x:c r="F483" s="530" t="str">
        <x:f>IF(ISBLANK('_SCHEDULE'!F451),"",'_SCHEDULE'!F451)</x:f>
      </x:c>
      <x:c r="G483" s="530" t="str">
        <x:f>IF(ISBLANK('_SCHEDULE'!G451),"",'_SCHEDULE'!G451)</x:f>
      </x:c>
      <x:c r="H483" s="530" t="str">
        <x:f>IF(ISBLANK('_SCHEDULE'!H451),"",'_SCHEDULE'!H451)</x:f>
      </x:c>
      <x:c r="I483" s="530" t="str">
        <x:f>IF(ISBLANK('_SCHEDULE'!I451),"",'_SCHEDULE'!I451)</x:f>
      </x:c>
      <x:c r="J483" s="530" t="str">
        <x:f>IF(ISBLANK('_SCHEDULE'!J451),"",'_SCHEDULE'!J451)</x:f>
      </x:c>
      <x:c r="K483" s="530" t="str">
        <x:f>IF(ISBLANK('_SCHEDULE'!K451),"",'_SCHEDULE'!K451)</x:f>
      </x:c>
      <x:c r="L483" s="530" t="str">
        <x:f>IF(ISBLANK('_SCHEDULE'!L451),"",'_SCHEDULE'!L451)</x:f>
      </x:c>
      <x:c r="M483" s="530" t="str">
        <x:f>IF(ISBLANK('_SCHEDULE'!M451),"",'_SCHEDULE'!M451)</x:f>
      </x:c>
      <x:c r="N483" s="530" t="str">
        <x:f>IF(ISBLANK('_SCHEDULE'!N451),"",'_SCHEDULE'!N451)</x:f>
      </x:c>
      <x:c r="O483" s="530" t="str">
        <x:f>IF(ISBLANK('_SCHEDULE'!O451),"",'_SCHEDULE'!O451)</x:f>
      </x:c>
      <x:c r="P483" s="530" t="str">
        <x:f>IF(ISBLANK('_SCHEDULE'!P451),"",'_SCHEDULE'!P451)</x:f>
      </x:c>
      <x:c r="Q483" s="530" t="str">
        <x:f>IF(ISBLANK('_SCHEDULE'!Q451),"",'_SCHEDULE'!Q451)</x:f>
      </x:c>
      <x:c r="R483" s="530" t="str">
        <x:f>IF(ISBLANK('_SCHEDULE'!R451),"",'_SCHEDULE'!R451)</x:f>
      </x:c>
      <x:c r="S483" s="523" t="str">
        <x:f>IF(ISBLANK('_SCHEDULE'!S451),"",'_SCHEDULE'!S451)</x:f>
      </x:c>
      <x:c r="T483" s="38"/>
      <x:c r="U483" s="38"/>
      <x:c r="V483" s="38"/>
      <x:c r="W483" s="38"/>
      <x:c r="X483" s="38"/>
      <x:c r="Y483" s="38"/>
      <x:c r="Z483" s="38"/>
      <x:c r="AA483" s="38"/>
      <x:c r="AB483" s="38"/>
      <x:c r="AC483" s="38"/>
      <x:c r="AD483" s="38"/>
      <x:c r="AE483" s="38"/>
      <x:c r="AF483" s="38"/>
      <x:c r="AG483" s="38"/>
      <x:c r="AH483" s="38"/>
      <x:c r="AI483" s="38"/>
      <x:c r="AJ483" s="38"/>
      <x:c r="AK483" s="38"/>
      <x:c r="AL483" s="38"/>
      <x:c r="AM483" s="38"/>
    </x:row>
    <x:row r="484">
      <x:c r="A484" s="523" t="str">
        <x:f>IF(ISBLANK('_SCHEDULE'!A452),"",'_SCHEDULE'!A452)</x:f>
      </x:c>
      <x:c r="B484" s="523" t="str">
        <x:f>IF(ISBLANK('_SCHEDULE'!B452),"",IF('_CONFIG'!$B$2="pt-BR",IF('_SCHEDULE'!B452="scheduled","programado",IF('_SCHEDULE'!B452="rejected","rejeitado",'_SCHEDULE'!B452)),'_SCHEDULE'!B452))</x:f>
      </x:c>
      <x:c r="C484" s="523" t="str">
        <x:f>IF(ISBLANK('_SCHEDULE'!C452),"",'_SCHEDULE'!C452)</x:f>
      </x:c>
      <x:c r="D484" s="523" t="str">
        <x:f>IF(ISBLANK('_SCHEDULE'!D452),"",'_SCHEDULE'!D452)</x:f>
      </x:c>
      <x:c r="E484" s="530" t="str">
        <x:f>IF(ISBLANK('_SCHEDULE'!E452),"",'_SCHEDULE'!E452)</x:f>
      </x:c>
      <x:c r="F484" s="530" t="str">
        <x:f>IF(ISBLANK('_SCHEDULE'!F452),"",'_SCHEDULE'!F452)</x:f>
      </x:c>
      <x:c r="G484" s="530" t="str">
        <x:f>IF(ISBLANK('_SCHEDULE'!G452),"",'_SCHEDULE'!G452)</x:f>
      </x:c>
      <x:c r="H484" s="530" t="str">
        <x:f>IF(ISBLANK('_SCHEDULE'!H452),"",'_SCHEDULE'!H452)</x:f>
      </x:c>
      <x:c r="I484" s="530" t="str">
        <x:f>IF(ISBLANK('_SCHEDULE'!I452),"",'_SCHEDULE'!I452)</x:f>
      </x:c>
      <x:c r="J484" s="530" t="str">
        <x:f>IF(ISBLANK('_SCHEDULE'!J452),"",'_SCHEDULE'!J452)</x:f>
      </x:c>
      <x:c r="K484" s="530" t="str">
        <x:f>IF(ISBLANK('_SCHEDULE'!K452),"",'_SCHEDULE'!K452)</x:f>
      </x:c>
      <x:c r="L484" s="530" t="str">
        <x:f>IF(ISBLANK('_SCHEDULE'!L452),"",'_SCHEDULE'!L452)</x:f>
      </x:c>
      <x:c r="M484" s="530" t="str">
        <x:f>IF(ISBLANK('_SCHEDULE'!M452),"",'_SCHEDULE'!M452)</x:f>
      </x:c>
      <x:c r="N484" s="530" t="str">
        <x:f>IF(ISBLANK('_SCHEDULE'!N452),"",'_SCHEDULE'!N452)</x:f>
      </x:c>
      <x:c r="O484" s="530" t="str">
        <x:f>IF(ISBLANK('_SCHEDULE'!O452),"",'_SCHEDULE'!O452)</x:f>
      </x:c>
      <x:c r="P484" s="530" t="str">
        <x:f>IF(ISBLANK('_SCHEDULE'!P452),"",'_SCHEDULE'!P452)</x:f>
      </x:c>
      <x:c r="Q484" s="530" t="str">
        <x:f>IF(ISBLANK('_SCHEDULE'!Q452),"",'_SCHEDULE'!Q452)</x:f>
      </x:c>
      <x:c r="R484" s="530" t="str">
        <x:f>IF(ISBLANK('_SCHEDULE'!R452),"",'_SCHEDULE'!R452)</x:f>
      </x:c>
      <x:c r="S484" s="523" t="str">
        <x:f>IF(ISBLANK('_SCHEDULE'!S452),"",'_SCHEDULE'!S452)</x:f>
      </x:c>
      <x:c r="T484" s="38"/>
      <x:c r="U484" s="38"/>
      <x:c r="V484" s="38"/>
      <x:c r="W484" s="38"/>
      <x:c r="X484" s="38"/>
      <x:c r="Y484" s="38"/>
      <x:c r="Z484" s="38"/>
      <x:c r="AA484" s="38"/>
      <x:c r="AB484" s="38"/>
      <x:c r="AC484" s="38"/>
      <x:c r="AD484" s="38"/>
      <x:c r="AE484" s="38"/>
      <x:c r="AF484" s="38"/>
      <x:c r="AG484" s="38"/>
      <x:c r="AH484" s="38"/>
      <x:c r="AI484" s="38"/>
      <x:c r="AJ484" s="38"/>
      <x:c r="AK484" s="38"/>
      <x:c r="AL484" s="38"/>
      <x:c r="AM484" s="38"/>
    </x:row>
    <x:row r="485">
      <x:c r="A485" s="523" t="str">
        <x:f>IF(ISBLANK('_SCHEDULE'!A453),"",'_SCHEDULE'!A453)</x:f>
      </x:c>
      <x:c r="B485" s="523" t="str">
        <x:f>IF(ISBLANK('_SCHEDULE'!B453),"",IF('_CONFIG'!$B$2="pt-BR",IF('_SCHEDULE'!B453="scheduled","programado",IF('_SCHEDULE'!B453="rejected","rejeitado",'_SCHEDULE'!B453)),'_SCHEDULE'!B453))</x:f>
      </x:c>
      <x:c r="C485" s="523" t="str">
        <x:f>IF(ISBLANK('_SCHEDULE'!C453),"",'_SCHEDULE'!C453)</x:f>
      </x:c>
      <x:c r="D485" s="523" t="str">
        <x:f>IF(ISBLANK('_SCHEDULE'!D453),"",'_SCHEDULE'!D453)</x:f>
      </x:c>
      <x:c r="E485" s="530" t="str">
        <x:f>IF(ISBLANK('_SCHEDULE'!E453),"",'_SCHEDULE'!E453)</x:f>
      </x:c>
      <x:c r="F485" s="530" t="str">
        <x:f>IF(ISBLANK('_SCHEDULE'!F453),"",'_SCHEDULE'!F453)</x:f>
      </x:c>
      <x:c r="G485" s="530" t="str">
        <x:f>IF(ISBLANK('_SCHEDULE'!G453),"",'_SCHEDULE'!G453)</x:f>
      </x:c>
      <x:c r="H485" s="530" t="str">
        <x:f>IF(ISBLANK('_SCHEDULE'!H453),"",'_SCHEDULE'!H453)</x:f>
      </x:c>
      <x:c r="I485" s="530" t="str">
        <x:f>IF(ISBLANK('_SCHEDULE'!I453),"",'_SCHEDULE'!I453)</x:f>
      </x:c>
      <x:c r="J485" s="530" t="str">
        <x:f>IF(ISBLANK('_SCHEDULE'!J453),"",'_SCHEDULE'!J453)</x:f>
      </x:c>
      <x:c r="K485" s="530" t="str">
        <x:f>IF(ISBLANK('_SCHEDULE'!K453),"",'_SCHEDULE'!K453)</x:f>
      </x:c>
      <x:c r="L485" s="530" t="str">
        <x:f>IF(ISBLANK('_SCHEDULE'!L453),"",'_SCHEDULE'!L453)</x:f>
      </x:c>
      <x:c r="M485" s="530" t="str">
        <x:f>IF(ISBLANK('_SCHEDULE'!M453),"",'_SCHEDULE'!M453)</x:f>
      </x:c>
      <x:c r="N485" s="530" t="str">
        <x:f>IF(ISBLANK('_SCHEDULE'!N453),"",'_SCHEDULE'!N453)</x:f>
      </x:c>
      <x:c r="O485" s="530" t="str">
        <x:f>IF(ISBLANK('_SCHEDULE'!O453),"",'_SCHEDULE'!O453)</x:f>
      </x:c>
      <x:c r="P485" s="530" t="str">
        <x:f>IF(ISBLANK('_SCHEDULE'!P453),"",'_SCHEDULE'!P453)</x:f>
      </x:c>
      <x:c r="Q485" s="530" t="str">
        <x:f>IF(ISBLANK('_SCHEDULE'!Q453),"",'_SCHEDULE'!Q453)</x:f>
      </x:c>
      <x:c r="R485" s="530" t="str">
        <x:f>IF(ISBLANK('_SCHEDULE'!R453),"",'_SCHEDULE'!R453)</x:f>
      </x:c>
      <x:c r="S485" s="523" t="str">
        <x:f>IF(ISBLANK('_SCHEDULE'!S453),"",'_SCHEDULE'!S453)</x:f>
      </x:c>
      <x:c r="T485" s="38"/>
      <x:c r="U485" s="38"/>
      <x:c r="V485" s="38"/>
      <x:c r="W485" s="38"/>
      <x:c r="X485" s="38"/>
      <x:c r="Y485" s="38"/>
      <x:c r="Z485" s="38"/>
      <x:c r="AA485" s="38"/>
      <x:c r="AB485" s="38"/>
      <x:c r="AC485" s="38"/>
      <x:c r="AD485" s="38"/>
      <x:c r="AE485" s="38"/>
      <x:c r="AF485" s="38"/>
      <x:c r="AG485" s="38"/>
      <x:c r="AH485" s="38"/>
      <x:c r="AI485" s="38"/>
      <x:c r="AJ485" s="38"/>
      <x:c r="AK485" s="38"/>
      <x:c r="AL485" s="38"/>
      <x:c r="AM485" s="38"/>
    </x:row>
    <x:row r="486">
      <x:c r="A486" s="523" t="str">
        <x:f>IF(ISBLANK('_SCHEDULE'!A454),"",'_SCHEDULE'!A454)</x:f>
      </x:c>
      <x:c r="B486" s="523" t="str">
        <x:f>IF(ISBLANK('_SCHEDULE'!B454),"",IF('_CONFIG'!$B$2="pt-BR",IF('_SCHEDULE'!B454="scheduled","programado",IF('_SCHEDULE'!B454="rejected","rejeitado",'_SCHEDULE'!B454)),'_SCHEDULE'!B454))</x:f>
      </x:c>
      <x:c r="C486" s="523" t="str">
        <x:f>IF(ISBLANK('_SCHEDULE'!C454),"",'_SCHEDULE'!C454)</x:f>
      </x:c>
      <x:c r="D486" s="523" t="str">
        <x:f>IF(ISBLANK('_SCHEDULE'!D454),"",'_SCHEDULE'!D454)</x:f>
      </x:c>
      <x:c r="E486" s="530" t="str">
        <x:f>IF(ISBLANK('_SCHEDULE'!E454),"",'_SCHEDULE'!E454)</x:f>
      </x:c>
      <x:c r="F486" s="530" t="str">
        <x:f>IF(ISBLANK('_SCHEDULE'!F454),"",'_SCHEDULE'!F454)</x:f>
      </x:c>
      <x:c r="G486" s="530" t="str">
        <x:f>IF(ISBLANK('_SCHEDULE'!G454),"",'_SCHEDULE'!G454)</x:f>
      </x:c>
      <x:c r="H486" s="530" t="str">
        <x:f>IF(ISBLANK('_SCHEDULE'!H454),"",'_SCHEDULE'!H454)</x:f>
      </x:c>
      <x:c r="I486" s="530" t="str">
        <x:f>IF(ISBLANK('_SCHEDULE'!I454),"",'_SCHEDULE'!I454)</x:f>
      </x:c>
      <x:c r="J486" s="530" t="str">
        <x:f>IF(ISBLANK('_SCHEDULE'!J454),"",'_SCHEDULE'!J454)</x:f>
      </x:c>
      <x:c r="K486" s="530" t="str">
        <x:f>IF(ISBLANK('_SCHEDULE'!K454),"",'_SCHEDULE'!K454)</x:f>
      </x:c>
      <x:c r="L486" s="530" t="str">
        <x:f>IF(ISBLANK('_SCHEDULE'!L454),"",'_SCHEDULE'!L454)</x:f>
      </x:c>
      <x:c r="M486" s="530" t="str">
        <x:f>IF(ISBLANK('_SCHEDULE'!M454),"",'_SCHEDULE'!M454)</x:f>
      </x:c>
      <x:c r="N486" s="530" t="str">
        <x:f>IF(ISBLANK('_SCHEDULE'!N454),"",'_SCHEDULE'!N454)</x:f>
      </x:c>
      <x:c r="O486" s="530" t="str">
        <x:f>IF(ISBLANK('_SCHEDULE'!O454),"",'_SCHEDULE'!O454)</x:f>
      </x:c>
      <x:c r="P486" s="530" t="str">
        <x:f>IF(ISBLANK('_SCHEDULE'!P454),"",'_SCHEDULE'!P454)</x:f>
      </x:c>
      <x:c r="Q486" s="530" t="str">
        <x:f>IF(ISBLANK('_SCHEDULE'!Q454),"",'_SCHEDULE'!Q454)</x:f>
      </x:c>
      <x:c r="R486" s="530" t="str">
        <x:f>IF(ISBLANK('_SCHEDULE'!R454),"",'_SCHEDULE'!R454)</x:f>
      </x:c>
      <x:c r="S486" s="523" t="str">
        <x:f>IF(ISBLANK('_SCHEDULE'!S454),"",'_SCHEDULE'!S454)</x:f>
      </x:c>
      <x:c r="T486" s="38"/>
      <x:c r="U486" s="38"/>
      <x:c r="V486" s="38"/>
      <x:c r="W486" s="38"/>
      <x:c r="X486" s="38"/>
      <x:c r="Y486" s="38"/>
      <x:c r="Z486" s="38"/>
      <x:c r="AA486" s="38"/>
      <x:c r="AB486" s="38"/>
      <x:c r="AC486" s="38"/>
      <x:c r="AD486" s="38"/>
      <x:c r="AE486" s="38"/>
      <x:c r="AF486" s="38"/>
      <x:c r="AG486" s="38"/>
      <x:c r="AH486" s="38"/>
      <x:c r="AI486" s="38"/>
      <x:c r="AJ486" s="38"/>
      <x:c r="AK486" s="38"/>
      <x:c r="AL486" s="38"/>
      <x:c r="AM486" s="38"/>
    </x:row>
    <x:row r="487">
      <x:c r="A487" s="523" t="str">
        <x:f>IF(ISBLANK('_SCHEDULE'!A455),"",'_SCHEDULE'!A455)</x:f>
      </x:c>
      <x:c r="B487" s="523" t="str">
        <x:f>IF(ISBLANK('_SCHEDULE'!B455),"",IF('_CONFIG'!$B$2="pt-BR",IF('_SCHEDULE'!B455="scheduled","programado",IF('_SCHEDULE'!B455="rejected","rejeitado",'_SCHEDULE'!B455)),'_SCHEDULE'!B455))</x:f>
      </x:c>
      <x:c r="C487" s="523" t="str">
        <x:f>IF(ISBLANK('_SCHEDULE'!C455),"",'_SCHEDULE'!C455)</x:f>
      </x:c>
      <x:c r="D487" s="523" t="str">
        <x:f>IF(ISBLANK('_SCHEDULE'!D455),"",'_SCHEDULE'!D455)</x:f>
      </x:c>
      <x:c r="E487" s="530" t="str">
        <x:f>IF(ISBLANK('_SCHEDULE'!E455),"",'_SCHEDULE'!E455)</x:f>
      </x:c>
      <x:c r="F487" s="530" t="str">
        <x:f>IF(ISBLANK('_SCHEDULE'!F455),"",'_SCHEDULE'!F455)</x:f>
      </x:c>
      <x:c r="G487" s="530" t="str">
        <x:f>IF(ISBLANK('_SCHEDULE'!G455),"",'_SCHEDULE'!G455)</x:f>
      </x:c>
      <x:c r="H487" s="530" t="str">
        <x:f>IF(ISBLANK('_SCHEDULE'!H455),"",'_SCHEDULE'!H455)</x:f>
      </x:c>
      <x:c r="I487" s="530" t="str">
        <x:f>IF(ISBLANK('_SCHEDULE'!I455),"",'_SCHEDULE'!I455)</x:f>
      </x:c>
      <x:c r="J487" s="530" t="str">
        <x:f>IF(ISBLANK('_SCHEDULE'!J455),"",'_SCHEDULE'!J455)</x:f>
      </x:c>
      <x:c r="K487" s="530" t="str">
        <x:f>IF(ISBLANK('_SCHEDULE'!K455),"",'_SCHEDULE'!K455)</x:f>
      </x:c>
      <x:c r="L487" s="530" t="str">
        <x:f>IF(ISBLANK('_SCHEDULE'!L455),"",'_SCHEDULE'!L455)</x:f>
      </x:c>
      <x:c r="M487" s="530" t="str">
        <x:f>IF(ISBLANK('_SCHEDULE'!M455),"",'_SCHEDULE'!M455)</x:f>
      </x:c>
      <x:c r="N487" s="530" t="str">
        <x:f>IF(ISBLANK('_SCHEDULE'!N455),"",'_SCHEDULE'!N455)</x:f>
      </x:c>
      <x:c r="O487" s="530" t="str">
        <x:f>IF(ISBLANK('_SCHEDULE'!O455),"",'_SCHEDULE'!O455)</x:f>
      </x:c>
      <x:c r="P487" s="530" t="str">
        <x:f>IF(ISBLANK('_SCHEDULE'!P455),"",'_SCHEDULE'!P455)</x:f>
      </x:c>
      <x:c r="Q487" s="530" t="str">
        <x:f>IF(ISBLANK('_SCHEDULE'!Q455),"",'_SCHEDULE'!Q455)</x:f>
      </x:c>
      <x:c r="R487" s="530" t="str">
        <x:f>IF(ISBLANK('_SCHEDULE'!R455),"",'_SCHEDULE'!R455)</x:f>
      </x:c>
      <x:c r="S487" s="523" t="str">
        <x:f>IF(ISBLANK('_SCHEDULE'!S455),"",'_SCHEDULE'!S455)</x:f>
      </x:c>
      <x:c r="T487" s="38"/>
      <x:c r="U487" s="38"/>
      <x:c r="V487" s="38"/>
      <x:c r="W487" s="38"/>
      <x:c r="X487" s="38"/>
      <x:c r="Y487" s="38"/>
      <x:c r="Z487" s="38"/>
      <x:c r="AA487" s="38"/>
      <x:c r="AB487" s="38"/>
      <x:c r="AC487" s="38"/>
      <x:c r="AD487" s="38"/>
      <x:c r="AE487" s="38"/>
      <x:c r="AF487" s="38"/>
      <x:c r="AG487" s="38"/>
      <x:c r="AH487" s="38"/>
      <x:c r="AI487" s="38"/>
      <x:c r="AJ487" s="38"/>
      <x:c r="AK487" s="38"/>
      <x:c r="AL487" s="38"/>
      <x:c r="AM487" s="38"/>
    </x:row>
    <x:row r="488">
      <x:c r="A488" s="523" t="str">
        <x:f>IF(ISBLANK('_SCHEDULE'!A456),"",'_SCHEDULE'!A456)</x:f>
      </x:c>
      <x:c r="B488" s="523" t="str">
        <x:f>IF(ISBLANK('_SCHEDULE'!B456),"",IF('_CONFIG'!$B$2="pt-BR",IF('_SCHEDULE'!B456="scheduled","programado",IF('_SCHEDULE'!B456="rejected","rejeitado",'_SCHEDULE'!B456)),'_SCHEDULE'!B456))</x:f>
      </x:c>
      <x:c r="C488" s="523" t="str">
        <x:f>IF(ISBLANK('_SCHEDULE'!C456),"",'_SCHEDULE'!C456)</x:f>
      </x:c>
      <x:c r="D488" s="523" t="str">
        <x:f>IF(ISBLANK('_SCHEDULE'!D456),"",'_SCHEDULE'!D456)</x:f>
      </x:c>
      <x:c r="E488" s="530" t="str">
        <x:f>IF(ISBLANK('_SCHEDULE'!E456),"",'_SCHEDULE'!E456)</x:f>
      </x:c>
      <x:c r="F488" s="530" t="str">
        <x:f>IF(ISBLANK('_SCHEDULE'!F456),"",'_SCHEDULE'!F456)</x:f>
      </x:c>
      <x:c r="G488" s="530" t="str">
        <x:f>IF(ISBLANK('_SCHEDULE'!G456),"",'_SCHEDULE'!G456)</x:f>
      </x:c>
      <x:c r="H488" s="530" t="str">
        <x:f>IF(ISBLANK('_SCHEDULE'!H456),"",'_SCHEDULE'!H456)</x:f>
      </x:c>
      <x:c r="I488" s="530" t="str">
        <x:f>IF(ISBLANK('_SCHEDULE'!I456),"",'_SCHEDULE'!I456)</x:f>
      </x:c>
      <x:c r="J488" s="530" t="str">
        <x:f>IF(ISBLANK('_SCHEDULE'!J456),"",'_SCHEDULE'!J456)</x:f>
      </x:c>
      <x:c r="K488" s="530" t="str">
        <x:f>IF(ISBLANK('_SCHEDULE'!K456),"",'_SCHEDULE'!K456)</x:f>
      </x:c>
      <x:c r="L488" s="530" t="str">
        <x:f>IF(ISBLANK('_SCHEDULE'!L456),"",'_SCHEDULE'!L456)</x:f>
      </x:c>
      <x:c r="M488" s="530" t="str">
        <x:f>IF(ISBLANK('_SCHEDULE'!M456),"",'_SCHEDULE'!M456)</x:f>
      </x:c>
      <x:c r="N488" s="530" t="str">
        <x:f>IF(ISBLANK('_SCHEDULE'!N456),"",'_SCHEDULE'!N456)</x:f>
      </x:c>
      <x:c r="O488" s="530" t="str">
        <x:f>IF(ISBLANK('_SCHEDULE'!O456),"",'_SCHEDULE'!O456)</x:f>
      </x:c>
      <x:c r="P488" s="530" t="str">
        <x:f>IF(ISBLANK('_SCHEDULE'!P456),"",'_SCHEDULE'!P456)</x:f>
      </x:c>
      <x:c r="Q488" s="530" t="str">
        <x:f>IF(ISBLANK('_SCHEDULE'!Q456),"",'_SCHEDULE'!Q456)</x:f>
      </x:c>
      <x:c r="R488" s="530" t="str">
        <x:f>IF(ISBLANK('_SCHEDULE'!R456),"",'_SCHEDULE'!R456)</x:f>
      </x:c>
      <x:c r="S488" s="523" t="str">
        <x:f>IF(ISBLANK('_SCHEDULE'!S456),"",'_SCHEDULE'!S456)</x:f>
      </x:c>
      <x:c r="T488" s="38"/>
      <x:c r="U488" s="38"/>
      <x:c r="V488" s="38"/>
      <x:c r="W488" s="38"/>
      <x:c r="X488" s="38"/>
      <x:c r="Y488" s="38"/>
      <x:c r="Z488" s="38"/>
      <x:c r="AA488" s="38"/>
      <x:c r="AB488" s="38"/>
      <x:c r="AC488" s="38"/>
      <x:c r="AD488" s="38"/>
      <x:c r="AE488" s="38"/>
      <x:c r="AF488" s="38"/>
      <x:c r="AG488" s="38"/>
      <x:c r="AH488" s="38"/>
      <x:c r="AI488" s="38"/>
      <x:c r="AJ488" s="38"/>
      <x:c r="AK488" s="38"/>
      <x:c r="AL488" s="38"/>
      <x:c r="AM488" s="38"/>
    </x:row>
    <x:row r="489">
      <x:c r="A489" s="523" t="str">
        <x:f>IF(ISBLANK('_SCHEDULE'!A457),"",'_SCHEDULE'!A457)</x:f>
      </x:c>
      <x:c r="B489" s="523" t="str">
        <x:f>IF(ISBLANK('_SCHEDULE'!B457),"",IF('_CONFIG'!$B$2="pt-BR",IF('_SCHEDULE'!B457="scheduled","programado",IF('_SCHEDULE'!B457="rejected","rejeitado",'_SCHEDULE'!B457)),'_SCHEDULE'!B457))</x:f>
      </x:c>
      <x:c r="C489" s="523" t="str">
        <x:f>IF(ISBLANK('_SCHEDULE'!C457),"",'_SCHEDULE'!C457)</x:f>
      </x:c>
      <x:c r="D489" s="523" t="str">
        <x:f>IF(ISBLANK('_SCHEDULE'!D457),"",'_SCHEDULE'!D457)</x:f>
      </x:c>
      <x:c r="E489" s="530" t="str">
        <x:f>IF(ISBLANK('_SCHEDULE'!E457),"",'_SCHEDULE'!E457)</x:f>
      </x:c>
      <x:c r="F489" s="530" t="str">
        <x:f>IF(ISBLANK('_SCHEDULE'!F457),"",'_SCHEDULE'!F457)</x:f>
      </x:c>
      <x:c r="G489" s="530" t="str">
        <x:f>IF(ISBLANK('_SCHEDULE'!G457),"",'_SCHEDULE'!G457)</x:f>
      </x:c>
      <x:c r="H489" s="530" t="str">
        <x:f>IF(ISBLANK('_SCHEDULE'!H457),"",'_SCHEDULE'!H457)</x:f>
      </x:c>
      <x:c r="I489" s="530" t="str">
        <x:f>IF(ISBLANK('_SCHEDULE'!I457),"",'_SCHEDULE'!I457)</x:f>
      </x:c>
      <x:c r="J489" s="530" t="str">
        <x:f>IF(ISBLANK('_SCHEDULE'!J457),"",'_SCHEDULE'!J457)</x:f>
      </x:c>
      <x:c r="K489" s="530" t="str">
        <x:f>IF(ISBLANK('_SCHEDULE'!K457),"",'_SCHEDULE'!K457)</x:f>
      </x:c>
      <x:c r="L489" s="530" t="str">
        <x:f>IF(ISBLANK('_SCHEDULE'!L457),"",'_SCHEDULE'!L457)</x:f>
      </x:c>
      <x:c r="M489" s="530" t="str">
        <x:f>IF(ISBLANK('_SCHEDULE'!M457),"",'_SCHEDULE'!M457)</x:f>
      </x:c>
      <x:c r="N489" s="530" t="str">
        <x:f>IF(ISBLANK('_SCHEDULE'!N457),"",'_SCHEDULE'!N457)</x:f>
      </x:c>
      <x:c r="O489" s="530" t="str">
        <x:f>IF(ISBLANK('_SCHEDULE'!O457),"",'_SCHEDULE'!O457)</x:f>
      </x:c>
      <x:c r="P489" s="530" t="str">
        <x:f>IF(ISBLANK('_SCHEDULE'!P457),"",'_SCHEDULE'!P457)</x:f>
      </x:c>
      <x:c r="Q489" s="530" t="str">
        <x:f>IF(ISBLANK('_SCHEDULE'!Q457),"",'_SCHEDULE'!Q457)</x:f>
      </x:c>
      <x:c r="R489" s="530" t="str">
        <x:f>IF(ISBLANK('_SCHEDULE'!R457),"",'_SCHEDULE'!R457)</x:f>
      </x:c>
      <x:c r="S489" s="523" t="str">
        <x:f>IF(ISBLANK('_SCHEDULE'!S457),"",'_SCHEDULE'!S457)</x:f>
      </x:c>
      <x:c r="T489" s="38"/>
      <x:c r="U489" s="38"/>
      <x:c r="V489" s="38"/>
      <x:c r="W489" s="38"/>
      <x:c r="X489" s="38"/>
      <x:c r="Y489" s="38"/>
      <x:c r="Z489" s="38"/>
      <x:c r="AA489" s="38"/>
      <x:c r="AB489" s="38"/>
      <x:c r="AC489" s="38"/>
      <x:c r="AD489" s="38"/>
      <x:c r="AE489" s="38"/>
      <x:c r="AF489" s="38"/>
      <x:c r="AG489" s="38"/>
      <x:c r="AH489" s="38"/>
      <x:c r="AI489" s="38"/>
      <x:c r="AJ489" s="38"/>
      <x:c r="AK489" s="38"/>
      <x:c r="AL489" s="38"/>
      <x:c r="AM489" s="38"/>
    </x:row>
    <x:row r="490">
      <x:c r="A490" s="523" t="str">
        <x:f>IF(ISBLANK('_SCHEDULE'!A458),"",'_SCHEDULE'!A458)</x:f>
      </x:c>
      <x:c r="B490" s="523" t="str">
        <x:f>IF(ISBLANK('_SCHEDULE'!B458),"",IF('_CONFIG'!$B$2="pt-BR",IF('_SCHEDULE'!B458="scheduled","programado",IF('_SCHEDULE'!B458="rejected","rejeitado",'_SCHEDULE'!B458)),'_SCHEDULE'!B458))</x:f>
      </x:c>
      <x:c r="C490" s="523" t="str">
        <x:f>IF(ISBLANK('_SCHEDULE'!C458),"",'_SCHEDULE'!C458)</x:f>
      </x:c>
      <x:c r="D490" s="523" t="str">
        <x:f>IF(ISBLANK('_SCHEDULE'!D458),"",'_SCHEDULE'!D458)</x:f>
      </x:c>
      <x:c r="E490" s="530" t="str">
        <x:f>IF(ISBLANK('_SCHEDULE'!E458),"",'_SCHEDULE'!E458)</x:f>
      </x:c>
      <x:c r="F490" s="530" t="str">
        <x:f>IF(ISBLANK('_SCHEDULE'!F458),"",'_SCHEDULE'!F458)</x:f>
      </x:c>
      <x:c r="G490" s="530" t="str">
        <x:f>IF(ISBLANK('_SCHEDULE'!G458),"",'_SCHEDULE'!G458)</x:f>
      </x:c>
      <x:c r="H490" s="530" t="str">
        <x:f>IF(ISBLANK('_SCHEDULE'!H458),"",'_SCHEDULE'!H458)</x:f>
      </x:c>
      <x:c r="I490" s="530" t="str">
        <x:f>IF(ISBLANK('_SCHEDULE'!I458),"",'_SCHEDULE'!I458)</x:f>
      </x:c>
      <x:c r="J490" s="530" t="str">
        <x:f>IF(ISBLANK('_SCHEDULE'!J458),"",'_SCHEDULE'!J458)</x:f>
      </x:c>
      <x:c r="K490" s="530" t="str">
        <x:f>IF(ISBLANK('_SCHEDULE'!K458),"",'_SCHEDULE'!K458)</x:f>
      </x:c>
      <x:c r="L490" s="530" t="str">
        <x:f>IF(ISBLANK('_SCHEDULE'!L458),"",'_SCHEDULE'!L458)</x:f>
      </x:c>
      <x:c r="M490" s="530" t="str">
        <x:f>IF(ISBLANK('_SCHEDULE'!M458),"",'_SCHEDULE'!M458)</x:f>
      </x:c>
      <x:c r="N490" s="530" t="str">
        <x:f>IF(ISBLANK('_SCHEDULE'!N458),"",'_SCHEDULE'!N458)</x:f>
      </x:c>
      <x:c r="O490" s="530" t="str">
        <x:f>IF(ISBLANK('_SCHEDULE'!O458),"",'_SCHEDULE'!O458)</x:f>
      </x:c>
      <x:c r="P490" s="530" t="str">
        <x:f>IF(ISBLANK('_SCHEDULE'!P458),"",'_SCHEDULE'!P458)</x:f>
      </x:c>
      <x:c r="Q490" s="530" t="str">
        <x:f>IF(ISBLANK('_SCHEDULE'!Q458),"",'_SCHEDULE'!Q458)</x:f>
      </x:c>
      <x:c r="R490" s="530" t="str">
        <x:f>IF(ISBLANK('_SCHEDULE'!R458),"",'_SCHEDULE'!R458)</x:f>
      </x:c>
      <x:c r="S490" s="523" t="str">
        <x:f>IF(ISBLANK('_SCHEDULE'!S458),"",'_SCHEDULE'!S458)</x:f>
      </x:c>
      <x:c r="T490" s="38"/>
      <x:c r="U490" s="38"/>
      <x:c r="V490" s="38"/>
      <x:c r="W490" s="38"/>
      <x:c r="X490" s="38"/>
      <x:c r="Y490" s="38"/>
      <x:c r="Z490" s="38"/>
      <x:c r="AA490" s="38"/>
      <x:c r="AB490" s="38"/>
      <x:c r="AC490" s="38"/>
      <x:c r="AD490" s="38"/>
      <x:c r="AE490" s="38"/>
      <x:c r="AF490" s="38"/>
      <x:c r="AG490" s="38"/>
      <x:c r="AH490" s="38"/>
      <x:c r="AI490" s="38"/>
      <x:c r="AJ490" s="38"/>
      <x:c r="AK490" s="38"/>
      <x:c r="AL490" s="38"/>
      <x:c r="AM490" s="38"/>
    </x:row>
    <x:row r="491">
      <x:c r="A491" s="523" t="str">
        <x:f>IF(ISBLANK('_SCHEDULE'!A459),"",'_SCHEDULE'!A459)</x:f>
      </x:c>
      <x:c r="B491" s="523" t="str">
        <x:f>IF(ISBLANK('_SCHEDULE'!B459),"",IF('_CONFIG'!$B$2="pt-BR",IF('_SCHEDULE'!B459="scheduled","programado",IF('_SCHEDULE'!B459="rejected","rejeitado",'_SCHEDULE'!B459)),'_SCHEDULE'!B459))</x:f>
      </x:c>
      <x:c r="C491" s="523" t="str">
        <x:f>IF(ISBLANK('_SCHEDULE'!C459),"",'_SCHEDULE'!C459)</x:f>
      </x:c>
      <x:c r="D491" s="523" t="str">
        <x:f>IF(ISBLANK('_SCHEDULE'!D459),"",'_SCHEDULE'!D459)</x:f>
      </x:c>
      <x:c r="E491" s="530" t="str">
        <x:f>IF(ISBLANK('_SCHEDULE'!E459),"",'_SCHEDULE'!E459)</x:f>
      </x:c>
      <x:c r="F491" s="530" t="str">
        <x:f>IF(ISBLANK('_SCHEDULE'!F459),"",'_SCHEDULE'!F459)</x:f>
      </x:c>
      <x:c r="G491" s="530" t="str">
        <x:f>IF(ISBLANK('_SCHEDULE'!G459),"",'_SCHEDULE'!G459)</x:f>
      </x:c>
      <x:c r="H491" s="530" t="str">
        <x:f>IF(ISBLANK('_SCHEDULE'!H459),"",'_SCHEDULE'!H459)</x:f>
      </x:c>
      <x:c r="I491" s="530" t="str">
        <x:f>IF(ISBLANK('_SCHEDULE'!I459),"",'_SCHEDULE'!I459)</x:f>
      </x:c>
      <x:c r="J491" s="530" t="str">
        <x:f>IF(ISBLANK('_SCHEDULE'!J459),"",'_SCHEDULE'!J459)</x:f>
      </x:c>
      <x:c r="K491" s="530" t="str">
        <x:f>IF(ISBLANK('_SCHEDULE'!K459),"",'_SCHEDULE'!K459)</x:f>
      </x:c>
      <x:c r="L491" s="530" t="str">
        <x:f>IF(ISBLANK('_SCHEDULE'!L459),"",'_SCHEDULE'!L459)</x:f>
      </x:c>
      <x:c r="M491" s="530" t="str">
        <x:f>IF(ISBLANK('_SCHEDULE'!M459),"",'_SCHEDULE'!M459)</x:f>
      </x:c>
      <x:c r="N491" s="530" t="str">
        <x:f>IF(ISBLANK('_SCHEDULE'!N459),"",'_SCHEDULE'!N459)</x:f>
      </x:c>
      <x:c r="O491" s="530" t="str">
        <x:f>IF(ISBLANK('_SCHEDULE'!O459),"",'_SCHEDULE'!O459)</x:f>
      </x:c>
      <x:c r="P491" s="530" t="str">
        <x:f>IF(ISBLANK('_SCHEDULE'!P459),"",'_SCHEDULE'!P459)</x:f>
      </x:c>
      <x:c r="Q491" s="530" t="str">
        <x:f>IF(ISBLANK('_SCHEDULE'!Q459),"",'_SCHEDULE'!Q459)</x:f>
      </x:c>
      <x:c r="R491" s="530" t="str">
        <x:f>IF(ISBLANK('_SCHEDULE'!R459),"",'_SCHEDULE'!R459)</x:f>
      </x:c>
      <x:c r="S491" s="523" t="str">
        <x:f>IF(ISBLANK('_SCHEDULE'!S459),"",'_SCHEDULE'!S459)</x:f>
      </x:c>
      <x:c r="T491" s="38"/>
      <x:c r="U491" s="38"/>
      <x:c r="V491" s="38"/>
      <x:c r="W491" s="38"/>
      <x:c r="X491" s="38"/>
      <x:c r="Y491" s="38"/>
      <x:c r="Z491" s="38"/>
      <x:c r="AA491" s="38"/>
      <x:c r="AB491" s="38"/>
      <x:c r="AC491" s="38"/>
      <x:c r="AD491" s="38"/>
      <x:c r="AE491" s="38"/>
      <x:c r="AF491" s="38"/>
      <x:c r="AG491" s="38"/>
      <x:c r="AH491" s="38"/>
      <x:c r="AI491" s="38"/>
      <x:c r="AJ491" s="38"/>
      <x:c r="AK491" s="38"/>
      <x:c r="AL491" s="38"/>
      <x:c r="AM491" s="38"/>
    </x:row>
    <x:row r="492">
      <x:c r="A492" s="523" t="str">
        <x:f>IF(ISBLANK('_SCHEDULE'!A460),"",'_SCHEDULE'!A460)</x:f>
      </x:c>
      <x:c r="B492" s="523" t="str">
        <x:f>IF(ISBLANK('_SCHEDULE'!B460),"",IF('_CONFIG'!$B$2="pt-BR",IF('_SCHEDULE'!B460="scheduled","programado",IF('_SCHEDULE'!B460="rejected","rejeitado",'_SCHEDULE'!B460)),'_SCHEDULE'!B460))</x:f>
      </x:c>
      <x:c r="C492" s="523" t="str">
        <x:f>IF(ISBLANK('_SCHEDULE'!C460),"",'_SCHEDULE'!C460)</x:f>
      </x:c>
      <x:c r="D492" s="523" t="str">
        <x:f>IF(ISBLANK('_SCHEDULE'!D460),"",'_SCHEDULE'!D460)</x:f>
      </x:c>
      <x:c r="E492" s="530" t="str">
        <x:f>IF(ISBLANK('_SCHEDULE'!E460),"",'_SCHEDULE'!E460)</x:f>
      </x:c>
      <x:c r="F492" s="530" t="str">
        <x:f>IF(ISBLANK('_SCHEDULE'!F460),"",'_SCHEDULE'!F460)</x:f>
      </x:c>
      <x:c r="G492" s="530" t="str">
        <x:f>IF(ISBLANK('_SCHEDULE'!G460),"",'_SCHEDULE'!G460)</x:f>
      </x:c>
      <x:c r="H492" s="530" t="str">
        <x:f>IF(ISBLANK('_SCHEDULE'!H460),"",'_SCHEDULE'!H460)</x:f>
      </x:c>
      <x:c r="I492" s="530" t="str">
        <x:f>IF(ISBLANK('_SCHEDULE'!I460),"",'_SCHEDULE'!I460)</x:f>
      </x:c>
      <x:c r="J492" s="530" t="str">
        <x:f>IF(ISBLANK('_SCHEDULE'!J460),"",'_SCHEDULE'!J460)</x:f>
      </x:c>
      <x:c r="K492" s="530" t="str">
        <x:f>IF(ISBLANK('_SCHEDULE'!K460),"",'_SCHEDULE'!K460)</x:f>
      </x:c>
      <x:c r="L492" s="530" t="str">
        <x:f>IF(ISBLANK('_SCHEDULE'!L460),"",'_SCHEDULE'!L460)</x:f>
      </x:c>
      <x:c r="M492" s="530" t="str">
        <x:f>IF(ISBLANK('_SCHEDULE'!M460),"",'_SCHEDULE'!M460)</x:f>
      </x:c>
      <x:c r="N492" s="530" t="str">
        <x:f>IF(ISBLANK('_SCHEDULE'!N460),"",'_SCHEDULE'!N460)</x:f>
      </x:c>
      <x:c r="O492" s="530" t="str">
        <x:f>IF(ISBLANK('_SCHEDULE'!O460),"",'_SCHEDULE'!O460)</x:f>
      </x:c>
      <x:c r="P492" s="530" t="str">
        <x:f>IF(ISBLANK('_SCHEDULE'!P460),"",'_SCHEDULE'!P460)</x:f>
      </x:c>
      <x:c r="Q492" s="530" t="str">
        <x:f>IF(ISBLANK('_SCHEDULE'!Q460),"",'_SCHEDULE'!Q460)</x:f>
      </x:c>
      <x:c r="R492" s="530" t="str">
        <x:f>IF(ISBLANK('_SCHEDULE'!R460),"",'_SCHEDULE'!R460)</x:f>
      </x:c>
      <x:c r="S492" s="523" t="str">
        <x:f>IF(ISBLANK('_SCHEDULE'!S460),"",'_SCHEDULE'!S460)</x:f>
      </x:c>
      <x:c r="T492" s="38"/>
      <x:c r="U492" s="38"/>
      <x:c r="V492" s="38"/>
      <x:c r="W492" s="38"/>
      <x:c r="X492" s="38"/>
      <x:c r="Y492" s="38"/>
      <x:c r="Z492" s="38"/>
      <x:c r="AA492" s="38"/>
      <x:c r="AB492" s="38"/>
      <x:c r="AC492" s="38"/>
      <x:c r="AD492" s="38"/>
      <x:c r="AE492" s="38"/>
      <x:c r="AF492" s="38"/>
      <x:c r="AG492" s="38"/>
      <x:c r="AH492" s="38"/>
      <x:c r="AI492" s="38"/>
      <x:c r="AJ492" s="38"/>
      <x:c r="AK492" s="38"/>
      <x:c r="AL492" s="38"/>
      <x:c r="AM492" s="38"/>
    </x:row>
    <x:row r="493">
      <x:c r="A493" s="523" t="str">
        <x:f>IF(ISBLANK('_SCHEDULE'!A461),"",'_SCHEDULE'!A461)</x:f>
      </x:c>
      <x:c r="B493" s="523" t="str">
        <x:f>IF(ISBLANK('_SCHEDULE'!B461),"",IF('_CONFIG'!$B$2="pt-BR",IF('_SCHEDULE'!B461="scheduled","programado",IF('_SCHEDULE'!B461="rejected","rejeitado",'_SCHEDULE'!B461)),'_SCHEDULE'!B461))</x:f>
      </x:c>
      <x:c r="C493" s="523" t="str">
        <x:f>IF(ISBLANK('_SCHEDULE'!C461),"",'_SCHEDULE'!C461)</x:f>
      </x:c>
      <x:c r="D493" s="523" t="str">
        <x:f>IF(ISBLANK('_SCHEDULE'!D461),"",'_SCHEDULE'!D461)</x:f>
      </x:c>
      <x:c r="E493" s="530" t="str">
        <x:f>IF(ISBLANK('_SCHEDULE'!E461),"",'_SCHEDULE'!E461)</x:f>
      </x:c>
      <x:c r="F493" s="530" t="str">
        <x:f>IF(ISBLANK('_SCHEDULE'!F461),"",'_SCHEDULE'!F461)</x:f>
      </x:c>
      <x:c r="G493" s="530" t="str">
        <x:f>IF(ISBLANK('_SCHEDULE'!G461),"",'_SCHEDULE'!G461)</x:f>
      </x:c>
      <x:c r="H493" s="530" t="str">
        <x:f>IF(ISBLANK('_SCHEDULE'!H461),"",'_SCHEDULE'!H461)</x:f>
      </x:c>
      <x:c r="I493" s="530" t="str">
        <x:f>IF(ISBLANK('_SCHEDULE'!I461),"",'_SCHEDULE'!I461)</x:f>
      </x:c>
      <x:c r="J493" s="530" t="str">
        <x:f>IF(ISBLANK('_SCHEDULE'!J461),"",'_SCHEDULE'!J461)</x:f>
      </x:c>
      <x:c r="K493" s="530" t="str">
        <x:f>IF(ISBLANK('_SCHEDULE'!K461),"",'_SCHEDULE'!K461)</x:f>
      </x:c>
      <x:c r="L493" s="530" t="str">
        <x:f>IF(ISBLANK('_SCHEDULE'!L461),"",'_SCHEDULE'!L461)</x:f>
      </x:c>
      <x:c r="M493" s="530" t="str">
        <x:f>IF(ISBLANK('_SCHEDULE'!M461),"",'_SCHEDULE'!M461)</x:f>
      </x:c>
      <x:c r="N493" s="530" t="str">
        <x:f>IF(ISBLANK('_SCHEDULE'!N461),"",'_SCHEDULE'!N461)</x:f>
      </x:c>
      <x:c r="O493" s="530" t="str">
        <x:f>IF(ISBLANK('_SCHEDULE'!O461),"",'_SCHEDULE'!O461)</x:f>
      </x:c>
      <x:c r="P493" s="530" t="str">
        <x:f>IF(ISBLANK('_SCHEDULE'!P461),"",'_SCHEDULE'!P461)</x:f>
      </x:c>
      <x:c r="Q493" s="530" t="str">
        <x:f>IF(ISBLANK('_SCHEDULE'!Q461),"",'_SCHEDULE'!Q461)</x:f>
      </x:c>
      <x:c r="R493" s="530" t="str">
        <x:f>IF(ISBLANK('_SCHEDULE'!R461),"",'_SCHEDULE'!R461)</x:f>
      </x:c>
      <x:c r="S493" s="523" t="str">
        <x:f>IF(ISBLANK('_SCHEDULE'!S461),"",'_SCHEDULE'!S461)</x:f>
      </x:c>
      <x:c r="T493" s="38"/>
      <x:c r="U493" s="38"/>
      <x:c r="V493" s="38"/>
      <x:c r="W493" s="38"/>
      <x:c r="X493" s="38"/>
      <x:c r="Y493" s="38"/>
      <x:c r="Z493" s="38"/>
      <x:c r="AA493" s="38"/>
      <x:c r="AB493" s="38"/>
      <x:c r="AC493" s="38"/>
      <x:c r="AD493" s="38"/>
      <x:c r="AE493" s="38"/>
      <x:c r="AF493" s="38"/>
      <x:c r="AG493" s="38"/>
      <x:c r="AH493" s="38"/>
      <x:c r="AI493" s="38"/>
      <x:c r="AJ493" s="38"/>
      <x:c r="AK493" s="38"/>
      <x:c r="AL493" s="38"/>
      <x:c r="AM493" s="38"/>
    </x:row>
    <x:row r="494">
      <x:c r="A494" s="523" t="str">
        <x:f>IF(ISBLANK('_SCHEDULE'!A462),"",'_SCHEDULE'!A462)</x:f>
      </x:c>
      <x:c r="B494" s="523" t="str">
        <x:f>IF(ISBLANK('_SCHEDULE'!B462),"",IF('_CONFIG'!$B$2="pt-BR",IF('_SCHEDULE'!B462="scheduled","programado",IF('_SCHEDULE'!B462="rejected","rejeitado",'_SCHEDULE'!B462)),'_SCHEDULE'!B462))</x:f>
      </x:c>
      <x:c r="C494" s="523" t="str">
        <x:f>IF(ISBLANK('_SCHEDULE'!C462),"",'_SCHEDULE'!C462)</x:f>
      </x:c>
      <x:c r="D494" s="523" t="str">
        <x:f>IF(ISBLANK('_SCHEDULE'!D462),"",'_SCHEDULE'!D462)</x:f>
      </x:c>
      <x:c r="E494" s="530" t="str">
        <x:f>IF(ISBLANK('_SCHEDULE'!E462),"",'_SCHEDULE'!E462)</x:f>
      </x:c>
      <x:c r="F494" s="530" t="str">
        <x:f>IF(ISBLANK('_SCHEDULE'!F462),"",'_SCHEDULE'!F462)</x:f>
      </x:c>
      <x:c r="G494" s="530" t="str">
        <x:f>IF(ISBLANK('_SCHEDULE'!G462),"",'_SCHEDULE'!G462)</x:f>
      </x:c>
      <x:c r="H494" s="530" t="str">
        <x:f>IF(ISBLANK('_SCHEDULE'!H462),"",'_SCHEDULE'!H462)</x:f>
      </x:c>
      <x:c r="I494" s="530" t="str">
        <x:f>IF(ISBLANK('_SCHEDULE'!I462),"",'_SCHEDULE'!I462)</x:f>
      </x:c>
      <x:c r="J494" s="530" t="str">
        <x:f>IF(ISBLANK('_SCHEDULE'!J462),"",'_SCHEDULE'!J462)</x:f>
      </x:c>
      <x:c r="K494" s="530" t="str">
        <x:f>IF(ISBLANK('_SCHEDULE'!K462),"",'_SCHEDULE'!K462)</x:f>
      </x:c>
      <x:c r="L494" s="530" t="str">
        <x:f>IF(ISBLANK('_SCHEDULE'!L462),"",'_SCHEDULE'!L462)</x:f>
      </x:c>
      <x:c r="M494" s="530" t="str">
        <x:f>IF(ISBLANK('_SCHEDULE'!M462),"",'_SCHEDULE'!M462)</x:f>
      </x:c>
      <x:c r="N494" s="530" t="str">
        <x:f>IF(ISBLANK('_SCHEDULE'!N462),"",'_SCHEDULE'!N462)</x:f>
      </x:c>
      <x:c r="O494" s="530" t="str">
        <x:f>IF(ISBLANK('_SCHEDULE'!O462),"",'_SCHEDULE'!O462)</x:f>
      </x:c>
      <x:c r="P494" s="530" t="str">
        <x:f>IF(ISBLANK('_SCHEDULE'!P462),"",'_SCHEDULE'!P462)</x:f>
      </x:c>
      <x:c r="Q494" s="530" t="str">
        <x:f>IF(ISBLANK('_SCHEDULE'!Q462),"",'_SCHEDULE'!Q462)</x:f>
      </x:c>
      <x:c r="R494" s="530" t="str">
        <x:f>IF(ISBLANK('_SCHEDULE'!R462),"",'_SCHEDULE'!R462)</x:f>
      </x:c>
      <x:c r="S494" s="523" t="str">
        <x:f>IF(ISBLANK('_SCHEDULE'!S462),"",'_SCHEDULE'!S462)</x:f>
      </x:c>
      <x:c r="T494" s="38"/>
      <x:c r="U494" s="38"/>
      <x:c r="V494" s="38"/>
      <x:c r="W494" s="38"/>
      <x:c r="X494" s="38"/>
      <x:c r="Y494" s="38"/>
      <x:c r="Z494" s="38"/>
      <x:c r="AA494" s="38"/>
      <x:c r="AB494" s="38"/>
      <x:c r="AC494" s="38"/>
      <x:c r="AD494" s="38"/>
      <x:c r="AE494" s="38"/>
      <x:c r="AF494" s="38"/>
      <x:c r="AG494" s="38"/>
      <x:c r="AH494" s="38"/>
      <x:c r="AI494" s="38"/>
      <x:c r="AJ494" s="38"/>
      <x:c r="AK494" s="38"/>
      <x:c r="AL494" s="38"/>
      <x:c r="AM494" s="38"/>
    </x:row>
    <x:row r="495">
      <x:c r="A495" s="523" t="str">
        <x:f>IF(ISBLANK('_SCHEDULE'!A463),"",'_SCHEDULE'!A463)</x:f>
      </x:c>
      <x:c r="B495" s="523" t="str">
        <x:f>IF(ISBLANK('_SCHEDULE'!B463),"",IF('_CONFIG'!$B$2="pt-BR",IF('_SCHEDULE'!B463="scheduled","programado",IF('_SCHEDULE'!B463="rejected","rejeitado",'_SCHEDULE'!B463)),'_SCHEDULE'!B463))</x:f>
      </x:c>
      <x:c r="C495" s="523" t="str">
        <x:f>IF(ISBLANK('_SCHEDULE'!C463),"",'_SCHEDULE'!C463)</x:f>
      </x:c>
      <x:c r="D495" s="523" t="str">
        <x:f>IF(ISBLANK('_SCHEDULE'!D463),"",'_SCHEDULE'!D463)</x:f>
      </x:c>
      <x:c r="E495" s="530" t="str">
        <x:f>IF(ISBLANK('_SCHEDULE'!E463),"",'_SCHEDULE'!E463)</x:f>
      </x:c>
      <x:c r="F495" s="530" t="str">
        <x:f>IF(ISBLANK('_SCHEDULE'!F463),"",'_SCHEDULE'!F463)</x:f>
      </x:c>
      <x:c r="G495" s="530" t="str">
        <x:f>IF(ISBLANK('_SCHEDULE'!G463),"",'_SCHEDULE'!G463)</x:f>
      </x:c>
      <x:c r="H495" s="530" t="str">
        <x:f>IF(ISBLANK('_SCHEDULE'!H463),"",'_SCHEDULE'!H463)</x:f>
      </x:c>
      <x:c r="I495" s="530" t="str">
        <x:f>IF(ISBLANK('_SCHEDULE'!I463),"",'_SCHEDULE'!I463)</x:f>
      </x:c>
      <x:c r="J495" s="530" t="str">
        <x:f>IF(ISBLANK('_SCHEDULE'!J463),"",'_SCHEDULE'!J463)</x:f>
      </x:c>
      <x:c r="K495" s="530" t="str">
        <x:f>IF(ISBLANK('_SCHEDULE'!K463),"",'_SCHEDULE'!K463)</x:f>
      </x:c>
      <x:c r="L495" s="530" t="str">
        <x:f>IF(ISBLANK('_SCHEDULE'!L463),"",'_SCHEDULE'!L463)</x:f>
      </x:c>
      <x:c r="M495" s="530" t="str">
        <x:f>IF(ISBLANK('_SCHEDULE'!M463),"",'_SCHEDULE'!M463)</x:f>
      </x:c>
      <x:c r="N495" s="530" t="str">
        <x:f>IF(ISBLANK('_SCHEDULE'!N463),"",'_SCHEDULE'!N463)</x:f>
      </x:c>
      <x:c r="O495" s="530" t="str">
        <x:f>IF(ISBLANK('_SCHEDULE'!O463),"",'_SCHEDULE'!O463)</x:f>
      </x:c>
      <x:c r="P495" s="530" t="str">
        <x:f>IF(ISBLANK('_SCHEDULE'!P463),"",'_SCHEDULE'!P463)</x:f>
      </x:c>
      <x:c r="Q495" s="530" t="str">
        <x:f>IF(ISBLANK('_SCHEDULE'!Q463),"",'_SCHEDULE'!Q463)</x:f>
      </x:c>
      <x:c r="R495" s="530" t="str">
        <x:f>IF(ISBLANK('_SCHEDULE'!R463),"",'_SCHEDULE'!R463)</x:f>
      </x:c>
      <x:c r="S495" s="523" t="str">
        <x:f>IF(ISBLANK('_SCHEDULE'!S463),"",'_SCHEDULE'!S463)</x:f>
      </x:c>
      <x:c r="T495" s="38"/>
      <x:c r="U495" s="38"/>
      <x:c r="V495" s="38"/>
      <x:c r="W495" s="38"/>
      <x:c r="X495" s="38"/>
      <x:c r="Y495" s="38"/>
      <x:c r="Z495" s="38"/>
      <x:c r="AA495" s="38"/>
      <x:c r="AB495" s="38"/>
      <x:c r="AC495" s="38"/>
      <x:c r="AD495" s="38"/>
      <x:c r="AE495" s="38"/>
      <x:c r="AF495" s="38"/>
      <x:c r="AG495" s="38"/>
      <x:c r="AH495" s="38"/>
      <x:c r="AI495" s="38"/>
      <x:c r="AJ495" s="38"/>
      <x:c r="AK495" s="38"/>
      <x:c r="AL495" s="38"/>
      <x:c r="AM495" s="38"/>
    </x:row>
    <x:row r="496">
      <x:c r="A496" s="523" t="str">
        <x:f>IF(ISBLANK('_SCHEDULE'!A464),"",'_SCHEDULE'!A464)</x:f>
      </x:c>
      <x:c r="B496" s="523" t="str">
        <x:f>IF(ISBLANK('_SCHEDULE'!B464),"",IF('_CONFIG'!$B$2="pt-BR",IF('_SCHEDULE'!B464="scheduled","programado",IF('_SCHEDULE'!B464="rejected","rejeitado",'_SCHEDULE'!B464)),'_SCHEDULE'!B464))</x:f>
      </x:c>
      <x:c r="C496" s="523" t="str">
        <x:f>IF(ISBLANK('_SCHEDULE'!C464),"",'_SCHEDULE'!C464)</x:f>
      </x:c>
      <x:c r="D496" s="523" t="str">
        <x:f>IF(ISBLANK('_SCHEDULE'!D464),"",'_SCHEDULE'!D464)</x:f>
      </x:c>
      <x:c r="E496" s="530" t="str">
        <x:f>IF(ISBLANK('_SCHEDULE'!E464),"",'_SCHEDULE'!E464)</x:f>
      </x:c>
      <x:c r="F496" s="530" t="str">
        <x:f>IF(ISBLANK('_SCHEDULE'!F464),"",'_SCHEDULE'!F464)</x:f>
      </x:c>
      <x:c r="G496" s="530" t="str">
        <x:f>IF(ISBLANK('_SCHEDULE'!G464),"",'_SCHEDULE'!G464)</x:f>
      </x:c>
      <x:c r="H496" s="530" t="str">
        <x:f>IF(ISBLANK('_SCHEDULE'!H464),"",'_SCHEDULE'!H464)</x:f>
      </x:c>
      <x:c r="I496" s="530" t="str">
        <x:f>IF(ISBLANK('_SCHEDULE'!I464),"",'_SCHEDULE'!I464)</x:f>
      </x:c>
      <x:c r="J496" s="530" t="str">
        <x:f>IF(ISBLANK('_SCHEDULE'!J464),"",'_SCHEDULE'!J464)</x:f>
      </x:c>
      <x:c r="K496" s="530" t="str">
        <x:f>IF(ISBLANK('_SCHEDULE'!K464),"",'_SCHEDULE'!K464)</x:f>
      </x:c>
      <x:c r="L496" s="530" t="str">
        <x:f>IF(ISBLANK('_SCHEDULE'!L464),"",'_SCHEDULE'!L464)</x:f>
      </x:c>
      <x:c r="M496" s="530" t="str">
        <x:f>IF(ISBLANK('_SCHEDULE'!M464),"",'_SCHEDULE'!M464)</x:f>
      </x:c>
      <x:c r="N496" s="530" t="str">
        <x:f>IF(ISBLANK('_SCHEDULE'!N464),"",'_SCHEDULE'!N464)</x:f>
      </x:c>
      <x:c r="O496" s="530" t="str">
        <x:f>IF(ISBLANK('_SCHEDULE'!O464),"",'_SCHEDULE'!O464)</x:f>
      </x:c>
      <x:c r="P496" s="530" t="str">
        <x:f>IF(ISBLANK('_SCHEDULE'!P464),"",'_SCHEDULE'!P464)</x:f>
      </x:c>
      <x:c r="Q496" s="530" t="str">
        <x:f>IF(ISBLANK('_SCHEDULE'!Q464),"",'_SCHEDULE'!Q464)</x:f>
      </x:c>
      <x:c r="R496" s="530" t="str">
        <x:f>IF(ISBLANK('_SCHEDULE'!R464),"",'_SCHEDULE'!R464)</x:f>
      </x:c>
      <x:c r="S496" s="523" t="str">
        <x:f>IF(ISBLANK('_SCHEDULE'!S464),"",'_SCHEDULE'!S464)</x:f>
      </x:c>
      <x:c r="T496" s="38"/>
      <x:c r="U496" s="38"/>
      <x:c r="V496" s="38"/>
      <x:c r="W496" s="38"/>
      <x:c r="X496" s="38"/>
      <x:c r="Y496" s="38"/>
      <x:c r="Z496" s="38"/>
      <x:c r="AA496" s="38"/>
      <x:c r="AB496" s="38"/>
      <x:c r="AC496" s="38"/>
      <x:c r="AD496" s="38"/>
      <x:c r="AE496" s="38"/>
      <x:c r="AF496" s="38"/>
      <x:c r="AG496" s="38"/>
      <x:c r="AH496" s="38"/>
      <x:c r="AI496" s="38"/>
      <x:c r="AJ496" s="38"/>
      <x:c r="AK496" s="38"/>
      <x:c r="AL496" s="38"/>
      <x:c r="AM496" s="38"/>
    </x:row>
    <x:row r="497">
      <x:c r="A497" s="523" t="str">
        <x:f>IF(ISBLANK('_SCHEDULE'!A465),"",'_SCHEDULE'!A465)</x:f>
      </x:c>
      <x:c r="B497" s="523" t="str">
        <x:f>IF(ISBLANK('_SCHEDULE'!B465),"",IF('_CONFIG'!$B$2="pt-BR",IF('_SCHEDULE'!B465="scheduled","programado",IF('_SCHEDULE'!B465="rejected","rejeitado",'_SCHEDULE'!B465)),'_SCHEDULE'!B465))</x:f>
      </x:c>
      <x:c r="C497" s="523" t="str">
        <x:f>IF(ISBLANK('_SCHEDULE'!C465),"",'_SCHEDULE'!C465)</x:f>
      </x:c>
      <x:c r="D497" s="523" t="str">
        <x:f>IF(ISBLANK('_SCHEDULE'!D465),"",'_SCHEDULE'!D465)</x:f>
      </x:c>
      <x:c r="E497" s="530" t="str">
        <x:f>IF(ISBLANK('_SCHEDULE'!E465),"",'_SCHEDULE'!E465)</x:f>
      </x:c>
      <x:c r="F497" s="530" t="str">
        <x:f>IF(ISBLANK('_SCHEDULE'!F465),"",'_SCHEDULE'!F465)</x:f>
      </x:c>
      <x:c r="G497" s="530" t="str">
        <x:f>IF(ISBLANK('_SCHEDULE'!G465),"",'_SCHEDULE'!G465)</x:f>
      </x:c>
      <x:c r="H497" s="530" t="str">
        <x:f>IF(ISBLANK('_SCHEDULE'!H465),"",'_SCHEDULE'!H465)</x:f>
      </x:c>
      <x:c r="I497" s="530" t="str">
        <x:f>IF(ISBLANK('_SCHEDULE'!I465),"",'_SCHEDULE'!I465)</x:f>
      </x:c>
      <x:c r="J497" s="530" t="str">
        <x:f>IF(ISBLANK('_SCHEDULE'!J465),"",'_SCHEDULE'!J465)</x:f>
      </x:c>
      <x:c r="K497" s="530" t="str">
        <x:f>IF(ISBLANK('_SCHEDULE'!K465),"",'_SCHEDULE'!K465)</x:f>
      </x:c>
      <x:c r="L497" s="530" t="str">
        <x:f>IF(ISBLANK('_SCHEDULE'!L465),"",'_SCHEDULE'!L465)</x:f>
      </x:c>
      <x:c r="M497" s="530" t="str">
        <x:f>IF(ISBLANK('_SCHEDULE'!M465),"",'_SCHEDULE'!M465)</x:f>
      </x:c>
      <x:c r="N497" s="530" t="str">
        <x:f>IF(ISBLANK('_SCHEDULE'!N465),"",'_SCHEDULE'!N465)</x:f>
      </x:c>
      <x:c r="O497" s="530" t="str">
        <x:f>IF(ISBLANK('_SCHEDULE'!O465),"",'_SCHEDULE'!O465)</x:f>
      </x:c>
      <x:c r="P497" s="530" t="str">
        <x:f>IF(ISBLANK('_SCHEDULE'!P465),"",'_SCHEDULE'!P465)</x:f>
      </x:c>
      <x:c r="Q497" s="530" t="str">
        <x:f>IF(ISBLANK('_SCHEDULE'!Q465),"",'_SCHEDULE'!Q465)</x:f>
      </x:c>
      <x:c r="R497" s="530" t="str">
        <x:f>IF(ISBLANK('_SCHEDULE'!R465),"",'_SCHEDULE'!R465)</x:f>
      </x:c>
      <x:c r="S497" s="523" t="str">
        <x:f>IF(ISBLANK('_SCHEDULE'!S465),"",'_SCHEDULE'!S465)</x:f>
      </x:c>
      <x:c r="T497" s="38"/>
      <x:c r="U497" s="38"/>
      <x:c r="V497" s="38"/>
      <x:c r="W497" s="38"/>
      <x:c r="X497" s="38"/>
      <x:c r="Y497" s="38"/>
      <x:c r="Z497" s="38"/>
      <x:c r="AA497" s="38"/>
      <x:c r="AB497" s="38"/>
      <x:c r="AC497" s="38"/>
      <x:c r="AD497" s="38"/>
      <x:c r="AE497" s="38"/>
      <x:c r="AF497" s="38"/>
      <x:c r="AG497" s="38"/>
      <x:c r="AH497" s="38"/>
      <x:c r="AI497" s="38"/>
      <x:c r="AJ497" s="38"/>
      <x:c r="AK497" s="38"/>
      <x:c r="AL497" s="38"/>
      <x:c r="AM497" s="38"/>
    </x:row>
    <x:row r="498">
      <x:c r="A498" s="523" t="str">
        <x:f>IF(ISBLANK('_SCHEDULE'!A466),"",'_SCHEDULE'!A466)</x:f>
      </x:c>
      <x:c r="B498" s="523" t="str">
        <x:f>IF(ISBLANK('_SCHEDULE'!B466),"",IF('_CONFIG'!$B$2="pt-BR",IF('_SCHEDULE'!B466="scheduled","programado",IF('_SCHEDULE'!B466="rejected","rejeitado",'_SCHEDULE'!B466)),'_SCHEDULE'!B466))</x:f>
      </x:c>
      <x:c r="C498" s="523" t="str">
        <x:f>IF(ISBLANK('_SCHEDULE'!C466),"",'_SCHEDULE'!C466)</x:f>
      </x:c>
      <x:c r="D498" s="523" t="str">
        <x:f>IF(ISBLANK('_SCHEDULE'!D466),"",'_SCHEDULE'!D466)</x:f>
      </x:c>
      <x:c r="E498" s="530" t="str">
        <x:f>IF(ISBLANK('_SCHEDULE'!E466),"",'_SCHEDULE'!E466)</x:f>
      </x:c>
      <x:c r="F498" s="530" t="str">
        <x:f>IF(ISBLANK('_SCHEDULE'!F466),"",'_SCHEDULE'!F466)</x:f>
      </x:c>
      <x:c r="G498" s="530" t="str">
        <x:f>IF(ISBLANK('_SCHEDULE'!G466),"",'_SCHEDULE'!G466)</x:f>
      </x:c>
      <x:c r="H498" s="530" t="str">
        <x:f>IF(ISBLANK('_SCHEDULE'!H466),"",'_SCHEDULE'!H466)</x:f>
      </x:c>
      <x:c r="I498" s="530" t="str">
        <x:f>IF(ISBLANK('_SCHEDULE'!I466),"",'_SCHEDULE'!I466)</x:f>
      </x:c>
      <x:c r="J498" s="530" t="str">
        <x:f>IF(ISBLANK('_SCHEDULE'!J466),"",'_SCHEDULE'!J466)</x:f>
      </x:c>
      <x:c r="K498" s="530" t="str">
        <x:f>IF(ISBLANK('_SCHEDULE'!K466),"",'_SCHEDULE'!K466)</x:f>
      </x:c>
      <x:c r="L498" s="530" t="str">
        <x:f>IF(ISBLANK('_SCHEDULE'!L466),"",'_SCHEDULE'!L466)</x:f>
      </x:c>
      <x:c r="M498" s="530" t="str">
        <x:f>IF(ISBLANK('_SCHEDULE'!M466),"",'_SCHEDULE'!M466)</x:f>
      </x:c>
      <x:c r="N498" s="530" t="str">
        <x:f>IF(ISBLANK('_SCHEDULE'!N466),"",'_SCHEDULE'!N466)</x:f>
      </x:c>
      <x:c r="O498" s="530" t="str">
        <x:f>IF(ISBLANK('_SCHEDULE'!O466),"",'_SCHEDULE'!O466)</x:f>
      </x:c>
      <x:c r="P498" s="530" t="str">
        <x:f>IF(ISBLANK('_SCHEDULE'!P466),"",'_SCHEDULE'!P466)</x:f>
      </x:c>
      <x:c r="Q498" s="530" t="str">
        <x:f>IF(ISBLANK('_SCHEDULE'!Q466),"",'_SCHEDULE'!Q466)</x:f>
      </x:c>
      <x:c r="R498" s="530" t="str">
        <x:f>IF(ISBLANK('_SCHEDULE'!R466),"",'_SCHEDULE'!R466)</x:f>
      </x:c>
      <x:c r="S498" s="523" t="str">
        <x:f>IF(ISBLANK('_SCHEDULE'!S466),"",'_SCHEDULE'!S466)</x:f>
      </x:c>
      <x:c r="T498" s="38"/>
      <x:c r="U498" s="38"/>
      <x:c r="V498" s="38"/>
      <x:c r="W498" s="38"/>
      <x:c r="X498" s="38"/>
      <x:c r="Y498" s="38"/>
      <x:c r="Z498" s="38"/>
      <x:c r="AA498" s="38"/>
      <x:c r="AB498" s="38"/>
      <x:c r="AC498" s="38"/>
      <x:c r="AD498" s="38"/>
      <x:c r="AE498" s="38"/>
      <x:c r="AF498" s="38"/>
      <x:c r="AG498" s="38"/>
      <x:c r="AH498" s="38"/>
      <x:c r="AI498" s="38"/>
      <x:c r="AJ498" s="38"/>
      <x:c r="AK498" s="38"/>
      <x:c r="AL498" s="38"/>
      <x:c r="AM498" s="38"/>
    </x:row>
    <x:row r="499">
      <x:c r="A499" s="523" t="str">
        <x:f>IF(ISBLANK('_SCHEDULE'!A467),"",'_SCHEDULE'!A467)</x:f>
      </x:c>
      <x:c r="B499" s="523" t="str">
        <x:f>IF(ISBLANK('_SCHEDULE'!B467),"",IF('_CONFIG'!$B$2="pt-BR",IF('_SCHEDULE'!B467="scheduled","programado",IF('_SCHEDULE'!B467="rejected","rejeitado",'_SCHEDULE'!B467)),'_SCHEDULE'!B467))</x:f>
      </x:c>
      <x:c r="C499" s="523" t="str">
        <x:f>IF(ISBLANK('_SCHEDULE'!C467),"",'_SCHEDULE'!C467)</x:f>
      </x:c>
      <x:c r="D499" s="523" t="str">
        <x:f>IF(ISBLANK('_SCHEDULE'!D467),"",'_SCHEDULE'!D467)</x:f>
      </x:c>
      <x:c r="E499" s="530" t="str">
        <x:f>IF(ISBLANK('_SCHEDULE'!E467),"",'_SCHEDULE'!E467)</x:f>
      </x:c>
      <x:c r="F499" s="530" t="str">
        <x:f>IF(ISBLANK('_SCHEDULE'!F467),"",'_SCHEDULE'!F467)</x:f>
      </x:c>
      <x:c r="G499" s="530" t="str">
        <x:f>IF(ISBLANK('_SCHEDULE'!G467),"",'_SCHEDULE'!G467)</x:f>
      </x:c>
      <x:c r="H499" s="530" t="str">
        <x:f>IF(ISBLANK('_SCHEDULE'!H467),"",'_SCHEDULE'!H467)</x:f>
      </x:c>
      <x:c r="I499" s="530" t="str">
        <x:f>IF(ISBLANK('_SCHEDULE'!I467),"",'_SCHEDULE'!I467)</x:f>
      </x:c>
      <x:c r="J499" s="530" t="str">
        <x:f>IF(ISBLANK('_SCHEDULE'!J467),"",'_SCHEDULE'!J467)</x:f>
      </x:c>
      <x:c r="K499" s="530" t="str">
        <x:f>IF(ISBLANK('_SCHEDULE'!K467),"",'_SCHEDULE'!K467)</x:f>
      </x:c>
      <x:c r="L499" s="530" t="str">
        <x:f>IF(ISBLANK('_SCHEDULE'!L467),"",'_SCHEDULE'!L467)</x:f>
      </x:c>
      <x:c r="M499" s="530" t="str">
        <x:f>IF(ISBLANK('_SCHEDULE'!M467),"",'_SCHEDULE'!M467)</x:f>
      </x:c>
      <x:c r="N499" s="530" t="str">
        <x:f>IF(ISBLANK('_SCHEDULE'!N467),"",'_SCHEDULE'!N467)</x:f>
      </x:c>
      <x:c r="O499" s="530" t="str">
        <x:f>IF(ISBLANK('_SCHEDULE'!O467),"",'_SCHEDULE'!O467)</x:f>
      </x:c>
      <x:c r="P499" s="530" t="str">
        <x:f>IF(ISBLANK('_SCHEDULE'!P467),"",'_SCHEDULE'!P467)</x:f>
      </x:c>
      <x:c r="Q499" s="530" t="str">
        <x:f>IF(ISBLANK('_SCHEDULE'!Q467),"",'_SCHEDULE'!Q467)</x:f>
      </x:c>
      <x:c r="R499" s="530" t="str">
        <x:f>IF(ISBLANK('_SCHEDULE'!R467),"",'_SCHEDULE'!R467)</x:f>
      </x:c>
      <x:c r="S499" s="523" t="str">
        <x:f>IF(ISBLANK('_SCHEDULE'!S467),"",'_SCHEDULE'!S467)</x:f>
      </x:c>
      <x:c r="T499" s="38"/>
      <x:c r="U499" s="38"/>
      <x:c r="V499" s="38"/>
      <x:c r="W499" s="38"/>
      <x:c r="X499" s="38"/>
      <x:c r="Y499" s="38"/>
      <x:c r="Z499" s="38"/>
      <x:c r="AA499" s="38"/>
      <x:c r="AB499" s="38"/>
      <x:c r="AC499" s="38"/>
      <x:c r="AD499" s="38"/>
      <x:c r="AE499" s="38"/>
      <x:c r="AF499" s="38"/>
      <x:c r="AG499" s="38"/>
      <x:c r="AH499" s="38"/>
      <x:c r="AI499" s="38"/>
      <x:c r="AJ499" s="38"/>
      <x:c r="AK499" s="38"/>
      <x:c r="AL499" s="38"/>
      <x:c r="AM499" s="38"/>
    </x:row>
    <x:row r="500">
      <x:c r="A500" s="523" t="str">
        <x:f>IF(ISBLANK('_SCHEDULE'!A468),"",'_SCHEDULE'!A468)</x:f>
      </x:c>
      <x:c r="B500" s="523" t="str">
        <x:f>IF(ISBLANK('_SCHEDULE'!B468),"",IF('_CONFIG'!$B$2="pt-BR",IF('_SCHEDULE'!B468="scheduled","programado",IF('_SCHEDULE'!B468="rejected","rejeitado",'_SCHEDULE'!B468)),'_SCHEDULE'!B468))</x:f>
      </x:c>
      <x:c r="C500" s="523" t="str">
        <x:f>IF(ISBLANK('_SCHEDULE'!C468),"",'_SCHEDULE'!C468)</x:f>
      </x:c>
      <x:c r="D500" s="523" t="str">
        <x:f>IF(ISBLANK('_SCHEDULE'!D468),"",'_SCHEDULE'!D468)</x:f>
      </x:c>
      <x:c r="E500" s="530" t="str">
        <x:f>IF(ISBLANK('_SCHEDULE'!E468),"",'_SCHEDULE'!E468)</x:f>
      </x:c>
      <x:c r="F500" s="530" t="str">
        <x:f>IF(ISBLANK('_SCHEDULE'!F468),"",'_SCHEDULE'!F468)</x:f>
      </x:c>
      <x:c r="G500" s="530" t="str">
        <x:f>IF(ISBLANK('_SCHEDULE'!G468),"",'_SCHEDULE'!G468)</x:f>
      </x:c>
      <x:c r="H500" s="530" t="str">
        <x:f>IF(ISBLANK('_SCHEDULE'!H468),"",'_SCHEDULE'!H468)</x:f>
      </x:c>
      <x:c r="I500" s="530" t="str">
        <x:f>IF(ISBLANK('_SCHEDULE'!I468),"",'_SCHEDULE'!I468)</x:f>
      </x:c>
      <x:c r="J500" s="530" t="str">
        <x:f>IF(ISBLANK('_SCHEDULE'!J468),"",'_SCHEDULE'!J468)</x:f>
      </x:c>
      <x:c r="K500" s="530" t="str">
        <x:f>IF(ISBLANK('_SCHEDULE'!K468),"",'_SCHEDULE'!K468)</x:f>
      </x:c>
      <x:c r="L500" s="530" t="str">
        <x:f>IF(ISBLANK('_SCHEDULE'!L468),"",'_SCHEDULE'!L468)</x:f>
      </x:c>
      <x:c r="M500" s="530" t="str">
        <x:f>IF(ISBLANK('_SCHEDULE'!M468),"",'_SCHEDULE'!M468)</x:f>
      </x:c>
      <x:c r="N500" s="530" t="str">
        <x:f>IF(ISBLANK('_SCHEDULE'!N468),"",'_SCHEDULE'!N468)</x:f>
      </x:c>
      <x:c r="O500" s="530" t="str">
        <x:f>IF(ISBLANK('_SCHEDULE'!O468),"",'_SCHEDULE'!O468)</x:f>
      </x:c>
      <x:c r="P500" s="530" t="str">
        <x:f>IF(ISBLANK('_SCHEDULE'!P468),"",'_SCHEDULE'!P468)</x:f>
      </x:c>
      <x:c r="Q500" s="530" t="str">
        <x:f>IF(ISBLANK('_SCHEDULE'!Q468),"",'_SCHEDULE'!Q468)</x:f>
      </x:c>
      <x:c r="R500" s="530" t="str">
        <x:f>IF(ISBLANK('_SCHEDULE'!R468),"",'_SCHEDULE'!R468)</x:f>
      </x:c>
      <x:c r="S500" s="523" t="str">
        <x:f>IF(ISBLANK('_SCHEDULE'!S468),"",'_SCHEDULE'!S468)</x:f>
      </x:c>
      <x:c r="T500" s="38"/>
      <x:c r="U500" s="38"/>
      <x:c r="V500" s="38"/>
      <x:c r="W500" s="38"/>
      <x:c r="X500" s="38"/>
      <x:c r="Y500" s="38"/>
      <x:c r="Z500" s="38"/>
      <x:c r="AA500" s="38"/>
      <x:c r="AB500" s="38"/>
      <x:c r="AC500" s="38"/>
      <x:c r="AD500" s="38"/>
      <x:c r="AE500" s="38"/>
      <x:c r="AF500" s="38"/>
      <x:c r="AG500" s="38"/>
      <x:c r="AH500" s="38"/>
      <x:c r="AI500" s="38"/>
      <x:c r="AJ500" s="38"/>
      <x:c r="AK500" s="38"/>
      <x:c r="AL500" s="38"/>
      <x:c r="AM500" s="38"/>
    </x:row>
    <x:row r="501">
      <x:c r="A501" s="523" t="str">
        <x:f>IF(ISBLANK('_SCHEDULE'!A469),"",'_SCHEDULE'!A469)</x:f>
      </x:c>
      <x:c r="B501" s="523" t="str">
        <x:f>IF(ISBLANK('_SCHEDULE'!B469),"",IF('_CONFIG'!$B$2="pt-BR",IF('_SCHEDULE'!B469="scheduled","programado",IF('_SCHEDULE'!B469="rejected","rejeitado",'_SCHEDULE'!B469)),'_SCHEDULE'!B469))</x:f>
      </x:c>
      <x:c r="C501" s="523" t="str">
        <x:f>IF(ISBLANK('_SCHEDULE'!C469),"",'_SCHEDULE'!C469)</x:f>
      </x:c>
      <x:c r="D501" s="523" t="str">
        <x:f>IF(ISBLANK('_SCHEDULE'!D469),"",'_SCHEDULE'!D469)</x:f>
      </x:c>
      <x:c r="E501" s="530" t="str">
        <x:f>IF(ISBLANK('_SCHEDULE'!E469),"",'_SCHEDULE'!E469)</x:f>
      </x:c>
      <x:c r="F501" s="530" t="str">
        <x:f>IF(ISBLANK('_SCHEDULE'!F469),"",'_SCHEDULE'!F469)</x:f>
      </x:c>
      <x:c r="G501" s="530" t="str">
        <x:f>IF(ISBLANK('_SCHEDULE'!G469),"",'_SCHEDULE'!G469)</x:f>
      </x:c>
      <x:c r="H501" s="530" t="str">
        <x:f>IF(ISBLANK('_SCHEDULE'!H469),"",'_SCHEDULE'!H469)</x:f>
      </x:c>
      <x:c r="I501" s="530" t="str">
        <x:f>IF(ISBLANK('_SCHEDULE'!I469),"",'_SCHEDULE'!I469)</x:f>
      </x:c>
      <x:c r="J501" s="530" t="str">
        <x:f>IF(ISBLANK('_SCHEDULE'!J469),"",'_SCHEDULE'!J469)</x:f>
      </x:c>
      <x:c r="K501" s="530" t="str">
        <x:f>IF(ISBLANK('_SCHEDULE'!K469),"",'_SCHEDULE'!K469)</x:f>
      </x:c>
      <x:c r="L501" s="530" t="str">
        <x:f>IF(ISBLANK('_SCHEDULE'!L469),"",'_SCHEDULE'!L469)</x:f>
      </x:c>
      <x:c r="M501" s="530" t="str">
        <x:f>IF(ISBLANK('_SCHEDULE'!M469),"",'_SCHEDULE'!M469)</x:f>
      </x:c>
      <x:c r="N501" s="530" t="str">
        <x:f>IF(ISBLANK('_SCHEDULE'!N469),"",'_SCHEDULE'!N469)</x:f>
      </x:c>
      <x:c r="O501" s="530" t="str">
        <x:f>IF(ISBLANK('_SCHEDULE'!O469),"",'_SCHEDULE'!O469)</x:f>
      </x:c>
      <x:c r="P501" s="530" t="str">
        <x:f>IF(ISBLANK('_SCHEDULE'!P469),"",'_SCHEDULE'!P469)</x:f>
      </x:c>
      <x:c r="Q501" s="530" t="str">
        <x:f>IF(ISBLANK('_SCHEDULE'!Q469),"",'_SCHEDULE'!Q469)</x:f>
      </x:c>
      <x:c r="R501" s="530" t="str">
        <x:f>IF(ISBLANK('_SCHEDULE'!R469),"",'_SCHEDULE'!R469)</x:f>
      </x:c>
      <x:c r="S501" s="523" t="str">
        <x:f>IF(ISBLANK('_SCHEDULE'!S469),"",'_SCHEDULE'!S469)</x:f>
      </x:c>
      <x:c r="T501" s="38"/>
      <x:c r="U501" s="38"/>
      <x:c r="V501" s="38"/>
      <x:c r="W501" s="38"/>
      <x:c r="X501" s="38"/>
      <x:c r="Y501" s="38"/>
      <x:c r="Z501" s="38"/>
      <x:c r="AA501" s="38"/>
      <x:c r="AB501" s="38"/>
      <x:c r="AC501" s="38"/>
      <x:c r="AD501" s="38"/>
      <x:c r="AE501" s="38"/>
      <x:c r="AF501" s="38"/>
      <x:c r="AG501" s="38"/>
      <x:c r="AH501" s="38"/>
      <x:c r="AI501" s="38"/>
      <x:c r="AJ501" s="38"/>
      <x:c r="AK501" s="38"/>
      <x:c r="AL501" s="38"/>
      <x:c r="AM501" s="38"/>
    </x:row>
    <x:row r="502">
      <x:c r="A502" s="523" t="str">
        <x:f>IF(ISBLANK('_SCHEDULE'!A470),"",'_SCHEDULE'!A470)</x:f>
      </x:c>
      <x:c r="B502" s="523" t="str">
        <x:f>IF(ISBLANK('_SCHEDULE'!B470),"",IF('_CONFIG'!$B$2="pt-BR",IF('_SCHEDULE'!B470="scheduled","programado",IF('_SCHEDULE'!B470="rejected","rejeitado",'_SCHEDULE'!B470)),'_SCHEDULE'!B470))</x:f>
      </x:c>
      <x:c r="C502" s="523" t="str">
        <x:f>IF(ISBLANK('_SCHEDULE'!C470),"",'_SCHEDULE'!C470)</x:f>
      </x:c>
      <x:c r="D502" s="523" t="str">
        <x:f>IF(ISBLANK('_SCHEDULE'!D470),"",'_SCHEDULE'!D470)</x:f>
      </x:c>
      <x:c r="E502" s="530" t="str">
        <x:f>IF(ISBLANK('_SCHEDULE'!E470),"",'_SCHEDULE'!E470)</x:f>
      </x:c>
      <x:c r="F502" s="530" t="str">
        <x:f>IF(ISBLANK('_SCHEDULE'!F470),"",'_SCHEDULE'!F470)</x:f>
      </x:c>
      <x:c r="G502" s="530" t="str">
        <x:f>IF(ISBLANK('_SCHEDULE'!G470),"",'_SCHEDULE'!G470)</x:f>
      </x:c>
      <x:c r="H502" s="530" t="str">
        <x:f>IF(ISBLANK('_SCHEDULE'!H470),"",'_SCHEDULE'!H470)</x:f>
      </x:c>
      <x:c r="I502" s="530" t="str">
        <x:f>IF(ISBLANK('_SCHEDULE'!I470),"",'_SCHEDULE'!I470)</x:f>
      </x:c>
      <x:c r="J502" s="530" t="str">
        <x:f>IF(ISBLANK('_SCHEDULE'!J470),"",'_SCHEDULE'!J470)</x:f>
      </x:c>
      <x:c r="K502" s="530" t="str">
        <x:f>IF(ISBLANK('_SCHEDULE'!K470),"",'_SCHEDULE'!K470)</x:f>
      </x:c>
      <x:c r="L502" s="530" t="str">
        <x:f>IF(ISBLANK('_SCHEDULE'!L470),"",'_SCHEDULE'!L470)</x:f>
      </x:c>
      <x:c r="M502" s="530" t="str">
        <x:f>IF(ISBLANK('_SCHEDULE'!M470),"",'_SCHEDULE'!M470)</x:f>
      </x:c>
      <x:c r="N502" s="530" t="str">
        <x:f>IF(ISBLANK('_SCHEDULE'!N470),"",'_SCHEDULE'!N470)</x:f>
      </x:c>
      <x:c r="O502" s="530" t="str">
        <x:f>IF(ISBLANK('_SCHEDULE'!O470),"",'_SCHEDULE'!O470)</x:f>
      </x:c>
      <x:c r="P502" s="530" t="str">
        <x:f>IF(ISBLANK('_SCHEDULE'!P470),"",'_SCHEDULE'!P470)</x:f>
      </x:c>
      <x:c r="Q502" s="530" t="str">
        <x:f>IF(ISBLANK('_SCHEDULE'!Q470),"",'_SCHEDULE'!Q470)</x:f>
      </x:c>
      <x:c r="R502" s="530" t="str">
        <x:f>IF(ISBLANK('_SCHEDULE'!R470),"",'_SCHEDULE'!R470)</x:f>
      </x:c>
      <x:c r="S502" s="523" t="str">
        <x:f>IF(ISBLANK('_SCHEDULE'!S470),"",'_SCHEDULE'!S470)</x:f>
      </x:c>
      <x:c r="T502" s="38"/>
      <x:c r="U502" s="38"/>
      <x:c r="V502" s="38"/>
      <x:c r="W502" s="38"/>
      <x:c r="X502" s="38"/>
      <x:c r="Y502" s="38"/>
      <x:c r="Z502" s="38"/>
      <x:c r="AA502" s="38"/>
      <x:c r="AB502" s="38"/>
      <x:c r="AC502" s="38"/>
      <x:c r="AD502" s="38"/>
      <x:c r="AE502" s="38"/>
      <x:c r="AF502" s="38"/>
      <x:c r="AG502" s="38"/>
      <x:c r="AH502" s="38"/>
      <x:c r="AI502" s="38"/>
      <x:c r="AJ502" s="38"/>
      <x:c r="AK502" s="38"/>
      <x:c r="AL502" s="38"/>
      <x:c r="AM502" s="38"/>
    </x:row>
    <x:row r="503">
      <x:c r="A503" s="523" t="str">
        <x:f>IF(ISBLANK('_SCHEDULE'!A471),"",'_SCHEDULE'!A471)</x:f>
      </x:c>
      <x:c r="B503" s="523" t="str">
        <x:f>IF(ISBLANK('_SCHEDULE'!B471),"",IF('_CONFIG'!$B$2="pt-BR",IF('_SCHEDULE'!B471="scheduled","programado",IF('_SCHEDULE'!B471="rejected","rejeitado",'_SCHEDULE'!B471)),'_SCHEDULE'!B471))</x:f>
      </x:c>
      <x:c r="C503" s="523" t="str">
        <x:f>IF(ISBLANK('_SCHEDULE'!C471),"",'_SCHEDULE'!C471)</x:f>
      </x:c>
      <x:c r="D503" s="523" t="str">
        <x:f>IF(ISBLANK('_SCHEDULE'!D471),"",'_SCHEDULE'!D471)</x:f>
      </x:c>
      <x:c r="E503" s="530" t="str">
        <x:f>IF(ISBLANK('_SCHEDULE'!E471),"",'_SCHEDULE'!E471)</x:f>
      </x:c>
      <x:c r="F503" s="530" t="str">
        <x:f>IF(ISBLANK('_SCHEDULE'!F471),"",'_SCHEDULE'!F471)</x:f>
      </x:c>
      <x:c r="G503" s="530" t="str">
        <x:f>IF(ISBLANK('_SCHEDULE'!G471),"",'_SCHEDULE'!G471)</x:f>
      </x:c>
      <x:c r="H503" s="530" t="str">
        <x:f>IF(ISBLANK('_SCHEDULE'!H471),"",'_SCHEDULE'!H471)</x:f>
      </x:c>
      <x:c r="I503" s="530" t="str">
        <x:f>IF(ISBLANK('_SCHEDULE'!I471),"",'_SCHEDULE'!I471)</x:f>
      </x:c>
      <x:c r="J503" s="530" t="str">
        <x:f>IF(ISBLANK('_SCHEDULE'!J471),"",'_SCHEDULE'!J471)</x:f>
      </x:c>
      <x:c r="K503" s="530" t="str">
        <x:f>IF(ISBLANK('_SCHEDULE'!K471),"",'_SCHEDULE'!K471)</x:f>
      </x:c>
      <x:c r="L503" s="530" t="str">
        <x:f>IF(ISBLANK('_SCHEDULE'!L471),"",'_SCHEDULE'!L471)</x:f>
      </x:c>
      <x:c r="M503" s="530" t="str">
        <x:f>IF(ISBLANK('_SCHEDULE'!M471),"",'_SCHEDULE'!M471)</x:f>
      </x:c>
      <x:c r="N503" s="530" t="str">
        <x:f>IF(ISBLANK('_SCHEDULE'!N471),"",'_SCHEDULE'!N471)</x:f>
      </x:c>
      <x:c r="O503" s="530" t="str">
        <x:f>IF(ISBLANK('_SCHEDULE'!O471),"",'_SCHEDULE'!O471)</x:f>
      </x:c>
      <x:c r="P503" s="530" t="str">
        <x:f>IF(ISBLANK('_SCHEDULE'!P471),"",'_SCHEDULE'!P471)</x:f>
      </x:c>
      <x:c r="Q503" s="530" t="str">
        <x:f>IF(ISBLANK('_SCHEDULE'!Q471),"",'_SCHEDULE'!Q471)</x:f>
      </x:c>
      <x:c r="R503" s="530" t="str">
        <x:f>IF(ISBLANK('_SCHEDULE'!R471),"",'_SCHEDULE'!R471)</x:f>
      </x:c>
      <x:c r="S503" s="523" t="str">
        <x:f>IF(ISBLANK('_SCHEDULE'!S471),"",'_SCHEDULE'!S471)</x:f>
      </x:c>
      <x:c r="T503" s="38"/>
      <x:c r="U503" s="38"/>
      <x:c r="V503" s="38"/>
      <x:c r="W503" s="38"/>
      <x:c r="X503" s="38"/>
      <x:c r="Y503" s="38"/>
      <x:c r="Z503" s="38"/>
      <x:c r="AA503" s="38"/>
      <x:c r="AB503" s="38"/>
      <x:c r="AC503" s="38"/>
      <x:c r="AD503" s="38"/>
      <x:c r="AE503" s="38"/>
      <x:c r="AF503" s="38"/>
      <x:c r="AG503" s="38"/>
      <x:c r="AH503" s="38"/>
      <x:c r="AI503" s="38"/>
      <x:c r="AJ503" s="38"/>
      <x:c r="AK503" s="38"/>
      <x:c r="AL503" s="38"/>
      <x:c r="AM503" s="38"/>
    </x:row>
    <x:row r="504">
      <x:c r="A504" s="523" t="str">
        <x:f>IF(ISBLANK('_SCHEDULE'!A472),"",'_SCHEDULE'!A472)</x:f>
      </x:c>
      <x:c r="B504" s="523" t="str">
        <x:f>IF(ISBLANK('_SCHEDULE'!B472),"",IF('_CONFIG'!$B$2="pt-BR",IF('_SCHEDULE'!B472="scheduled","programado",IF('_SCHEDULE'!B472="rejected","rejeitado",'_SCHEDULE'!B472)),'_SCHEDULE'!B472))</x:f>
      </x:c>
      <x:c r="C504" s="523" t="str">
        <x:f>IF(ISBLANK('_SCHEDULE'!C472),"",'_SCHEDULE'!C472)</x:f>
      </x:c>
      <x:c r="D504" s="523" t="str">
        <x:f>IF(ISBLANK('_SCHEDULE'!D472),"",'_SCHEDULE'!D472)</x:f>
      </x:c>
      <x:c r="E504" s="530" t="str">
        <x:f>IF(ISBLANK('_SCHEDULE'!E472),"",'_SCHEDULE'!E472)</x:f>
      </x:c>
      <x:c r="F504" s="530" t="str">
        <x:f>IF(ISBLANK('_SCHEDULE'!F472),"",'_SCHEDULE'!F472)</x:f>
      </x:c>
      <x:c r="G504" s="530" t="str">
        <x:f>IF(ISBLANK('_SCHEDULE'!G472),"",'_SCHEDULE'!G472)</x:f>
      </x:c>
      <x:c r="H504" s="530" t="str">
        <x:f>IF(ISBLANK('_SCHEDULE'!H472),"",'_SCHEDULE'!H472)</x:f>
      </x:c>
      <x:c r="I504" s="530" t="str">
        <x:f>IF(ISBLANK('_SCHEDULE'!I472),"",'_SCHEDULE'!I472)</x:f>
      </x:c>
      <x:c r="J504" s="530" t="str">
        <x:f>IF(ISBLANK('_SCHEDULE'!J472),"",'_SCHEDULE'!J472)</x:f>
      </x:c>
      <x:c r="K504" s="530" t="str">
        <x:f>IF(ISBLANK('_SCHEDULE'!K472),"",'_SCHEDULE'!K472)</x:f>
      </x:c>
      <x:c r="L504" s="530" t="str">
        <x:f>IF(ISBLANK('_SCHEDULE'!L472),"",'_SCHEDULE'!L472)</x:f>
      </x:c>
      <x:c r="M504" s="530" t="str">
        <x:f>IF(ISBLANK('_SCHEDULE'!M472),"",'_SCHEDULE'!M472)</x:f>
      </x:c>
      <x:c r="N504" s="530" t="str">
        <x:f>IF(ISBLANK('_SCHEDULE'!N472),"",'_SCHEDULE'!N472)</x:f>
      </x:c>
      <x:c r="O504" s="530" t="str">
        <x:f>IF(ISBLANK('_SCHEDULE'!O472),"",'_SCHEDULE'!O472)</x:f>
      </x:c>
      <x:c r="P504" s="530" t="str">
        <x:f>IF(ISBLANK('_SCHEDULE'!P472),"",'_SCHEDULE'!P472)</x:f>
      </x:c>
      <x:c r="Q504" s="530" t="str">
        <x:f>IF(ISBLANK('_SCHEDULE'!Q472),"",'_SCHEDULE'!Q472)</x:f>
      </x:c>
      <x:c r="R504" s="530" t="str">
        <x:f>IF(ISBLANK('_SCHEDULE'!R472),"",'_SCHEDULE'!R472)</x:f>
      </x:c>
      <x:c r="S504" s="523" t="str">
        <x:f>IF(ISBLANK('_SCHEDULE'!S472),"",'_SCHEDULE'!S472)</x:f>
      </x:c>
      <x:c r="T504" s="38"/>
      <x:c r="U504" s="38"/>
      <x:c r="V504" s="38"/>
      <x:c r="W504" s="38"/>
      <x:c r="X504" s="38"/>
      <x:c r="Y504" s="38"/>
      <x:c r="Z504" s="38"/>
      <x:c r="AA504" s="38"/>
      <x:c r="AB504" s="38"/>
      <x:c r="AC504" s="38"/>
      <x:c r="AD504" s="38"/>
      <x:c r="AE504" s="38"/>
      <x:c r="AF504" s="38"/>
      <x:c r="AG504" s="38"/>
      <x:c r="AH504" s="38"/>
      <x:c r="AI504" s="38"/>
      <x:c r="AJ504" s="38"/>
      <x:c r="AK504" s="38"/>
      <x:c r="AL504" s="38"/>
      <x:c r="AM504" s="38"/>
    </x:row>
    <x:row r="505">
      <x:c r="A505" s="523" t="str">
        <x:f>IF(ISBLANK('_SCHEDULE'!A473),"",'_SCHEDULE'!A473)</x:f>
      </x:c>
      <x:c r="B505" s="523" t="str">
        <x:f>IF(ISBLANK('_SCHEDULE'!B473),"",IF('_CONFIG'!$B$2="pt-BR",IF('_SCHEDULE'!B473="scheduled","programado",IF('_SCHEDULE'!B473="rejected","rejeitado",'_SCHEDULE'!B473)),'_SCHEDULE'!B473))</x:f>
      </x:c>
      <x:c r="C505" s="523" t="str">
        <x:f>IF(ISBLANK('_SCHEDULE'!C473),"",'_SCHEDULE'!C473)</x:f>
      </x:c>
      <x:c r="D505" s="523" t="str">
        <x:f>IF(ISBLANK('_SCHEDULE'!D473),"",'_SCHEDULE'!D473)</x:f>
      </x:c>
      <x:c r="E505" s="530" t="str">
        <x:f>IF(ISBLANK('_SCHEDULE'!E473),"",'_SCHEDULE'!E473)</x:f>
      </x:c>
      <x:c r="F505" s="530" t="str">
        <x:f>IF(ISBLANK('_SCHEDULE'!F473),"",'_SCHEDULE'!F473)</x:f>
      </x:c>
      <x:c r="G505" s="530" t="str">
        <x:f>IF(ISBLANK('_SCHEDULE'!G473),"",'_SCHEDULE'!G473)</x:f>
      </x:c>
      <x:c r="H505" s="530" t="str">
        <x:f>IF(ISBLANK('_SCHEDULE'!H473),"",'_SCHEDULE'!H473)</x:f>
      </x:c>
      <x:c r="I505" s="530" t="str">
        <x:f>IF(ISBLANK('_SCHEDULE'!I473),"",'_SCHEDULE'!I473)</x:f>
      </x:c>
      <x:c r="J505" s="530" t="str">
        <x:f>IF(ISBLANK('_SCHEDULE'!J473),"",'_SCHEDULE'!J473)</x:f>
      </x:c>
      <x:c r="K505" s="530" t="str">
        <x:f>IF(ISBLANK('_SCHEDULE'!K473),"",'_SCHEDULE'!K473)</x:f>
      </x:c>
      <x:c r="L505" s="530" t="str">
        <x:f>IF(ISBLANK('_SCHEDULE'!L473),"",'_SCHEDULE'!L473)</x:f>
      </x:c>
      <x:c r="M505" s="530" t="str">
        <x:f>IF(ISBLANK('_SCHEDULE'!M473),"",'_SCHEDULE'!M473)</x:f>
      </x:c>
      <x:c r="N505" s="530" t="str">
        <x:f>IF(ISBLANK('_SCHEDULE'!N473),"",'_SCHEDULE'!N473)</x:f>
      </x:c>
      <x:c r="O505" s="530" t="str">
        <x:f>IF(ISBLANK('_SCHEDULE'!O473),"",'_SCHEDULE'!O473)</x:f>
      </x:c>
      <x:c r="P505" s="530" t="str">
        <x:f>IF(ISBLANK('_SCHEDULE'!P473),"",'_SCHEDULE'!P473)</x:f>
      </x:c>
      <x:c r="Q505" s="530" t="str">
        <x:f>IF(ISBLANK('_SCHEDULE'!Q473),"",'_SCHEDULE'!Q473)</x:f>
      </x:c>
      <x:c r="R505" s="530" t="str">
        <x:f>IF(ISBLANK('_SCHEDULE'!R473),"",'_SCHEDULE'!R473)</x:f>
      </x:c>
      <x:c r="S505" s="523" t="str">
        <x:f>IF(ISBLANK('_SCHEDULE'!S473),"",'_SCHEDULE'!S473)</x:f>
      </x:c>
      <x:c r="T505" s="38"/>
      <x:c r="U505" s="38"/>
      <x:c r="V505" s="38"/>
      <x:c r="W505" s="38"/>
      <x:c r="X505" s="38"/>
      <x:c r="Y505" s="38"/>
      <x:c r="Z505" s="38"/>
      <x:c r="AA505" s="38"/>
      <x:c r="AB505" s="38"/>
      <x:c r="AC505" s="38"/>
      <x:c r="AD505" s="38"/>
      <x:c r="AE505" s="38"/>
      <x:c r="AF505" s="38"/>
      <x:c r="AG505" s="38"/>
      <x:c r="AH505" s="38"/>
      <x:c r="AI505" s="38"/>
      <x:c r="AJ505" s="38"/>
      <x:c r="AK505" s="38"/>
      <x:c r="AL505" s="38"/>
      <x:c r="AM505" s="38"/>
    </x:row>
    <x:row r="506">
      <x:c r="A506" s="523" t="str">
        <x:f>IF(ISBLANK('_SCHEDULE'!A474),"",'_SCHEDULE'!A474)</x:f>
      </x:c>
      <x:c r="B506" s="523" t="str">
        <x:f>IF(ISBLANK('_SCHEDULE'!B474),"",IF('_CONFIG'!$B$2="pt-BR",IF('_SCHEDULE'!B474="scheduled","programado",IF('_SCHEDULE'!B474="rejected","rejeitado",'_SCHEDULE'!B474)),'_SCHEDULE'!B474))</x:f>
      </x:c>
      <x:c r="C506" s="523" t="str">
        <x:f>IF(ISBLANK('_SCHEDULE'!C474),"",'_SCHEDULE'!C474)</x:f>
      </x:c>
      <x:c r="D506" s="523" t="str">
        <x:f>IF(ISBLANK('_SCHEDULE'!D474),"",'_SCHEDULE'!D474)</x:f>
      </x:c>
      <x:c r="E506" s="530" t="str">
        <x:f>IF(ISBLANK('_SCHEDULE'!E474),"",'_SCHEDULE'!E474)</x:f>
      </x:c>
      <x:c r="F506" s="530" t="str">
        <x:f>IF(ISBLANK('_SCHEDULE'!F474),"",'_SCHEDULE'!F474)</x:f>
      </x:c>
      <x:c r="G506" s="530" t="str">
        <x:f>IF(ISBLANK('_SCHEDULE'!G474),"",'_SCHEDULE'!G474)</x:f>
      </x:c>
      <x:c r="H506" s="530" t="str">
        <x:f>IF(ISBLANK('_SCHEDULE'!H474),"",'_SCHEDULE'!H474)</x:f>
      </x:c>
      <x:c r="I506" s="530" t="str">
        <x:f>IF(ISBLANK('_SCHEDULE'!I474),"",'_SCHEDULE'!I474)</x:f>
      </x:c>
      <x:c r="J506" s="530" t="str">
        <x:f>IF(ISBLANK('_SCHEDULE'!J474),"",'_SCHEDULE'!J474)</x:f>
      </x:c>
      <x:c r="K506" s="530" t="str">
        <x:f>IF(ISBLANK('_SCHEDULE'!K474),"",'_SCHEDULE'!K474)</x:f>
      </x:c>
      <x:c r="L506" s="530" t="str">
        <x:f>IF(ISBLANK('_SCHEDULE'!L474),"",'_SCHEDULE'!L474)</x:f>
      </x:c>
      <x:c r="M506" s="530" t="str">
        <x:f>IF(ISBLANK('_SCHEDULE'!M474),"",'_SCHEDULE'!M474)</x:f>
      </x:c>
      <x:c r="N506" s="530" t="str">
        <x:f>IF(ISBLANK('_SCHEDULE'!N474),"",'_SCHEDULE'!N474)</x:f>
      </x:c>
      <x:c r="O506" s="530" t="str">
        <x:f>IF(ISBLANK('_SCHEDULE'!O474),"",'_SCHEDULE'!O474)</x:f>
      </x:c>
      <x:c r="P506" s="530" t="str">
        <x:f>IF(ISBLANK('_SCHEDULE'!P474),"",'_SCHEDULE'!P474)</x:f>
      </x:c>
      <x:c r="Q506" s="530" t="str">
        <x:f>IF(ISBLANK('_SCHEDULE'!Q474),"",'_SCHEDULE'!Q474)</x:f>
      </x:c>
      <x:c r="R506" s="530" t="str">
        <x:f>IF(ISBLANK('_SCHEDULE'!R474),"",'_SCHEDULE'!R474)</x:f>
      </x:c>
      <x:c r="S506" s="523" t="str">
        <x:f>IF(ISBLANK('_SCHEDULE'!S474),"",'_SCHEDULE'!S474)</x:f>
      </x:c>
      <x:c r="T506" s="38"/>
      <x:c r="U506" s="38"/>
      <x:c r="V506" s="38"/>
      <x:c r="W506" s="38"/>
      <x:c r="X506" s="38"/>
      <x:c r="Y506" s="38"/>
      <x:c r="Z506" s="38"/>
      <x:c r="AA506" s="38"/>
      <x:c r="AB506" s="38"/>
      <x:c r="AC506" s="38"/>
      <x:c r="AD506" s="38"/>
      <x:c r="AE506" s="38"/>
      <x:c r="AF506" s="38"/>
      <x:c r="AG506" s="38"/>
      <x:c r="AH506" s="38"/>
      <x:c r="AI506" s="38"/>
      <x:c r="AJ506" s="38"/>
      <x:c r="AK506" s="38"/>
      <x:c r="AL506" s="38"/>
      <x:c r="AM506" s="38"/>
    </x:row>
    <x:row r="507">
      <x:c r="A507" s="523" t="str">
        <x:f>IF(ISBLANK('_SCHEDULE'!A475),"",'_SCHEDULE'!A475)</x:f>
      </x:c>
      <x:c r="B507" s="523" t="str">
        <x:f>IF(ISBLANK('_SCHEDULE'!B475),"",IF('_CONFIG'!$B$2="pt-BR",IF('_SCHEDULE'!B475="scheduled","programado",IF('_SCHEDULE'!B475="rejected","rejeitado",'_SCHEDULE'!B475)),'_SCHEDULE'!B475))</x:f>
      </x:c>
      <x:c r="C507" s="523" t="str">
        <x:f>IF(ISBLANK('_SCHEDULE'!C475),"",'_SCHEDULE'!C475)</x:f>
      </x:c>
      <x:c r="D507" s="523" t="str">
        <x:f>IF(ISBLANK('_SCHEDULE'!D475),"",'_SCHEDULE'!D475)</x:f>
      </x:c>
      <x:c r="E507" s="530" t="str">
        <x:f>IF(ISBLANK('_SCHEDULE'!E475),"",'_SCHEDULE'!E475)</x:f>
      </x:c>
      <x:c r="F507" s="530" t="str">
        <x:f>IF(ISBLANK('_SCHEDULE'!F475),"",'_SCHEDULE'!F475)</x:f>
      </x:c>
      <x:c r="G507" s="530" t="str">
        <x:f>IF(ISBLANK('_SCHEDULE'!G475),"",'_SCHEDULE'!G475)</x:f>
      </x:c>
      <x:c r="H507" s="530" t="str">
        <x:f>IF(ISBLANK('_SCHEDULE'!H475),"",'_SCHEDULE'!H475)</x:f>
      </x:c>
      <x:c r="I507" s="530" t="str">
        <x:f>IF(ISBLANK('_SCHEDULE'!I475),"",'_SCHEDULE'!I475)</x:f>
      </x:c>
      <x:c r="J507" s="530" t="str">
        <x:f>IF(ISBLANK('_SCHEDULE'!J475),"",'_SCHEDULE'!J475)</x:f>
      </x:c>
      <x:c r="K507" s="530" t="str">
        <x:f>IF(ISBLANK('_SCHEDULE'!K475),"",'_SCHEDULE'!K475)</x:f>
      </x:c>
      <x:c r="L507" s="530" t="str">
        <x:f>IF(ISBLANK('_SCHEDULE'!L475),"",'_SCHEDULE'!L475)</x:f>
      </x:c>
      <x:c r="M507" s="530" t="str">
        <x:f>IF(ISBLANK('_SCHEDULE'!M475),"",'_SCHEDULE'!M475)</x:f>
      </x:c>
      <x:c r="N507" s="530" t="str">
        <x:f>IF(ISBLANK('_SCHEDULE'!N475),"",'_SCHEDULE'!N475)</x:f>
      </x:c>
      <x:c r="O507" s="530" t="str">
        <x:f>IF(ISBLANK('_SCHEDULE'!O475),"",'_SCHEDULE'!O475)</x:f>
      </x:c>
      <x:c r="P507" s="530" t="str">
        <x:f>IF(ISBLANK('_SCHEDULE'!P475),"",'_SCHEDULE'!P475)</x:f>
      </x:c>
      <x:c r="Q507" s="530" t="str">
        <x:f>IF(ISBLANK('_SCHEDULE'!Q475),"",'_SCHEDULE'!Q475)</x:f>
      </x:c>
      <x:c r="R507" s="530" t="str">
        <x:f>IF(ISBLANK('_SCHEDULE'!R475),"",'_SCHEDULE'!R475)</x:f>
      </x:c>
      <x:c r="S507" s="523" t="str">
        <x:f>IF(ISBLANK('_SCHEDULE'!S475),"",'_SCHEDULE'!S475)</x:f>
      </x:c>
      <x:c r="T507" s="38"/>
      <x:c r="U507" s="38"/>
      <x:c r="V507" s="38"/>
      <x:c r="W507" s="38"/>
      <x:c r="X507" s="38"/>
      <x:c r="Y507" s="38"/>
      <x:c r="Z507" s="38"/>
      <x:c r="AA507" s="38"/>
      <x:c r="AB507" s="38"/>
      <x:c r="AC507" s="38"/>
      <x:c r="AD507" s="38"/>
      <x:c r="AE507" s="38"/>
      <x:c r="AF507" s="38"/>
      <x:c r="AG507" s="38"/>
      <x:c r="AH507" s="38"/>
      <x:c r="AI507" s="38"/>
      <x:c r="AJ507" s="38"/>
      <x:c r="AK507" s="38"/>
      <x:c r="AL507" s="38"/>
      <x:c r="AM507" s="38"/>
    </x:row>
    <x:row r="508">
      <x:c r="A508" s="523" t="str">
        <x:f>IF(ISBLANK('_SCHEDULE'!A476),"",'_SCHEDULE'!A476)</x:f>
      </x:c>
      <x:c r="B508" s="523" t="str">
        <x:f>IF(ISBLANK('_SCHEDULE'!B476),"",IF('_CONFIG'!$B$2="pt-BR",IF('_SCHEDULE'!B476="scheduled","programado",IF('_SCHEDULE'!B476="rejected","rejeitado",'_SCHEDULE'!B476)),'_SCHEDULE'!B476))</x:f>
      </x:c>
      <x:c r="C508" s="523" t="str">
        <x:f>IF(ISBLANK('_SCHEDULE'!C476),"",'_SCHEDULE'!C476)</x:f>
      </x:c>
      <x:c r="D508" s="523" t="str">
        <x:f>IF(ISBLANK('_SCHEDULE'!D476),"",'_SCHEDULE'!D476)</x:f>
      </x:c>
      <x:c r="E508" s="530" t="str">
        <x:f>IF(ISBLANK('_SCHEDULE'!E476),"",'_SCHEDULE'!E476)</x:f>
      </x:c>
      <x:c r="F508" s="530" t="str">
        <x:f>IF(ISBLANK('_SCHEDULE'!F476),"",'_SCHEDULE'!F476)</x:f>
      </x:c>
      <x:c r="G508" s="530" t="str">
        <x:f>IF(ISBLANK('_SCHEDULE'!G476),"",'_SCHEDULE'!G476)</x:f>
      </x:c>
      <x:c r="H508" s="530" t="str">
        <x:f>IF(ISBLANK('_SCHEDULE'!H476),"",'_SCHEDULE'!H476)</x:f>
      </x:c>
      <x:c r="I508" s="530" t="str">
        <x:f>IF(ISBLANK('_SCHEDULE'!I476),"",'_SCHEDULE'!I476)</x:f>
      </x:c>
      <x:c r="J508" s="530" t="str">
        <x:f>IF(ISBLANK('_SCHEDULE'!J476),"",'_SCHEDULE'!J476)</x:f>
      </x:c>
      <x:c r="K508" s="530" t="str">
        <x:f>IF(ISBLANK('_SCHEDULE'!K476),"",'_SCHEDULE'!K476)</x:f>
      </x:c>
      <x:c r="L508" s="530" t="str">
        <x:f>IF(ISBLANK('_SCHEDULE'!L476),"",'_SCHEDULE'!L476)</x:f>
      </x:c>
      <x:c r="M508" s="530" t="str">
        <x:f>IF(ISBLANK('_SCHEDULE'!M476),"",'_SCHEDULE'!M476)</x:f>
      </x:c>
      <x:c r="N508" s="530" t="str">
        <x:f>IF(ISBLANK('_SCHEDULE'!N476),"",'_SCHEDULE'!N476)</x:f>
      </x:c>
      <x:c r="O508" s="530" t="str">
        <x:f>IF(ISBLANK('_SCHEDULE'!O476),"",'_SCHEDULE'!O476)</x:f>
      </x:c>
      <x:c r="P508" s="530" t="str">
        <x:f>IF(ISBLANK('_SCHEDULE'!P476),"",'_SCHEDULE'!P476)</x:f>
      </x:c>
      <x:c r="Q508" s="530" t="str">
        <x:f>IF(ISBLANK('_SCHEDULE'!Q476),"",'_SCHEDULE'!Q476)</x:f>
      </x:c>
      <x:c r="R508" s="530" t="str">
        <x:f>IF(ISBLANK('_SCHEDULE'!R476),"",'_SCHEDULE'!R476)</x:f>
      </x:c>
      <x:c r="S508" s="523" t="str">
        <x:f>IF(ISBLANK('_SCHEDULE'!S476),"",'_SCHEDULE'!S476)</x:f>
      </x:c>
      <x:c r="T508" s="38"/>
      <x:c r="U508" s="38"/>
      <x:c r="V508" s="38"/>
      <x:c r="W508" s="38"/>
      <x:c r="X508" s="38"/>
      <x:c r="Y508" s="38"/>
      <x:c r="Z508" s="38"/>
      <x:c r="AA508" s="38"/>
      <x:c r="AB508" s="38"/>
      <x:c r="AC508" s="38"/>
      <x:c r="AD508" s="38"/>
      <x:c r="AE508" s="38"/>
      <x:c r="AF508" s="38"/>
      <x:c r="AG508" s="38"/>
      <x:c r="AH508" s="38"/>
      <x:c r="AI508" s="38"/>
      <x:c r="AJ508" s="38"/>
      <x:c r="AK508" s="38"/>
      <x:c r="AL508" s="38"/>
      <x:c r="AM508" s="38"/>
    </x:row>
    <x:row r="509">
      <x:c r="A509" s="523" t="str">
        <x:f>IF(ISBLANK('_SCHEDULE'!A477),"",'_SCHEDULE'!A477)</x:f>
      </x:c>
      <x:c r="B509" s="523" t="str">
        <x:f>IF(ISBLANK('_SCHEDULE'!B477),"",IF('_CONFIG'!$B$2="pt-BR",IF('_SCHEDULE'!B477="scheduled","programado",IF('_SCHEDULE'!B477="rejected","rejeitado",'_SCHEDULE'!B477)),'_SCHEDULE'!B477))</x:f>
      </x:c>
      <x:c r="C509" s="523" t="str">
        <x:f>IF(ISBLANK('_SCHEDULE'!C477),"",'_SCHEDULE'!C477)</x:f>
      </x:c>
      <x:c r="D509" s="523" t="str">
        <x:f>IF(ISBLANK('_SCHEDULE'!D477),"",'_SCHEDULE'!D477)</x:f>
      </x:c>
      <x:c r="E509" s="530" t="str">
        <x:f>IF(ISBLANK('_SCHEDULE'!E477),"",'_SCHEDULE'!E477)</x:f>
      </x:c>
      <x:c r="F509" s="530" t="str">
        <x:f>IF(ISBLANK('_SCHEDULE'!F477),"",'_SCHEDULE'!F477)</x:f>
      </x:c>
      <x:c r="G509" s="530" t="str">
        <x:f>IF(ISBLANK('_SCHEDULE'!G477),"",'_SCHEDULE'!G477)</x:f>
      </x:c>
      <x:c r="H509" s="530" t="str">
        <x:f>IF(ISBLANK('_SCHEDULE'!H477),"",'_SCHEDULE'!H477)</x:f>
      </x:c>
      <x:c r="I509" s="530" t="str">
        <x:f>IF(ISBLANK('_SCHEDULE'!I477),"",'_SCHEDULE'!I477)</x:f>
      </x:c>
      <x:c r="J509" s="530" t="str">
        <x:f>IF(ISBLANK('_SCHEDULE'!J477),"",'_SCHEDULE'!J477)</x:f>
      </x:c>
      <x:c r="K509" s="530" t="str">
        <x:f>IF(ISBLANK('_SCHEDULE'!K477),"",'_SCHEDULE'!K477)</x:f>
      </x:c>
      <x:c r="L509" s="530" t="str">
        <x:f>IF(ISBLANK('_SCHEDULE'!L477),"",'_SCHEDULE'!L477)</x:f>
      </x:c>
      <x:c r="M509" s="530" t="str">
        <x:f>IF(ISBLANK('_SCHEDULE'!M477),"",'_SCHEDULE'!M477)</x:f>
      </x:c>
      <x:c r="N509" s="530" t="str">
        <x:f>IF(ISBLANK('_SCHEDULE'!N477),"",'_SCHEDULE'!N477)</x:f>
      </x:c>
      <x:c r="O509" s="530" t="str">
        <x:f>IF(ISBLANK('_SCHEDULE'!O477),"",'_SCHEDULE'!O477)</x:f>
      </x:c>
      <x:c r="P509" s="530" t="str">
        <x:f>IF(ISBLANK('_SCHEDULE'!P477),"",'_SCHEDULE'!P477)</x:f>
      </x:c>
      <x:c r="Q509" s="530" t="str">
        <x:f>IF(ISBLANK('_SCHEDULE'!Q477),"",'_SCHEDULE'!Q477)</x:f>
      </x:c>
      <x:c r="R509" s="530" t="str">
        <x:f>IF(ISBLANK('_SCHEDULE'!R477),"",'_SCHEDULE'!R477)</x:f>
      </x:c>
      <x:c r="S509" s="523" t="str">
        <x:f>IF(ISBLANK('_SCHEDULE'!S477),"",'_SCHEDULE'!S477)</x:f>
      </x:c>
      <x:c r="T509" s="38"/>
      <x:c r="U509" s="38"/>
      <x:c r="V509" s="38"/>
      <x:c r="W509" s="38"/>
      <x:c r="X509" s="38"/>
      <x:c r="Y509" s="38"/>
      <x:c r="Z509" s="38"/>
      <x:c r="AA509" s="38"/>
      <x:c r="AB509" s="38"/>
      <x:c r="AC509" s="38"/>
      <x:c r="AD509" s="38"/>
      <x:c r="AE509" s="38"/>
      <x:c r="AF509" s="38"/>
      <x:c r="AG509" s="38"/>
      <x:c r="AH509" s="38"/>
      <x:c r="AI509" s="38"/>
      <x:c r="AJ509" s="38"/>
      <x:c r="AK509" s="38"/>
      <x:c r="AL509" s="38"/>
      <x:c r="AM509" s="38"/>
    </x:row>
    <x:row r="510">
      <x:c r="A510" s="523" t="str">
        <x:f>IF(ISBLANK('_SCHEDULE'!A478),"",'_SCHEDULE'!A478)</x:f>
      </x:c>
      <x:c r="B510" s="523" t="str">
        <x:f>IF(ISBLANK('_SCHEDULE'!B478),"",IF('_CONFIG'!$B$2="pt-BR",IF('_SCHEDULE'!B478="scheduled","programado",IF('_SCHEDULE'!B478="rejected","rejeitado",'_SCHEDULE'!B478)),'_SCHEDULE'!B478))</x:f>
      </x:c>
      <x:c r="C510" s="523" t="str">
        <x:f>IF(ISBLANK('_SCHEDULE'!C478),"",'_SCHEDULE'!C478)</x:f>
      </x:c>
      <x:c r="D510" s="523" t="str">
        <x:f>IF(ISBLANK('_SCHEDULE'!D478),"",'_SCHEDULE'!D478)</x:f>
      </x:c>
      <x:c r="E510" s="530" t="str">
        <x:f>IF(ISBLANK('_SCHEDULE'!E478),"",'_SCHEDULE'!E478)</x:f>
      </x:c>
      <x:c r="F510" s="530" t="str">
        <x:f>IF(ISBLANK('_SCHEDULE'!F478),"",'_SCHEDULE'!F478)</x:f>
      </x:c>
      <x:c r="G510" s="530" t="str">
        <x:f>IF(ISBLANK('_SCHEDULE'!G478),"",'_SCHEDULE'!G478)</x:f>
      </x:c>
      <x:c r="H510" s="530" t="str">
        <x:f>IF(ISBLANK('_SCHEDULE'!H478),"",'_SCHEDULE'!H478)</x:f>
      </x:c>
      <x:c r="I510" s="530" t="str">
        <x:f>IF(ISBLANK('_SCHEDULE'!I478),"",'_SCHEDULE'!I478)</x:f>
      </x:c>
      <x:c r="J510" s="530" t="str">
        <x:f>IF(ISBLANK('_SCHEDULE'!J478),"",'_SCHEDULE'!J478)</x:f>
      </x:c>
      <x:c r="K510" s="530" t="str">
        <x:f>IF(ISBLANK('_SCHEDULE'!K478),"",'_SCHEDULE'!K478)</x:f>
      </x:c>
      <x:c r="L510" s="530" t="str">
        <x:f>IF(ISBLANK('_SCHEDULE'!L478),"",'_SCHEDULE'!L478)</x:f>
      </x:c>
      <x:c r="M510" s="530" t="str">
        <x:f>IF(ISBLANK('_SCHEDULE'!M478),"",'_SCHEDULE'!M478)</x:f>
      </x:c>
      <x:c r="N510" s="530" t="str">
        <x:f>IF(ISBLANK('_SCHEDULE'!N478),"",'_SCHEDULE'!N478)</x:f>
      </x:c>
      <x:c r="O510" s="530" t="str">
        <x:f>IF(ISBLANK('_SCHEDULE'!O478),"",'_SCHEDULE'!O478)</x:f>
      </x:c>
      <x:c r="P510" s="530" t="str">
        <x:f>IF(ISBLANK('_SCHEDULE'!P478),"",'_SCHEDULE'!P478)</x:f>
      </x:c>
      <x:c r="Q510" s="530" t="str">
        <x:f>IF(ISBLANK('_SCHEDULE'!Q478),"",'_SCHEDULE'!Q478)</x:f>
      </x:c>
      <x:c r="R510" s="530" t="str">
        <x:f>IF(ISBLANK('_SCHEDULE'!R478),"",'_SCHEDULE'!R478)</x:f>
      </x:c>
      <x:c r="S510" s="523" t="str">
        <x:f>IF(ISBLANK('_SCHEDULE'!S478),"",'_SCHEDULE'!S478)</x:f>
      </x:c>
      <x:c r="T510" s="38"/>
      <x:c r="U510" s="38"/>
      <x:c r="V510" s="38"/>
      <x:c r="W510" s="38"/>
      <x:c r="X510" s="38"/>
      <x:c r="Y510" s="38"/>
      <x:c r="Z510" s="38"/>
      <x:c r="AA510" s="38"/>
      <x:c r="AB510" s="38"/>
      <x:c r="AC510" s="38"/>
      <x:c r="AD510" s="38"/>
      <x:c r="AE510" s="38"/>
      <x:c r="AF510" s="38"/>
      <x:c r="AG510" s="38"/>
      <x:c r="AH510" s="38"/>
      <x:c r="AI510" s="38"/>
      <x:c r="AJ510" s="38"/>
      <x:c r="AK510" s="38"/>
      <x:c r="AL510" s="38"/>
      <x:c r="AM510" s="38"/>
    </x:row>
    <x:row r="511">
      <x:c r="A511" s="523" t="str">
        <x:f>IF(ISBLANK('_SCHEDULE'!A479),"",'_SCHEDULE'!A479)</x:f>
      </x:c>
      <x:c r="B511" s="523" t="str">
        <x:f>IF(ISBLANK('_SCHEDULE'!B479),"",IF('_CONFIG'!$B$2="pt-BR",IF('_SCHEDULE'!B479="scheduled","programado",IF('_SCHEDULE'!B479="rejected","rejeitado",'_SCHEDULE'!B479)),'_SCHEDULE'!B479))</x:f>
      </x:c>
      <x:c r="C511" s="523" t="str">
        <x:f>IF(ISBLANK('_SCHEDULE'!C479),"",'_SCHEDULE'!C479)</x:f>
      </x:c>
      <x:c r="D511" s="523" t="str">
        <x:f>IF(ISBLANK('_SCHEDULE'!D479),"",'_SCHEDULE'!D479)</x:f>
      </x:c>
      <x:c r="E511" s="530" t="str">
        <x:f>IF(ISBLANK('_SCHEDULE'!E479),"",'_SCHEDULE'!E479)</x:f>
      </x:c>
      <x:c r="F511" s="530" t="str">
        <x:f>IF(ISBLANK('_SCHEDULE'!F479),"",'_SCHEDULE'!F479)</x:f>
      </x:c>
      <x:c r="G511" s="530" t="str">
        <x:f>IF(ISBLANK('_SCHEDULE'!G479),"",'_SCHEDULE'!G479)</x:f>
      </x:c>
      <x:c r="H511" s="530" t="str">
        <x:f>IF(ISBLANK('_SCHEDULE'!H479),"",'_SCHEDULE'!H479)</x:f>
      </x:c>
      <x:c r="I511" s="530" t="str">
        <x:f>IF(ISBLANK('_SCHEDULE'!I479),"",'_SCHEDULE'!I479)</x:f>
      </x:c>
      <x:c r="J511" s="530" t="str">
        <x:f>IF(ISBLANK('_SCHEDULE'!J479),"",'_SCHEDULE'!J479)</x:f>
      </x:c>
      <x:c r="K511" s="530" t="str">
        <x:f>IF(ISBLANK('_SCHEDULE'!K479),"",'_SCHEDULE'!K479)</x:f>
      </x:c>
      <x:c r="L511" s="530" t="str">
        <x:f>IF(ISBLANK('_SCHEDULE'!L479),"",'_SCHEDULE'!L479)</x:f>
      </x:c>
      <x:c r="M511" s="530" t="str">
        <x:f>IF(ISBLANK('_SCHEDULE'!M479),"",'_SCHEDULE'!M479)</x:f>
      </x:c>
      <x:c r="N511" s="530" t="str">
        <x:f>IF(ISBLANK('_SCHEDULE'!N479),"",'_SCHEDULE'!N479)</x:f>
      </x:c>
      <x:c r="O511" s="530" t="str">
        <x:f>IF(ISBLANK('_SCHEDULE'!O479),"",'_SCHEDULE'!O479)</x:f>
      </x:c>
      <x:c r="P511" s="530" t="str">
        <x:f>IF(ISBLANK('_SCHEDULE'!P479),"",'_SCHEDULE'!P479)</x:f>
      </x:c>
      <x:c r="Q511" s="530" t="str">
        <x:f>IF(ISBLANK('_SCHEDULE'!Q479),"",'_SCHEDULE'!Q479)</x:f>
      </x:c>
      <x:c r="R511" s="530" t="str">
        <x:f>IF(ISBLANK('_SCHEDULE'!R479),"",'_SCHEDULE'!R479)</x:f>
      </x:c>
      <x:c r="S511" s="523" t="str">
        <x:f>IF(ISBLANK('_SCHEDULE'!S479),"",'_SCHEDULE'!S479)</x:f>
      </x:c>
      <x:c r="T511" s="38"/>
      <x:c r="U511" s="38"/>
      <x:c r="V511" s="38"/>
      <x:c r="W511" s="38"/>
      <x:c r="X511" s="38"/>
      <x:c r="Y511" s="38"/>
      <x:c r="Z511" s="38"/>
      <x:c r="AA511" s="38"/>
      <x:c r="AB511" s="38"/>
      <x:c r="AC511" s="38"/>
      <x:c r="AD511" s="38"/>
      <x:c r="AE511" s="38"/>
      <x:c r="AF511" s="38"/>
      <x:c r="AG511" s="38"/>
      <x:c r="AH511" s="38"/>
      <x:c r="AI511" s="38"/>
      <x:c r="AJ511" s="38"/>
      <x:c r="AK511" s="38"/>
      <x:c r="AL511" s="38"/>
      <x:c r="AM511" s="38"/>
    </x:row>
    <x:row r="512">
      <x:c r="A512" s="523" t="str">
        <x:f>IF(ISBLANK('_SCHEDULE'!A480),"",'_SCHEDULE'!A480)</x:f>
      </x:c>
      <x:c r="B512" s="523" t="str">
        <x:f>IF(ISBLANK('_SCHEDULE'!B480),"",IF('_CONFIG'!$B$2="pt-BR",IF('_SCHEDULE'!B480="scheduled","programado",IF('_SCHEDULE'!B480="rejected","rejeitado",'_SCHEDULE'!B480)),'_SCHEDULE'!B480))</x:f>
      </x:c>
      <x:c r="C512" s="523" t="str">
        <x:f>IF(ISBLANK('_SCHEDULE'!C480),"",'_SCHEDULE'!C480)</x:f>
      </x:c>
      <x:c r="D512" s="523" t="str">
        <x:f>IF(ISBLANK('_SCHEDULE'!D480),"",'_SCHEDULE'!D480)</x:f>
      </x:c>
      <x:c r="E512" s="530" t="str">
        <x:f>IF(ISBLANK('_SCHEDULE'!E480),"",'_SCHEDULE'!E480)</x:f>
      </x:c>
      <x:c r="F512" s="530" t="str">
        <x:f>IF(ISBLANK('_SCHEDULE'!F480),"",'_SCHEDULE'!F480)</x:f>
      </x:c>
      <x:c r="G512" s="530" t="str">
        <x:f>IF(ISBLANK('_SCHEDULE'!G480),"",'_SCHEDULE'!G480)</x:f>
      </x:c>
      <x:c r="H512" s="530" t="str">
        <x:f>IF(ISBLANK('_SCHEDULE'!H480),"",'_SCHEDULE'!H480)</x:f>
      </x:c>
      <x:c r="I512" s="530" t="str">
        <x:f>IF(ISBLANK('_SCHEDULE'!I480),"",'_SCHEDULE'!I480)</x:f>
      </x:c>
      <x:c r="J512" s="530" t="str">
        <x:f>IF(ISBLANK('_SCHEDULE'!J480),"",'_SCHEDULE'!J480)</x:f>
      </x:c>
      <x:c r="K512" s="530" t="str">
        <x:f>IF(ISBLANK('_SCHEDULE'!K480),"",'_SCHEDULE'!K480)</x:f>
      </x:c>
      <x:c r="L512" s="530" t="str">
        <x:f>IF(ISBLANK('_SCHEDULE'!L480),"",'_SCHEDULE'!L480)</x:f>
      </x:c>
      <x:c r="M512" s="530" t="str">
        <x:f>IF(ISBLANK('_SCHEDULE'!M480),"",'_SCHEDULE'!M480)</x:f>
      </x:c>
      <x:c r="N512" s="530" t="str">
        <x:f>IF(ISBLANK('_SCHEDULE'!N480),"",'_SCHEDULE'!N480)</x:f>
      </x:c>
      <x:c r="O512" s="530" t="str">
        <x:f>IF(ISBLANK('_SCHEDULE'!O480),"",'_SCHEDULE'!O480)</x:f>
      </x:c>
      <x:c r="P512" s="530" t="str">
        <x:f>IF(ISBLANK('_SCHEDULE'!P480),"",'_SCHEDULE'!P480)</x:f>
      </x:c>
      <x:c r="Q512" s="530" t="str">
        <x:f>IF(ISBLANK('_SCHEDULE'!Q480),"",'_SCHEDULE'!Q480)</x:f>
      </x:c>
      <x:c r="R512" s="530" t="str">
        <x:f>IF(ISBLANK('_SCHEDULE'!R480),"",'_SCHEDULE'!R480)</x:f>
      </x:c>
      <x:c r="S512" s="523" t="str">
        <x:f>IF(ISBLANK('_SCHEDULE'!S480),"",'_SCHEDULE'!S480)</x:f>
      </x:c>
      <x:c r="T512" s="38"/>
      <x:c r="U512" s="38"/>
      <x:c r="V512" s="38"/>
      <x:c r="W512" s="38"/>
      <x:c r="X512" s="38"/>
      <x:c r="Y512" s="38"/>
      <x:c r="Z512" s="38"/>
      <x:c r="AA512" s="38"/>
      <x:c r="AB512" s="38"/>
      <x:c r="AC512" s="38"/>
      <x:c r="AD512" s="38"/>
      <x:c r="AE512" s="38"/>
      <x:c r="AF512" s="38"/>
      <x:c r="AG512" s="38"/>
      <x:c r="AH512" s="38"/>
      <x:c r="AI512" s="38"/>
      <x:c r="AJ512" s="38"/>
      <x:c r="AK512" s="38"/>
      <x:c r="AL512" s="38"/>
      <x:c r="AM512" s="38"/>
    </x:row>
    <x:row r="513">
      <x:c r="A513" s="523" t="str">
        <x:f>IF(ISBLANK('_SCHEDULE'!A481),"",'_SCHEDULE'!A481)</x:f>
      </x:c>
      <x:c r="B513" s="523" t="str">
        <x:f>IF(ISBLANK('_SCHEDULE'!B481),"",IF('_CONFIG'!$B$2="pt-BR",IF('_SCHEDULE'!B481="scheduled","programado",IF('_SCHEDULE'!B481="rejected","rejeitado",'_SCHEDULE'!B481)),'_SCHEDULE'!B481))</x:f>
      </x:c>
      <x:c r="C513" s="523" t="str">
        <x:f>IF(ISBLANK('_SCHEDULE'!C481),"",'_SCHEDULE'!C481)</x:f>
      </x:c>
      <x:c r="D513" s="523" t="str">
        <x:f>IF(ISBLANK('_SCHEDULE'!D481),"",'_SCHEDULE'!D481)</x:f>
      </x:c>
      <x:c r="E513" s="530" t="str">
        <x:f>IF(ISBLANK('_SCHEDULE'!E481),"",'_SCHEDULE'!E481)</x:f>
      </x:c>
      <x:c r="F513" s="530" t="str">
        <x:f>IF(ISBLANK('_SCHEDULE'!F481),"",'_SCHEDULE'!F481)</x:f>
      </x:c>
      <x:c r="G513" s="530" t="str">
        <x:f>IF(ISBLANK('_SCHEDULE'!G481),"",'_SCHEDULE'!G481)</x:f>
      </x:c>
      <x:c r="H513" s="530" t="str">
        <x:f>IF(ISBLANK('_SCHEDULE'!H481),"",'_SCHEDULE'!H481)</x:f>
      </x:c>
      <x:c r="I513" s="530" t="str">
        <x:f>IF(ISBLANK('_SCHEDULE'!I481),"",'_SCHEDULE'!I481)</x:f>
      </x:c>
      <x:c r="J513" s="530" t="str">
        <x:f>IF(ISBLANK('_SCHEDULE'!J481),"",'_SCHEDULE'!J481)</x:f>
      </x:c>
      <x:c r="K513" s="530" t="str">
        <x:f>IF(ISBLANK('_SCHEDULE'!K481),"",'_SCHEDULE'!K481)</x:f>
      </x:c>
      <x:c r="L513" s="530" t="str">
        <x:f>IF(ISBLANK('_SCHEDULE'!L481),"",'_SCHEDULE'!L481)</x:f>
      </x:c>
      <x:c r="M513" s="530" t="str">
        <x:f>IF(ISBLANK('_SCHEDULE'!M481),"",'_SCHEDULE'!M481)</x:f>
      </x:c>
      <x:c r="N513" s="530" t="str">
        <x:f>IF(ISBLANK('_SCHEDULE'!N481),"",'_SCHEDULE'!N481)</x:f>
      </x:c>
      <x:c r="O513" s="530" t="str">
        <x:f>IF(ISBLANK('_SCHEDULE'!O481),"",'_SCHEDULE'!O481)</x:f>
      </x:c>
      <x:c r="P513" s="530" t="str">
        <x:f>IF(ISBLANK('_SCHEDULE'!P481),"",'_SCHEDULE'!P481)</x:f>
      </x:c>
      <x:c r="Q513" s="530" t="str">
        <x:f>IF(ISBLANK('_SCHEDULE'!Q481),"",'_SCHEDULE'!Q481)</x:f>
      </x:c>
      <x:c r="R513" s="530" t="str">
        <x:f>IF(ISBLANK('_SCHEDULE'!R481),"",'_SCHEDULE'!R481)</x:f>
      </x:c>
      <x:c r="S513" s="523" t="str">
        <x:f>IF(ISBLANK('_SCHEDULE'!S481),"",'_SCHEDULE'!S481)</x:f>
      </x:c>
      <x:c r="T513" s="38"/>
      <x:c r="U513" s="38"/>
      <x:c r="V513" s="38"/>
      <x:c r="W513" s="38"/>
      <x:c r="X513" s="38"/>
      <x:c r="Y513" s="38"/>
      <x:c r="Z513" s="38"/>
      <x:c r="AA513" s="38"/>
      <x:c r="AB513" s="38"/>
      <x:c r="AC513" s="38"/>
      <x:c r="AD513" s="38"/>
      <x:c r="AE513" s="38"/>
      <x:c r="AF513" s="38"/>
      <x:c r="AG513" s="38"/>
      <x:c r="AH513" s="38"/>
      <x:c r="AI513" s="38"/>
      <x:c r="AJ513" s="38"/>
      <x:c r="AK513" s="38"/>
      <x:c r="AL513" s="38"/>
      <x:c r="AM513" s="38"/>
    </x:row>
    <x:row r="514">
      <x:c r="A514" s="523" t="str">
        <x:f>IF(ISBLANK('_SCHEDULE'!A482),"",'_SCHEDULE'!A482)</x:f>
      </x:c>
      <x:c r="B514" s="523" t="str">
        <x:f>IF(ISBLANK('_SCHEDULE'!B482),"",IF('_CONFIG'!$B$2="pt-BR",IF('_SCHEDULE'!B482="scheduled","programado",IF('_SCHEDULE'!B482="rejected","rejeitado",'_SCHEDULE'!B482)),'_SCHEDULE'!B482))</x:f>
      </x:c>
      <x:c r="C514" s="523" t="str">
        <x:f>IF(ISBLANK('_SCHEDULE'!C482),"",'_SCHEDULE'!C482)</x:f>
      </x:c>
      <x:c r="D514" s="523" t="str">
        <x:f>IF(ISBLANK('_SCHEDULE'!D482),"",'_SCHEDULE'!D482)</x:f>
      </x:c>
      <x:c r="E514" s="530" t="str">
        <x:f>IF(ISBLANK('_SCHEDULE'!E482),"",'_SCHEDULE'!E482)</x:f>
      </x:c>
      <x:c r="F514" s="530" t="str">
        <x:f>IF(ISBLANK('_SCHEDULE'!F482),"",'_SCHEDULE'!F482)</x:f>
      </x:c>
      <x:c r="G514" s="530" t="str">
        <x:f>IF(ISBLANK('_SCHEDULE'!G482),"",'_SCHEDULE'!G482)</x:f>
      </x:c>
      <x:c r="H514" s="530" t="str">
        <x:f>IF(ISBLANK('_SCHEDULE'!H482),"",'_SCHEDULE'!H482)</x:f>
      </x:c>
      <x:c r="I514" s="530" t="str">
        <x:f>IF(ISBLANK('_SCHEDULE'!I482),"",'_SCHEDULE'!I482)</x:f>
      </x:c>
      <x:c r="J514" s="530" t="str">
        <x:f>IF(ISBLANK('_SCHEDULE'!J482),"",'_SCHEDULE'!J482)</x:f>
      </x:c>
      <x:c r="K514" s="530" t="str">
        <x:f>IF(ISBLANK('_SCHEDULE'!K482),"",'_SCHEDULE'!K482)</x:f>
      </x:c>
      <x:c r="L514" s="530" t="str">
        <x:f>IF(ISBLANK('_SCHEDULE'!L482),"",'_SCHEDULE'!L482)</x:f>
      </x:c>
      <x:c r="M514" s="530" t="str">
        <x:f>IF(ISBLANK('_SCHEDULE'!M482),"",'_SCHEDULE'!M482)</x:f>
      </x:c>
      <x:c r="N514" s="530" t="str">
        <x:f>IF(ISBLANK('_SCHEDULE'!N482),"",'_SCHEDULE'!N482)</x:f>
      </x:c>
      <x:c r="O514" s="530" t="str">
        <x:f>IF(ISBLANK('_SCHEDULE'!O482),"",'_SCHEDULE'!O482)</x:f>
      </x:c>
      <x:c r="P514" s="530" t="str">
        <x:f>IF(ISBLANK('_SCHEDULE'!P482),"",'_SCHEDULE'!P482)</x:f>
      </x:c>
      <x:c r="Q514" s="530" t="str">
        <x:f>IF(ISBLANK('_SCHEDULE'!Q482),"",'_SCHEDULE'!Q482)</x:f>
      </x:c>
      <x:c r="R514" s="530" t="str">
        <x:f>IF(ISBLANK('_SCHEDULE'!R482),"",'_SCHEDULE'!R482)</x:f>
      </x:c>
      <x:c r="S514" s="523" t="str">
        <x:f>IF(ISBLANK('_SCHEDULE'!S482),"",'_SCHEDULE'!S482)</x:f>
      </x:c>
      <x:c r="T514" s="38"/>
      <x:c r="U514" s="38"/>
      <x:c r="V514" s="38"/>
      <x:c r="W514" s="38"/>
      <x:c r="X514" s="38"/>
      <x:c r="Y514" s="38"/>
      <x:c r="Z514" s="38"/>
      <x:c r="AA514" s="38"/>
      <x:c r="AB514" s="38"/>
      <x:c r="AC514" s="38"/>
      <x:c r="AD514" s="38"/>
      <x:c r="AE514" s="38"/>
      <x:c r="AF514" s="38"/>
      <x:c r="AG514" s="38"/>
      <x:c r="AH514" s="38"/>
      <x:c r="AI514" s="38"/>
      <x:c r="AJ514" s="38"/>
      <x:c r="AK514" s="38"/>
      <x:c r="AL514" s="38"/>
      <x:c r="AM514" s="38"/>
    </x:row>
    <x:row r="515">
      <x:c r="A515" s="523" t="str">
        <x:f>IF(ISBLANK('_SCHEDULE'!A483),"",'_SCHEDULE'!A483)</x:f>
      </x:c>
      <x:c r="B515" s="523" t="str">
        <x:f>IF(ISBLANK('_SCHEDULE'!B483),"",IF('_CONFIG'!$B$2="pt-BR",IF('_SCHEDULE'!B483="scheduled","programado",IF('_SCHEDULE'!B483="rejected","rejeitado",'_SCHEDULE'!B483)),'_SCHEDULE'!B483))</x:f>
      </x:c>
      <x:c r="C515" s="523" t="str">
        <x:f>IF(ISBLANK('_SCHEDULE'!C483),"",'_SCHEDULE'!C483)</x:f>
      </x:c>
      <x:c r="D515" s="523" t="str">
        <x:f>IF(ISBLANK('_SCHEDULE'!D483),"",'_SCHEDULE'!D483)</x:f>
      </x:c>
      <x:c r="E515" s="530" t="str">
        <x:f>IF(ISBLANK('_SCHEDULE'!E483),"",'_SCHEDULE'!E483)</x:f>
      </x:c>
      <x:c r="F515" s="530" t="str">
        <x:f>IF(ISBLANK('_SCHEDULE'!F483),"",'_SCHEDULE'!F483)</x:f>
      </x:c>
      <x:c r="G515" s="530" t="str">
        <x:f>IF(ISBLANK('_SCHEDULE'!G483),"",'_SCHEDULE'!G483)</x:f>
      </x:c>
      <x:c r="H515" s="530" t="str">
        <x:f>IF(ISBLANK('_SCHEDULE'!H483),"",'_SCHEDULE'!H483)</x:f>
      </x:c>
      <x:c r="I515" s="530" t="str">
        <x:f>IF(ISBLANK('_SCHEDULE'!I483),"",'_SCHEDULE'!I483)</x:f>
      </x:c>
      <x:c r="J515" s="530" t="str">
        <x:f>IF(ISBLANK('_SCHEDULE'!J483),"",'_SCHEDULE'!J483)</x:f>
      </x:c>
      <x:c r="K515" s="530" t="str">
        <x:f>IF(ISBLANK('_SCHEDULE'!K483),"",'_SCHEDULE'!K483)</x:f>
      </x:c>
      <x:c r="L515" s="530" t="str">
        <x:f>IF(ISBLANK('_SCHEDULE'!L483),"",'_SCHEDULE'!L483)</x:f>
      </x:c>
      <x:c r="M515" s="530" t="str">
        <x:f>IF(ISBLANK('_SCHEDULE'!M483),"",'_SCHEDULE'!M483)</x:f>
      </x:c>
      <x:c r="N515" s="530" t="str">
        <x:f>IF(ISBLANK('_SCHEDULE'!N483),"",'_SCHEDULE'!N483)</x:f>
      </x:c>
      <x:c r="O515" s="530" t="str">
        <x:f>IF(ISBLANK('_SCHEDULE'!O483),"",'_SCHEDULE'!O483)</x:f>
      </x:c>
      <x:c r="P515" s="530" t="str">
        <x:f>IF(ISBLANK('_SCHEDULE'!P483),"",'_SCHEDULE'!P483)</x:f>
      </x:c>
      <x:c r="Q515" s="530" t="str">
        <x:f>IF(ISBLANK('_SCHEDULE'!Q483),"",'_SCHEDULE'!Q483)</x:f>
      </x:c>
      <x:c r="R515" s="530" t="str">
        <x:f>IF(ISBLANK('_SCHEDULE'!R483),"",'_SCHEDULE'!R483)</x:f>
      </x:c>
      <x:c r="S515" s="523" t="str">
        <x:f>IF(ISBLANK('_SCHEDULE'!S483),"",'_SCHEDULE'!S483)</x:f>
      </x:c>
      <x:c r="T515" s="38"/>
      <x:c r="U515" s="38"/>
      <x:c r="V515" s="38"/>
      <x:c r="W515" s="38"/>
      <x:c r="X515" s="38"/>
      <x:c r="Y515" s="38"/>
      <x:c r="Z515" s="38"/>
      <x:c r="AA515" s="38"/>
      <x:c r="AB515" s="38"/>
      <x:c r="AC515" s="38"/>
      <x:c r="AD515" s="38"/>
      <x:c r="AE515" s="38"/>
      <x:c r="AF515" s="38"/>
      <x:c r="AG515" s="38"/>
      <x:c r="AH515" s="38"/>
      <x:c r="AI515" s="38"/>
      <x:c r="AJ515" s="38"/>
      <x:c r="AK515" s="38"/>
      <x:c r="AL515" s="38"/>
      <x:c r="AM515" s="38"/>
    </x:row>
    <x:row r="516">
      <x:c r="A516" s="523" t="str">
        <x:f>IF(ISBLANK('_SCHEDULE'!A484),"",'_SCHEDULE'!A484)</x:f>
      </x:c>
      <x:c r="B516" s="523" t="str">
        <x:f>IF(ISBLANK('_SCHEDULE'!B484),"",IF('_CONFIG'!$B$2="pt-BR",IF('_SCHEDULE'!B484="scheduled","programado",IF('_SCHEDULE'!B484="rejected","rejeitado",'_SCHEDULE'!B484)),'_SCHEDULE'!B484))</x:f>
      </x:c>
      <x:c r="C516" s="523" t="str">
        <x:f>IF(ISBLANK('_SCHEDULE'!C484),"",'_SCHEDULE'!C484)</x:f>
      </x:c>
      <x:c r="D516" s="523" t="str">
        <x:f>IF(ISBLANK('_SCHEDULE'!D484),"",'_SCHEDULE'!D484)</x:f>
      </x:c>
      <x:c r="E516" s="530" t="str">
        <x:f>IF(ISBLANK('_SCHEDULE'!E484),"",'_SCHEDULE'!E484)</x:f>
      </x:c>
      <x:c r="F516" s="530" t="str">
        <x:f>IF(ISBLANK('_SCHEDULE'!F484),"",'_SCHEDULE'!F484)</x:f>
      </x:c>
      <x:c r="G516" s="530" t="str">
        <x:f>IF(ISBLANK('_SCHEDULE'!G484),"",'_SCHEDULE'!G484)</x:f>
      </x:c>
      <x:c r="H516" s="530" t="str">
        <x:f>IF(ISBLANK('_SCHEDULE'!H484),"",'_SCHEDULE'!H484)</x:f>
      </x:c>
      <x:c r="I516" s="530" t="str">
        <x:f>IF(ISBLANK('_SCHEDULE'!I484),"",'_SCHEDULE'!I484)</x:f>
      </x:c>
      <x:c r="J516" s="530" t="str">
        <x:f>IF(ISBLANK('_SCHEDULE'!J484),"",'_SCHEDULE'!J484)</x:f>
      </x:c>
      <x:c r="K516" s="530" t="str">
        <x:f>IF(ISBLANK('_SCHEDULE'!K484),"",'_SCHEDULE'!K484)</x:f>
      </x:c>
      <x:c r="L516" s="530" t="str">
        <x:f>IF(ISBLANK('_SCHEDULE'!L484),"",'_SCHEDULE'!L484)</x:f>
      </x:c>
      <x:c r="M516" s="530" t="str">
        <x:f>IF(ISBLANK('_SCHEDULE'!M484),"",'_SCHEDULE'!M484)</x:f>
      </x:c>
      <x:c r="N516" s="530" t="str">
        <x:f>IF(ISBLANK('_SCHEDULE'!N484),"",'_SCHEDULE'!N484)</x:f>
      </x:c>
      <x:c r="O516" s="530" t="str">
        <x:f>IF(ISBLANK('_SCHEDULE'!O484),"",'_SCHEDULE'!O484)</x:f>
      </x:c>
      <x:c r="P516" s="530" t="str">
        <x:f>IF(ISBLANK('_SCHEDULE'!P484),"",'_SCHEDULE'!P484)</x:f>
      </x:c>
      <x:c r="Q516" s="530" t="str">
        <x:f>IF(ISBLANK('_SCHEDULE'!Q484),"",'_SCHEDULE'!Q484)</x:f>
      </x:c>
      <x:c r="R516" s="530" t="str">
        <x:f>IF(ISBLANK('_SCHEDULE'!R484),"",'_SCHEDULE'!R484)</x:f>
      </x:c>
      <x:c r="S516" s="523" t="str">
        <x:f>IF(ISBLANK('_SCHEDULE'!S484),"",'_SCHEDULE'!S484)</x:f>
      </x:c>
      <x:c r="T516" s="38"/>
      <x:c r="U516" s="38"/>
      <x:c r="V516" s="38"/>
      <x:c r="W516" s="38"/>
      <x:c r="X516" s="38"/>
      <x:c r="Y516" s="38"/>
      <x:c r="Z516" s="38"/>
      <x:c r="AA516" s="38"/>
      <x:c r="AB516" s="38"/>
      <x:c r="AC516" s="38"/>
      <x:c r="AD516" s="38"/>
      <x:c r="AE516" s="38"/>
      <x:c r="AF516" s="38"/>
      <x:c r="AG516" s="38"/>
      <x:c r="AH516" s="38"/>
      <x:c r="AI516" s="38"/>
      <x:c r="AJ516" s="38"/>
      <x:c r="AK516" s="38"/>
      <x:c r="AL516" s="38"/>
      <x:c r="AM516" s="38"/>
    </x:row>
    <x:row r="517">
      <x:c r="A517" s="523" t="str">
        <x:f>IF(ISBLANK('_SCHEDULE'!A485),"",'_SCHEDULE'!A485)</x:f>
      </x:c>
      <x:c r="B517" s="523" t="str">
        <x:f>IF(ISBLANK('_SCHEDULE'!B485),"",IF('_CONFIG'!$B$2="pt-BR",IF('_SCHEDULE'!B485="scheduled","programado",IF('_SCHEDULE'!B485="rejected","rejeitado",'_SCHEDULE'!B485)),'_SCHEDULE'!B485))</x:f>
      </x:c>
      <x:c r="C517" s="523" t="str">
        <x:f>IF(ISBLANK('_SCHEDULE'!C485),"",'_SCHEDULE'!C485)</x:f>
      </x:c>
      <x:c r="D517" s="523" t="str">
        <x:f>IF(ISBLANK('_SCHEDULE'!D485),"",'_SCHEDULE'!D485)</x:f>
      </x:c>
      <x:c r="E517" s="530" t="str">
        <x:f>IF(ISBLANK('_SCHEDULE'!E485),"",'_SCHEDULE'!E485)</x:f>
      </x:c>
      <x:c r="F517" s="530" t="str">
        <x:f>IF(ISBLANK('_SCHEDULE'!F485),"",'_SCHEDULE'!F485)</x:f>
      </x:c>
      <x:c r="G517" s="530" t="str">
        <x:f>IF(ISBLANK('_SCHEDULE'!G485),"",'_SCHEDULE'!G485)</x:f>
      </x:c>
      <x:c r="H517" s="530" t="str">
        <x:f>IF(ISBLANK('_SCHEDULE'!H485),"",'_SCHEDULE'!H485)</x:f>
      </x:c>
      <x:c r="I517" s="530" t="str">
        <x:f>IF(ISBLANK('_SCHEDULE'!I485),"",'_SCHEDULE'!I485)</x:f>
      </x:c>
      <x:c r="J517" s="530" t="str">
        <x:f>IF(ISBLANK('_SCHEDULE'!J485),"",'_SCHEDULE'!J485)</x:f>
      </x:c>
      <x:c r="K517" s="530" t="str">
        <x:f>IF(ISBLANK('_SCHEDULE'!K485),"",'_SCHEDULE'!K485)</x:f>
      </x:c>
      <x:c r="L517" s="530" t="str">
        <x:f>IF(ISBLANK('_SCHEDULE'!L485),"",'_SCHEDULE'!L485)</x:f>
      </x:c>
      <x:c r="M517" s="530" t="str">
        <x:f>IF(ISBLANK('_SCHEDULE'!M485),"",'_SCHEDULE'!M485)</x:f>
      </x:c>
      <x:c r="N517" s="530" t="str">
        <x:f>IF(ISBLANK('_SCHEDULE'!N485),"",'_SCHEDULE'!N485)</x:f>
      </x:c>
      <x:c r="O517" s="530" t="str">
        <x:f>IF(ISBLANK('_SCHEDULE'!O485),"",'_SCHEDULE'!O485)</x:f>
      </x:c>
      <x:c r="P517" s="530" t="str">
        <x:f>IF(ISBLANK('_SCHEDULE'!P485),"",'_SCHEDULE'!P485)</x:f>
      </x:c>
      <x:c r="Q517" s="530" t="str">
        <x:f>IF(ISBLANK('_SCHEDULE'!Q485),"",'_SCHEDULE'!Q485)</x:f>
      </x:c>
      <x:c r="R517" s="530" t="str">
        <x:f>IF(ISBLANK('_SCHEDULE'!R485),"",'_SCHEDULE'!R485)</x:f>
      </x:c>
      <x:c r="S517" s="523" t="str">
        <x:f>IF(ISBLANK('_SCHEDULE'!S485),"",'_SCHEDULE'!S485)</x:f>
      </x:c>
      <x:c r="T517" s="38"/>
      <x:c r="U517" s="38"/>
      <x:c r="V517" s="38"/>
      <x:c r="W517" s="38"/>
      <x:c r="X517" s="38"/>
      <x:c r="Y517" s="38"/>
      <x:c r="Z517" s="38"/>
      <x:c r="AA517" s="38"/>
      <x:c r="AB517" s="38"/>
      <x:c r="AC517" s="38"/>
      <x:c r="AD517" s="38"/>
      <x:c r="AE517" s="38"/>
      <x:c r="AF517" s="38"/>
      <x:c r="AG517" s="38"/>
      <x:c r="AH517" s="38"/>
      <x:c r="AI517" s="38"/>
      <x:c r="AJ517" s="38"/>
      <x:c r="AK517" s="38"/>
      <x:c r="AL517" s="38"/>
      <x:c r="AM517" s="38"/>
    </x:row>
    <x:row r="518">
      <x:c r="A518" s="523" t="str">
        <x:f>IF(ISBLANK('_SCHEDULE'!A486),"",'_SCHEDULE'!A486)</x:f>
      </x:c>
      <x:c r="B518" s="523" t="str">
        <x:f>IF(ISBLANK('_SCHEDULE'!B486),"",IF('_CONFIG'!$B$2="pt-BR",IF('_SCHEDULE'!B486="scheduled","programado",IF('_SCHEDULE'!B486="rejected","rejeitado",'_SCHEDULE'!B486)),'_SCHEDULE'!B486))</x:f>
      </x:c>
      <x:c r="C518" s="523" t="str">
        <x:f>IF(ISBLANK('_SCHEDULE'!C486),"",'_SCHEDULE'!C486)</x:f>
      </x:c>
      <x:c r="D518" s="523" t="str">
        <x:f>IF(ISBLANK('_SCHEDULE'!D486),"",'_SCHEDULE'!D486)</x:f>
      </x:c>
      <x:c r="E518" s="530" t="str">
        <x:f>IF(ISBLANK('_SCHEDULE'!E486),"",'_SCHEDULE'!E486)</x:f>
      </x:c>
      <x:c r="F518" s="530" t="str">
        <x:f>IF(ISBLANK('_SCHEDULE'!F486),"",'_SCHEDULE'!F486)</x:f>
      </x:c>
      <x:c r="G518" s="530" t="str">
        <x:f>IF(ISBLANK('_SCHEDULE'!G486),"",'_SCHEDULE'!G486)</x:f>
      </x:c>
      <x:c r="H518" s="530" t="str">
        <x:f>IF(ISBLANK('_SCHEDULE'!H486),"",'_SCHEDULE'!H486)</x:f>
      </x:c>
      <x:c r="I518" s="530" t="str">
        <x:f>IF(ISBLANK('_SCHEDULE'!I486),"",'_SCHEDULE'!I486)</x:f>
      </x:c>
      <x:c r="J518" s="530" t="str">
        <x:f>IF(ISBLANK('_SCHEDULE'!J486),"",'_SCHEDULE'!J486)</x:f>
      </x:c>
      <x:c r="K518" s="530" t="str">
        <x:f>IF(ISBLANK('_SCHEDULE'!K486),"",'_SCHEDULE'!K486)</x:f>
      </x:c>
      <x:c r="L518" s="530" t="str">
        <x:f>IF(ISBLANK('_SCHEDULE'!L486),"",'_SCHEDULE'!L486)</x:f>
      </x:c>
      <x:c r="M518" s="530" t="str">
        <x:f>IF(ISBLANK('_SCHEDULE'!M486),"",'_SCHEDULE'!M486)</x:f>
      </x:c>
      <x:c r="N518" s="530" t="str">
        <x:f>IF(ISBLANK('_SCHEDULE'!N486),"",'_SCHEDULE'!N486)</x:f>
      </x:c>
      <x:c r="O518" s="530" t="str">
        <x:f>IF(ISBLANK('_SCHEDULE'!O486),"",'_SCHEDULE'!O486)</x:f>
      </x:c>
      <x:c r="P518" s="530" t="str">
        <x:f>IF(ISBLANK('_SCHEDULE'!P486),"",'_SCHEDULE'!P486)</x:f>
      </x:c>
      <x:c r="Q518" s="530" t="str">
        <x:f>IF(ISBLANK('_SCHEDULE'!Q486),"",'_SCHEDULE'!Q486)</x:f>
      </x:c>
      <x:c r="R518" s="530" t="str">
        <x:f>IF(ISBLANK('_SCHEDULE'!R486),"",'_SCHEDULE'!R486)</x:f>
      </x:c>
      <x:c r="S518" s="523" t="str">
        <x:f>IF(ISBLANK('_SCHEDULE'!S486),"",'_SCHEDULE'!S486)</x:f>
      </x:c>
      <x:c r="T518" s="38"/>
      <x:c r="U518" s="38"/>
      <x:c r="V518" s="38"/>
      <x:c r="W518" s="38"/>
      <x:c r="X518" s="38"/>
      <x:c r="Y518" s="38"/>
      <x:c r="Z518" s="38"/>
      <x:c r="AA518" s="38"/>
      <x:c r="AB518" s="38"/>
      <x:c r="AC518" s="38"/>
      <x:c r="AD518" s="38"/>
      <x:c r="AE518" s="38"/>
      <x:c r="AF518" s="38"/>
      <x:c r="AG518" s="38"/>
      <x:c r="AH518" s="38"/>
      <x:c r="AI518" s="38"/>
      <x:c r="AJ518" s="38"/>
      <x:c r="AK518" s="38"/>
      <x:c r="AL518" s="38"/>
      <x:c r="AM518" s="38"/>
    </x:row>
    <x:row r="519">
      <x:c r="A519" s="523" t="str">
        <x:f>IF(ISBLANK('_SCHEDULE'!A487),"",'_SCHEDULE'!A487)</x:f>
      </x:c>
      <x:c r="B519" s="523" t="str">
        <x:f>IF(ISBLANK('_SCHEDULE'!B487),"",IF('_CONFIG'!$B$2="pt-BR",IF('_SCHEDULE'!B487="scheduled","programado",IF('_SCHEDULE'!B487="rejected","rejeitado",'_SCHEDULE'!B487)),'_SCHEDULE'!B487))</x:f>
      </x:c>
      <x:c r="C519" s="523" t="str">
        <x:f>IF(ISBLANK('_SCHEDULE'!C487),"",'_SCHEDULE'!C487)</x:f>
      </x:c>
      <x:c r="D519" s="523" t="str">
        <x:f>IF(ISBLANK('_SCHEDULE'!D487),"",'_SCHEDULE'!D487)</x:f>
      </x:c>
      <x:c r="E519" s="530" t="str">
        <x:f>IF(ISBLANK('_SCHEDULE'!E487),"",'_SCHEDULE'!E487)</x:f>
      </x:c>
      <x:c r="F519" s="530" t="str">
        <x:f>IF(ISBLANK('_SCHEDULE'!F487),"",'_SCHEDULE'!F487)</x:f>
      </x:c>
      <x:c r="G519" s="530" t="str">
        <x:f>IF(ISBLANK('_SCHEDULE'!G487),"",'_SCHEDULE'!G487)</x:f>
      </x:c>
      <x:c r="H519" s="530" t="str">
        <x:f>IF(ISBLANK('_SCHEDULE'!H487),"",'_SCHEDULE'!H487)</x:f>
      </x:c>
      <x:c r="I519" s="530" t="str">
        <x:f>IF(ISBLANK('_SCHEDULE'!I487),"",'_SCHEDULE'!I487)</x:f>
      </x:c>
      <x:c r="J519" s="530" t="str">
        <x:f>IF(ISBLANK('_SCHEDULE'!J487),"",'_SCHEDULE'!J487)</x:f>
      </x:c>
      <x:c r="K519" s="530" t="str">
        <x:f>IF(ISBLANK('_SCHEDULE'!K487),"",'_SCHEDULE'!K487)</x:f>
      </x:c>
      <x:c r="L519" s="530" t="str">
        <x:f>IF(ISBLANK('_SCHEDULE'!L487),"",'_SCHEDULE'!L487)</x:f>
      </x:c>
      <x:c r="M519" s="530" t="str">
        <x:f>IF(ISBLANK('_SCHEDULE'!M487),"",'_SCHEDULE'!M487)</x:f>
      </x:c>
      <x:c r="N519" s="530" t="str">
        <x:f>IF(ISBLANK('_SCHEDULE'!N487),"",'_SCHEDULE'!N487)</x:f>
      </x:c>
      <x:c r="O519" s="530" t="str">
        <x:f>IF(ISBLANK('_SCHEDULE'!O487),"",'_SCHEDULE'!O487)</x:f>
      </x:c>
      <x:c r="P519" s="530" t="str">
        <x:f>IF(ISBLANK('_SCHEDULE'!P487),"",'_SCHEDULE'!P487)</x:f>
      </x:c>
      <x:c r="Q519" s="530" t="str">
        <x:f>IF(ISBLANK('_SCHEDULE'!Q487),"",'_SCHEDULE'!Q487)</x:f>
      </x:c>
      <x:c r="R519" s="530" t="str">
        <x:f>IF(ISBLANK('_SCHEDULE'!R487),"",'_SCHEDULE'!R487)</x:f>
      </x:c>
      <x:c r="S519" s="523" t="str">
        <x:f>IF(ISBLANK('_SCHEDULE'!S487),"",'_SCHEDULE'!S487)</x:f>
      </x:c>
      <x:c r="T519" s="38"/>
      <x:c r="U519" s="38"/>
      <x:c r="V519" s="38"/>
      <x:c r="W519" s="38"/>
      <x:c r="X519" s="38"/>
      <x:c r="Y519" s="38"/>
      <x:c r="Z519" s="38"/>
      <x:c r="AA519" s="38"/>
      <x:c r="AB519" s="38"/>
      <x:c r="AC519" s="38"/>
      <x:c r="AD519" s="38"/>
      <x:c r="AE519" s="38"/>
      <x:c r="AF519" s="38"/>
      <x:c r="AG519" s="38"/>
      <x:c r="AH519" s="38"/>
      <x:c r="AI519" s="38"/>
      <x:c r="AJ519" s="38"/>
      <x:c r="AK519" s="38"/>
      <x:c r="AL519" s="38"/>
      <x:c r="AM519" s="38"/>
    </x:row>
    <x:row r="520">
      <x:c r="A520" s="523" t="str">
        <x:f>IF(ISBLANK('_SCHEDULE'!A488),"",'_SCHEDULE'!A488)</x:f>
      </x:c>
      <x:c r="B520" s="523" t="str">
        <x:f>IF(ISBLANK('_SCHEDULE'!B488),"",IF('_CONFIG'!$B$2="pt-BR",IF('_SCHEDULE'!B488="scheduled","programado",IF('_SCHEDULE'!B488="rejected","rejeitado",'_SCHEDULE'!B488)),'_SCHEDULE'!B488))</x:f>
      </x:c>
      <x:c r="C520" s="523" t="str">
        <x:f>IF(ISBLANK('_SCHEDULE'!C488),"",'_SCHEDULE'!C488)</x:f>
      </x:c>
      <x:c r="D520" s="523" t="str">
        <x:f>IF(ISBLANK('_SCHEDULE'!D488),"",'_SCHEDULE'!D488)</x:f>
      </x:c>
      <x:c r="E520" s="530" t="str">
        <x:f>IF(ISBLANK('_SCHEDULE'!E488),"",'_SCHEDULE'!E488)</x:f>
      </x:c>
      <x:c r="F520" s="530" t="str">
        <x:f>IF(ISBLANK('_SCHEDULE'!F488),"",'_SCHEDULE'!F488)</x:f>
      </x:c>
      <x:c r="G520" s="530" t="str">
        <x:f>IF(ISBLANK('_SCHEDULE'!G488),"",'_SCHEDULE'!G488)</x:f>
      </x:c>
      <x:c r="H520" s="530" t="str">
        <x:f>IF(ISBLANK('_SCHEDULE'!H488),"",'_SCHEDULE'!H488)</x:f>
      </x:c>
      <x:c r="I520" s="530" t="str">
        <x:f>IF(ISBLANK('_SCHEDULE'!I488),"",'_SCHEDULE'!I488)</x:f>
      </x:c>
      <x:c r="J520" s="530" t="str">
        <x:f>IF(ISBLANK('_SCHEDULE'!J488),"",'_SCHEDULE'!J488)</x:f>
      </x:c>
      <x:c r="K520" s="530" t="str">
        <x:f>IF(ISBLANK('_SCHEDULE'!K488),"",'_SCHEDULE'!K488)</x:f>
      </x:c>
      <x:c r="L520" s="530" t="str">
        <x:f>IF(ISBLANK('_SCHEDULE'!L488),"",'_SCHEDULE'!L488)</x:f>
      </x:c>
      <x:c r="M520" s="530" t="str">
        <x:f>IF(ISBLANK('_SCHEDULE'!M488),"",'_SCHEDULE'!M488)</x:f>
      </x:c>
      <x:c r="N520" s="530" t="str">
        <x:f>IF(ISBLANK('_SCHEDULE'!N488),"",'_SCHEDULE'!N488)</x:f>
      </x:c>
      <x:c r="O520" s="530" t="str">
        <x:f>IF(ISBLANK('_SCHEDULE'!O488),"",'_SCHEDULE'!O488)</x:f>
      </x:c>
      <x:c r="P520" s="530" t="str">
        <x:f>IF(ISBLANK('_SCHEDULE'!P488),"",'_SCHEDULE'!P488)</x:f>
      </x:c>
      <x:c r="Q520" s="530" t="str">
        <x:f>IF(ISBLANK('_SCHEDULE'!Q488),"",'_SCHEDULE'!Q488)</x:f>
      </x:c>
      <x:c r="R520" s="530" t="str">
        <x:f>IF(ISBLANK('_SCHEDULE'!R488),"",'_SCHEDULE'!R488)</x:f>
      </x:c>
      <x:c r="S520" s="523" t="str">
        <x:f>IF(ISBLANK('_SCHEDULE'!S488),"",'_SCHEDULE'!S488)</x:f>
      </x:c>
      <x:c r="T520" s="38"/>
      <x:c r="U520" s="38"/>
      <x:c r="V520" s="38"/>
      <x:c r="W520" s="38"/>
      <x:c r="X520" s="38"/>
      <x:c r="Y520" s="38"/>
      <x:c r="Z520" s="38"/>
      <x:c r="AA520" s="38"/>
      <x:c r="AB520" s="38"/>
      <x:c r="AC520" s="38"/>
      <x:c r="AD520" s="38"/>
      <x:c r="AE520" s="38"/>
      <x:c r="AF520" s="38"/>
      <x:c r="AG520" s="38"/>
      <x:c r="AH520" s="38"/>
      <x:c r="AI520" s="38"/>
      <x:c r="AJ520" s="38"/>
      <x:c r="AK520" s="38"/>
      <x:c r="AL520" s="38"/>
      <x:c r="AM520" s="38"/>
    </x:row>
    <x:row r="521">
      <x:c r="A521" s="523" t="str">
        <x:f>IF(ISBLANK('_SCHEDULE'!A489),"",'_SCHEDULE'!A489)</x:f>
      </x:c>
      <x:c r="B521" s="523" t="str">
        <x:f>IF(ISBLANK('_SCHEDULE'!B489),"",IF('_CONFIG'!$B$2="pt-BR",IF('_SCHEDULE'!B489="scheduled","programado",IF('_SCHEDULE'!B489="rejected","rejeitado",'_SCHEDULE'!B489)),'_SCHEDULE'!B489))</x:f>
      </x:c>
      <x:c r="C521" s="523" t="str">
        <x:f>IF(ISBLANK('_SCHEDULE'!C489),"",'_SCHEDULE'!C489)</x:f>
      </x:c>
      <x:c r="D521" s="523" t="str">
        <x:f>IF(ISBLANK('_SCHEDULE'!D489),"",'_SCHEDULE'!D489)</x:f>
      </x:c>
      <x:c r="E521" s="530" t="str">
        <x:f>IF(ISBLANK('_SCHEDULE'!E489),"",'_SCHEDULE'!E489)</x:f>
      </x:c>
      <x:c r="F521" s="530" t="str">
        <x:f>IF(ISBLANK('_SCHEDULE'!F489),"",'_SCHEDULE'!F489)</x:f>
      </x:c>
      <x:c r="G521" s="530" t="str">
        <x:f>IF(ISBLANK('_SCHEDULE'!G489),"",'_SCHEDULE'!G489)</x:f>
      </x:c>
      <x:c r="H521" s="530" t="str">
        <x:f>IF(ISBLANK('_SCHEDULE'!H489),"",'_SCHEDULE'!H489)</x:f>
      </x:c>
      <x:c r="I521" s="530" t="str">
        <x:f>IF(ISBLANK('_SCHEDULE'!I489),"",'_SCHEDULE'!I489)</x:f>
      </x:c>
      <x:c r="J521" s="530" t="str">
        <x:f>IF(ISBLANK('_SCHEDULE'!J489),"",'_SCHEDULE'!J489)</x:f>
      </x:c>
      <x:c r="K521" s="530" t="str">
        <x:f>IF(ISBLANK('_SCHEDULE'!K489),"",'_SCHEDULE'!K489)</x:f>
      </x:c>
      <x:c r="L521" s="530" t="str">
        <x:f>IF(ISBLANK('_SCHEDULE'!L489),"",'_SCHEDULE'!L489)</x:f>
      </x:c>
      <x:c r="M521" s="530" t="str">
        <x:f>IF(ISBLANK('_SCHEDULE'!M489),"",'_SCHEDULE'!M489)</x:f>
      </x:c>
      <x:c r="N521" s="530" t="str">
        <x:f>IF(ISBLANK('_SCHEDULE'!N489),"",'_SCHEDULE'!N489)</x:f>
      </x:c>
      <x:c r="O521" s="530" t="str">
        <x:f>IF(ISBLANK('_SCHEDULE'!O489),"",'_SCHEDULE'!O489)</x:f>
      </x:c>
      <x:c r="P521" s="530" t="str">
        <x:f>IF(ISBLANK('_SCHEDULE'!P489),"",'_SCHEDULE'!P489)</x:f>
      </x:c>
      <x:c r="Q521" s="530" t="str">
        <x:f>IF(ISBLANK('_SCHEDULE'!Q489),"",'_SCHEDULE'!Q489)</x:f>
      </x:c>
      <x:c r="R521" s="530" t="str">
        <x:f>IF(ISBLANK('_SCHEDULE'!R489),"",'_SCHEDULE'!R489)</x:f>
      </x:c>
      <x:c r="S521" s="523" t="str">
        <x:f>IF(ISBLANK('_SCHEDULE'!S489),"",'_SCHEDULE'!S489)</x:f>
      </x:c>
      <x:c r="T521" s="38"/>
      <x:c r="U521" s="38"/>
      <x:c r="V521" s="38"/>
      <x:c r="W521" s="38"/>
      <x:c r="X521" s="38"/>
      <x:c r="Y521" s="38"/>
      <x:c r="Z521" s="38"/>
      <x:c r="AA521" s="38"/>
      <x:c r="AB521" s="38"/>
      <x:c r="AC521" s="38"/>
      <x:c r="AD521" s="38"/>
      <x:c r="AE521" s="38"/>
      <x:c r="AF521" s="38"/>
      <x:c r="AG521" s="38"/>
      <x:c r="AH521" s="38"/>
      <x:c r="AI521" s="38"/>
      <x:c r="AJ521" s="38"/>
      <x:c r="AK521" s="38"/>
      <x:c r="AL521" s="38"/>
      <x:c r="AM521" s="38"/>
    </x:row>
    <x:row r="522">
      <x:c r="A522" s="523" t="str">
        <x:f>IF(ISBLANK('_SCHEDULE'!A490),"",'_SCHEDULE'!A490)</x:f>
      </x:c>
      <x:c r="B522" s="523" t="str">
        <x:f>IF(ISBLANK('_SCHEDULE'!B490),"",IF('_CONFIG'!$B$2="pt-BR",IF('_SCHEDULE'!B490="scheduled","programado",IF('_SCHEDULE'!B490="rejected","rejeitado",'_SCHEDULE'!B490)),'_SCHEDULE'!B490))</x:f>
      </x:c>
      <x:c r="C522" s="523" t="str">
        <x:f>IF(ISBLANK('_SCHEDULE'!C490),"",'_SCHEDULE'!C490)</x:f>
      </x:c>
      <x:c r="D522" s="523" t="str">
        <x:f>IF(ISBLANK('_SCHEDULE'!D490),"",'_SCHEDULE'!D490)</x:f>
      </x:c>
      <x:c r="E522" s="530" t="str">
        <x:f>IF(ISBLANK('_SCHEDULE'!E490),"",'_SCHEDULE'!E490)</x:f>
      </x:c>
      <x:c r="F522" s="530" t="str">
        <x:f>IF(ISBLANK('_SCHEDULE'!F490),"",'_SCHEDULE'!F490)</x:f>
      </x:c>
      <x:c r="G522" s="530" t="str">
        <x:f>IF(ISBLANK('_SCHEDULE'!G490),"",'_SCHEDULE'!G490)</x:f>
      </x:c>
      <x:c r="H522" s="530" t="str">
        <x:f>IF(ISBLANK('_SCHEDULE'!H490),"",'_SCHEDULE'!H490)</x:f>
      </x:c>
      <x:c r="I522" s="530" t="str">
        <x:f>IF(ISBLANK('_SCHEDULE'!I490),"",'_SCHEDULE'!I490)</x:f>
      </x:c>
      <x:c r="J522" s="530" t="str">
        <x:f>IF(ISBLANK('_SCHEDULE'!J490),"",'_SCHEDULE'!J490)</x:f>
      </x:c>
      <x:c r="K522" s="530" t="str">
        <x:f>IF(ISBLANK('_SCHEDULE'!K490),"",'_SCHEDULE'!K490)</x:f>
      </x:c>
      <x:c r="L522" s="530" t="str">
        <x:f>IF(ISBLANK('_SCHEDULE'!L490),"",'_SCHEDULE'!L490)</x:f>
      </x:c>
      <x:c r="M522" s="530" t="str">
        <x:f>IF(ISBLANK('_SCHEDULE'!M490),"",'_SCHEDULE'!M490)</x:f>
      </x:c>
      <x:c r="N522" s="530" t="str">
        <x:f>IF(ISBLANK('_SCHEDULE'!N490),"",'_SCHEDULE'!N490)</x:f>
      </x:c>
      <x:c r="O522" s="530" t="str">
        <x:f>IF(ISBLANK('_SCHEDULE'!O490),"",'_SCHEDULE'!O490)</x:f>
      </x:c>
      <x:c r="P522" s="530" t="str">
        <x:f>IF(ISBLANK('_SCHEDULE'!P490),"",'_SCHEDULE'!P490)</x:f>
      </x:c>
      <x:c r="Q522" s="530" t="str">
        <x:f>IF(ISBLANK('_SCHEDULE'!Q490),"",'_SCHEDULE'!Q490)</x:f>
      </x:c>
      <x:c r="R522" s="530" t="str">
        <x:f>IF(ISBLANK('_SCHEDULE'!R490),"",'_SCHEDULE'!R490)</x:f>
      </x:c>
      <x:c r="S522" s="523" t="str">
        <x:f>IF(ISBLANK('_SCHEDULE'!S490),"",'_SCHEDULE'!S490)</x:f>
      </x:c>
      <x:c r="T522" s="38"/>
      <x:c r="U522" s="38"/>
      <x:c r="V522" s="38"/>
      <x:c r="W522" s="38"/>
      <x:c r="X522" s="38"/>
      <x:c r="Y522" s="38"/>
      <x:c r="Z522" s="38"/>
      <x:c r="AA522" s="38"/>
      <x:c r="AB522" s="38"/>
      <x:c r="AC522" s="38"/>
      <x:c r="AD522" s="38"/>
      <x:c r="AE522" s="38"/>
      <x:c r="AF522" s="38"/>
      <x:c r="AG522" s="38"/>
      <x:c r="AH522" s="38"/>
      <x:c r="AI522" s="38"/>
      <x:c r="AJ522" s="38"/>
      <x:c r="AK522" s="38"/>
      <x:c r="AL522" s="38"/>
      <x:c r="AM522" s="38"/>
    </x:row>
    <x:row r="523">
      <x:c r="A523" s="523" t="str">
        <x:f>IF(ISBLANK('_SCHEDULE'!A491),"",'_SCHEDULE'!A491)</x:f>
      </x:c>
      <x:c r="B523" s="523" t="str">
        <x:f>IF(ISBLANK('_SCHEDULE'!B491),"",IF('_CONFIG'!$B$2="pt-BR",IF('_SCHEDULE'!B491="scheduled","programado",IF('_SCHEDULE'!B491="rejected","rejeitado",'_SCHEDULE'!B491)),'_SCHEDULE'!B491))</x:f>
      </x:c>
      <x:c r="C523" s="523" t="str">
        <x:f>IF(ISBLANK('_SCHEDULE'!C491),"",'_SCHEDULE'!C491)</x:f>
      </x:c>
      <x:c r="D523" s="523" t="str">
        <x:f>IF(ISBLANK('_SCHEDULE'!D491),"",'_SCHEDULE'!D491)</x:f>
      </x:c>
      <x:c r="E523" s="530" t="str">
        <x:f>IF(ISBLANK('_SCHEDULE'!E491),"",'_SCHEDULE'!E491)</x:f>
      </x:c>
      <x:c r="F523" s="530" t="str">
        <x:f>IF(ISBLANK('_SCHEDULE'!F491),"",'_SCHEDULE'!F491)</x:f>
      </x:c>
      <x:c r="G523" s="530" t="str">
        <x:f>IF(ISBLANK('_SCHEDULE'!G491),"",'_SCHEDULE'!G491)</x:f>
      </x:c>
      <x:c r="H523" s="530" t="str">
        <x:f>IF(ISBLANK('_SCHEDULE'!H491),"",'_SCHEDULE'!H491)</x:f>
      </x:c>
      <x:c r="I523" s="530" t="str">
        <x:f>IF(ISBLANK('_SCHEDULE'!I491),"",'_SCHEDULE'!I491)</x:f>
      </x:c>
      <x:c r="J523" s="530" t="str">
        <x:f>IF(ISBLANK('_SCHEDULE'!J491),"",'_SCHEDULE'!J491)</x:f>
      </x:c>
      <x:c r="K523" s="530" t="str">
        <x:f>IF(ISBLANK('_SCHEDULE'!K491),"",'_SCHEDULE'!K491)</x:f>
      </x:c>
      <x:c r="L523" s="530" t="str">
        <x:f>IF(ISBLANK('_SCHEDULE'!L491),"",'_SCHEDULE'!L491)</x:f>
      </x:c>
      <x:c r="M523" s="530" t="str">
        <x:f>IF(ISBLANK('_SCHEDULE'!M491),"",'_SCHEDULE'!M491)</x:f>
      </x:c>
      <x:c r="N523" s="530" t="str">
        <x:f>IF(ISBLANK('_SCHEDULE'!N491),"",'_SCHEDULE'!N491)</x:f>
      </x:c>
      <x:c r="O523" s="530" t="str">
        <x:f>IF(ISBLANK('_SCHEDULE'!O491),"",'_SCHEDULE'!O491)</x:f>
      </x:c>
      <x:c r="P523" s="530" t="str">
        <x:f>IF(ISBLANK('_SCHEDULE'!P491),"",'_SCHEDULE'!P491)</x:f>
      </x:c>
      <x:c r="Q523" s="530" t="str">
        <x:f>IF(ISBLANK('_SCHEDULE'!Q491),"",'_SCHEDULE'!Q491)</x:f>
      </x:c>
      <x:c r="R523" s="530" t="str">
        <x:f>IF(ISBLANK('_SCHEDULE'!R491),"",'_SCHEDULE'!R491)</x:f>
      </x:c>
      <x:c r="S523" s="523" t="str">
        <x:f>IF(ISBLANK('_SCHEDULE'!S491),"",'_SCHEDULE'!S491)</x:f>
      </x:c>
      <x:c r="T523" s="38"/>
      <x:c r="U523" s="38"/>
      <x:c r="V523" s="38"/>
      <x:c r="W523" s="38"/>
      <x:c r="X523" s="38"/>
      <x:c r="Y523" s="38"/>
      <x:c r="Z523" s="38"/>
      <x:c r="AA523" s="38"/>
      <x:c r="AB523" s="38"/>
      <x:c r="AC523" s="38"/>
      <x:c r="AD523" s="38"/>
      <x:c r="AE523" s="38"/>
      <x:c r="AF523" s="38"/>
      <x:c r="AG523" s="38"/>
      <x:c r="AH523" s="38"/>
      <x:c r="AI523" s="38"/>
      <x:c r="AJ523" s="38"/>
      <x:c r="AK523" s="38"/>
      <x:c r="AL523" s="38"/>
      <x:c r="AM523" s="38"/>
    </x:row>
    <x:row r="524">
      <x:c r="A524" s="523" t="str">
        <x:f>IF(ISBLANK('_SCHEDULE'!A492),"",'_SCHEDULE'!A492)</x:f>
      </x:c>
      <x:c r="B524" s="523" t="str">
        <x:f>IF(ISBLANK('_SCHEDULE'!B492),"",IF('_CONFIG'!$B$2="pt-BR",IF('_SCHEDULE'!B492="scheduled","programado",IF('_SCHEDULE'!B492="rejected","rejeitado",'_SCHEDULE'!B492)),'_SCHEDULE'!B492))</x:f>
      </x:c>
      <x:c r="C524" s="523" t="str">
        <x:f>IF(ISBLANK('_SCHEDULE'!C492),"",'_SCHEDULE'!C492)</x:f>
      </x:c>
      <x:c r="D524" s="523" t="str">
        <x:f>IF(ISBLANK('_SCHEDULE'!D492),"",'_SCHEDULE'!D492)</x:f>
      </x:c>
      <x:c r="E524" s="530" t="str">
        <x:f>IF(ISBLANK('_SCHEDULE'!E492),"",'_SCHEDULE'!E492)</x:f>
      </x:c>
      <x:c r="F524" s="530" t="str">
        <x:f>IF(ISBLANK('_SCHEDULE'!F492),"",'_SCHEDULE'!F492)</x:f>
      </x:c>
      <x:c r="G524" s="530" t="str">
        <x:f>IF(ISBLANK('_SCHEDULE'!G492),"",'_SCHEDULE'!G492)</x:f>
      </x:c>
      <x:c r="H524" s="530" t="str">
        <x:f>IF(ISBLANK('_SCHEDULE'!H492),"",'_SCHEDULE'!H492)</x:f>
      </x:c>
      <x:c r="I524" s="530" t="str">
        <x:f>IF(ISBLANK('_SCHEDULE'!I492),"",'_SCHEDULE'!I492)</x:f>
      </x:c>
      <x:c r="J524" s="530" t="str">
        <x:f>IF(ISBLANK('_SCHEDULE'!J492),"",'_SCHEDULE'!J492)</x:f>
      </x:c>
      <x:c r="K524" s="530" t="str">
        <x:f>IF(ISBLANK('_SCHEDULE'!K492),"",'_SCHEDULE'!K492)</x:f>
      </x:c>
      <x:c r="L524" s="530" t="str">
        <x:f>IF(ISBLANK('_SCHEDULE'!L492),"",'_SCHEDULE'!L492)</x:f>
      </x:c>
      <x:c r="M524" s="530" t="str">
        <x:f>IF(ISBLANK('_SCHEDULE'!M492),"",'_SCHEDULE'!M492)</x:f>
      </x:c>
      <x:c r="N524" s="530" t="str">
        <x:f>IF(ISBLANK('_SCHEDULE'!N492),"",'_SCHEDULE'!N492)</x:f>
      </x:c>
      <x:c r="O524" s="530" t="str">
        <x:f>IF(ISBLANK('_SCHEDULE'!O492),"",'_SCHEDULE'!O492)</x:f>
      </x:c>
      <x:c r="P524" s="530" t="str">
        <x:f>IF(ISBLANK('_SCHEDULE'!P492),"",'_SCHEDULE'!P492)</x:f>
      </x:c>
      <x:c r="Q524" s="530" t="str">
        <x:f>IF(ISBLANK('_SCHEDULE'!Q492),"",'_SCHEDULE'!Q492)</x:f>
      </x:c>
      <x:c r="R524" s="530" t="str">
        <x:f>IF(ISBLANK('_SCHEDULE'!R492),"",'_SCHEDULE'!R492)</x:f>
      </x:c>
      <x:c r="S524" s="523" t="str">
        <x:f>IF(ISBLANK('_SCHEDULE'!S492),"",'_SCHEDULE'!S492)</x:f>
      </x:c>
      <x:c r="T524" s="38"/>
      <x:c r="U524" s="38"/>
      <x:c r="V524" s="38"/>
      <x:c r="W524" s="38"/>
      <x:c r="X524" s="38"/>
      <x:c r="Y524" s="38"/>
      <x:c r="Z524" s="38"/>
      <x:c r="AA524" s="38"/>
      <x:c r="AB524" s="38"/>
      <x:c r="AC524" s="38"/>
      <x:c r="AD524" s="38"/>
      <x:c r="AE524" s="38"/>
      <x:c r="AF524" s="38"/>
      <x:c r="AG524" s="38"/>
      <x:c r="AH524" s="38"/>
      <x:c r="AI524" s="38"/>
      <x:c r="AJ524" s="38"/>
      <x:c r="AK524" s="38"/>
      <x:c r="AL524" s="38"/>
      <x:c r="AM524" s="38"/>
    </x:row>
    <x:row r="525">
      <x:c r="A525" s="523" t="str">
        <x:f>IF(ISBLANK('_SCHEDULE'!A493),"",'_SCHEDULE'!A493)</x:f>
      </x:c>
      <x:c r="B525" s="523" t="str">
        <x:f>IF(ISBLANK('_SCHEDULE'!B493),"",IF('_CONFIG'!$B$2="pt-BR",IF('_SCHEDULE'!B493="scheduled","programado",IF('_SCHEDULE'!B493="rejected","rejeitado",'_SCHEDULE'!B493)),'_SCHEDULE'!B493))</x:f>
      </x:c>
      <x:c r="C525" s="523" t="str">
        <x:f>IF(ISBLANK('_SCHEDULE'!C493),"",'_SCHEDULE'!C493)</x:f>
      </x:c>
      <x:c r="D525" s="523" t="str">
        <x:f>IF(ISBLANK('_SCHEDULE'!D493),"",'_SCHEDULE'!D493)</x:f>
      </x:c>
      <x:c r="E525" s="530" t="str">
        <x:f>IF(ISBLANK('_SCHEDULE'!E493),"",'_SCHEDULE'!E493)</x:f>
      </x:c>
      <x:c r="F525" s="530" t="str">
        <x:f>IF(ISBLANK('_SCHEDULE'!F493),"",'_SCHEDULE'!F493)</x:f>
      </x:c>
      <x:c r="G525" s="530" t="str">
        <x:f>IF(ISBLANK('_SCHEDULE'!G493),"",'_SCHEDULE'!G493)</x:f>
      </x:c>
      <x:c r="H525" s="530" t="str">
        <x:f>IF(ISBLANK('_SCHEDULE'!H493),"",'_SCHEDULE'!H493)</x:f>
      </x:c>
      <x:c r="I525" s="530" t="str">
        <x:f>IF(ISBLANK('_SCHEDULE'!I493),"",'_SCHEDULE'!I493)</x:f>
      </x:c>
      <x:c r="J525" s="530" t="str">
        <x:f>IF(ISBLANK('_SCHEDULE'!J493),"",'_SCHEDULE'!J493)</x:f>
      </x:c>
      <x:c r="K525" s="530" t="str">
        <x:f>IF(ISBLANK('_SCHEDULE'!K493),"",'_SCHEDULE'!K493)</x:f>
      </x:c>
      <x:c r="L525" s="530" t="str">
        <x:f>IF(ISBLANK('_SCHEDULE'!L493),"",'_SCHEDULE'!L493)</x:f>
      </x:c>
      <x:c r="M525" s="530" t="str">
        <x:f>IF(ISBLANK('_SCHEDULE'!M493),"",'_SCHEDULE'!M493)</x:f>
      </x:c>
      <x:c r="N525" s="530" t="str">
        <x:f>IF(ISBLANK('_SCHEDULE'!N493),"",'_SCHEDULE'!N493)</x:f>
      </x:c>
      <x:c r="O525" s="530" t="str">
        <x:f>IF(ISBLANK('_SCHEDULE'!O493),"",'_SCHEDULE'!O493)</x:f>
      </x:c>
      <x:c r="P525" s="530" t="str">
        <x:f>IF(ISBLANK('_SCHEDULE'!P493),"",'_SCHEDULE'!P493)</x:f>
      </x:c>
      <x:c r="Q525" s="530" t="str">
        <x:f>IF(ISBLANK('_SCHEDULE'!Q493),"",'_SCHEDULE'!Q493)</x:f>
      </x:c>
      <x:c r="R525" s="530" t="str">
        <x:f>IF(ISBLANK('_SCHEDULE'!R493),"",'_SCHEDULE'!R493)</x:f>
      </x:c>
      <x:c r="S525" s="523" t="str">
        <x:f>IF(ISBLANK('_SCHEDULE'!S493),"",'_SCHEDULE'!S493)</x:f>
      </x:c>
      <x:c r="T525" s="38"/>
      <x:c r="U525" s="38"/>
      <x:c r="V525" s="38"/>
      <x:c r="W525" s="38"/>
      <x:c r="X525" s="38"/>
      <x:c r="Y525" s="38"/>
      <x:c r="Z525" s="38"/>
      <x:c r="AA525" s="38"/>
      <x:c r="AB525" s="38"/>
      <x:c r="AC525" s="38"/>
      <x:c r="AD525" s="38"/>
      <x:c r="AE525" s="38"/>
      <x:c r="AF525" s="38"/>
      <x:c r="AG525" s="38"/>
      <x:c r="AH525" s="38"/>
      <x:c r="AI525" s="38"/>
      <x:c r="AJ525" s="38"/>
      <x:c r="AK525" s="38"/>
      <x:c r="AL525" s="38"/>
      <x:c r="AM525" s="38"/>
    </x:row>
    <x:row r="526">
      <x:c r="A526" s="523" t="str">
        <x:f>IF(ISBLANK('_SCHEDULE'!A494),"",'_SCHEDULE'!A494)</x:f>
      </x:c>
      <x:c r="B526" s="523" t="str">
        <x:f>IF(ISBLANK('_SCHEDULE'!B494),"",IF('_CONFIG'!$B$2="pt-BR",IF('_SCHEDULE'!B494="scheduled","programado",IF('_SCHEDULE'!B494="rejected","rejeitado",'_SCHEDULE'!B494)),'_SCHEDULE'!B494))</x:f>
      </x:c>
      <x:c r="C526" s="523" t="str">
        <x:f>IF(ISBLANK('_SCHEDULE'!C494),"",'_SCHEDULE'!C494)</x:f>
      </x:c>
      <x:c r="D526" s="523" t="str">
        <x:f>IF(ISBLANK('_SCHEDULE'!D494),"",'_SCHEDULE'!D494)</x:f>
      </x:c>
      <x:c r="E526" s="530" t="str">
        <x:f>IF(ISBLANK('_SCHEDULE'!E494),"",'_SCHEDULE'!E494)</x:f>
      </x:c>
      <x:c r="F526" s="530" t="str">
        <x:f>IF(ISBLANK('_SCHEDULE'!F494),"",'_SCHEDULE'!F494)</x:f>
      </x:c>
      <x:c r="G526" s="530" t="str">
        <x:f>IF(ISBLANK('_SCHEDULE'!G494),"",'_SCHEDULE'!G494)</x:f>
      </x:c>
      <x:c r="H526" s="530" t="str">
        <x:f>IF(ISBLANK('_SCHEDULE'!H494),"",'_SCHEDULE'!H494)</x:f>
      </x:c>
      <x:c r="I526" s="530" t="str">
        <x:f>IF(ISBLANK('_SCHEDULE'!I494),"",'_SCHEDULE'!I494)</x:f>
      </x:c>
      <x:c r="J526" s="530" t="str">
        <x:f>IF(ISBLANK('_SCHEDULE'!J494),"",'_SCHEDULE'!J494)</x:f>
      </x:c>
      <x:c r="K526" s="530" t="str">
        <x:f>IF(ISBLANK('_SCHEDULE'!K494),"",'_SCHEDULE'!K494)</x:f>
      </x:c>
      <x:c r="L526" s="530" t="str">
        <x:f>IF(ISBLANK('_SCHEDULE'!L494),"",'_SCHEDULE'!L494)</x:f>
      </x:c>
      <x:c r="M526" s="530" t="str">
        <x:f>IF(ISBLANK('_SCHEDULE'!M494),"",'_SCHEDULE'!M494)</x:f>
      </x:c>
      <x:c r="N526" s="530" t="str">
        <x:f>IF(ISBLANK('_SCHEDULE'!N494),"",'_SCHEDULE'!N494)</x:f>
      </x:c>
      <x:c r="O526" s="530" t="str">
        <x:f>IF(ISBLANK('_SCHEDULE'!O494),"",'_SCHEDULE'!O494)</x:f>
      </x:c>
      <x:c r="P526" s="530" t="str">
        <x:f>IF(ISBLANK('_SCHEDULE'!P494),"",'_SCHEDULE'!P494)</x:f>
      </x:c>
      <x:c r="Q526" s="530" t="str">
        <x:f>IF(ISBLANK('_SCHEDULE'!Q494),"",'_SCHEDULE'!Q494)</x:f>
      </x:c>
      <x:c r="R526" s="530" t="str">
        <x:f>IF(ISBLANK('_SCHEDULE'!R494),"",'_SCHEDULE'!R494)</x:f>
      </x:c>
      <x:c r="S526" s="523" t="str">
        <x:f>IF(ISBLANK('_SCHEDULE'!S494),"",'_SCHEDULE'!S494)</x:f>
      </x:c>
      <x:c r="T526" s="38"/>
      <x:c r="U526" s="38"/>
      <x:c r="V526" s="38"/>
      <x:c r="W526" s="38"/>
      <x:c r="X526" s="38"/>
      <x:c r="Y526" s="38"/>
      <x:c r="Z526" s="38"/>
      <x:c r="AA526" s="38"/>
      <x:c r="AB526" s="38"/>
      <x:c r="AC526" s="38"/>
      <x:c r="AD526" s="38"/>
      <x:c r="AE526" s="38"/>
      <x:c r="AF526" s="38"/>
      <x:c r="AG526" s="38"/>
      <x:c r="AH526" s="38"/>
      <x:c r="AI526" s="38"/>
      <x:c r="AJ526" s="38"/>
      <x:c r="AK526" s="38"/>
      <x:c r="AL526" s="38"/>
      <x:c r="AM526" s="38"/>
    </x:row>
    <x:row r="527">
      <x:c r="A527" s="523" t="str">
        <x:f>IF(ISBLANK('_SCHEDULE'!A495),"",'_SCHEDULE'!A495)</x:f>
      </x:c>
      <x:c r="B527" s="523" t="str">
        <x:f>IF(ISBLANK('_SCHEDULE'!B495),"",IF('_CONFIG'!$B$2="pt-BR",IF('_SCHEDULE'!B495="scheduled","programado",IF('_SCHEDULE'!B495="rejected","rejeitado",'_SCHEDULE'!B495)),'_SCHEDULE'!B495))</x:f>
      </x:c>
      <x:c r="C527" s="523" t="str">
        <x:f>IF(ISBLANK('_SCHEDULE'!C495),"",'_SCHEDULE'!C495)</x:f>
      </x:c>
      <x:c r="D527" s="523" t="str">
        <x:f>IF(ISBLANK('_SCHEDULE'!D495),"",'_SCHEDULE'!D495)</x:f>
      </x:c>
      <x:c r="E527" s="530" t="str">
        <x:f>IF(ISBLANK('_SCHEDULE'!E495),"",'_SCHEDULE'!E495)</x:f>
      </x:c>
      <x:c r="F527" s="530" t="str">
        <x:f>IF(ISBLANK('_SCHEDULE'!F495),"",'_SCHEDULE'!F495)</x:f>
      </x:c>
      <x:c r="G527" s="530" t="str">
        <x:f>IF(ISBLANK('_SCHEDULE'!G495),"",'_SCHEDULE'!G495)</x:f>
      </x:c>
      <x:c r="H527" s="530" t="str">
        <x:f>IF(ISBLANK('_SCHEDULE'!H495),"",'_SCHEDULE'!H495)</x:f>
      </x:c>
      <x:c r="I527" s="530" t="str">
        <x:f>IF(ISBLANK('_SCHEDULE'!I495),"",'_SCHEDULE'!I495)</x:f>
      </x:c>
      <x:c r="J527" s="530" t="str">
        <x:f>IF(ISBLANK('_SCHEDULE'!J495),"",'_SCHEDULE'!J495)</x:f>
      </x:c>
      <x:c r="K527" s="530" t="str">
        <x:f>IF(ISBLANK('_SCHEDULE'!K495),"",'_SCHEDULE'!K495)</x:f>
      </x:c>
      <x:c r="L527" s="530" t="str">
        <x:f>IF(ISBLANK('_SCHEDULE'!L495),"",'_SCHEDULE'!L495)</x:f>
      </x:c>
      <x:c r="M527" s="530" t="str">
        <x:f>IF(ISBLANK('_SCHEDULE'!M495),"",'_SCHEDULE'!M495)</x:f>
      </x:c>
      <x:c r="N527" s="530" t="str">
        <x:f>IF(ISBLANK('_SCHEDULE'!N495),"",'_SCHEDULE'!N495)</x:f>
      </x:c>
      <x:c r="O527" s="530" t="str">
        <x:f>IF(ISBLANK('_SCHEDULE'!O495),"",'_SCHEDULE'!O495)</x:f>
      </x:c>
      <x:c r="P527" s="530" t="str">
        <x:f>IF(ISBLANK('_SCHEDULE'!P495),"",'_SCHEDULE'!P495)</x:f>
      </x:c>
      <x:c r="Q527" s="530" t="str">
        <x:f>IF(ISBLANK('_SCHEDULE'!Q495),"",'_SCHEDULE'!Q495)</x:f>
      </x:c>
      <x:c r="R527" s="530" t="str">
        <x:f>IF(ISBLANK('_SCHEDULE'!R495),"",'_SCHEDULE'!R495)</x:f>
      </x:c>
      <x:c r="S527" s="523" t="str">
        <x:f>IF(ISBLANK('_SCHEDULE'!S495),"",'_SCHEDULE'!S495)</x:f>
      </x:c>
      <x:c r="T527" s="38"/>
      <x:c r="U527" s="38"/>
      <x:c r="V527" s="38"/>
      <x:c r="W527" s="38"/>
      <x:c r="X527" s="38"/>
      <x:c r="Y527" s="38"/>
      <x:c r="Z527" s="38"/>
      <x:c r="AA527" s="38"/>
      <x:c r="AB527" s="38"/>
      <x:c r="AC527" s="38"/>
      <x:c r="AD527" s="38"/>
      <x:c r="AE527" s="38"/>
      <x:c r="AF527" s="38"/>
      <x:c r="AG527" s="38"/>
      <x:c r="AH527" s="38"/>
      <x:c r="AI527" s="38"/>
      <x:c r="AJ527" s="38"/>
      <x:c r="AK527" s="38"/>
      <x:c r="AL527" s="38"/>
      <x:c r="AM527" s="38"/>
    </x:row>
    <x:row r="528">
      <x:c r="A528" s="523" t="str">
        <x:f>IF(ISBLANK('_SCHEDULE'!A496),"",'_SCHEDULE'!A496)</x:f>
      </x:c>
      <x:c r="B528" s="523" t="str">
        <x:f>IF(ISBLANK('_SCHEDULE'!B496),"",IF('_CONFIG'!$B$2="pt-BR",IF('_SCHEDULE'!B496="scheduled","programado",IF('_SCHEDULE'!B496="rejected","rejeitado",'_SCHEDULE'!B496)),'_SCHEDULE'!B496))</x:f>
      </x:c>
      <x:c r="C528" s="523" t="str">
        <x:f>IF(ISBLANK('_SCHEDULE'!C496),"",'_SCHEDULE'!C496)</x:f>
      </x:c>
      <x:c r="D528" s="523" t="str">
        <x:f>IF(ISBLANK('_SCHEDULE'!D496),"",'_SCHEDULE'!D496)</x:f>
      </x:c>
      <x:c r="E528" s="530" t="str">
        <x:f>IF(ISBLANK('_SCHEDULE'!E496),"",'_SCHEDULE'!E496)</x:f>
      </x:c>
      <x:c r="F528" s="530" t="str">
        <x:f>IF(ISBLANK('_SCHEDULE'!F496),"",'_SCHEDULE'!F496)</x:f>
      </x:c>
      <x:c r="G528" s="530" t="str">
        <x:f>IF(ISBLANK('_SCHEDULE'!G496),"",'_SCHEDULE'!G496)</x:f>
      </x:c>
      <x:c r="H528" s="530" t="str">
        <x:f>IF(ISBLANK('_SCHEDULE'!H496),"",'_SCHEDULE'!H496)</x:f>
      </x:c>
      <x:c r="I528" s="530" t="str">
        <x:f>IF(ISBLANK('_SCHEDULE'!I496),"",'_SCHEDULE'!I496)</x:f>
      </x:c>
      <x:c r="J528" s="530" t="str">
        <x:f>IF(ISBLANK('_SCHEDULE'!J496),"",'_SCHEDULE'!J496)</x:f>
      </x:c>
      <x:c r="K528" s="530" t="str">
        <x:f>IF(ISBLANK('_SCHEDULE'!K496),"",'_SCHEDULE'!K496)</x:f>
      </x:c>
      <x:c r="L528" s="530" t="str">
        <x:f>IF(ISBLANK('_SCHEDULE'!L496),"",'_SCHEDULE'!L496)</x:f>
      </x:c>
      <x:c r="M528" s="530" t="str">
        <x:f>IF(ISBLANK('_SCHEDULE'!M496),"",'_SCHEDULE'!M496)</x:f>
      </x:c>
      <x:c r="N528" s="530" t="str">
        <x:f>IF(ISBLANK('_SCHEDULE'!N496),"",'_SCHEDULE'!N496)</x:f>
      </x:c>
      <x:c r="O528" s="530" t="str">
        <x:f>IF(ISBLANK('_SCHEDULE'!O496),"",'_SCHEDULE'!O496)</x:f>
      </x:c>
      <x:c r="P528" s="530" t="str">
        <x:f>IF(ISBLANK('_SCHEDULE'!P496),"",'_SCHEDULE'!P496)</x:f>
      </x:c>
      <x:c r="Q528" s="530" t="str">
        <x:f>IF(ISBLANK('_SCHEDULE'!Q496),"",'_SCHEDULE'!Q496)</x:f>
      </x:c>
      <x:c r="R528" s="530" t="str">
        <x:f>IF(ISBLANK('_SCHEDULE'!R496),"",'_SCHEDULE'!R496)</x:f>
      </x:c>
      <x:c r="S528" s="523" t="str">
        <x:f>IF(ISBLANK('_SCHEDULE'!S496),"",'_SCHEDULE'!S496)</x:f>
      </x:c>
      <x:c r="T528" s="38"/>
      <x:c r="U528" s="38"/>
      <x:c r="V528" s="38"/>
      <x:c r="W528" s="38"/>
      <x:c r="X528" s="38"/>
      <x:c r="Y528" s="38"/>
      <x:c r="Z528" s="38"/>
      <x:c r="AA528" s="38"/>
      <x:c r="AB528" s="38"/>
      <x:c r="AC528" s="38"/>
      <x:c r="AD528" s="38"/>
      <x:c r="AE528" s="38"/>
      <x:c r="AF528" s="38"/>
      <x:c r="AG528" s="38"/>
      <x:c r="AH528" s="38"/>
      <x:c r="AI528" s="38"/>
      <x:c r="AJ528" s="38"/>
      <x:c r="AK528" s="38"/>
      <x:c r="AL528" s="38"/>
      <x:c r="AM528" s="38"/>
    </x:row>
    <x:row r="529">
      <x:c r="A529" s="523" t="str">
        <x:f>IF(ISBLANK('_SCHEDULE'!A497),"",'_SCHEDULE'!A497)</x:f>
      </x:c>
      <x:c r="B529" s="523" t="str">
        <x:f>IF(ISBLANK('_SCHEDULE'!B497),"",IF('_CONFIG'!$B$2="pt-BR",IF('_SCHEDULE'!B497="scheduled","programado",IF('_SCHEDULE'!B497="rejected","rejeitado",'_SCHEDULE'!B497)),'_SCHEDULE'!B497))</x:f>
      </x:c>
      <x:c r="C529" s="523" t="str">
        <x:f>IF(ISBLANK('_SCHEDULE'!C497),"",'_SCHEDULE'!C497)</x:f>
      </x:c>
      <x:c r="D529" s="523" t="str">
        <x:f>IF(ISBLANK('_SCHEDULE'!D497),"",'_SCHEDULE'!D497)</x:f>
      </x:c>
      <x:c r="E529" s="530" t="str">
        <x:f>IF(ISBLANK('_SCHEDULE'!E497),"",'_SCHEDULE'!E497)</x:f>
      </x:c>
      <x:c r="F529" s="530" t="str">
        <x:f>IF(ISBLANK('_SCHEDULE'!F497),"",'_SCHEDULE'!F497)</x:f>
      </x:c>
      <x:c r="G529" s="530" t="str">
        <x:f>IF(ISBLANK('_SCHEDULE'!G497),"",'_SCHEDULE'!G497)</x:f>
      </x:c>
      <x:c r="H529" s="530" t="str">
        <x:f>IF(ISBLANK('_SCHEDULE'!H497),"",'_SCHEDULE'!H497)</x:f>
      </x:c>
      <x:c r="I529" s="530" t="str">
        <x:f>IF(ISBLANK('_SCHEDULE'!I497),"",'_SCHEDULE'!I497)</x:f>
      </x:c>
      <x:c r="J529" s="530" t="str">
        <x:f>IF(ISBLANK('_SCHEDULE'!J497),"",'_SCHEDULE'!J497)</x:f>
      </x:c>
      <x:c r="K529" s="530" t="str">
        <x:f>IF(ISBLANK('_SCHEDULE'!K497),"",'_SCHEDULE'!K497)</x:f>
      </x:c>
      <x:c r="L529" s="530" t="str">
        <x:f>IF(ISBLANK('_SCHEDULE'!L497),"",'_SCHEDULE'!L497)</x:f>
      </x:c>
      <x:c r="M529" s="530" t="str">
        <x:f>IF(ISBLANK('_SCHEDULE'!M497),"",'_SCHEDULE'!M497)</x:f>
      </x:c>
      <x:c r="N529" s="530" t="str">
        <x:f>IF(ISBLANK('_SCHEDULE'!N497),"",'_SCHEDULE'!N497)</x:f>
      </x:c>
      <x:c r="O529" s="530" t="str">
        <x:f>IF(ISBLANK('_SCHEDULE'!O497),"",'_SCHEDULE'!O497)</x:f>
      </x:c>
      <x:c r="P529" s="530" t="str">
        <x:f>IF(ISBLANK('_SCHEDULE'!P497),"",'_SCHEDULE'!P497)</x:f>
      </x:c>
      <x:c r="Q529" s="530" t="str">
        <x:f>IF(ISBLANK('_SCHEDULE'!Q497),"",'_SCHEDULE'!Q497)</x:f>
      </x:c>
      <x:c r="R529" s="530" t="str">
        <x:f>IF(ISBLANK('_SCHEDULE'!R497),"",'_SCHEDULE'!R497)</x:f>
      </x:c>
      <x:c r="S529" s="523" t="str">
        <x:f>IF(ISBLANK('_SCHEDULE'!S497),"",'_SCHEDULE'!S497)</x:f>
      </x:c>
      <x:c r="T529" s="38"/>
      <x:c r="U529" s="38"/>
      <x:c r="V529" s="38"/>
      <x:c r="W529" s="38"/>
      <x:c r="X529" s="38"/>
      <x:c r="Y529" s="38"/>
      <x:c r="Z529" s="38"/>
      <x:c r="AA529" s="38"/>
      <x:c r="AB529" s="38"/>
      <x:c r="AC529" s="38"/>
      <x:c r="AD529" s="38"/>
      <x:c r="AE529" s="38"/>
      <x:c r="AF529" s="38"/>
      <x:c r="AG529" s="38"/>
      <x:c r="AH529" s="38"/>
      <x:c r="AI529" s="38"/>
      <x:c r="AJ529" s="38"/>
      <x:c r="AK529" s="38"/>
      <x:c r="AL529" s="38"/>
      <x:c r="AM529" s="38"/>
    </x:row>
    <x:row r="530">
      <x:c r="A530" s="523" t="str">
        <x:f>IF(ISBLANK('_SCHEDULE'!A498),"",'_SCHEDULE'!A498)</x:f>
      </x:c>
      <x:c r="B530" s="523" t="str">
        <x:f>IF(ISBLANK('_SCHEDULE'!B498),"",IF('_CONFIG'!$B$2="pt-BR",IF('_SCHEDULE'!B498="scheduled","programado",IF('_SCHEDULE'!B498="rejected","rejeitado",'_SCHEDULE'!B498)),'_SCHEDULE'!B498))</x:f>
      </x:c>
      <x:c r="C530" s="523" t="str">
        <x:f>IF(ISBLANK('_SCHEDULE'!C498),"",'_SCHEDULE'!C498)</x:f>
      </x:c>
      <x:c r="D530" s="523" t="str">
        <x:f>IF(ISBLANK('_SCHEDULE'!D498),"",'_SCHEDULE'!D498)</x:f>
      </x:c>
      <x:c r="E530" s="530" t="str">
        <x:f>IF(ISBLANK('_SCHEDULE'!E498),"",'_SCHEDULE'!E498)</x:f>
      </x:c>
      <x:c r="F530" s="530" t="str">
        <x:f>IF(ISBLANK('_SCHEDULE'!F498),"",'_SCHEDULE'!F498)</x:f>
      </x:c>
      <x:c r="G530" s="530" t="str">
        <x:f>IF(ISBLANK('_SCHEDULE'!G498),"",'_SCHEDULE'!G498)</x:f>
      </x:c>
      <x:c r="H530" s="530" t="str">
        <x:f>IF(ISBLANK('_SCHEDULE'!H498),"",'_SCHEDULE'!H498)</x:f>
      </x:c>
      <x:c r="I530" s="530" t="str">
        <x:f>IF(ISBLANK('_SCHEDULE'!I498),"",'_SCHEDULE'!I498)</x:f>
      </x:c>
      <x:c r="J530" s="530" t="str">
        <x:f>IF(ISBLANK('_SCHEDULE'!J498),"",'_SCHEDULE'!J498)</x:f>
      </x:c>
      <x:c r="K530" s="530" t="str">
        <x:f>IF(ISBLANK('_SCHEDULE'!K498),"",'_SCHEDULE'!K498)</x:f>
      </x:c>
      <x:c r="L530" s="530" t="str">
        <x:f>IF(ISBLANK('_SCHEDULE'!L498),"",'_SCHEDULE'!L498)</x:f>
      </x:c>
      <x:c r="M530" s="530" t="str">
        <x:f>IF(ISBLANK('_SCHEDULE'!M498),"",'_SCHEDULE'!M498)</x:f>
      </x:c>
      <x:c r="N530" s="530" t="str">
        <x:f>IF(ISBLANK('_SCHEDULE'!N498),"",'_SCHEDULE'!N498)</x:f>
      </x:c>
      <x:c r="O530" s="530" t="str">
        <x:f>IF(ISBLANK('_SCHEDULE'!O498),"",'_SCHEDULE'!O498)</x:f>
      </x:c>
      <x:c r="P530" s="530" t="str">
        <x:f>IF(ISBLANK('_SCHEDULE'!P498),"",'_SCHEDULE'!P498)</x:f>
      </x:c>
      <x:c r="Q530" s="530" t="str">
        <x:f>IF(ISBLANK('_SCHEDULE'!Q498),"",'_SCHEDULE'!Q498)</x:f>
      </x:c>
      <x:c r="R530" s="530" t="str">
        <x:f>IF(ISBLANK('_SCHEDULE'!R498),"",'_SCHEDULE'!R498)</x:f>
      </x:c>
      <x:c r="S530" s="523" t="str">
        <x:f>IF(ISBLANK('_SCHEDULE'!S498),"",'_SCHEDULE'!S498)</x:f>
      </x:c>
      <x:c r="T530" s="38"/>
      <x:c r="U530" s="38"/>
      <x:c r="V530" s="38"/>
      <x:c r="W530" s="38"/>
      <x:c r="X530" s="38"/>
      <x:c r="Y530" s="38"/>
      <x:c r="Z530" s="38"/>
      <x:c r="AA530" s="38"/>
      <x:c r="AB530" s="38"/>
      <x:c r="AC530" s="38"/>
      <x:c r="AD530" s="38"/>
      <x:c r="AE530" s="38"/>
      <x:c r="AF530" s="38"/>
      <x:c r="AG530" s="38"/>
      <x:c r="AH530" s="38"/>
      <x:c r="AI530" s="38"/>
      <x:c r="AJ530" s="38"/>
      <x:c r="AK530" s="38"/>
      <x:c r="AL530" s="38"/>
      <x:c r="AM530" s="38"/>
    </x:row>
    <x:row r="531">
      <x:c r="A531" s="523" t="str">
        <x:f>IF(ISBLANK('_SCHEDULE'!A499),"",'_SCHEDULE'!A499)</x:f>
      </x:c>
      <x:c r="B531" s="523" t="str">
        <x:f>IF(ISBLANK('_SCHEDULE'!B499),"",IF('_CONFIG'!$B$2="pt-BR",IF('_SCHEDULE'!B499="scheduled","programado",IF('_SCHEDULE'!B499="rejected","rejeitado",'_SCHEDULE'!B499)),'_SCHEDULE'!B499))</x:f>
      </x:c>
      <x:c r="C531" s="523" t="str">
        <x:f>IF(ISBLANK('_SCHEDULE'!C499),"",'_SCHEDULE'!C499)</x:f>
      </x:c>
      <x:c r="D531" s="523" t="str">
        <x:f>IF(ISBLANK('_SCHEDULE'!D499),"",'_SCHEDULE'!D499)</x:f>
      </x:c>
      <x:c r="E531" s="530" t="str">
        <x:f>IF(ISBLANK('_SCHEDULE'!E499),"",'_SCHEDULE'!E499)</x:f>
      </x:c>
      <x:c r="F531" s="530" t="str">
        <x:f>IF(ISBLANK('_SCHEDULE'!F499),"",'_SCHEDULE'!F499)</x:f>
      </x:c>
      <x:c r="G531" s="530" t="str">
        <x:f>IF(ISBLANK('_SCHEDULE'!G499),"",'_SCHEDULE'!G499)</x:f>
      </x:c>
      <x:c r="H531" s="530" t="str">
        <x:f>IF(ISBLANK('_SCHEDULE'!H499),"",'_SCHEDULE'!H499)</x:f>
      </x:c>
      <x:c r="I531" s="530" t="str">
        <x:f>IF(ISBLANK('_SCHEDULE'!I499),"",'_SCHEDULE'!I499)</x:f>
      </x:c>
      <x:c r="J531" s="530" t="str">
        <x:f>IF(ISBLANK('_SCHEDULE'!J499),"",'_SCHEDULE'!J499)</x:f>
      </x:c>
      <x:c r="K531" s="530" t="str">
        <x:f>IF(ISBLANK('_SCHEDULE'!K499),"",'_SCHEDULE'!K499)</x:f>
      </x:c>
      <x:c r="L531" s="530" t="str">
        <x:f>IF(ISBLANK('_SCHEDULE'!L499),"",'_SCHEDULE'!L499)</x:f>
      </x:c>
      <x:c r="M531" s="530" t="str">
        <x:f>IF(ISBLANK('_SCHEDULE'!M499),"",'_SCHEDULE'!M499)</x:f>
      </x:c>
      <x:c r="N531" s="530" t="str">
        <x:f>IF(ISBLANK('_SCHEDULE'!N499),"",'_SCHEDULE'!N499)</x:f>
      </x:c>
      <x:c r="O531" s="530" t="str">
        <x:f>IF(ISBLANK('_SCHEDULE'!O499),"",'_SCHEDULE'!O499)</x:f>
      </x:c>
      <x:c r="P531" s="530" t="str">
        <x:f>IF(ISBLANK('_SCHEDULE'!P499),"",'_SCHEDULE'!P499)</x:f>
      </x:c>
      <x:c r="Q531" s="530" t="str">
        <x:f>IF(ISBLANK('_SCHEDULE'!Q499),"",'_SCHEDULE'!Q499)</x:f>
      </x:c>
      <x:c r="R531" s="530" t="str">
        <x:f>IF(ISBLANK('_SCHEDULE'!R499),"",'_SCHEDULE'!R499)</x:f>
      </x:c>
      <x:c r="S531" s="523" t="str">
        <x:f>IF(ISBLANK('_SCHEDULE'!S499),"",'_SCHEDULE'!S499)</x:f>
      </x:c>
      <x:c r="T531" s="38"/>
      <x:c r="U531" s="38"/>
      <x:c r="V531" s="38"/>
      <x:c r="W531" s="38"/>
      <x:c r="X531" s="38"/>
      <x:c r="Y531" s="38"/>
      <x:c r="Z531" s="38"/>
      <x:c r="AA531" s="38"/>
      <x:c r="AB531" s="38"/>
      <x:c r="AC531" s="38"/>
      <x:c r="AD531" s="38"/>
      <x:c r="AE531" s="38"/>
      <x:c r="AF531" s="38"/>
      <x:c r="AG531" s="38"/>
      <x:c r="AH531" s="38"/>
      <x:c r="AI531" s="38"/>
      <x:c r="AJ531" s="38"/>
      <x:c r="AK531" s="38"/>
      <x:c r="AL531" s="38"/>
      <x:c r="AM531" s="38"/>
    </x:row>
    <x:row r="532">
      <x:c r="A532" s="523" t="str">
        <x:f>IF(ISBLANK('_SCHEDULE'!A500),"",'_SCHEDULE'!A500)</x:f>
      </x:c>
      <x:c r="B532" s="523" t="str">
        <x:f>IF(ISBLANK('_SCHEDULE'!B500),"",IF('_CONFIG'!$B$2="pt-BR",IF('_SCHEDULE'!B500="scheduled","programado",IF('_SCHEDULE'!B500="rejected","rejeitado",'_SCHEDULE'!B500)),'_SCHEDULE'!B500))</x:f>
      </x:c>
      <x:c r="C532" s="523" t="str">
        <x:f>IF(ISBLANK('_SCHEDULE'!C500),"",'_SCHEDULE'!C500)</x:f>
      </x:c>
      <x:c r="D532" s="523" t="str">
        <x:f>IF(ISBLANK('_SCHEDULE'!D500),"",'_SCHEDULE'!D500)</x:f>
      </x:c>
      <x:c r="E532" s="530" t="str">
        <x:f>IF(ISBLANK('_SCHEDULE'!E500),"",'_SCHEDULE'!E500)</x:f>
      </x:c>
      <x:c r="F532" s="530" t="str">
        <x:f>IF(ISBLANK('_SCHEDULE'!F500),"",'_SCHEDULE'!F500)</x:f>
      </x:c>
      <x:c r="G532" s="530" t="str">
        <x:f>IF(ISBLANK('_SCHEDULE'!G500),"",'_SCHEDULE'!G500)</x:f>
      </x:c>
      <x:c r="H532" s="530" t="str">
        <x:f>IF(ISBLANK('_SCHEDULE'!H500),"",'_SCHEDULE'!H500)</x:f>
      </x:c>
      <x:c r="I532" s="530" t="str">
        <x:f>IF(ISBLANK('_SCHEDULE'!I500),"",'_SCHEDULE'!I500)</x:f>
      </x:c>
      <x:c r="J532" s="530" t="str">
        <x:f>IF(ISBLANK('_SCHEDULE'!J500),"",'_SCHEDULE'!J500)</x:f>
      </x:c>
      <x:c r="K532" s="530" t="str">
        <x:f>IF(ISBLANK('_SCHEDULE'!K500),"",'_SCHEDULE'!K500)</x:f>
      </x:c>
      <x:c r="L532" s="530" t="str">
        <x:f>IF(ISBLANK('_SCHEDULE'!L500),"",'_SCHEDULE'!L500)</x:f>
      </x:c>
      <x:c r="M532" s="530" t="str">
        <x:f>IF(ISBLANK('_SCHEDULE'!M500),"",'_SCHEDULE'!M500)</x:f>
      </x:c>
      <x:c r="N532" s="530" t="str">
        <x:f>IF(ISBLANK('_SCHEDULE'!N500),"",'_SCHEDULE'!N500)</x:f>
      </x:c>
      <x:c r="O532" s="530" t="str">
        <x:f>IF(ISBLANK('_SCHEDULE'!O500),"",'_SCHEDULE'!O500)</x:f>
      </x:c>
      <x:c r="P532" s="530" t="str">
        <x:f>IF(ISBLANK('_SCHEDULE'!P500),"",'_SCHEDULE'!P500)</x:f>
      </x:c>
      <x:c r="Q532" s="530" t="str">
        <x:f>IF(ISBLANK('_SCHEDULE'!Q500),"",'_SCHEDULE'!Q500)</x:f>
      </x:c>
      <x:c r="R532" s="530" t="str">
        <x:f>IF(ISBLANK('_SCHEDULE'!R500),"",'_SCHEDULE'!R500)</x:f>
      </x:c>
      <x:c r="S532" s="523" t="str">
        <x:f>IF(ISBLANK('_SCHEDULE'!S500),"",'_SCHEDULE'!S500)</x:f>
      </x:c>
      <x:c r="T532" s="38"/>
      <x:c r="U532" s="38"/>
      <x:c r="V532" s="38"/>
      <x:c r="W532" s="38"/>
      <x:c r="X532" s="38"/>
      <x:c r="Y532" s="38"/>
      <x:c r="Z532" s="38"/>
      <x:c r="AA532" s="38"/>
      <x:c r="AB532" s="38"/>
      <x:c r="AC532" s="38"/>
      <x:c r="AD532" s="38"/>
      <x:c r="AE532" s="38"/>
      <x:c r="AF532" s="38"/>
      <x:c r="AG532" s="38"/>
      <x:c r="AH532" s="38"/>
      <x:c r="AI532" s="38"/>
      <x:c r="AJ532" s="38"/>
      <x:c r="AK532" s="38"/>
      <x:c r="AL532" s="38"/>
      <x:c r="AM532" s="38"/>
    </x:row>
    <x:row r="533">
      <x:c r="A533" s="523" t="str">
        <x:f>IF(ISBLANK('_SCHEDULE'!A501),"",'_SCHEDULE'!A501)</x:f>
      </x:c>
      <x:c r="B533" s="523" t="str">
        <x:f>IF(ISBLANK('_SCHEDULE'!B501),"",IF('_CONFIG'!$B$2="pt-BR",IF('_SCHEDULE'!B501="scheduled","programado",IF('_SCHEDULE'!B501="rejected","rejeitado",'_SCHEDULE'!B501)),'_SCHEDULE'!B501))</x:f>
      </x:c>
      <x:c r="C533" s="523" t="str">
        <x:f>IF(ISBLANK('_SCHEDULE'!C501),"",'_SCHEDULE'!C501)</x:f>
      </x:c>
      <x:c r="D533" s="523" t="str">
        <x:f>IF(ISBLANK('_SCHEDULE'!D501),"",'_SCHEDULE'!D501)</x:f>
      </x:c>
      <x:c r="E533" s="530" t="str">
        <x:f>IF(ISBLANK('_SCHEDULE'!E501),"",'_SCHEDULE'!E501)</x:f>
      </x:c>
      <x:c r="F533" s="530" t="str">
        <x:f>IF(ISBLANK('_SCHEDULE'!F501),"",'_SCHEDULE'!F501)</x:f>
      </x:c>
      <x:c r="G533" s="530" t="str">
        <x:f>IF(ISBLANK('_SCHEDULE'!G501),"",'_SCHEDULE'!G501)</x:f>
      </x:c>
      <x:c r="H533" s="530" t="str">
        <x:f>IF(ISBLANK('_SCHEDULE'!H501),"",'_SCHEDULE'!H501)</x:f>
      </x:c>
      <x:c r="I533" s="530" t="str">
        <x:f>IF(ISBLANK('_SCHEDULE'!I501),"",'_SCHEDULE'!I501)</x:f>
      </x:c>
      <x:c r="J533" s="530" t="str">
        <x:f>IF(ISBLANK('_SCHEDULE'!J501),"",'_SCHEDULE'!J501)</x:f>
      </x:c>
      <x:c r="K533" s="530" t="str">
        <x:f>IF(ISBLANK('_SCHEDULE'!K501),"",'_SCHEDULE'!K501)</x:f>
      </x:c>
      <x:c r="L533" s="530" t="str">
        <x:f>IF(ISBLANK('_SCHEDULE'!L501),"",'_SCHEDULE'!L501)</x:f>
      </x:c>
      <x:c r="M533" s="530" t="str">
        <x:f>IF(ISBLANK('_SCHEDULE'!M501),"",'_SCHEDULE'!M501)</x:f>
      </x:c>
      <x:c r="N533" s="530" t="str">
        <x:f>IF(ISBLANK('_SCHEDULE'!N501),"",'_SCHEDULE'!N501)</x:f>
      </x:c>
      <x:c r="O533" s="530" t="str">
        <x:f>IF(ISBLANK('_SCHEDULE'!O501),"",'_SCHEDULE'!O501)</x:f>
      </x:c>
      <x:c r="P533" s="530" t="str">
        <x:f>IF(ISBLANK('_SCHEDULE'!P501),"",'_SCHEDULE'!P501)</x:f>
      </x:c>
      <x:c r="Q533" s="530" t="str">
        <x:f>IF(ISBLANK('_SCHEDULE'!Q501),"",'_SCHEDULE'!Q501)</x:f>
      </x:c>
      <x:c r="R533" s="530" t="str">
        <x:f>IF(ISBLANK('_SCHEDULE'!R501),"",'_SCHEDULE'!R501)</x:f>
      </x:c>
      <x:c r="S533" s="523" t="str">
        <x:f>IF(ISBLANK('_SCHEDULE'!S501),"",'_SCHEDULE'!S501)</x:f>
      </x:c>
      <x:c r="T533" s="38"/>
      <x:c r="U533" s="38"/>
      <x:c r="V533" s="38"/>
      <x:c r="W533" s="38"/>
      <x:c r="X533" s="38"/>
      <x:c r="Y533" s="38"/>
      <x:c r="Z533" s="38"/>
      <x:c r="AA533" s="38"/>
      <x:c r="AB533" s="38"/>
      <x:c r="AC533" s="38"/>
      <x:c r="AD533" s="38"/>
      <x:c r="AE533" s="38"/>
      <x:c r="AF533" s="38"/>
      <x:c r="AG533" s="38"/>
      <x:c r="AH533" s="38"/>
      <x:c r="AI533" s="38"/>
      <x:c r="AJ533" s="38"/>
      <x:c r="AK533" s="38"/>
      <x:c r="AL533" s="38"/>
      <x:c r="AM533" s="38"/>
    </x:row>
    <x:row r="534">
      <x:c r="A534" s="523" t="str">
        <x:f>IF(ISBLANK('_SCHEDULE'!A502),"",'_SCHEDULE'!A502)</x:f>
      </x:c>
      <x:c r="B534" s="523" t="str">
        <x:f>IF(ISBLANK('_SCHEDULE'!B502),"",IF('_CONFIG'!$B$2="pt-BR",IF('_SCHEDULE'!B502="scheduled","programado",IF('_SCHEDULE'!B502="rejected","rejeitado",'_SCHEDULE'!B502)),'_SCHEDULE'!B502))</x:f>
      </x:c>
      <x:c r="C534" s="523" t="str">
        <x:f>IF(ISBLANK('_SCHEDULE'!C502),"",'_SCHEDULE'!C502)</x:f>
      </x:c>
      <x:c r="D534" s="523" t="str">
        <x:f>IF(ISBLANK('_SCHEDULE'!D502),"",'_SCHEDULE'!D502)</x:f>
      </x:c>
      <x:c r="E534" s="530" t="str">
        <x:f>IF(ISBLANK('_SCHEDULE'!E502),"",'_SCHEDULE'!E502)</x:f>
      </x:c>
      <x:c r="F534" s="530" t="str">
        <x:f>IF(ISBLANK('_SCHEDULE'!F502),"",'_SCHEDULE'!F502)</x:f>
      </x:c>
      <x:c r="G534" s="530" t="str">
        <x:f>IF(ISBLANK('_SCHEDULE'!G502),"",'_SCHEDULE'!G502)</x:f>
      </x:c>
      <x:c r="H534" s="530" t="str">
        <x:f>IF(ISBLANK('_SCHEDULE'!H502),"",'_SCHEDULE'!H502)</x:f>
      </x:c>
      <x:c r="I534" s="530" t="str">
        <x:f>IF(ISBLANK('_SCHEDULE'!I502),"",'_SCHEDULE'!I502)</x:f>
      </x:c>
      <x:c r="J534" s="530" t="str">
        <x:f>IF(ISBLANK('_SCHEDULE'!J502),"",'_SCHEDULE'!J502)</x:f>
      </x:c>
      <x:c r="K534" s="530" t="str">
        <x:f>IF(ISBLANK('_SCHEDULE'!K502),"",'_SCHEDULE'!K502)</x:f>
      </x:c>
      <x:c r="L534" s="530" t="str">
        <x:f>IF(ISBLANK('_SCHEDULE'!L502),"",'_SCHEDULE'!L502)</x:f>
      </x:c>
      <x:c r="M534" s="530" t="str">
        <x:f>IF(ISBLANK('_SCHEDULE'!M502),"",'_SCHEDULE'!M502)</x:f>
      </x:c>
      <x:c r="N534" s="530" t="str">
        <x:f>IF(ISBLANK('_SCHEDULE'!N502),"",'_SCHEDULE'!N502)</x:f>
      </x:c>
      <x:c r="O534" s="530" t="str">
        <x:f>IF(ISBLANK('_SCHEDULE'!O502),"",'_SCHEDULE'!O502)</x:f>
      </x:c>
      <x:c r="P534" s="530" t="str">
        <x:f>IF(ISBLANK('_SCHEDULE'!P502),"",'_SCHEDULE'!P502)</x:f>
      </x:c>
      <x:c r="Q534" s="530" t="str">
        <x:f>IF(ISBLANK('_SCHEDULE'!Q502),"",'_SCHEDULE'!Q502)</x:f>
      </x:c>
      <x:c r="R534" s="530" t="str">
        <x:f>IF(ISBLANK('_SCHEDULE'!R502),"",'_SCHEDULE'!R502)</x:f>
      </x:c>
      <x:c r="S534" s="523" t="str">
        <x:f>IF(ISBLANK('_SCHEDULE'!S502),"",'_SCHEDULE'!S502)</x:f>
      </x:c>
      <x:c r="T534" s="38"/>
      <x:c r="U534" s="38"/>
      <x:c r="V534" s="38"/>
      <x:c r="W534" s="38"/>
      <x:c r="X534" s="38"/>
      <x:c r="Y534" s="38"/>
      <x:c r="Z534" s="38"/>
      <x:c r="AA534" s="38"/>
      <x:c r="AB534" s="38"/>
      <x:c r="AC534" s="38"/>
      <x:c r="AD534" s="38"/>
      <x:c r="AE534" s="38"/>
      <x:c r="AF534" s="38"/>
      <x:c r="AG534" s="38"/>
      <x:c r="AH534" s="38"/>
      <x:c r="AI534" s="38"/>
      <x:c r="AJ534" s="38"/>
      <x:c r="AK534" s="38"/>
      <x:c r="AL534" s="38"/>
      <x:c r="AM534" s="38"/>
    </x:row>
    <x:row r="535">
      <x:c r="A535" s="523" t="str">
        <x:f>IF(ISBLANK('_SCHEDULE'!A503),"",'_SCHEDULE'!A503)</x:f>
      </x:c>
      <x:c r="B535" s="523" t="str">
        <x:f>IF(ISBLANK('_SCHEDULE'!B503),"",IF('_CONFIG'!$B$2="pt-BR",IF('_SCHEDULE'!B503="scheduled","programado",IF('_SCHEDULE'!B503="rejected","rejeitado",'_SCHEDULE'!B503)),'_SCHEDULE'!B503))</x:f>
      </x:c>
      <x:c r="C535" s="523" t="str">
        <x:f>IF(ISBLANK('_SCHEDULE'!C503),"",'_SCHEDULE'!C503)</x:f>
      </x:c>
      <x:c r="D535" s="523" t="str">
        <x:f>IF(ISBLANK('_SCHEDULE'!D503),"",'_SCHEDULE'!D503)</x:f>
      </x:c>
      <x:c r="E535" s="530" t="str">
        <x:f>IF(ISBLANK('_SCHEDULE'!E503),"",'_SCHEDULE'!E503)</x:f>
      </x:c>
      <x:c r="F535" s="530" t="str">
        <x:f>IF(ISBLANK('_SCHEDULE'!F503),"",'_SCHEDULE'!F503)</x:f>
      </x:c>
      <x:c r="G535" s="530" t="str">
        <x:f>IF(ISBLANK('_SCHEDULE'!G503),"",'_SCHEDULE'!G503)</x:f>
      </x:c>
      <x:c r="H535" s="530" t="str">
        <x:f>IF(ISBLANK('_SCHEDULE'!H503),"",'_SCHEDULE'!H503)</x:f>
      </x:c>
      <x:c r="I535" s="530" t="str">
        <x:f>IF(ISBLANK('_SCHEDULE'!I503),"",'_SCHEDULE'!I503)</x:f>
      </x:c>
      <x:c r="J535" s="530" t="str">
        <x:f>IF(ISBLANK('_SCHEDULE'!J503),"",'_SCHEDULE'!J503)</x:f>
      </x:c>
      <x:c r="K535" s="530" t="str">
        <x:f>IF(ISBLANK('_SCHEDULE'!K503),"",'_SCHEDULE'!K503)</x:f>
      </x:c>
      <x:c r="L535" s="530" t="str">
        <x:f>IF(ISBLANK('_SCHEDULE'!L503),"",'_SCHEDULE'!L503)</x:f>
      </x:c>
      <x:c r="M535" s="530" t="str">
        <x:f>IF(ISBLANK('_SCHEDULE'!M503),"",'_SCHEDULE'!M503)</x:f>
      </x:c>
      <x:c r="N535" s="530" t="str">
        <x:f>IF(ISBLANK('_SCHEDULE'!N503),"",'_SCHEDULE'!N503)</x:f>
      </x:c>
      <x:c r="O535" s="530" t="str">
        <x:f>IF(ISBLANK('_SCHEDULE'!O503),"",'_SCHEDULE'!O503)</x:f>
      </x:c>
      <x:c r="P535" s="530" t="str">
        <x:f>IF(ISBLANK('_SCHEDULE'!P503),"",'_SCHEDULE'!P503)</x:f>
      </x:c>
      <x:c r="Q535" s="530" t="str">
        <x:f>IF(ISBLANK('_SCHEDULE'!Q503),"",'_SCHEDULE'!Q503)</x:f>
      </x:c>
      <x:c r="R535" s="530" t="str">
        <x:f>IF(ISBLANK('_SCHEDULE'!R503),"",'_SCHEDULE'!R503)</x:f>
      </x:c>
      <x:c r="S535" s="523" t="str">
        <x:f>IF(ISBLANK('_SCHEDULE'!S503),"",'_SCHEDULE'!S503)</x:f>
      </x:c>
      <x:c r="T535" s="38"/>
      <x:c r="U535" s="38"/>
      <x:c r="V535" s="38"/>
      <x:c r="W535" s="38"/>
      <x:c r="X535" s="38"/>
      <x:c r="Y535" s="38"/>
      <x:c r="Z535" s="38"/>
      <x:c r="AA535" s="38"/>
      <x:c r="AB535" s="38"/>
      <x:c r="AC535" s="38"/>
      <x:c r="AD535" s="38"/>
      <x:c r="AE535" s="38"/>
      <x:c r="AF535" s="38"/>
      <x:c r="AG535" s="38"/>
      <x:c r="AH535" s="38"/>
      <x:c r="AI535" s="38"/>
      <x:c r="AJ535" s="38"/>
      <x:c r="AK535" s="38"/>
      <x:c r="AL535" s="38"/>
      <x:c r="AM535" s="38"/>
    </x:row>
    <x:row r="536">
      <x:c r="A536" s="523" t="str">
        <x:f>IF(ISBLANK('_SCHEDULE'!A504),"",'_SCHEDULE'!A504)</x:f>
      </x:c>
      <x:c r="B536" s="523" t="str">
        <x:f>IF(ISBLANK('_SCHEDULE'!B504),"",IF('_CONFIG'!$B$2="pt-BR",IF('_SCHEDULE'!B504="scheduled","programado",IF('_SCHEDULE'!B504="rejected","rejeitado",'_SCHEDULE'!B504)),'_SCHEDULE'!B504))</x:f>
      </x:c>
      <x:c r="C536" s="523" t="str">
        <x:f>IF(ISBLANK('_SCHEDULE'!C504),"",'_SCHEDULE'!C504)</x:f>
      </x:c>
      <x:c r="D536" s="523" t="str">
        <x:f>IF(ISBLANK('_SCHEDULE'!D504),"",'_SCHEDULE'!D504)</x:f>
      </x:c>
      <x:c r="E536" s="530" t="str">
        <x:f>IF(ISBLANK('_SCHEDULE'!E504),"",'_SCHEDULE'!E504)</x:f>
      </x:c>
      <x:c r="F536" s="530" t="str">
        <x:f>IF(ISBLANK('_SCHEDULE'!F504),"",'_SCHEDULE'!F504)</x:f>
      </x:c>
      <x:c r="G536" s="530" t="str">
        <x:f>IF(ISBLANK('_SCHEDULE'!G504),"",'_SCHEDULE'!G504)</x:f>
      </x:c>
      <x:c r="H536" s="530" t="str">
        <x:f>IF(ISBLANK('_SCHEDULE'!H504),"",'_SCHEDULE'!H504)</x:f>
      </x:c>
      <x:c r="I536" s="530" t="str">
        <x:f>IF(ISBLANK('_SCHEDULE'!I504),"",'_SCHEDULE'!I504)</x:f>
      </x:c>
      <x:c r="J536" s="530" t="str">
        <x:f>IF(ISBLANK('_SCHEDULE'!J504),"",'_SCHEDULE'!J504)</x:f>
      </x:c>
      <x:c r="K536" s="530" t="str">
        <x:f>IF(ISBLANK('_SCHEDULE'!K504),"",'_SCHEDULE'!K504)</x:f>
      </x:c>
      <x:c r="L536" s="530" t="str">
        <x:f>IF(ISBLANK('_SCHEDULE'!L504),"",'_SCHEDULE'!L504)</x:f>
      </x:c>
      <x:c r="M536" s="530" t="str">
        <x:f>IF(ISBLANK('_SCHEDULE'!M504),"",'_SCHEDULE'!M504)</x:f>
      </x:c>
      <x:c r="N536" s="530" t="str">
        <x:f>IF(ISBLANK('_SCHEDULE'!N504),"",'_SCHEDULE'!N504)</x:f>
      </x:c>
      <x:c r="O536" s="530" t="str">
        <x:f>IF(ISBLANK('_SCHEDULE'!O504),"",'_SCHEDULE'!O504)</x:f>
      </x:c>
      <x:c r="P536" s="530" t="str">
        <x:f>IF(ISBLANK('_SCHEDULE'!P504),"",'_SCHEDULE'!P504)</x:f>
      </x:c>
      <x:c r="Q536" s="530" t="str">
        <x:f>IF(ISBLANK('_SCHEDULE'!Q504),"",'_SCHEDULE'!Q504)</x:f>
      </x:c>
      <x:c r="R536" s="530" t="str">
        <x:f>IF(ISBLANK('_SCHEDULE'!R504),"",'_SCHEDULE'!R504)</x:f>
      </x:c>
      <x:c r="S536" s="523" t="str">
        <x:f>IF(ISBLANK('_SCHEDULE'!S504),"",'_SCHEDULE'!S504)</x:f>
      </x:c>
      <x:c r="T536" s="38"/>
      <x:c r="U536" s="38"/>
      <x:c r="V536" s="38"/>
      <x:c r="W536" s="38"/>
      <x:c r="X536" s="38"/>
      <x:c r="Y536" s="38"/>
      <x:c r="Z536" s="38"/>
      <x:c r="AA536" s="38"/>
      <x:c r="AB536" s="38"/>
      <x:c r="AC536" s="38"/>
      <x:c r="AD536" s="38"/>
      <x:c r="AE536" s="38"/>
      <x:c r="AF536" s="38"/>
      <x:c r="AG536" s="38"/>
      <x:c r="AH536" s="38"/>
      <x:c r="AI536" s="38"/>
      <x:c r="AJ536" s="38"/>
      <x:c r="AK536" s="38"/>
      <x:c r="AL536" s="38"/>
      <x:c r="AM536" s="38"/>
    </x:row>
    <x:row r="537">
      <x:c r="A537" s="523" t="str">
        <x:f>IF(ISBLANK('_SCHEDULE'!A505),"",'_SCHEDULE'!A505)</x:f>
      </x:c>
      <x:c r="B537" s="523" t="str">
        <x:f>IF(ISBLANK('_SCHEDULE'!B505),"",IF('_CONFIG'!$B$2="pt-BR",IF('_SCHEDULE'!B505="scheduled","programado",IF('_SCHEDULE'!B505="rejected","rejeitado",'_SCHEDULE'!B505)),'_SCHEDULE'!B505))</x:f>
      </x:c>
      <x:c r="C537" s="523" t="str">
        <x:f>IF(ISBLANK('_SCHEDULE'!C505),"",'_SCHEDULE'!C505)</x:f>
      </x:c>
      <x:c r="D537" s="523" t="str">
        <x:f>IF(ISBLANK('_SCHEDULE'!D505),"",'_SCHEDULE'!D505)</x:f>
      </x:c>
      <x:c r="E537" s="530" t="str">
        <x:f>IF(ISBLANK('_SCHEDULE'!E505),"",'_SCHEDULE'!E505)</x:f>
      </x:c>
      <x:c r="F537" s="530" t="str">
        <x:f>IF(ISBLANK('_SCHEDULE'!F505),"",'_SCHEDULE'!F505)</x:f>
      </x:c>
      <x:c r="G537" s="530" t="str">
        <x:f>IF(ISBLANK('_SCHEDULE'!G505),"",'_SCHEDULE'!G505)</x:f>
      </x:c>
      <x:c r="H537" s="530" t="str">
        <x:f>IF(ISBLANK('_SCHEDULE'!H505),"",'_SCHEDULE'!H505)</x:f>
      </x:c>
      <x:c r="I537" s="530" t="str">
        <x:f>IF(ISBLANK('_SCHEDULE'!I505),"",'_SCHEDULE'!I505)</x:f>
      </x:c>
      <x:c r="J537" s="530" t="str">
        <x:f>IF(ISBLANK('_SCHEDULE'!J505),"",'_SCHEDULE'!J505)</x:f>
      </x:c>
      <x:c r="K537" s="530" t="str">
        <x:f>IF(ISBLANK('_SCHEDULE'!K505),"",'_SCHEDULE'!K505)</x:f>
      </x:c>
      <x:c r="L537" s="530" t="str">
        <x:f>IF(ISBLANK('_SCHEDULE'!L505),"",'_SCHEDULE'!L505)</x:f>
      </x:c>
      <x:c r="M537" s="530" t="str">
        <x:f>IF(ISBLANK('_SCHEDULE'!M505),"",'_SCHEDULE'!M505)</x:f>
      </x:c>
      <x:c r="N537" s="530" t="str">
        <x:f>IF(ISBLANK('_SCHEDULE'!N505),"",'_SCHEDULE'!N505)</x:f>
      </x:c>
      <x:c r="O537" s="530" t="str">
        <x:f>IF(ISBLANK('_SCHEDULE'!O505),"",'_SCHEDULE'!O505)</x:f>
      </x:c>
      <x:c r="P537" s="530" t="str">
        <x:f>IF(ISBLANK('_SCHEDULE'!P505),"",'_SCHEDULE'!P505)</x:f>
      </x:c>
      <x:c r="Q537" s="530" t="str">
        <x:f>IF(ISBLANK('_SCHEDULE'!Q505),"",'_SCHEDULE'!Q505)</x:f>
      </x:c>
      <x:c r="R537" s="530" t="str">
        <x:f>IF(ISBLANK('_SCHEDULE'!R505),"",'_SCHEDULE'!R505)</x:f>
      </x:c>
      <x:c r="S537" s="523" t="str">
        <x:f>IF(ISBLANK('_SCHEDULE'!S505),"",'_SCHEDULE'!S505)</x:f>
      </x:c>
      <x:c r="T537" s="38"/>
      <x:c r="U537" s="38"/>
      <x:c r="V537" s="38"/>
      <x:c r="W537" s="38"/>
      <x:c r="X537" s="38"/>
      <x:c r="Y537" s="38"/>
      <x:c r="Z537" s="38"/>
      <x:c r="AA537" s="38"/>
      <x:c r="AB537" s="38"/>
      <x:c r="AC537" s="38"/>
      <x:c r="AD537" s="38"/>
      <x:c r="AE537" s="38"/>
      <x:c r="AF537" s="38"/>
      <x:c r="AG537" s="38"/>
      <x:c r="AH537" s="38"/>
      <x:c r="AI537" s="38"/>
      <x:c r="AJ537" s="38"/>
      <x:c r="AK537" s="38"/>
      <x:c r="AL537" s="38"/>
      <x:c r="AM537" s="38"/>
    </x:row>
    <x:row r="538">
      <x:c r="A538" s="523" t="str">
        <x:f>IF(ISBLANK('_SCHEDULE'!A506),"",'_SCHEDULE'!A506)</x:f>
      </x:c>
      <x:c r="B538" s="523" t="str">
        <x:f>IF(ISBLANK('_SCHEDULE'!B506),"",IF('_CONFIG'!$B$2="pt-BR",IF('_SCHEDULE'!B506="scheduled","programado",IF('_SCHEDULE'!B506="rejected","rejeitado",'_SCHEDULE'!B506)),'_SCHEDULE'!B506))</x:f>
      </x:c>
      <x:c r="C538" s="523" t="str">
        <x:f>IF(ISBLANK('_SCHEDULE'!C506),"",'_SCHEDULE'!C506)</x:f>
      </x:c>
      <x:c r="D538" s="523" t="str">
        <x:f>IF(ISBLANK('_SCHEDULE'!D506),"",'_SCHEDULE'!D506)</x:f>
      </x:c>
      <x:c r="E538" s="530" t="str">
        <x:f>IF(ISBLANK('_SCHEDULE'!E506),"",'_SCHEDULE'!E506)</x:f>
      </x:c>
      <x:c r="F538" s="530" t="str">
        <x:f>IF(ISBLANK('_SCHEDULE'!F506),"",'_SCHEDULE'!F506)</x:f>
      </x:c>
      <x:c r="G538" s="530" t="str">
        <x:f>IF(ISBLANK('_SCHEDULE'!G506),"",'_SCHEDULE'!G506)</x:f>
      </x:c>
      <x:c r="H538" s="530" t="str">
        <x:f>IF(ISBLANK('_SCHEDULE'!H506),"",'_SCHEDULE'!H506)</x:f>
      </x:c>
      <x:c r="I538" s="530" t="str">
        <x:f>IF(ISBLANK('_SCHEDULE'!I506),"",'_SCHEDULE'!I506)</x:f>
      </x:c>
      <x:c r="J538" s="530" t="str">
        <x:f>IF(ISBLANK('_SCHEDULE'!J506),"",'_SCHEDULE'!J506)</x:f>
      </x:c>
      <x:c r="K538" s="530" t="str">
        <x:f>IF(ISBLANK('_SCHEDULE'!K506),"",'_SCHEDULE'!K506)</x:f>
      </x:c>
      <x:c r="L538" s="530" t="str">
        <x:f>IF(ISBLANK('_SCHEDULE'!L506),"",'_SCHEDULE'!L506)</x:f>
      </x:c>
      <x:c r="M538" s="530" t="str">
        <x:f>IF(ISBLANK('_SCHEDULE'!M506),"",'_SCHEDULE'!M506)</x:f>
      </x:c>
      <x:c r="N538" s="530" t="str">
        <x:f>IF(ISBLANK('_SCHEDULE'!N506),"",'_SCHEDULE'!N506)</x:f>
      </x:c>
      <x:c r="O538" s="530" t="str">
        <x:f>IF(ISBLANK('_SCHEDULE'!O506),"",'_SCHEDULE'!O506)</x:f>
      </x:c>
      <x:c r="P538" s="530" t="str">
        <x:f>IF(ISBLANK('_SCHEDULE'!P506),"",'_SCHEDULE'!P506)</x:f>
      </x:c>
      <x:c r="Q538" s="530" t="str">
        <x:f>IF(ISBLANK('_SCHEDULE'!Q506),"",'_SCHEDULE'!Q506)</x:f>
      </x:c>
      <x:c r="R538" s="530" t="str">
        <x:f>IF(ISBLANK('_SCHEDULE'!R506),"",'_SCHEDULE'!R506)</x:f>
      </x:c>
      <x:c r="S538" s="523" t="str">
        <x:f>IF(ISBLANK('_SCHEDULE'!S506),"",'_SCHEDULE'!S506)</x:f>
      </x:c>
      <x:c r="T538" s="38"/>
      <x:c r="U538" s="38"/>
      <x:c r="V538" s="38"/>
      <x:c r="W538" s="38"/>
      <x:c r="X538" s="38"/>
      <x:c r="Y538" s="38"/>
      <x:c r="Z538" s="38"/>
      <x:c r="AA538" s="38"/>
      <x:c r="AB538" s="38"/>
      <x:c r="AC538" s="38"/>
      <x:c r="AD538" s="38"/>
      <x:c r="AE538" s="38"/>
      <x:c r="AF538" s="38"/>
      <x:c r="AG538" s="38"/>
      <x:c r="AH538" s="38"/>
      <x:c r="AI538" s="38"/>
      <x:c r="AJ538" s="38"/>
      <x:c r="AK538" s="38"/>
      <x:c r="AL538" s="38"/>
      <x:c r="AM538" s="38"/>
    </x:row>
    <x:row r="539">
      <x:c r="A539" s="523" t="str">
        <x:f>IF(ISBLANK('_SCHEDULE'!A507),"",'_SCHEDULE'!A507)</x:f>
      </x:c>
      <x:c r="B539" s="523" t="str">
        <x:f>IF(ISBLANK('_SCHEDULE'!B507),"",IF('_CONFIG'!$B$2="pt-BR",IF('_SCHEDULE'!B507="scheduled","programado",IF('_SCHEDULE'!B507="rejected","rejeitado",'_SCHEDULE'!B507)),'_SCHEDULE'!B507))</x:f>
      </x:c>
      <x:c r="C539" s="523" t="str">
        <x:f>IF(ISBLANK('_SCHEDULE'!C507),"",'_SCHEDULE'!C507)</x:f>
      </x:c>
      <x:c r="D539" s="523" t="str">
        <x:f>IF(ISBLANK('_SCHEDULE'!D507),"",'_SCHEDULE'!D507)</x:f>
      </x:c>
      <x:c r="E539" s="530" t="str">
        <x:f>IF(ISBLANK('_SCHEDULE'!E507),"",'_SCHEDULE'!E507)</x:f>
      </x:c>
      <x:c r="F539" s="530" t="str">
        <x:f>IF(ISBLANK('_SCHEDULE'!F507),"",'_SCHEDULE'!F507)</x:f>
      </x:c>
      <x:c r="G539" s="530" t="str">
        <x:f>IF(ISBLANK('_SCHEDULE'!G507),"",'_SCHEDULE'!G507)</x:f>
      </x:c>
      <x:c r="H539" s="530" t="str">
        <x:f>IF(ISBLANK('_SCHEDULE'!H507),"",'_SCHEDULE'!H507)</x:f>
      </x:c>
      <x:c r="I539" s="530" t="str">
        <x:f>IF(ISBLANK('_SCHEDULE'!I507),"",'_SCHEDULE'!I507)</x:f>
      </x:c>
      <x:c r="J539" s="530" t="str">
        <x:f>IF(ISBLANK('_SCHEDULE'!J507),"",'_SCHEDULE'!J507)</x:f>
      </x:c>
      <x:c r="K539" s="530" t="str">
        <x:f>IF(ISBLANK('_SCHEDULE'!K507),"",'_SCHEDULE'!K507)</x:f>
      </x:c>
      <x:c r="L539" s="530" t="str">
        <x:f>IF(ISBLANK('_SCHEDULE'!L507),"",'_SCHEDULE'!L507)</x:f>
      </x:c>
      <x:c r="M539" s="530" t="str">
        <x:f>IF(ISBLANK('_SCHEDULE'!M507),"",'_SCHEDULE'!M507)</x:f>
      </x:c>
      <x:c r="N539" s="530" t="str">
        <x:f>IF(ISBLANK('_SCHEDULE'!N507),"",'_SCHEDULE'!N507)</x:f>
      </x:c>
      <x:c r="O539" s="530" t="str">
        <x:f>IF(ISBLANK('_SCHEDULE'!O507),"",'_SCHEDULE'!O507)</x:f>
      </x:c>
      <x:c r="P539" s="530" t="str">
        <x:f>IF(ISBLANK('_SCHEDULE'!P507),"",'_SCHEDULE'!P507)</x:f>
      </x:c>
      <x:c r="Q539" s="530" t="str">
        <x:f>IF(ISBLANK('_SCHEDULE'!Q507),"",'_SCHEDULE'!Q507)</x:f>
      </x:c>
      <x:c r="R539" s="530" t="str">
        <x:f>IF(ISBLANK('_SCHEDULE'!R507),"",'_SCHEDULE'!R507)</x:f>
      </x:c>
      <x:c r="S539" s="523" t="str">
        <x:f>IF(ISBLANK('_SCHEDULE'!S507),"",'_SCHEDULE'!S507)</x:f>
      </x:c>
      <x:c r="T539" s="38"/>
      <x:c r="U539" s="38"/>
      <x:c r="V539" s="38"/>
      <x:c r="W539" s="38"/>
      <x:c r="X539" s="38"/>
      <x:c r="Y539" s="38"/>
      <x:c r="Z539" s="38"/>
      <x:c r="AA539" s="38"/>
      <x:c r="AB539" s="38"/>
      <x:c r="AC539" s="38"/>
      <x:c r="AD539" s="38"/>
      <x:c r="AE539" s="38"/>
      <x:c r="AF539" s="38"/>
      <x:c r="AG539" s="38"/>
      <x:c r="AH539" s="38"/>
      <x:c r="AI539" s="38"/>
      <x:c r="AJ539" s="38"/>
      <x:c r="AK539" s="38"/>
      <x:c r="AL539" s="38"/>
      <x:c r="AM539" s="38"/>
    </x:row>
    <x:row r="540">
      <x:c r="A540" s="523" t="str">
        <x:f>IF(ISBLANK('_SCHEDULE'!A508),"",'_SCHEDULE'!A508)</x:f>
      </x:c>
      <x:c r="B540" s="523" t="str">
        <x:f>IF(ISBLANK('_SCHEDULE'!B508),"",IF('_CONFIG'!$B$2="pt-BR",IF('_SCHEDULE'!B508="scheduled","programado",IF('_SCHEDULE'!B508="rejected","rejeitado",'_SCHEDULE'!B508)),'_SCHEDULE'!B508))</x:f>
      </x:c>
      <x:c r="C540" s="523" t="str">
        <x:f>IF(ISBLANK('_SCHEDULE'!C508),"",'_SCHEDULE'!C508)</x:f>
      </x:c>
      <x:c r="D540" s="523" t="str">
        <x:f>IF(ISBLANK('_SCHEDULE'!D508),"",'_SCHEDULE'!D508)</x:f>
      </x:c>
      <x:c r="E540" s="530" t="str">
        <x:f>IF(ISBLANK('_SCHEDULE'!E508),"",'_SCHEDULE'!E508)</x:f>
      </x:c>
      <x:c r="F540" s="530" t="str">
        <x:f>IF(ISBLANK('_SCHEDULE'!F508),"",'_SCHEDULE'!F508)</x:f>
      </x:c>
      <x:c r="G540" s="530" t="str">
        <x:f>IF(ISBLANK('_SCHEDULE'!G508),"",'_SCHEDULE'!G508)</x:f>
      </x:c>
      <x:c r="H540" s="530" t="str">
        <x:f>IF(ISBLANK('_SCHEDULE'!H508),"",'_SCHEDULE'!H508)</x:f>
      </x:c>
      <x:c r="I540" s="530" t="str">
        <x:f>IF(ISBLANK('_SCHEDULE'!I508),"",'_SCHEDULE'!I508)</x:f>
      </x:c>
      <x:c r="J540" s="530" t="str">
        <x:f>IF(ISBLANK('_SCHEDULE'!J508),"",'_SCHEDULE'!J508)</x:f>
      </x:c>
      <x:c r="K540" s="530" t="str">
        <x:f>IF(ISBLANK('_SCHEDULE'!K508),"",'_SCHEDULE'!K508)</x:f>
      </x:c>
      <x:c r="L540" s="530" t="str">
        <x:f>IF(ISBLANK('_SCHEDULE'!L508),"",'_SCHEDULE'!L508)</x:f>
      </x:c>
      <x:c r="M540" s="530" t="str">
        <x:f>IF(ISBLANK('_SCHEDULE'!M508),"",'_SCHEDULE'!M508)</x:f>
      </x:c>
      <x:c r="N540" s="530" t="str">
        <x:f>IF(ISBLANK('_SCHEDULE'!N508),"",'_SCHEDULE'!N508)</x:f>
      </x:c>
      <x:c r="O540" s="530" t="str">
        <x:f>IF(ISBLANK('_SCHEDULE'!O508),"",'_SCHEDULE'!O508)</x:f>
      </x:c>
      <x:c r="P540" s="530" t="str">
        <x:f>IF(ISBLANK('_SCHEDULE'!P508),"",'_SCHEDULE'!P508)</x:f>
      </x:c>
      <x:c r="Q540" s="530" t="str">
        <x:f>IF(ISBLANK('_SCHEDULE'!Q508),"",'_SCHEDULE'!Q508)</x:f>
      </x:c>
      <x:c r="R540" s="530" t="str">
        <x:f>IF(ISBLANK('_SCHEDULE'!R508),"",'_SCHEDULE'!R508)</x:f>
      </x:c>
      <x:c r="S540" s="523" t="str">
        <x:f>IF(ISBLANK('_SCHEDULE'!S508),"",'_SCHEDULE'!S508)</x:f>
      </x:c>
      <x:c r="T540" s="38"/>
      <x:c r="U540" s="38"/>
      <x:c r="V540" s="38"/>
      <x:c r="W540" s="38"/>
      <x:c r="X540" s="38"/>
      <x:c r="Y540" s="38"/>
      <x:c r="Z540" s="38"/>
      <x:c r="AA540" s="38"/>
      <x:c r="AB540" s="38"/>
      <x:c r="AC540" s="38"/>
      <x:c r="AD540" s="38"/>
      <x:c r="AE540" s="38"/>
      <x:c r="AF540" s="38"/>
      <x:c r="AG540" s="38"/>
      <x:c r="AH540" s="38"/>
      <x:c r="AI540" s="38"/>
      <x:c r="AJ540" s="38"/>
      <x:c r="AK540" s="38"/>
      <x:c r="AL540" s="38"/>
      <x:c r="AM540" s="38"/>
    </x:row>
    <x:row r="541">
      <x:c r="A541" s="523" t="str">
        <x:f>IF(ISBLANK('_SCHEDULE'!A509),"",'_SCHEDULE'!A509)</x:f>
      </x:c>
      <x:c r="B541" s="523" t="str">
        <x:f>IF(ISBLANK('_SCHEDULE'!B509),"",IF('_CONFIG'!$B$2="pt-BR",IF('_SCHEDULE'!B509="scheduled","programado",IF('_SCHEDULE'!B509="rejected","rejeitado",'_SCHEDULE'!B509)),'_SCHEDULE'!B509))</x:f>
      </x:c>
      <x:c r="C541" s="523" t="str">
        <x:f>IF(ISBLANK('_SCHEDULE'!C509),"",'_SCHEDULE'!C509)</x:f>
      </x:c>
      <x:c r="D541" s="523" t="str">
        <x:f>IF(ISBLANK('_SCHEDULE'!D509),"",'_SCHEDULE'!D509)</x:f>
      </x:c>
      <x:c r="E541" s="530" t="str">
        <x:f>IF(ISBLANK('_SCHEDULE'!E509),"",'_SCHEDULE'!E509)</x:f>
      </x:c>
      <x:c r="F541" s="530" t="str">
        <x:f>IF(ISBLANK('_SCHEDULE'!F509),"",'_SCHEDULE'!F509)</x:f>
      </x:c>
      <x:c r="G541" s="530" t="str">
        <x:f>IF(ISBLANK('_SCHEDULE'!G509),"",'_SCHEDULE'!G509)</x:f>
      </x:c>
      <x:c r="H541" s="530" t="str">
        <x:f>IF(ISBLANK('_SCHEDULE'!H509),"",'_SCHEDULE'!H509)</x:f>
      </x:c>
      <x:c r="I541" s="530" t="str">
        <x:f>IF(ISBLANK('_SCHEDULE'!I509),"",'_SCHEDULE'!I509)</x:f>
      </x:c>
      <x:c r="J541" s="530" t="str">
        <x:f>IF(ISBLANK('_SCHEDULE'!J509),"",'_SCHEDULE'!J509)</x:f>
      </x:c>
      <x:c r="K541" s="530" t="str">
        <x:f>IF(ISBLANK('_SCHEDULE'!K509),"",'_SCHEDULE'!K509)</x:f>
      </x:c>
      <x:c r="L541" s="530" t="str">
        <x:f>IF(ISBLANK('_SCHEDULE'!L509),"",'_SCHEDULE'!L509)</x:f>
      </x:c>
      <x:c r="M541" s="530" t="str">
        <x:f>IF(ISBLANK('_SCHEDULE'!M509),"",'_SCHEDULE'!M509)</x:f>
      </x:c>
      <x:c r="N541" s="530" t="str">
        <x:f>IF(ISBLANK('_SCHEDULE'!N509),"",'_SCHEDULE'!N509)</x:f>
      </x:c>
      <x:c r="O541" s="530" t="str">
        <x:f>IF(ISBLANK('_SCHEDULE'!O509),"",'_SCHEDULE'!O509)</x:f>
      </x:c>
      <x:c r="P541" s="530" t="str">
        <x:f>IF(ISBLANK('_SCHEDULE'!P509),"",'_SCHEDULE'!P509)</x:f>
      </x:c>
      <x:c r="Q541" s="530" t="str">
        <x:f>IF(ISBLANK('_SCHEDULE'!Q509),"",'_SCHEDULE'!Q509)</x:f>
      </x:c>
      <x:c r="R541" s="530" t="str">
        <x:f>IF(ISBLANK('_SCHEDULE'!R509),"",'_SCHEDULE'!R509)</x:f>
      </x:c>
      <x:c r="S541" s="523" t="str">
        <x:f>IF(ISBLANK('_SCHEDULE'!S509),"",'_SCHEDULE'!S509)</x:f>
      </x:c>
      <x:c r="T541" s="38"/>
      <x:c r="U541" s="38"/>
      <x:c r="V541" s="38"/>
      <x:c r="W541" s="38"/>
      <x:c r="X541" s="38"/>
      <x:c r="Y541" s="38"/>
      <x:c r="Z541" s="38"/>
      <x:c r="AA541" s="38"/>
      <x:c r="AB541" s="38"/>
      <x:c r="AC541" s="38"/>
      <x:c r="AD541" s="38"/>
      <x:c r="AE541" s="38"/>
      <x:c r="AF541" s="38"/>
      <x:c r="AG541" s="38"/>
      <x:c r="AH541" s="38"/>
      <x:c r="AI541" s="38"/>
      <x:c r="AJ541" s="38"/>
      <x:c r="AK541" s="38"/>
      <x:c r="AL541" s="38"/>
      <x:c r="AM541" s="38"/>
    </x:row>
    <x:row r="542">
      <x:c r="A542" s="523" t="str">
        <x:f>IF(ISBLANK('_SCHEDULE'!A510),"",'_SCHEDULE'!A510)</x:f>
      </x:c>
      <x:c r="B542" s="523" t="str">
        <x:f>IF(ISBLANK('_SCHEDULE'!B510),"",IF('_CONFIG'!$B$2="pt-BR",IF('_SCHEDULE'!B510="scheduled","programado",IF('_SCHEDULE'!B510="rejected","rejeitado",'_SCHEDULE'!B510)),'_SCHEDULE'!B510))</x:f>
      </x:c>
      <x:c r="C542" s="523" t="str">
        <x:f>IF(ISBLANK('_SCHEDULE'!C510),"",'_SCHEDULE'!C510)</x:f>
      </x:c>
      <x:c r="D542" s="523" t="str">
        <x:f>IF(ISBLANK('_SCHEDULE'!D510),"",'_SCHEDULE'!D510)</x:f>
      </x:c>
      <x:c r="E542" s="530" t="str">
        <x:f>IF(ISBLANK('_SCHEDULE'!E510),"",'_SCHEDULE'!E510)</x:f>
      </x:c>
      <x:c r="F542" s="530" t="str">
        <x:f>IF(ISBLANK('_SCHEDULE'!F510),"",'_SCHEDULE'!F510)</x:f>
      </x:c>
      <x:c r="G542" s="530" t="str">
        <x:f>IF(ISBLANK('_SCHEDULE'!G510),"",'_SCHEDULE'!G510)</x:f>
      </x:c>
      <x:c r="H542" s="530" t="str">
        <x:f>IF(ISBLANK('_SCHEDULE'!H510),"",'_SCHEDULE'!H510)</x:f>
      </x:c>
      <x:c r="I542" s="530" t="str">
        <x:f>IF(ISBLANK('_SCHEDULE'!I510),"",'_SCHEDULE'!I510)</x:f>
      </x:c>
      <x:c r="J542" s="530" t="str">
        <x:f>IF(ISBLANK('_SCHEDULE'!J510),"",'_SCHEDULE'!J510)</x:f>
      </x:c>
      <x:c r="K542" s="530" t="str">
        <x:f>IF(ISBLANK('_SCHEDULE'!K510),"",'_SCHEDULE'!K510)</x:f>
      </x:c>
      <x:c r="L542" s="530" t="str">
        <x:f>IF(ISBLANK('_SCHEDULE'!L510),"",'_SCHEDULE'!L510)</x:f>
      </x:c>
      <x:c r="M542" s="530" t="str">
        <x:f>IF(ISBLANK('_SCHEDULE'!M510),"",'_SCHEDULE'!M510)</x:f>
      </x:c>
      <x:c r="N542" s="530" t="str">
        <x:f>IF(ISBLANK('_SCHEDULE'!N510),"",'_SCHEDULE'!N510)</x:f>
      </x:c>
      <x:c r="O542" s="530" t="str">
        <x:f>IF(ISBLANK('_SCHEDULE'!O510),"",'_SCHEDULE'!O510)</x:f>
      </x:c>
      <x:c r="P542" s="530" t="str">
        <x:f>IF(ISBLANK('_SCHEDULE'!P510),"",'_SCHEDULE'!P510)</x:f>
      </x:c>
      <x:c r="Q542" s="530" t="str">
        <x:f>IF(ISBLANK('_SCHEDULE'!Q510),"",'_SCHEDULE'!Q510)</x:f>
      </x:c>
      <x:c r="R542" s="530" t="str">
        <x:f>IF(ISBLANK('_SCHEDULE'!R510),"",'_SCHEDULE'!R510)</x:f>
      </x:c>
      <x:c r="S542" s="523" t="str">
        <x:f>IF(ISBLANK('_SCHEDULE'!S510),"",'_SCHEDULE'!S510)</x:f>
      </x:c>
      <x:c r="T542" s="38"/>
      <x:c r="U542" s="38"/>
      <x:c r="V542" s="38"/>
      <x:c r="W542" s="38"/>
      <x:c r="X542" s="38"/>
      <x:c r="Y542" s="38"/>
      <x:c r="Z542" s="38"/>
      <x:c r="AA542" s="38"/>
      <x:c r="AB542" s="38"/>
      <x:c r="AC542" s="38"/>
      <x:c r="AD542" s="38"/>
      <x:c r="AE542" s="38"/>
      <x:c r="AF542" s="38"/>
      <x:c r="AG542" s="38"/>
      <x:c r="AH542" s="38"/>
      <x:c r="AI542" s="38"/>
      <x:c r="AJ542" s="38"/>
      <x:c r="AK542" s="38"/>
      <x:c r="AL542" s="38"/>
      <x:c r="AM542" s="38"/>
    </x:row>
    <x:row r="543">
      <x:c r="A543" s="523" t="str">
        <x:f>IF(ISBLANK('_SCHEDULE'!A511),"",'_SCHEDULE'!A511)</x:f>
      </x:c>
      <x:c r="B543" s="523" t="str">
        <x:f>IF(ISBLANK('_SCHEDULE'!B511),"",IF('_CONFIG'!$B$2="pt-BR",IF('_SCHEDULE'!B511="scheduled","programado",IF('_SCHEDULE'!B511="rejected","rejeitado",'_SCHEDULE'!B511)),'_SCHEDULE'!B511))</x:f>
      </x:c>
      <x:c r="C543" s="523" t="str">
        <x:f>IF(ISBLANK('_SCHEDULE'!C511),"",'_SCHEDULE'!C511)</x:f>
      </x:c>
      <x:c r="D543" s="523" t="str">
        <x:f>IF(ISBLANK('_SCHEDULE'!D511),"",'_SCHEDULE'!D511)</x:f>
      </x:c>
      <x:c r="E543" s="530" t="str">
        <x:f>IF(ISBLANK('_SCHEDULE'!E511),"",'_SCHEDULE'!E511)</x:f>
      </x:c>
      <x:c r="F543" s="530" t="str">
        <x:f>IF(ISBLANK('_SCHEDULE'!F511),"",'_SCHEDULE'!F511)</x:f>
      </x:c>
      <x:c r="G543" s="530" t="str">
        <x:f>IF(ISBLANK('_SCHEDULE'!G511),"",'_SCHEDULE'!G511)</x:f>
      </x:c>
      <x:c r="H543" s="530" t="str">
        <x:f>IF(ISBLANK('_SCHEDULE'!H511),"",'_SCHEDULE'!H511)</x:f>
      </x:c>
      <x:c r="I543" s="530" t="str">
        <x:f>IF(ISBLANK('_SCHEDULE'!I511),"",'_SCHEDULE'!I511)</x:f>
      </x:c>
      <x:c r="J543" s="530" t="str">
        <x:f>IF(ISBLANK('_SCHEDULE'!J511),"",'_SCHEDULE'!J511)</x:f>
      </x:c>
      <x:c r="K543" s="530" t="str">
        <x:f>IF(ISBLANK('_SCHEDULE'!K511),"",'_SCHEDULE'!K511)</x:f>
      </x:c>
      <x:c r="L543" s="530" t="str">
        <x:f>IF(ISBLANK('_SCHEDULE'!L511),"",'_SCHEDULE'!L511)</x:f>
      </x:c>
      <x:c r="M543" s="530" t="str">
        <x:f>IF(ISBLANK('_SCHEDULE'!M511),"",'_SCHEDULE'!M511)</x:f>
      </x:c>
      <x:c r="N543" s="530" t="str">
        <x:f>IF(ISBLANK('_SCHEDULE'!N511),"",'_SCHEDULE'!N511)</x:f>
      </x:c>
      <x:c r="O543" s="530" t="str">
        <x:f>IF(ISBLANK('_SCHEDULE'!O511),"",'_SCHEDULE'!O511)</x:f>
      </x:c>
      <x:c r="P543" s="530" t="str">
        <x:f>IF(ISBLANK('_SCHEDULE'!P511),"",'_SCHEDULE'!P511)</x:f>
      </x:c>
      <x:c r="Q543" s="530" t="str">
        <x:f>IF(ISBLANK('_SCHEDULE'!Q511),"",'_SCHEDULE'!Q511)</x:f>
      </x:c>
      <x:c r="R543" s="530" t="str">
        <x:f>IF(ISBLANK('_SCHEDULE'!R511),"",'_SCHEDULE'!R511)</x:f>
      </x:c>
      <x:c r="S543" s="523" t="str">
        <x:f>IF(ISBLANK('_SCHEDULE'!S511),"",'_SCHEDULE'!S511)</x:f>
      </x:c>
      <x:c r="T543" s="38"/>
      <x:c r="U543" s="38"/>
      <x:c r="V543" s="38"/>
      <x:c r="W543" s="38"/>
      <x:c r="X543" s="38"/>
      <x:c r="Y543" s="38"/>
      <x:c r="Z543" s="38"/>
      <x:c r="AA543" s="38"/>
      <x:c r="AB543" s="38"/>
      <x:c r="AC543" s="38"/>
      <x:c r="AD543" s="38"/>
      <x:c r="AE543" s="38"/>
      <x:c r="AF543" s="38"/>
      <x:c r="AG543" s="38"/>
      <x:c r="AH543" s="38"/>
      <x:c r="AI543" s="38"/>
      <x:c r="AJ543" s="38"/>
      <x:c r="AK543" s="38"/>
      <x:c r="AL543" s="38"/>
      <x:c r="AM543" s="38"/>
    </x:row>
    <x:row r="544">
      <x:c r="A544" s="523" t="str">
        <x:f>IF(ISBLANK('_SCHEDULE'!A512),"",'_SCHEDULE'!A512)</x:f>
      </x:c>
      <x:c r="B544" s="523" t="str">
        <x:f>IF(ISBLANK('_SCHEDULE'!B512),"",IF('_CONFIG'!$B$2="pt-BR",IF('_SCHEDULE'!B512="scheduled","programado",IF('_SCHEDULE'!B512="rejected","rejeitado",'_SCHEDULE'!B512)),'_SCHEDULE'!B512))</x:f>
      </x:c>
      <x:c r="C544" s="523" t="str">
        <x:f>IF(ISBLANK('_SCHEDULE'!C512),"",'_SCHEDULE'!C512)</x:f>
      </x:c>
      <x:c r="D544" s="523" t="str">
        <x:f>IF(ISBLANK('_SCHEDULE'!D512),"",'_SCHEDULE'!D512)</x:f>
      </x:c>
      <x:c r="E544" s="530" t="str">
        <x:f>IF(ISBLANK('_SCHEDULE'!E512),"",'_SCHEDULE'!E512)</x:f>
      </x:c>
      <x:c r="F544" s="530" t="str">
        <x:f>IF(ISBLANK('_SCHEDULE'!F512),"",'_SCHEDULE'!F512)</x:f>
      </x:c>
      <x:c r="G544" s="530" t="str">
        <x:f>IF(ISBLANK('_SCHEDULE'!G512),"",'_SCHEDULE'!G512)</x:f>
      </x:c>
      <x:c r="H544" s="530" t="str">
        <x:f>IF(ISBLANK('_SCHEDULE'!H512),"",'_SCHEDULE'!H512)</x:f>
      </x:c>
      <x:c r="I544" s="530" t="str">
        <x:f>IF(ISBLANK('_SCHEDULE'!I512),"",'_SCHEDULE'!I512)</x:f>
      </x:c>
      <x:c r="J544" s="530" t="str">
        <x:f>IF(ISBLANK('_SCHEDULE'!J512),"",'_SCHEDULE'!J512)</x:f>
      </x:c>
      <x:c r="K544" s="530" t="str">
        <x:f>IF(ISBLANK('_SCHEDULE'!K512),"",'_SCHEDULE'!K512)</x:f>
      </x:c>
      <x:c r="L544" s="530" t="str">
        <x:f>IF(ISBLANK('_SCHEDULE'!L512),"",'_SCHEDULE'!L512)</x:f>
      </x:c>
      <x:c r="M544" s="530" t="str">
        <x:f>IF(ISBLANK('_SCHEDULE'!M512),"",'_SCHEDULE'!M512)</x:f>
      </x:c>
      <x:c r="N544" s="530" t="str">
        <x:f>IF(ISBLANK('_SCHEDULE'!N512),"",'_SCHEDULE'!N512)</x:f>
      </x:c>
      <x:c r="O544" s="530" t="str">
        <x:f>IF(ISBLANK('_SCHEDULE'!O512),"",'_SCHEDULE'!O512)</x:f>
      </x:c>
      <x:c r="P544" s="530" t="str">
        <x:f>IF(ISBLANK('_SCHEDULE'!P512),"",'_SCHEDULE'!P512)</x:f>
      </x:c>
      <x:c r="Q544" s="530" t="str">
        <x:f>IF(ISBLANK('_SCHEDULE'!Q512),"",'_SCHEDULE'!Q512)</x:f>
      </x:c>
      <x:c r="R544" s="530" t="str">
        <x:f>IF(ISBLANK('_SCHEDULE'!R512),"",'_SCHEDULE'!R512)</x:f>
      </x:c>
      <x:c r="S544" s="523" t="str">
        <x:f>IF(ISBLANK('_SCHEDULE'!S512),"",'_SCHEDULE'!S512)</x:f>
      </x:c>
      <x:c r="T544" s="38"/>
      <x:c r="U544" s="38"/>
      <x:c r="V544" s="38"/>
      <x:c r="W544" s="38"/>
      <x:c r="X544" s="38"/>
      <x:c r="Y544" s="38"/>
      <x:c r="Z544" s="38"/>
      <x:c r="AA544" s="38"/>
      <x:c r="AB544" s="38"/>
      <x:c r="AC544" s="38"/>
      <x:c r="AD544" s="38"/>
      <x:c r="AE544" s="38"/>
      <x:c r="AF544" s="38"/>
      <x:c r="AG544" s="38"/>
      <x:c r="AH544" s="38"/>
      <x:c r="AI544" s="38"/>
      <x:c r="AJ544" s="38"/>
      <x:c r="AK544" s="38"/>
      <x:c r="AL544" s="38"/>
      <x:c r="AM544" s="38"/>
    </x:row>
    <x:row r="545">
      <x:c r="A545" s="523" t="str">
        <x:f>IF(ISBLANK('_SCHEDULE'!A513),"",'_SCHEDULE'!A513)</x:f>
      </x:c>
      <x:c r="B545" s="523" t="str">
        <x:f>IF(ISBLANK('_SCHEDULE'!B513),"",IF('_CONFIG'!$B$2="pt-BR",IF('_SCHEDULE'!B513="scheduled","programado",IF('_SCHEDULE'!B513="rejected","rejeitado",'_SCHEDULE'!B513)),'_SCHEDULE'!B513))</x:f>
      </x:c>
      <x:c r="C545" s="523" t="str">
        <x:f>IF(ISBLANK('_SCHEDULE'!C513),"",'_SCHEDULE'!C513)</x:f>
      </x:c>
      <x:c r="D545" s="523" t="str">
        <x:f>IF(ISBLANK('_SCHEDULE'!D513),"",'_SCHEDULE'!D513)</x:f>
      </x:c>
      <x:c r="E545" s="530" t="str">
        <x:f>IF(ISBLANK('_SCHEDULE'!E513),"",'_SCHEDULE'!E513)</x:f>
      </x:c>
      <x:c r="F545" s="530" t="str">
        <x:f>IF(ISBLANK('_SCHEDULE'!F513),"",'_SCHEDULE'!F513)</x:f>
      </x:c>
      <x:c r="G545" s="530" t="str">
        <x:f>IF(ISBLANK('_SCHEDULE'!G513),"",'_SCHEDULE'!G513)</x:f>
      </x:c>
      <x:c r="H545" s="530" t="str">
        <x:f>IF(ISBLANK('_SCHEDULE'!H513),"",'_SCHEDULE'!H513)</x:f>
      </x:c>
      <x:c r="I545" s="530" t="str">
        <x:f>IF(ISBLANK('_SCHEDULE'!I513),"",'_SCHEDULE'!I513)</x:f>
      </x:c>
      <x:c r="J545" s="530" t="str">
        <x:f>IF(ISBLANK('_SCHEDULE'!J513),"",'_SCHEDULE'!J513)</x:f>
      </x:c>
      <x:c r="K545" s="530" t="str">
        <x:f>IF(ISBLANK('_SCHEDULE'!K513),"",'_SCHEDULE'!K513)</x:f>
      </x:c>
      <x:c r="L545" s="530" t="str">
        <x:f>IF(ISBLANK('_SCHEDULE'!L513),"",'_SCHEDULE'!L513)</x:f>
      </x:c>
      <x:c r="M545" s="530" t="str">
        <x:f>IF(ISBLANK('_SCHEDULE'!M513),"",'_SCHEDULE'!M513)</x:f>
      </x:c>
      <x:c r="N545" s="530" t="str">
        <x:f>IF(ISBLANK('_SCHEDULE'!N513),"",'_SCHEDULE'!N513)</x:f>
      </x:c>
      <x:c r="O545" s="530" t="str">
        <x:f>IF(ISBLANK('_SCHEDULE'!O513),"",'_SCHEDULE'!O513)</x:f>
      </x:c>
      <x:c r="P545" s="530" t="str">
        <x:f>IF(ISBLANK('_SCHEDULE'!P513),"",'_SCHEDULE'!P513)</x:f>
      </x:c>
      <x:c r="Q545" s="530" t="str">
        <x:f>IF(ISBLANK('_SCHEDULE'!Q513),"",'_SCHEDULE'!Q513)</x:f>
      </x:c>
      <x:c r="R545" s="530" t="str">
        <x:f>IF(ISBLANK('_SCHEDULE'!R513),"",'_SCHEDULE'!R513)</x:f>
      </x:c>
      <x:c r="S545" s="523" t="str">
        <x:f>IF(ISBLANK('_SCHEDULE'!S513),"",'_SCHEDULE'!S513)</x:f>
      </x:c>
      <x:c r="T545" s="38"/>
      <x:c r="U545" s="38"/>
      <x:c r="V545" s="38"/>
      <x:c r="W545" s="38"/>
      <x:c r="X545" s="38"/>
      <x:c r="Y545" s="38"/>
      <x:c r="Z545" s="38"/>
      <x:c r="AA545" s="38"/>
      <x:c r="AB545" s="38"/>
      <x:c r="AC545" s="38"/>
      <x:c r="AD545" s="38"/>
      <x:c r="AE545" s="38"/>
      <x:c r="AF545" s="38"/>
      <x:c r="AG545" s="38"/>
      <x:c r="AH545" s="38"/>
      <x:c r="AI545" s="38"/>
      <x:c r="AJ545" s="38"/>
      <x:c r="AK545" s="38"/>
      <x:c r="AL545" s="38"/>
      <x:c r="AM545" s="38"/>
    </x:row>
    <x:row r="546">
      <x:c r="A546" s="523" t="str">
        <x:f>IF(ISBLANK('_SCHEDULE'!A514),"",'_SCHEDULE'!A514)</x:f>
      </x:c>
      <x:c r="B546" s="523" t="str">
        <x:f>IF(ISBLANK('_SCHEDULE'!B514),"",IF('_CONFIG'!$B$2="pt-BR",IF('_SCHEDULE'!B514="scheduled","programado",IF('_SCHEDULE'!B514="rejected","rejeitado",'_SCHEDULE'!B514)),'_SCHEDULE'!B514))</x:f>
      </x:c>
      <x:c r="C546" s="523" t="str">
        <x:f>IF(ISBLANK('_SCHEDULE'!C514),"",'_SCHEDULE'!C514)</x:f>
      </x:c>
      <x:c r="D546" s="523" t="str">
        <x:f>IF(ISBLANK('_SCHEDULE'!D514),"",'_SCHEDULE'!D514)</x:f>
      </x:c>
      <x:c r="E546" s="530" t="str">
        <x:f>IF(ISBLANK('_SCHEDULE'!E514),"",'_SCHEDULE'!E514)</x:f>
      </x:c>
      <x:c r="F546" s="530" t="str">
        <x:f>IF(ISBLANK('_SCHEDULE'!F514),"",'_SCHEDULE'!F514)</x:f>
      </x:c>
      <x:c r="G546" s="530" t="str">
        <x:f>IF(ISBLANK('_SCHEDULE'!G514),"",'_SCHEDULE'!G514)</x:f>
      </x:c>
      <x:c r="H546" s="530" t="str">
        <x:f>IF(ISBLANK('_SCHEDULE'!H514),"",'_SCHEDULE'!H514)</x:f>
      </x:c>
      <x:c r="I546" s="530" t="str">
        <x:f>IF(ISBLANK('_SCHEDULE'!I514),"",'_SCHEDULE'!I514)</x:f>
      </x:c>
      <x:c r="J546" s="530" t="str">
        <x:f>IF(ISBLANK('_SCHEDULE'!J514),"",'_SCHEDULE'!J514)</x:f>
      </x:c>
      <x:c r="K546" s="530" t="str">
        <x:f>IF(ISBLANK('_SCHEDULE'!K514),"",'_SCHEDULE'!K514)</x:f>
      </x:c>
      <x:c r="L546" s="530" t="str">
        <x:f>IF(ISBLANK('_SCHEDULE'!L514),"",'_SCHEDULE'!L514)</x:f>
      </x:c>
      <x:c r="M546" s="530" t="str">
        <x:f>IF(ISBLANK('_SCHEDULE'!M514),"",'_SCHEDULE'!M514)</x:f>
      </x:c>
      <x:c r="N546" s="530" t="str">
        <x:f>IF(ISBLANK('_SCHEDULE'!N514),"",'_SCHEDULE'!N514)</x:f>
      </x:c>
      <x:c r="O546" s="530" t="str">
        <x:f>IF(ISBLANK('_SCHEDULE'!O514),"",'_SCHEDULE'!O514)</x:f>
      </x:c>
      <x:c r="P546" s="530" t="str">
        <x:f>IF(ISBLANK('_SCHEDULE'!P514),"",'_SCHEDULE'!P514)</x:f>
      </x:c>
      <x:c r="Q546" s="530" t="str">
        <x:f>IF(ISBLANK('_SCHEDULE'!Q514),"",'_SCHEDULE'!Q514)</x:f>
      </x:c>
      <x:c r="R546" s="530" t="str">
        <x:f>IF(ISBLANK('_SCHEDULE'!R514),"",'_SCHEDULE'!R514)</x:f>
      </x:c>
      <x:c r="S546" s="523" t="str">
        <x:f>IF(ISBLANK('_SCHEDULE'!S514),"",'_SCHEDULE'!S514)</x:f>
      </x:c>
      <x:c r="T546" s="38"/>
      <x:c r="U546" s="38"/>
      <x:c r="V546" s="38"/>
      <x:c r="W546" s="38"/>
      <x:c r="X546" s="38"/>
      <x:c r="Y546" s="38"/>
      <x:c r="Z546" s="38"/>
      <x:c r="AA546" s="38"/>
      <x:c r="AB546" s="38"/>
      <x:c r="AC546" s="38"/>
      <x:c r="AD546" s="38"/>
      <x:c r="AE546" s="38"/>
      <x:c r="AF546" s="38"/>
      <x:c r="AG546" s="38"/>
      <x:c r="AH546" s="38"/>
      <x:c r="AI546" s="38"/>
      <x:c r="AJ546" s="38"/>
      <x:c r="AK546" s="38"/>
      <x:c r="AL546" s="38"/>
      <x:c r="AM546" s="38"/>
    </x:row>
    <x:row r="547">
      <x:c r="A547" s="523" t="str">
        <x:f>IF(ISBLANK('_SCHEDULE'!A515),"",'_SCHEDULE'!A515)</x:f>
      </x:c>
      <x:c r="B547" s="523" t="str">
        <x:f>IF(ISBLANK('_SCHEDULE'!B515),"",IF('_CONFIG'!$B$2="pt-BR",IF('_SCHEDULE'!B515="scheduled","programado",IF('_SCHEDULE'!B515="rejected","rejeitado",'_SCHEDULE'!B515)),'_SCHEDULE'!B515))</x:f>
      </x:c>
      <x:c r="C547" s="523" t="str">
        <x:f>IF(ISBLANK('_SCHEDULE'!C515),"",'_SCHEDULE'!C515)</x:f>
      </x:c>
      <x:c r="D547" s="523" t="str">
        <x:f>IF(ISBLANK('_SCHEDULE'!D515),"",'_SCHEDULE'!D515)</x:f>
      </x:c>
      <x:c r="E547" s="530" t="str">
        <x:f>IF(ISBLANK('_SCHEDULE'!E515),"",'_SCHEDULE'!E515)</x:f>
      </x:c>
      <x:c r="F547" s="530" t="str">
        <x:f>IF(ISBLANK('_SCHEDULE'!F515),"",'_SCHEDULE'!F515)</x:f>
      </x:c>
      <x:c r="G547" s="530" t="str">
        <x:f>IF(ISBLANK('_SCHEDULE'!G515),"",'_SCHEDULE'!G515)</x:f>
      </x:c>
      <x:c r="H547" s="530" t="str">
        <x:f>IF(ISBLANK('_SCHEDULE'!H515),"",'_SCHEDULE'!H515)</x:f>
      </x:c>
      <x:c r="I547" s="530" t="str">
        <x:f>IF(ISBLANK('_SCHEDULE'!I515),"",'_SCHEDULE'!I515)</x:f>
      </x:c>
      <x:c r="J547" s="530" t="str">
        <x:f>IF(ISBLANK('_SCHEDULE'!J515),"",'_SCHEDULE'!J515)</x:f>
      </x:c>
      <x:c r="K547" s="530" t="str">
        <x:f>IF(ISBLANK('_SCHEDULE'!K515),"",'_SCHEDULE'!K515)</x:f>
      </x:c>
      <x:c r="L547" s="530" t="str">
        <x:f>IF(ISBLANK('_SCHEDULE'!L515),"",'_SCHEDULE'!L515)</x:f>
      </x:c>
      <x:c r="M547" s="530" t="str">
        <x:f>IF(ISBLANK('_SCHEDULE'!M515),"",'_SCHEDULE'!M515)</x:f>
      </x:c>
      <x:c r="N547" s="530" t="str">
        <x:f>IF(ISBLANK('_SCHEDULE'!N515),"",'_SCHEDULE'!N515)</x:f>
      </x:c>
      <x:c r="O547" s="530" t="str">
        <x:f>IF(ISBLANK('_SCHEDULE'!O515),"",'_SCHEDULE'!O515)</x:f>
      </x:c>
      <x:c r="P547" s="530" t="str">
        <x:f>IF(ISBLANK('_SCHEDULE'!P515),"",'_SCHEDULE'!P515)</x:f>
      </x:c>
      <x:c r="Q547" s="530" t="str">
        <x:f>IF(ISBLANK('_SCHEDULE'!Q515),"",'_SCHEDULE'!Q515)</x:f>
      </x:c>
      <x:c r="R547" s="530" t="str">
        <x:f>IF(ISBLANK('_SCHEDULE'!R515),"",'_SCHEDULE'!R515)</x:f>
      </x:c>
      <x:c r="S547" s="523" t="str">
        <x:f>IF(ISBLANK('_SCHEDULE'!S515),"",'_SCHEDULE'!S515)</x:f>
      </x:c>
      <x:c r="T547" s="38"/>
      <x:c r="U547" s="38"/>
      <x:c r="V547" s="38"/>
      <x:c r="W547" s="38"/>
      <x:c r="X547" s="38"/>
      <x:c r="Y547" s="38"/>
      <x:c r="Z547" s="38"/>
      <x:c r="AA547" s="38"/>
      <x:c r="AB547" s="38"/>
      <x:c r="AC547" s="38"/>
      <x:c r="AD547" s="38"/>
      <x:c r="AE547" s="38"/>
      <x:c r="AF547" s="38"/>
      <x:c r="AG547" s="38"/>
      <x:c r="AH547" s="38"/>
      <x:c r="AI547" s="38"/>
      <x:c r="AJ547" s="38"/>
      <x:c r="AK547" s="38"/>
      <x:c r="AL547" s="38"/>
      <x:c r="AM547" s="38"/>
    </x:row>
    <x:row r="548">
      <x:c r="A548" s="523" t="str">
        <x:f>IF(ISBLANK('_SCHEDULE'!A516),"",'_SCHEDULE'!A516)</x:f>
      </x:c>
      <x:c r="B548" s="523" t="str">
        <x:f>IF(ISBLANK('_SCHEDULE'!B516),"",IF('_CONFIG'!$B$2="pt-BR",IF('_SCHEDULE'!B516="scheduled","programado",IF('_SCHEDULE'!B516="rejected","rejeitado",'_SCHEDULE'!B516)),'_SCHEDULE'!B516))</x:f>
      </x:c>
      <x:c r="C548" s="523" t="str">
        <x:f>IF(ISBLANK('_SCHEDULE'!C516),"",'_SCHEDULE'!C516)</x:f>
      </x:c>
      <x:c r="D548" s="523" t="str">
        <x:f>IF(ISBLANK('_SCHEDULE'!D516),"",'_SCHEDULE'!D516)</x:f>
      </x:c>
      <x:c r="E548" s="530" t="str">
        <x:f>IF(ISBLANK('_SCHEDULE'!E516),"",'_SCHEDULE'!E516)</x:f>
      </x:c>
      <x:c r="F548" s="530" t="str">
        <x:f>IF(ISBLANK('_SCHEDULE'!F516),"",'_SCHEDULE'!F516)</x:f>
      </x:c>
      <x:c r="G548" s="530" t="str">
        <x:f>IF(ISBLANK('_SCHEDULE'!G516),"",'_SCHEDULE'!G516)</x:f>
      </x:c>
      <x:c r="H548" s="530" t="str">
        <x:f>IF(ISBLANK('_SCHEDULE'!H516),"",'_SCHEDULE'!H516)</x:f>
      </x:c>
      <x:c r="I548" s="530" t="str">
        <x:f>IF(ISBLANK('_SCHEDULE'!I516),"",'_SCHEDULE'!I516)</x:f>
      </x:c>
      <x:c r="J548" s="530" t="str">
        <x:f>IF(ISBLANK('_SCHEDULE'!J516),"",'_SCHEDULE'!J516)</x:f>
      </x:c>
      <x:c r="K548" s="530" t="str">
        <x:f>IF(ISBLANK('_SCHEDULE'!K516),"",'_SCHEDULE'!K516)</x:f>
      </x:c>
      <x:c r="L548" s="530" t="str">
        <x:f>IF(ISBLANK('_SCHEDULE'!L516),"",'_SCHEDULE'!L516)</x:f>
      </x:c>
      <x:c r="M548" s="530" t="str">
        <x:f>IF(ISBLANK('_SCHEDULE'!M516),"",'_SCHEDULE'!M516)</x:f>
      </x:c>
      <x:c r="N548" s="530" t="str">
        <x:f>IF(ISBLANK('_SCHEDULE'!N516),"",'_SCHEDULE'!N516)</x:f>
      </x:c>
      <x:c r="O548" s="530" t="str">
        <x:f>IF(ISBLANK('_SCHEDULE'!O516),"",'_SCHEDULE'!O516)</x:f>
      </x:c>
      <x:c r="P548" s="530" t="str">
        <x:f>IF(ISBLANK('_SCHEDULE'!P516),"",'_SCHEDULE'!P516)</x:f>
      </x:c>
      <x:c r="Q548" s="530" t="str">
        <x:f>IF(ISBLANK('_SCHEDULE'!Q516),"",'_SCHEDULE'!Q516)</x:f>
      </x:c>
      <x:c r="R548" s="530" t="str">
        <x:f>IF(ISBLANK('_SCHEDULE'!R516),"",'_SCHEDULE'!R516)</x:f>
      </x:c>
      <x:c r="S548" s="523" t="str">
        <x:f>IF(ISBLANK('_SCHEDULE'!S516),"",'_SCHEDULE'!S516)</x:f>
      </x:c>
      <x:c r="T548" s="38"/>
      <x:c r="U548" s="38"/>
      <x:c r="V548" s="38"/>
      <x:c r="W548" s="38"/>
      <x:c r="X548" s="38"/>
      <x:c r="Y548" s="38"/>
      <x:c r="Z548" s="38"/>
      <x:c r="AA548" s="38"/>
      <x:c r="AB548" s="38"/>
      <x:c r="AC548" s="38"/>
      <x:c r="AD548" s="38"/>
      <x:c r="AE548" s="38"/>
      <x:c r="AF548" s="38"/>
      <x:c r="AG548" s="38"/>
      <x:c r="AH548" s="38"/>
      <x:c r="AI548" s="38"/>
      <x:c r="AJ548" s="38"/>
      <x:c r="AK548" s="38"/>
      <x:c r="AL548" s="38"/>
      <x:c r="AM548" s="38"/>
    </x:row>
    <x:row r="549">
      <x:c r="A549" s="523" t="str">
        <x:f>IF(ISBLANK('_SCHEDULE'!A517),"",'_SCHEDULE'!A517)</x:f>
      </x:c>
      <x:c r="B549" s="523" t="str">
        <x:f>IF(ISBLANK('_SCHEDULE'!B517),"",IF('_CONFIG'!$B$2="pt-BR",IF('_SCHEDULE'!B517="scheduled","programado",IF('_SCHEDULE'!B517="rejected","rejeitado",'_SCHEDULE'!B517)),'_SCHEDULE'!B517))</x:f>
      </x:c>
      <x:c r="C549" s="523" t="str">
        <x:f>IF(ISBLANK('_SCHEDULE'!C517),"",'_SCHEDULE'!C517)</x:f>
      </x:c>
      <x:c r="D549" s="523" t="str">
        <x:f>IF(ISBLANK('_SCHEDULE'!D517),"",'_SCHEDULE'!D517)</x:f>
      </x:c>
      <x:c r="E549" s="530" t="str">
        <x:f>IF(ISBLANK('_SCHEDULE'!E517),"",'_SCHEDULE'!E517)</x:f>
      </x:c>
      <x:c r="F549" s="530" t="str">
        <x:f>IF(ISBLANK('_SCHEDULE'!F517),"",'_SCHEDULE'!F517)</x:f>
      </x:c>
      <x:c r="G549" s="530" t="str">
        <x:f>IF(ISBLANK('_SCHEDULE'!G517),"",'_SCHEDULE'!G517)</x:f>
      </x:c>
      <x:c r="H549" s="530" t="str">
        <x:f>IF(ISBLANK('_SCHEDULE'!H517),"",'_SCHEDULE'!H517)</x:f>
      </x:c>
      <x:c r="I549" s="530" t="str">
        <x:f>IF(ISBLANK('_SCHEDULE'!I517),"",'_SCHEDULE'!I517)</x:f>
      </x:c>
      <x:c r="J549" s="530" t="str">
        <x:f>IF(ISBLANK('_SCHEDULE'!J517),"",'_SCHEDULE'!J517)</x:f>
      </x:c>
      <x:c r="K549" s="530" t="str">
        <x:f>IF(ISBLANK('_SCHEDULE'!K517),"",'_SCHEDULE'!K517)</x:f>
      </x:c>
      <x:c r="L549" s="530" t="str">
        <x:f>IF(ISBLANK('_SCHEDULE'!L517),"",'_SCHEDULE'!L517)</x:f>
      </x:c>
      <x:c r="M549" s="530" t="str">
        <x:f>IF(ISBLANK('_SCHEDULE'!M517),"",'_SCHEDULE'!M517)</x:f>
      </x:c>
      <x:c r="N549" s="530" t="str">
        <x:f>IF(ISBLANK('_SCHEDULE'!N517),"",'_SCHEDULE'!N517)</x:f>
      </x:c>
      <x:c r="O549" s="530" t="str">
        <x:f>IF(ISBLANK('_SCHEDULE'!O517),"",'_SCHEDULE'!O517)</x:f>
      </x:c>
      <x:c r="P549" s="530" t="str">
        <x:f>IF(ISBLANK('_SCHEDULE'!P517),"",'_SCHEDULE'!P517)</x:f>
      </x:c>
      <x:c r="Q549" s="530" t="str">
        <x:f>IF(ISBLANK('_SCHEDULE'!Q517),"",'_SCHEDULE'!Q517)</x:f>
      </x:c>
      <x:c r="R549" s="530" t="str">
        <x:f>IF(ISBLANK('_SCHEDULE'!R517),"",'_SCHEDULE'!R517)</x:f>
      </x:c>
      <x:c r="S549" s="523" t="str">
        <x:f>IF(ISBLANK('_SCHEDULE'!S517),"",'_SCHEDULE'!S517)</x:f>
      </x:c>
      <x:c r="T549" s="38"/>
      <x:c r="U549" s="38"/>
      <x:c r="V549" s="38"/>
      <x:c r="W549" s="38"/>
      <x:c r="X549" s="38"/>
      <x:c r="Y549" s="38"/>
      <x:c r="Z549" s="38"/>
      <x:c r="AA549" s="38"/>
      <x:c r="AB549" s="38"/>
      <x:c r="AC549" s="38"/>
      <x:c r="AD549" s="38"/>
      <x:c r="AE549" s="38"/>
      <x:c r="AF549" s="38"/>
      <x:c r="AG549" s="38"/>
      <x:c r="AH549" s="38"/>
      <x:c r="AI549" s="38"/>
      <x:c r="AJ549" s="38"/>
      <x:c r="AK549" s="38"/>
      <x:c r="AL549" s="38"/>
      <x:c r="AM549" s="38"/>
    </x:row>
    <x:row r="550">
      <x:c r="A550" s="523" t="str">
        <x:f>IF(ISBLANK('_SCHEDULE'!A518),"",'_SCHEDULE'!A518)</x:f>
      </x:c>
      <x:c r="B550" s="523" t="str">
        <x:f>IF(ISBLANK('_SCHEDULE'!B518),"",IF('_CONFIG'!$B$2="pt-BR",IF('_SCHEDULE'!B518="scheduled","programado",IF('_SCHEDULE'!B518="rejected","rejeitado",'_SCHEDULE'!B518)),'_SCHEDULE'!B518))</x:f>
      </x:c>
      <x:c r="C550" s="523" t="str">
        <x:f>IF(ISBLANK('_SCHEDULE'!C518),"",'_SCHEDULE'!C518)</x:f>
      </x:c>
      <x:c r="D550" s="523" t="str">
        <x:f>IF(ISBLANK('_SCHEDULE'!D518),"",'_SCHEDULE'!D518)</x:f>
      </x:c>
      <x:c r="E550" s="530" t="str">
        <x:f>IF(ISBLANK('_SCHEDULE'!E518),"",'_SCHEDULE'!E518)</x:f>
      </x:c>
      <x:c r="F550" s="530" t="str">
        <x:f>IF(ISBLANK('_SCHEDULE'!F518),"",'_SCHEDULE'!F518)</x:f>
      </x:c>
      <x:c r="G550" s="530" t="str">
        <x:f>IF(ISBLANK('_SCHEDULE'!G518),"",'_SCHEDULE'!G518)</x:f>
      </x:c>
      <x:c r="H550" s="530" t="str">
        <x:f>IF(ISBLANK('_SCHEDULE'!H518),"",'_SCHEDULE'!H518)</x:f>
      </x:c>
      <x:c r="I550" s="530" t="str">
        <x:f>IF(ISBLANK('_SCHEDULE'!I518),"",'_SCHEDULE'!I518)</x:f>
      </x:c>
      <x:c r="J550" s="530" t="str">
        <x:f>IF(ISBLANK('_SCHEDULE'!J518),"",'_SCHEDULE'!J518)</x:f>
      </x:c>
      <x:c r="K550" s="530" t="str">
        <x:f>IF(ISBLANK('_SCHEDULE'!K518),"",'_SCHEDULE'!K518)</x:f>
      </x:c>
      <x:c r="L550" s="530" t="str">
        <x:f>IF(ISBLANK('_SCHEDULE'!L518),"",'_SCHEDULE'!L518)</x:f>
      </x:c>
      <x:c r="M550" s="530" t="str">
        <x:f>IF(ISBLANK('_SCHEDULE'!M518),"",'_SCHEDULE'!M518)</x:f>
      </x:c>
      <x:c r="N550" s="530" t="str">
        <x:f>IF(ISBLANK('_SCHEDULE'!N518),"",'_SCHEDULE'!N518)</x:f>
      </x:c>
      <x:c r="O550" s="530" t="str">
        <x:f>IF(ISBLANK('_SCHEDULE'!O518),"",'_SCHEDULE'!O518)</x:f>
      </x:c>
      <x:c r="P550" s="530" t="str">
        <x:f>IF(ISBLANK('_SCHEDULE'!P518),"",'_SCHEDULE'!P518)</x:f>
      </x:c>
      <x:c r="Q550" s="530" t="str">
        <x:f>IF(ISBLANK('_SCHEDULE'!Q518),"",'_SCHEDULE'!Q518)</x:f>
      </x:c>
      <x:c r="R550" s="530" t="str">
        <x:f>IF(ISBLANK('_SCHEDULE'!R518),"",'_SCHEDULE'!R518)</x:f>
      </x:c>
      <x:c r="S550" s="523" t="str">
        <x:f>IF(ISBLANK('_SCHEDULE'!S518),"",'_SCHEDULE'!S518)</x:f>
      </x:c>
      <x:c r="T550" s="38"/>
      <x:c r="U550" s="38"/>
      <x:c r="V550" s="38"/>
      <x:c r="W550" s="38"/>
      <x:c r="X550" s="38"/>
      <x:c r="Y550" s="38"/>
      <x:c r="Z550" s="38"/>
      <x:c r="AA550" s="38"/>
      <x:c r="AB550" s="38"/>
      <x:c r="AC550" s="38"/>
      <x:c r="AD550" s="38"/>
      <x:c r="AE550" s="38"/>
      <x:c r="AF550" s="38"/>
      <x:c r="AG550" s="38"/>
      <x:c r="AH550" s="38"/>
      <x:c r="AI550" s="38"/>
      <x:c r="AJ550" s="38"/>
      <x:c r="AK550" s="38"/>
      <x:c r="AL550" s="38"/>
      <x:c r="AM550" s="38"/>
    </x:row>
    <x:row r="551">
      <x:c r="A551" s="523" t="str">
        <x:f>IF(ISBLANK('_SCHEDULE'!A519),"",'_SCHEDULE'!A519)</x:f>
      </x:c>
      <x:c r="B551" s="523" t="str">
        <x:f>IF(ISBLANK('_SCHEDULE'!B519),"",IF('_CONFIG'!$B$2="pt-BR",IF('_SCHEDULE'!B519="scheduled","programado",IF('_SCHEDULE'!B519="rejected","rejeitado",'_SCHEDULE'!B519)),'_SCHEDULE'!B519))</x:f>
      </x:c>
      <x:c r="C551" s="523" t="str">
        <x:f>IF(ISBLANK('_SCHEDULE'!C519),"",'_SCHEDULE'!C519)</x:f>
      </x:c>
      <x:c r="D551" s="523" t="str">
        <x:f>IF(ISBLANK('_SCHEDULE'!D519),"",'_SCHEDULE'!D519)</x:f>
      </x:c>
      <x:c r="E551" s="530" t="str">
        <x:f>IF(ISBLANK('_SCHEDULE'!E519),"",'_SCHEDULE'!E519)</x:f>
      </x:c>
      <x:c r="F551" s="530" t="str">
        <x:f>IF(ISBLANK('_SCHEDULE'!F519),"",'_SCHEDULE'!F519)</x:f>
      </x:c>
      <x:c r="G551" s="530" t="str">
        <x:f>IF(ISBLANK('_SCHEDULE'!G519),"",'_SCHEDULE'!G519)</x:f>
      </x:c>
      <x:c r="H551" s="530" t="str">
        <x:f>IF(ISBLANK('_SCHEDULE'!H519),"",'_SCHEDULE'!H519)</x:f>
      </x:c>
      <x:c r="I551" s="530" t="str">
        <x:f>IF(ISBLANK('_SCHEDULE'!I519),"",'_SCHEDULE'!I519)</x:f>
      </x:c>
      <x:c r="J551" s="530" t="str">
        <x:f>IF(ISBLANK('_SCHEDULE'!J519),"",'_SCHEDULE'!J519)</x:f>
      </x:c>
      <x:c r="K551" s="530" t="str">
        <x:f>IF(ISBLANK('_SCHEDULE'!K519),"",'_SCHEDULE'!K519)</x:f>
      </x:c>
      <x:c r="L551" s="530" t="str">
        <x:f>IF(ISBLANK('_SCHEDULE'!L519),"",'_SCHEDULE'!L519)</x:f>
      </x:c>
      <x:c r="M551" s="530" t="str">
        <x:f>IF(ISBLANK('_SCHEDULE'!M519),"",'_SCHEDULE'!M519)</x:f>
      </x:c>
      <x:c r="N551" s="530" t="str">
        <x:f>IF(ISBLANK('_SCHEDULE'!N519),"",'_SCHEDULE'!N519)</x:f>
      </x:c>
      <x:c r="O551" s="530" t="str">
        <x:f>IF(ISBLANK('_SCHEDULE'!O519),"",'_SCHEDULE'!O519)</x:f>
      </x:c>
      <x:c r="P551" s="530" t="str">
        <x:f>IF(ISBLANK('_SCHEDULE'!P519),"",'_SCHEDULE'!P519)</x:f>
      </x:c>
      <x:c r="Q551" s="530" t="str">
        <x:f>IF(ISBLANK('_SCHEDULE'!Q519),"",'_SCHEDULE'!Q519)</x:f>
      </x:c>
      <x:c r="R551" s="530" t="str">
        <x:f>IF(ISBLANK('_SCHEDULE'!R519),"",'_SCHEDULE'!R519)</x:f>
      </x:c>
      <x:c r="S551" s="523" t="str">
        <x:f>IF(ISBLANK('_SCHEDULE'!S519),"",'_SCHEDULE'!S519)</x:f>
      </x:c>
      <x:c r="T551" s="38"/>
      <x:c r="U551" s="38"/>
      <x:c r="V551" s="38"/>
      <x:c r="W551" s="38"/>
      <x:c r="X551" s="38"/>
      <x:c r="Y551" s="38"/>
      <x:c r="Z551" s="38"/>
      <x:c r="AA551" s="38"/>
      <x:c r="AB551" s="38"/>
      <x:c r="AC551" s="38"/>
      <x:c r="AD551" s="38"/>
      <x:c r="AE551" s="38"/>
      <x:c r="AF551" s="38"/>
      <x:c r="AG551" s="38"/>
      <x:c r="AH551" s="38"/>
      <x:c r="AI551" s="38"/>
      <x:c r="AJ551" s="38"/>
      <x:c r="AK551" s="38"/>
      <x:c r="AL551" s="38"/>
      <x:c r="AM551" s="38"/>
    </x:row>
    <x:row r="552">
      <x:c r="A552" s="523" t="str">
        <x:f>IF(ISBLANK('_SCHEDULE'!A520),"",'_SCHEDULE'!A520)</x:f>
      </x:c>
      <x:c r="B552" s="523" t="str">
        <x:f>IF(ISBLANK('_SCHEDULE'!B520),"",IF('_CONFIG'!$B$2="pt-BR",IF('_SCHEDULE'!B520="scheduled","programado",IF('_SCHEDULE'!B520="rejected","rejeitado",'_SCHEDULE'!B520)),'_SCHEDULE'!B520))</x:f>
      </x:c>
      <x:c r="C552" s="523" t="str">
        <x:f>IF(ISBLANK('_SCHEDULE'!C520),"",'_SCHEDULE'!C520)</x:f>
      </x:c>
      <x:c r="D552" s="523" t="str">
        <x:f>IF(ISBLANK('_SCHEDULE'!D520),"",'_SCHEDULE'!D520)</x:f>
      </x:c>
      <x:c r="E552" s="530" t="str">
        <x:f>IF(ISBLANK('_SCHEDULE'!E520),"",'_SCHEDULE'!E520)</x:f>
      </x:c>
      <x:c r="F552" s="530" t="str">
        <x:f>IF(ISBLANK('_SCHEDULE'!F520),"",'_SCHEDULE'!F520)</x:f>
      </x:c>
      <x:c r="G552" s="530" t="str">
        <x:f>IF(ISBLANK('_SCHEDULE'!G520),"",'_SCHEDULE'!G520)</x:f>
      </x:c>
      <x:c r="H552" s="530" t="str">
        <x:f>IF(ISBLANK('_SCHEDULE'!H520),"",'_SCHEDULE'!H520)</x:f>
      </x:c>
      <x:c r="I552" s="530" t="str">
        <x:f>IF(ISBLANK('_SCHEDULE'!I520),"",'_SCHEDULE'!I520)</x:f>
      </x:c>
      <x:c r="J552" s="530" t="str">
        <x:f>IF(ISBLANK('_SCHEDULE'!J520),"",'_SCHEDULE'!J520)</x:f>
      </x:c>
      <x:c r="K552" s="530" t="str">
        <x:f>IF(ISBLANK('_SCHEDULE'!K520),"",'_SCHEDULE'!K520)</x:f>
      </x:c>
      <x:c r="L552" s="530" t="str">
        <x:f>IF(ISBLANK('_SCHEDULE'!L520),"",'_SCHEDULE'!L520)</x:f>
      </x:c>
      <x:c r="M552" s="530" t="str">
        <x:f>IF(ISBLANK('_SCHEDULE'!M520),"",'_SCHEDULE'!M520)</x:f>
      </x:c>
      <x:c r="N552" s="530" t="str">
        <x:f>IF(ISBLANK('_SCHEDULE'!N520),"",'_SCHEDULE'!N520)</x:f>
      </x:c>
      <x:c r="O552" s="530" t="str">
        <x:f>IF(ISBLANK('_SCHEDULE'!O520),"",'_SCHEDULE'!O520)</x:f>
      </x:c>
      <x:c r="P552" s="530" t="str">
        <x:f>IF(ISBLANK('_SCHEDULE'!P520),"",'_SCHEDULE'!P520)</x:f>
      </x:c>
      <x:c r="Q552" s="530" t="str">
        <x:f>IF(ISBLANK('_SCHEDULE'!Q520),"",'_SCHEDULE'!Q520)</x:f>
      </x:c>
      <x:c r="R552" s="530" t="str">
        <x:f>IF(ISBLANK('_SCHEDULE'!R520),"",'_SCHEDULE'!R520)</x:f>
      </x:c>
      <x:c r="S552" s="523" t="str">
        <x:f>IF(ISBLANK('_SCHEDULE'!S520),"",'_SCHEDULE'!S520)</x:f>
      </x:c>
      <x:c r="T552" s="38"/>
      <x:c r="U552" s="38"/>
      <x:c r="V552" s="38"/>
      <x:c r="W552" s="38"/>
      <x:c r="X552" s="38"/>
      <x:c r="Y552" s="38"/>
      <x:c r="Z552" s="38"/>
      <x:c r="AA552" s="38"/>
      <x:c r="AB552" s="38"/>
      <x:c r="AC552" s="38"/>
      <x:c r="AD552" s="38"/>
      <x:c r="AE552" s="38"/>
      <x:c r="AF552" s="38"/>
      <x:c r="AG552" s="38"/>
      <x:c r="AH552" s="38"/>
      <x:c r="AI552" s="38"/>
      <x:c r="AJ552" s="38"/>
      <x:c r="AK552" s="38"/>
      <x:c r="AL552" s="38"/>
      <x:c r="AM552" s="38"/>
    </x:row>
    <x:row r="553">
      <x:c r="A553" s="523" t="str">
        <x:f>IF(ISBLANK('_SCHEDULE'!A521),"",'_SCHEDULE'!A521)</x:f>
      </x:c>
      <x:c r="B553" s="523" t="str">
        <x:f>IF(ISBLANK('_SCHEDULE'!B521),"",IF('_CONFIG'!$B$2="pt-BR",IF('_SCHEDULE'!B521="scheduled","programado",IF('_SCHEDULE'!B521="rejected","rejeitado",'_SCHEDULE'!B521)),'_SCHEDULE'!B521))</x:f>
      </x:c>
      <x:c r="C553" s="523" t="str">
        <x:f>IF(ISBLANK('_SCHEDULE'!C521),"",'_SCHEDULE'!C521)</x:f>
      </x:c>
      <x:c r="D553" s="523" t="str">
        <x:f>IF(ISBLANK('_SCHEDULE'!D521),"",'_SCHEDULE'!D521)</x:f>
      </x:c>
      <x:c r="E553" s="530" t="str">
        <x:f>IF(ISBLANK('_SCHEDULE'!E521),"",'_SCHEDULE'!E521)</x:f>
      </x:c>
      <x:c r="F553" s="530" t="str">
        <x:f>IF(ISBLANK('_SCHEDULE'!F521),"",'_SCHEDULE'!F521)</x:f>
      </x:c>
      <x:c r="G553" s="530" t="str">
        <x:f>IF(ISBLANK('_SCHEDULE'!G521),"",'_SCHEDULE'!G521)</x:f>
      </x:c>
      <x:c r="H553" s="530" t="str">
        <x:f>IF(ISBLANK('_SCHEDULE'!H521),"",'_SCHEDULE'!H521)</x:f>
      </x:c>
      <x:c r="I553" s="530" t="str">
        <x:f>IF(ISBLANK('_SCHEDULE'!I521),"",'_SCHEDULE'!I521)</x:f>
      </x:c>
      <x:c r="J553" s="530" t="str">
        <x:f>IF(ISBLANK('_SCHEDULE'!J521),"",'_SCHEDULE'!J521)</x:f>
      </x:c>
      <x:c r="K553" s="530" t="str">
        <x:f>IF(ISBLANK('_SCHEDULE'!K521),"",'_SCHEDULE'!K521)</x:f>
      </x:c>
      <x:c r="L553" s="530" t="str">
        <x:f>IF(ISBLANK('_SCHEDULE'!L521),"",'_SCHEDULE'!L521)</x:f>
      </x:c>
      <x:c r="M553" s="530" t="str">
        <x:f>IF(ISBLANK('_SCHEDULE'!M521),"",'_SCHEDULE'!M521)</x:f>
      </x:c>
      <x:c r="N553" s="530" t="str">
        <x:f>IF(ISBLANK('_SCHEDULE'!N521),"",'_SCHEDULE'!N521)</x:f>
      </x:c>
      <x:c r="O553" s="530" t="str">
        <x:f>IF(ISBLANK('_SCHEDULE'!O521),"",'_SCHEDULE'!O521)</x:f>
      </x:c>
      <x:c r="P553" s="530" t="str">
        <x:f>IF(ISBLANK('_SCHEDULE'!P521),"",'_SCHEDULE'!P521)</x:f>
      </x:c>
      <x:c r="Q553" s="530" t="str">
        <x:f>IF(ISBLANK('_SCHEDULE'!Q521),"",'_SCHEDULE'!Q521)</x:f>
      </x:c>
      <x:c r="R553" s="530" t="str">
        <x:f>IF(ISBLANK('_SCHEDULE'!R521),"",'_SCHEDULE'!R521)</x:f>
      </x:c>
      <x:c r="S553" s="523" t="str">
        <x:f>IF(ISBLANK('_SCHEDULE'!S521),"",'_SCHEDULE'!S521)</x:f>
      </x:c>
      <x:c r="T553" s="38"/>
      <x:c r="U553" s="38"/>
      <x:c r="V553" s="38"/>
      <x:c r="W553" s="38"/>
      <x:c r="X553" s="38"/>
      <x:c r="Y553" s="38"/>
      <x:c r="Z553" s="38"/>
      <x:c r="AA553" s="38"/>
      <x:c r="AB553" s="38"/>
      <x:c r="AC553" s="38"/>
      <x:c r="AD553" s="38"/>
      <x:c r="AE553" s="38"/>
      <x:c r="AF553" s="38"/>
      <x:c r="AG553" s="38"/>
      <x:c r="AH553" s="38"/>
      <x:c r="AI553" s="38"/>
      <x:c r="AJ553" s="38"/>
      <x:c r="AK553" s="38"/>
      <x:c r="AL553" s="38"/>
      <x:c r="AM553" s="38"/>
    </x:row>
    <x:row r="554">
      <x:c r="A554" s="523" t="str">
        <x:f>IF(ISBLANK('_SCHEDULE'!A522),"",'_SCHEDULE'!A522)</x:f>
      </x:c>
      <x:c r="B554" s="523" t="str">
        <x:f>IF(ISBLANK('_SCHEDULE'!B522),"",IF('_CONFIG'!$B$2="pt-BR",IF('_SCHEDULE'!B522="scheduled","programado",IF('_SCHEDULE'!B522="rejected","rejeitado",'_SCHEDULE'!B522)),'_SCHEDULE'!B522))</x:f>
      </x:c>
      <x:c r="C554" s="523" t="str">
        <x:f>IF(ISBLANK('_SCHEDULE'!C522),"",'_SCHEDULE'!C522)</x:f>
      </x:c>
      <x:c r="D554" s="523" t="str">
        <x:f>IF(ISBLANK('_SCHEDULE'!D522),"",'_SCHEDULE'!D522)</x:f>
      </x:c>
      <x:c r="E554" s="530" t="str">
        <x:f>IF(ISBLANK('_SCHEDULE'!E522),"",'_SCHEDULE'!E522)</x:f>
      </x:c>
      <x:c r="F554" s="530" t="str">
        <x:f>IF(ISBLANK('_SCHEDULE'!F522),"",'_SCHEDULE'!F522)</x:f>
      </x:c>
      <x:c r="G554" s="530" t="str">
        <x:f>IF(ISBLANK('_SCHEDULE'!G522),"",'_SCHEDULE'!G522)</x:f>
      </x:c>
      <x:c r="H554" s="530" t="str">
        <x:f>IF(ISBLANK('_SCHEDULE'!H522),"",'_SCHEDULE'!H522)</x:f>
      </x:c>
      <x:c r="I554" s="530" t="str">
        <x:f>IF(ISBLANK('_SCHEDULE'!I522),"",'_SCHEDULE'!I522)</x:f>
      </x:c>
      <x:c r="J554" s="530" t="str">
        <x:f>IF(ISBLANK('_SCHEDULE'!J522),"",'_SCHEDULE'!J522)</x:f>
      </x:c>
      <x:c r="K554" s="530" t="str">
        <x:f>IF(ISBLANK('_SCHEDULE'!K522),"",'_SCHEDULE'!K522)</x:f>
      </x:c>
      <x:c r="L554" s="530" t="str">
        <x:f>IF(ISBLANK('_SCHEDULE'!L522),"",'_SCHEDULE'!L522)</x:f>
      </x:c>
      <x:c r="M554" s="530" t="str">
        <x:f>IF(ISBLANK('_SCHEDULE'!M522),"",'_SCHEDULE'!M522)</x:f>
      </x:c>
      <x:c r="N554" s="530" t="str">
        <x:f>IF(ISBLANK('_SCHEDULE'!N522),"",'_SCHEDULE'!N522)</x:f>
      </x:c>
      <x:c r="O554" s="530" t="str">
        <x:f>IF(ISBLANK('_SCHEDULE'!O522),"",'_SCHEDULE'!O522)</x:f>
      </x:c>
      <x:c r="P554" s="530" t="str">
        <x:f>IF(ISBLANK('_SCHEDULE'!P522),"",'_SCHEDULE'!P522)</x:f>
      </x:c>
      <x:c r="Q554" s="530" t="str">
        <x:f>IF(ISBLANK('_SCHEDULE'!Q522),"",'_SCHEDULE'!Q522)</x:f>
      </x:c>
      <x:c r="R554" s="530" t="str">
        <x:f>IF(ISBLANK('_SCHEDULE'!R522),"",'_SCHEDULE'!R522)</x:f>
      </x:c>
      <x:c r="S554" s="523" t="str">
        <x:f>IF(ISBLANK('_SCHEDULE'!S522),"",'_SCHEDULE'!S522)</x:f>
      </x:c>
      <x:c r="T554" s="38"/>
      <x:c r="U554" s="38"/>
      <x:c r="V554" s="38"/>
      <x:c r="W554" s="38"/>
      <x:c r="X554" s="38"/>
      <x:c r="Y554" s="38"/>
      <x:c r="Z554" s="38"/>
      <x:c r="AA554" s="38"/>
      <x:c r="AB554" s="38"/>
      <x:c r="AC554" s="38"/>
      <x:c r="AD554" s="38"/>
      <x:c r="AE554" s="38"/>
      <x:c r="AF554" s="38"/>
      <x:c r="AG554" s="38"/>
      <x:c r="AH554" s="38"/>
      <x:c r="AI554" s="38"/>
      <x:c r="AJ554" s="38"/>
      <x:c r="AK554" s="38"/>
      <x:c r="AL554" s="38"/>
      <x:c r="AM554" s="38"/>
    </x:row>
    <x:row r="555">
      <x:c r="A555" s="523" t="str">
        <x:f>IF(ISBLANK('_SCHEDULE'!A523),"",'_SCHEDULE'!A523)</x:f>
      </x:c>
      <x:c r="B555" s="523" t="str">
        <x:f>IF(ISBLANK('_SCHEDULE'!B523),"",IF('_CONFIG'!$B$2="pt-BR",IF('_SCHEDULE'!B523="scheduled","programado",IF('_SCHEDULE'!B523="rejected","rejeitado",'_SCHEDULE'!B523)),'_SCHEDULE'!B523))</x:f>
      </x:c>
      <x:c r="C555" s="523" t="str">
        <x:f>IF(ISBLANK('_SCHEDULE'!C523),"",'_SCHEDULE'!C523)</x:f>
      </x:c>
      <x:c r="D555" s="523" t="str">
        <x:f>IF(ISBLANK('_SCHEDULE'!D523),"",'_SCHEDULE'!D523)</x:f>
      </x:c>
      <x:c r="E555" s="530" t="str">
        <x:f>IF(ISBLANK('_SCHEDULE'!E523),"",'_SCHEDULE'!E523)</x:f>
      </x:c>
      <x:c r="F555" s="530" t="str">
        <x:f>IF(ISBLANK('_SCHEDULE'!F523),"",'_SCHEDULE'!F523)</x:f>
      </x:c>
      <x:c r="G555" s="530" t="str">
        <x:f>IF(ISBLANK('_SCHEDULE'!G523),"",'_SCHEDULE'!G523)</x:f>
      </x:c>
      <x:c r="H555" s="530" t="str">
        <x:f>IF(ISBLANK('_SCHEDULE'!H523),"",'_SCHEDULE'!H523)</x:f>
      </x:c>
      <x:c r="I555" s="530" t="str">
        <x:f>IF(ISBLANK('_SCHEDULE'!I523),"",'_SCHEDULE'!I523)</x:f>
      </x:c>
      <x:c r="J555" s="530" t="str">
        <x:f>IF(ISBLANK('_SCHEDULE'!J523),"",'_SCHEDULE'!J523)</x:f>
      </x:c>
      <x:c r="K555" s="530" t="str">
        <x:f>IF(ISBLANK('_SCHEDULE'!K523),"",'_SCHEDULE'!K523)</x:f>
      </x:c>
      <x:c r="L555" s="530" t="str">
        <x:f>IF(ISBLANK('_SCHEDULE'!L523),"",'_SCHEDULE'!L523)</x:f>
      </x:c>
      <x:c r="M555" s="530" t="str">
        <x:f>IF(ISBLANK('_SCHEDULE'!M523),"",'_SCHEDULE'!M523)</x:f>
      </x:c>
      <x:c r="N555" s="530" t="str">
        <x:f>IF(ISBLANK('_SCHEDULE'!N523),"",'_SCHEDULE'!N523)</x:f>
      </x:c>
      <x:c r="O555" s="530" t="str">
        <x:f>IF(ISBLANK('_SCHEDULE'!O523),"",'_SCHEDULE'!O523)</x:f>
      </x:c>
      <x:c r="P555" s="530" t="str">
        <x:f>IF(ISBLANK('_SCHEDULE'!P523),"",'_SCHEDULE'!P523)</x:f>
      </x:c>
      <x:c r="Q555" s="530" t="str">
        <x:f>IF(ISBLANK('_SCHEDULE'!Q523),"",'_SCHEDULE'!Q523)</x:f>
      </x:c>
      <x:c r="R555" s="530" t="str">
        <x:f>IF(ISBLANK('_SCHEDULE'!R523),"",'_SCHEDULE'!R523)</x:f>
      </x:c>
      <x:c r="S555" s="523" t="str">
        <x:f>IF(ISBLANK('_SCHEDULE'!S523),"",'_SCHEDULE'!S523)</x:f>
      </x:c>
      <x:c r="T555" s="38"/>
      <x:c r="U555" s="38"/>
      <x:c r="V555" s="38"/>
      <x:c r="W555" s="38"/>
      <x:c r="X555" s="38"/>
      <x:c r="Y555" s="38"/>
      <x:c r="Z555" s="38"/>
      <x:c r="AA555" s="38"/>
      <x:c r="AB555" s="38"/>
      <x:c r="AC555" s="38"/>
      <x:c r="AD555" s="38"/>
      <x:c r="AE555" s="38"/>
      <x:c r="AF555" s="38"/>
      <x:c r="AG555" s="38"/>
      <x:c r="AH555" s="38"/>
      <x:c r="AI555" s="38"/>
      <x:c r="AJ555" s="38"/>
      <x:c r="AK555" s="38"/>
      <x:c r="AL555" s="38"/>
      <x:c r="AM555" s="38"/>
    </x:row>
    <x:row r="556">
      <x:c r="A556" s="523" t="str">
        <x:f>IF(ISBLANK('_SCHEDULE'!A524),"",'_SCHEDULE'!A524)</x:f>
      </x:c>
      <x:c r="B556" s="523" t="str">
        <x:f>IF(ISBLANK('_SCHEDULE'!B524),"",IF('_CONFIG'!$B$2="pt-BR",IF('_SCHEDULE'!B524="scheduled","programado",IF('_SCHEDULE'!B524="rejected","rejeitado",'_SCHEDULE'!B524)),'_SCHEDULE'!B524))</x:f>
      </x:c>
      <x:c r="C556" s="523" t="str">
        <x:f>IF(ISBLANK('_SCHEDULE'!C524),"",'_SCHEDULE'!C524)</x:f>
      </x:c>
      <x:c r="D556" s="523" t="str">
        <x:f>IF(ISBLANK('_SCHEDULE'!D524),"",'_SCHEDULE'!D524)</x:f>
      </x:c>
      <x:c r="E556" s="530" t="str">
        <x:f>IF(ISBLANK('_SCHEDULE'!E524),"",'_SCHEDULE'!E524)</x:f>
      </x:c>
      <x:c r="F556" s="530" t="str">
        <x:f>IF(ISBLANK('_SCHEDULE'!F524),"",'_SCHEDULE'!F524)</x:f>
      </x:c>
      <x:c r="G556" s="530" t="str">
        <x:f>IF(ISBLANK('_SCHEDULE'!G524),"",'_SCHEDULE'!G524)</x:f>
      </x:c>
      <x:c r="H556" s="530" t="str">
        <x:f>IF(ISBLANK('_SCHEDULE'!H524),"",'_SCHEDULE'!H524)</x:f>
      </x:c>
      <x:c r="I556" s="530" t="str">
        <x:f>IF(ISBLANK('_SCHEDULE'!I524),"",'_SCHEDULE'!I524)</x:f>
      </x:c>
      <x:c r="J556" s="530" t="str">
        <x:f>IF(ISBLANK('_SCHEDULE'!J524),"",'_SCHEDULE'!J524)</x:f>
      </x:c>
      <x:c r="K556" s="530" t="str">
        <x:f>IF(ISBLANK('_SCHEDULE'!K524),"",'_SCHEDULE'!K524)</x:f>
      </x:c>
      <x:c r="L556" s="530" t="str">
        <x:f>IF(ISBLANK('_SCHEDULE'!L524),"",'_SCHEDULE'!L524)</x:f>
      </x:c>
      <x:c r="M556" s="530" t="str">
        <x:f>IF(ISBLANK('_SCHEDULE'!M524),"",'_SCHEDULE'!M524)</x:f>
      </x:c>
      <x:c r="N556" s="530" t="str">
        <x:f>IF(ISBLANK('_SCHEDULE'!N524),"",'_SCHEDULE'!N524)</x:f>
      </x:c>
      <x:c r="O556" s="530" t="str">
        <x:f>IF(ISBLANK('_SCHEDULE'!O524),"",'_SCHEDULE'!O524)</x:f>
      </x:c>
      <x:c r="P556" s="530" t="str">
        <x:f>IF(ISBLANK('_SCHEDULE'!P524),"",'_SCHEDULE'!P524)</x:f>
      </x:c>
      <x:c r="Q556" s="530" t="str">
        <x:f>IF(ISBLANK('_SCHEDULE'!Q524),"",'_SCHEDULE'!Q524)</x:f>
      </x:c>
      <x:c r="R556" s="530" t="str">
        <x:f>IF(ISBLANK('_SCHEDULE'!R524),"",'_SCHEDULE'!R524)</x:f>
      </x:c>
      <x:c r="S556" s="523" t="str">
        <x:f>IF(ISBLANK('_SCHEDULE'!S524),"",'_SCHEDULE'!S524)</x:f>
      </x:c>
      <x:c r="T556" s="38"/>
      <x:c r="U556" s="38"/>
      <x:c r="V556" s="38"/>
      <x:c r="W556" s="38"/>
      <x:c r="X556" s="38"/>
      <x:c r="Y556" s="38"/>
      <x:c r="Z556" s="38"/>
      <x:c r="AA556" s="38"/>
      <x:c r="AB556" s="38"/>
      <x:c r="AC556" s="38"/>
      <x:c r="AD556" s="38"/>
      <x:c r="AE556" s="38"/>
      <x:c r="AF556" s="38"/>
      <x:c r="AG556" s="38"/>
      <x:c r="AH556" s="38"/>
      <x:c r="AI556" s="38"/>
      <x:c r="AJ556" s="38"/>
      <x:c r="AK556" s="38"/>
      <x:c r="AL556" s="38"/>
      <x:c r="AM556" s="38"/>
    </x:row>
    <x:row r="557">
      <x:c r="A557" s="523" t="str">
        <x:f>IF(ISBLANK('_SCHEDULE'!A525),"",'_SCHEDULE'!A525)</x:f>
      </x:c>
      <x:c r="B557" s="523" t="str">
        <x:f>IF(ISBLANK('_SCHEDULE'!B525),"",IF('_CONFIG'!$B$2="pt-BR",IF('_SCHEDULE'!B525="scheduled","programado",IF('_SCHEDULE'!B525="rejected","rejeitado",'_SCHEDULE'!B525)),'_SCHEDULE'!B525))</x:f>
      </x:c>
      <x:c r="C557" s="523" t="str">
        <x:f>IF(ISBLANK('_SCHEDULE'!C525),"",'_SCHEDULE'!C525)</x:f>
      </x:c>
      <x:c r="D557" s="523" t="str">
        <x:f>IF(ISBLANK('_SCHEDULE'!D525),"",'_SCHEDULE'!D525)</x:f>
      </x:c>
      <x:c r="E557" s="530" t="str">
        <x:f>IF(ISBLANK('_SCHEDULE'!E525),"",'_SCHEDULE'!E525)</x:f>
      </x:c>
      <x:c r="F557" s="530" t="str">
        <x:f>IF(ISBLANK('_SCHEDULE'!F525),"",'_SCHEDULE'!F525)</x:f>
      </x:c>
      <x:c r="G557" s="530" t="str">
        <x:f>IF(ISBLANK('_SCHEDULE'!G525),"",'_SCHEDULE'!G525)</x:f>
      </x:c>
      <x:c r="H557" s="530" t="str">
        <x:f>IF(ISBLANK('_SCHEDULE'!H525),"",'_SCHEDULE'!H525)</x:f>
      </x:c>
      <x:c r="I557" s="530" t="str">
        <x:f>IF(ISBLANK('_SCHEDULE'!I525),"",'_SCHEDULE'!I525)</x:f>
      </x:c>
      <x:c r="J557" s="530" t="str">
        <x:f>IF(ISBLANK('_SCHEDULE'!J525),"",'_SCHEDULE'!J525)</x:f>
      </x:c>
      <x:c r="K557" s="530" t="str">
        <x:f>IF(ISBLANK('_SCHEDULE'!K525),"",'_SCHEDULE'!K525)</x:f>
      </x:c>
      <x:c r="L557" s="530" t="str">
        <x:f>IF(ISBLANK('_SCHEDULE'!L525),"",'_SCHEDULE'!L525)</x:f>
      </x:c>
      <x:c r="M557" s="530" t="str">
        <x:f>IF(ISBLANK('_SCHEDULE'!M525),"",'_SCHEDULE'!M525)</x:f>
      </x:c>
      <x:c r="N557" s="530" t="str">
        <x:f>IF(ISBLANK('_SCHEDULE'!N525),"",'_SCHEDULE'!N525)</x:f>
      </x:c>
      <x:c r="O557" s="530" t="str">
        <x:f>IF(ISBLANK('_SCHEDULE'!O525),"",'_SCHEDULE'!O525)</x:f>
      </x:c>
      <x:c r="P557" s="530" t="str">
        <x:f>IF(ISBLANK('_SCHEDULE'!P525),"",'_SCHEDULE'!P525)</x:f>
      </x:c>
      <x:c r="Q557" s="530" t="str">
        <x:f>IF(ISBLANK('_SCHEDULE'!Q525),"",'_SCHEDULE'!Q525)</x:f>
      </x:c>
      <x:c r="R557" s="530" t="str">
        <x:f>IF(ISBLANK('_SCHEDULE'!R525),"",'_SCHEDULE'!R525)</x:f>
      </x:c>
      <x:c r="S557" s="523" t="str">
        <x:f>IF(ISBLANK('_SCHEDULE'!S525),"",'_SCHEDULE'!S525)</x:f>
      </x:c>
      <x:c r="T557" s="38"/>
      <x:c r="U557" s="38"/>
      <x:c r="V557" s="38"/>
      <x:c r="W557" s="38"/>
      <x:c r="X557" s="38"/>
      <x:c r="Y557" s="38"/>
      <x:c r="Z557" s="38"/>
      <x:c r="AA557" s="38"/>
      <x:c r="AB557" s="38"/>
      <x:c r="AC557" s="38"/>
      <x:c r="AD557" s="38"/>
      <x:c r="AE557" s="38"/>
      <x:c r="AF557" s="38"/>
      <x:c r="AG557" s="38"/>
      <x:c r="AH557" s="38"/>
      <x:c r="AI557" s="38"/>
      <x:c r="AJ557" s="38"/>
      <x:c r="AK557" s="38"/>
      <x:c r="AL557" s="38"/>
      <x:c r="AM557" s="38"/>
    </x:row>
    <x:row r="558">
      <x:c r="A558" s="523" t="str">
        <x:f>IF(ISBLANK('_SCHEDULE'!A526),"",'_SCHEDULE'!A526)</x:f>
      </x:c>
      <x:c r="B558" s="523" t="str">
        <x:f>IF(ISBLANK('_SCHEDULE'!B526),"",IF('_CONFIG'!$B$2="pt-BR",IF('_SCHEDULE'!B526="scheduled","programado",IF('_SCHEDULE'!B526="rejected","rejeitado",'_SCHEDULE'!B526)),'_SCHEDULE'!B526))</x:f>
      </x:c>
      <x:c r="C558" s="523" t="str">
        <x:f>IF(ISBLANK('_SCHEDULE'!C526),"",'_SCHEDULE'!C526)</x:f>
      </x:c>
      <x:c r="D558" s="523" t="str">
        <x:f>IF(ISBLANK('_SCHEDULE'!D526),"",'_SCHEDULE'!D526)</x:f>
      </x:c>
      <x:c r="E558" s="530" t="str">
        <x:f>IF(ISBLANK('_SCHEDULE'!E526),"",'_SCHEDULE'!E526)</x:f>
      </x:c>
      <x:c r="F558" s="530" t="str">
        <x:f>IF(ISBLANK('_SCHEDULE'!F526),"",'_SCHEDULE'!F526)</x:f>
      </x:c>
      <x:c r="G558" s="530" t="str">
        <x:f>IF(ISBLANK('_SCHEDULE'!G526),"",'_SCHEDULE'!G526)</x:f>
      </x:c>
      <x:c r="H558" s="530" t="str">
        <x:f>IF(ISBLANK('_SCHEDULE'!H526),"",'_SCHEDULE'!H526)</x:f>
      </x:c>
      <x:c r="I558" s="530" t="str">
        <x:f>IF(ISBLANK('_SCHEDULE'!I526),"",'_SCHEDULE'!I526)</x:f>
      </x:c>
      <x:c r="J558" s="530" t="str">
        <x:f>IF(ISBLANK('_SCHEDULE'!J526),"",'_SCHEDULE'!J526)</x:f>
      </x:c>
      <x:c r="K558" s="530" t="str">
        <x:f>IF(ISBLANK('_SCHEDULE'!K526),"",'_SCHEDULE'!K526)</x:f>
      </x:c>
      <x:c r="L558" s="530" t="str">
        <x:f>IF(ISBLANK('_SCHEDULE'!L526),"",'_SCHEDULE'!L526)</x:f>
      </x:c>
      <x:c r="M558" s="530" t="str">
        <x:f>IF(ISBLANK('_SCHEDULE'!M526),"",'_SCHEDULE'!M526)</x:f>
      </x:c>
      <x:c r="N558" s="530" t="str">
        <x:f>IF(ISBLANK('_SCHEDULE'!N526),"",'_SCHEDULE'!N526)</x:f>
      </x:c>
      <x:c r="O558" s="530" t="str">
        <x:f>IF(ISBLANK('_SCHEDULE'!O526),"",'_SCHEDULE'!O526)</x:f>
      </x:c>
      <x:c r="P558" s="530" t="str">
        <x:f>IF(ISBLANK('_SCHEDULE'!P526),"",'_SCHEDULE'!P526)</x:f>
      </x:c>
      <x:c r="Q558" s="530" t="str">
        <x:f>IF(ISBLANK('_SCHEDULE'!Q526),"",'_SCHEDULE'!Q526)</x:f>
      </x:c>
      <x:c r="R558" s="530" t="str">
        <x:f>IF(ISBLANK('_SCHEDULE'!R526),"",'_SCHEDULE'!R526)</x:f>
      </x:c>
      <x:c r="S558" s="523" t="str">
        <x:f>IF(ISBLANK('_SCHEDULE'!S526),"",'_SCHEDULE'!S526)</x:f>
      </x:c>
      <x:c r="T558" s="38"/>
      <x:c r="U558" s="38"/>
      <x:c r="V558" s="38"/>
      <x:c r="W558" s="38"/>
      <x:c r="X558" s="38"/>
      <x:c r="Y558" s="38"/>
      <x:c r="Z558" s="38"/>
      <x:c r="AA558" s="38"/>
      <x:c r="AB558" s="38"/>
      <x:c r="AC558" s="38"/>
      <x:c r="AD558" s="38"/>
      <x:c r="AE558" s="38"/>
      <x:c r="AF558" s="38"/>
      <x:c r="AG558" s="38"/>
      <x:c r="AH558" s="38"/>
      <x:c r="AI558" s="38"/>
      <x:c r="AJ558" s="38"/>
      <x:c r="AK558" s="38"/>
      <x:c r="AL558" s="38"/>
      <x:c r="AM558" s="38"/>
    </x:row>
    <x:row r="559">
      <x:c r="A559" s="523" t="str">
        <x:f>IF(ISBLANK('_SCHEDULE'!A527),"",'_SCHEDULE'!A527)</x:f>
      </x:c>
      <x:c r="B559" s="523" t="str">
        <x:f>IF(ISBLANK('_SCHEDULE'!B527),"",IF('_CONFIG'!$B$2="pt-BR",IF('_SCHEDULE'!B527="scheduled","programado",IF('_SCHEDULE'!B527="rejected","rejeitado",'_SCHEDULE'!B527)),'_SCHEDULE'!B527))</x:f>
      </x:c>
      <x:c r="C559" s="523" t="str">
        <x:f>IF(ISBLANK('_SCHEDULE'!C527),"",'_SCHEDULE'!C527)</x:f>
      </x:c>
      <x:c r="D559" s="523" t="str">
        <x:f>IF(ISBLANK('_SCHEDULE'!D527),"",'_SCHEDULE'!D527)</x:f>
      </x:c>
      <x:c r="E559" s="530" t="str">
        <x:f>IF(ISBLANK('_SCHEDULE'!E527),"",'_SCHEDULE'!E527)</x:f>
      </x:c>
      <x:c r="F559" s="530" t="str">
        <x:f>IF(ISBLANK('_SCHEDULE'!F527),"",'_SCHEDULE'!F527)</x:f>
      </x:c>
      <x:c r="G559" s="530" t="str">
        <x:f>IF(ISBLANK('_SCHEDULE'!G527),"",'_SCHEDULE'!G527)</x:f>
      </x:c>
      <x:c r="H559" s="530" t="str">
        <x:f>IF(ISBLANK('_SCHEDULE'!H527),"",'_SCHEDULE'!H527)</x:f>
      </x:c>
      <x:c r="I559" s="530" t="str">
        <x:f>IF(ISBLANK('_SCHEDULE'!I527),"",'_SCHEDULE'!I527)</x:f>
      </x:c>
      <x:c r="J559" s="530" t="str">
        <x:f>IF(ISBLANK('_SCHEDULE'!J527),"",'_SCHEDULE'!J527)</x:f>
      </x:c>
      <x:c r="K559" s="530" t="str">
        <x:f>IF(ISBLANK('_SCHEDULE'!K527),"",'_SCHEDULE'!K527)</x:f>
      </x:c>
      <x:c r="L559" s="530" t="str">
        <x:f>IF(ISBLANK('_SCHEDULE'!L527),"",'_SCHEDULE'!L527)</x:f>
      </x:c>
      <x:c r="M559" s="530" t="str">
        <x:f>IF(ISBLANK('_SCHEDULE'!M527),"",'_SCHEDULE'!M527)</x:f>
      </x:c>
      <x:c r="N559" s="530" t="str">
        <x:f>IF(ISBLANK('_SCHEDULE'!N527),"",'_SCHEDULE'!N527)</x:f>
      </x:c>
      <x:c r="O559" s="530" t="str">
        <x:f>IF(ISBLANK('_SCHEDULE'!O527),"",'_SCHEDULE'!O527)</x:f>
      </x:c>
      <x:c r="P559" s="530" t="str">
        <x:f>IF(ISBLANK('_SCHEDULE'!P527),"",'_SCHEDULE'!P527)</x:f>
      </x:c>
      <x:c r="Q559" s="530" t="str">
        <x:f>IF(ISBLANK('_SCHEDULE'!Q527),"",'_SCHEDULE'!Q527)</x:f>
      </x:c>
      <x:c r="R559" s="530" t="str">
        <x:f>IF(ISBLANK('_SCHEDULE'!R527),"",'_SCHEDULE'!R527)</x:f>
      </x:c>
      <x:c r="S559" s="523" t="str">
        <x:f>IF(ISBLANK('_SCHEDULE'!S527),"",'_SCHEDULE'!S527)</x:f>
      </x:c>
      <x:c r="T559" s="38"/>
      <x:c r="U559" s="38"/>
      <x:c r="V559" s="38"/>
      <x:c r="W559" s="38"/>
      <x:c r="X559" s="38"/>
      <x:c r="Y559" s="38"/>
      <x:c r="Z559" s="38"/>
      <x:c r="AA559" s="38"/>
      <x:c r="AB559" s="38"/>
      <x:c r="AC559" s="38"/>
      <x:c r="AD559" s="38"/>
      <x:c r="AE559" s="38"/>
      <x:c r="AF559" s="38"/>
      <x:c r="AG559" s="38"/>
      <x:c r="AH559" s="38"/>
      <x:c r="AI559" s="38"/>
      <x:c r="AJ559" s="38"/>
      <x:c r="AK559" s="38"/>
      <x:c r="AL559" s="38"/>
      <x:c r="AM559" s="38"/>
    </x:row>
    <x:row r="560">
      <x:c r="A560" s="523" t="str">
        <x:f>IF(ISBLANK('_SCHEDULE'!A528),"",'_SCHEDULE'!A528)</x:f>
      </x:c>
      <x:c r="B560" s="523" t="str">
        <x:f>IF(ISBLANK('_SCHEDULE'!B528),"",IF('_CONFIG'!$B$2="pt-BR",IF('_SCHEDULE'!B528="scheduled","programado",IF('_SCHEDULE'!B528="rejected","rejeitado",'_SCHEDULE'!B528)),'_SCHEDULE'!B528))</x:f>
      </x:c>
      <x:c r="C560" s="523" t="str">
        <x:f>IF(ISBLANK('_SCHEDULE'!C528),"",'_SCHEDULE'!C528)</x:f>
      </x:c>
      <x:c r="D560" s="523" t="str">
        <x:f>IF(ISBLANK('_SCHEDULE'!D528),"",'_SCHEDULE'!D528)</x:f>
      </x:c>
      <x:c r="E560" s="530" t="str">
        <x:f>IF(ISBLANK('_SCHEDULE'!E528),"",'_SCHEDULE'!E528)</x:f>
      </x:c>
      <x:c r="F560" s="530" t="str">
        <x:f>IF(ISBLANK('_SCHEDULE'!F528),"",'_SCHEDULE'!F528)</x:f>
      </x:c>
      <x:c r="G560" s="530" t="str">
        <x:f>IF(ISBLANK('_SCHEDULE'!G528),"",'_SCHEDULE'!G528)</x:f>
      </x:c>
      <x:c r="H560" s="530" t="str">
        <x:f>IF(ISBLANK('_SCHEDULE'!H528),"",'_SCHEDULE'!H528)</x:f>
      </x:c>
      <x:c r="I560" s="530" t="str">
        <x:f>IF(ISBLANK('_SCHEDULE'!I528),"",'_SCHEDULE'!I528)</x:f>
      </x:c>
      <x:c r="J560" s="530" t="str">
        <x:f>IF(ISBLANK('_SCHEDULE'!J528),"",'_SCHEDULE'!J528)</x:f>
      </x:c>
      <x:c r="K560" s="530" t="str">
        <x:f>IF(ISBLANK('_SCHEDULE'!K528),"",'_SCHEDULE'!K528)</x:f>
      </x:c>
      <x:c r="L560" s="530" t="str">
        <x:f>IF(ISBLANK('_SCHEDULE'!L528),"",'_SCHEDULE'!L528)</x:f>
      </x:c>
      <x:c r="M560" s="530" t="str">
        <x:f>IF(ISBLANK('_SCHEDULE'!M528),"",'_SCHEDULE'!M528)</x:f>
      </x:c>
      <x:c r="N560" s="530" t="str">
        <x:f>IF(ISBLANK('_SCHEDULE'!N528),"",'_SCHEDULE'!N528)</x:f>
      </x:c>
      <x:c r="O560" s="530" t="str">
        <x:f>IF(ISBLANK('_SCHEDULE'!O528),"",'_SCHEDULE'!O528)</x:f>
      </x:c>
      <x:c r="P560" s="530" t="str">
        <x:f>IF(ISBLANK('_SCHEDULE'!P528),"",'_SCHEDULE'!P528)</x:f>
      </x:c>
      <x:c r="Q560" s="530" t="str">
        <x:f>IF(ISBLANK('_SCHEDULE'!Q528),"",'_SCHEDULE'!Q528)</x:f>
      </x:c>
      <x:c r="R560" s="530" t="str">
        <x:f>IF(ISBLANK('_SCHEDULE'!R528),"",'_SCHEDULE'!R528)</x:f>
      </x:c>
      <x:c r="S560" s="523" t="str">
        <x:f>IF(ISBLANK('_SCHEDULE'!S528),"",'_SCHEDULE'!S528)</x:f>
      </x:c>
      <x:c r="T560" s="38"/>
      <x:c r="U560" s="38"/>
      <x:c r="V560" s="38"/>
      <x:c r="W560" s="38"/>
      <x:c r="X560" s="38"/>
      <x:c r="Y560" s="38"/>
      <x:c r="Z560" s="38"/>
      <x:c r="AA560" s="38"/>
      <x:c r="AB560" s="38"/>
      <x:c r="AC560" s="38"/>
      <x:c r="AD560" s="38"/>
      <x:c r="AE560" s="38"/>
      <x:c r="AF560" s="38"/>
      <x:c r="AG560" s="38"/>
      <x:c r="AH560" s="38"/>
      <x:c r="AI560" s="38"/>
      <x:c r="AJ560" s="38"/>
      <x:c r="AK560" s="38"/>
      <x:c r="AL560" s="38"/>
      <x:c r="AM560" s="38"/>
    </x:row>
    <x:row r="561">
      <x:c r="A561" s="523" t="str">
        <x:f>IF(ISBLANK('_SCHEDULE'!A529),"",'_SCHEDULE'!A529)</x:f>
      </x:c>
      <x:c r="B561" s="523" t="str">
        <x:f>IF(ISBLANK('_SCHEDULE'!B529),"",IF('_CONFIG'!$B$2="pt-BR",IF('_SCHEDULE'!B529="scheduled","programado",IF('_SCHEDULE'!B529="rejected","rejeitado",'_SCHEDULE'!B529)),'_SCHEDULE'!B529))</x:f>
      </x:c>
      <x:c r="C561" s="523" t="str">
        <x:f>IF(ISBLANK('_SCHEDULE'!C529),"",'_SCHEDULE'!C529)</x:f>
      </x:c>
      <x:c r="D561" s="523" t="str">
        <x:f>IF(ISBLANK('_SCHEDULE'!D529),"",'_SCHEDULE'!D529)</x:f>
      </x:c>
      <x:c r="E561" s="530" t="str">
        <x:f>IF(ISBLANK('_SCHEDULE'!E529),"",'_SCHEDULE'!E529)</x:f>
      </x:c>
      <x:c r="F561" s="530" t="str">
        <x:f>IF(ISBLANK('_SCHEDULE'!F529),"",'_SCHEDULE'!F529)</x:f>
      </x:c>
      <x:c r="G561" s="530" t="str">
        <x:f>IF(ISBLANK('_SCHEDULE'!G529),"",'_SCHEDULE'!G529)</x:f>
      </x:c>
      <x:c r="H561" s="530" t="str">
        <x:f>IF(ISBLANK('_SCHEDULE'!H529),"",'_SCHEDULE'!H529)</x:f>
      </x:c>
      <x:c r="I561" s="530" t="str">
        <x:f>IF(ISBLANK('_SCHEDULE'!I529),"",'_SCHEDULE'!I529)</x:f>
      </x:c>
      <x:c r="J561" s="530" t="str">
        <x:f>IF(ISBLANK('_SCHEDULE'!J529),"",'_SCHEDULE'!J529)</x:f>
      </x:c>
      <x:c r="K561" s="530" t="str">
        <x:f>IF(ISBLANK('_SCHEDULE'!K529),"",'_SCHEDULE'!K529)</x:f>
      </x:c>
      <x:c r="L561" s="530" t="str">
        <x:f>IF(ISBLANK('_SCHEDULE'!L529),"",'_SCHEDULE'!L529)</x:f>
      </x:c>
      <x:c r="M561" s="530" t="str">
        <x:f>IF(ISBLANK('_SCHEDULE'!M529),"",'_SCHEDULE'!M529)</x:f>
      </x:c>
      <x:c r="N561" s="530" t="str">
        <x:f>IF(ISBLANK('_SCHEDULE'!N529),"",'_SCHEDULE'!N529)</x:f>
      </x:c>
      <x:c r="O561" s="530" t="str">
        <x:f>IF(ISBLANK('_SCHEDULE'!O529),"",'_SCHEDULE'!O529)</x:f>
      </x:c>
      <x:c r="P561" s="530" t="str">
        <x:f>IF(ISBLANK('_SCHEDULE'!P529),"",'_SCHEDULE'!P529)</x:f>
      </x:c>
      <x:c r="Q561" s="530" t="str">
        <x:f>IF(ISBLANK('_SCHEDULE'!Q529),"",'_SCHEDULE'!Q529)</x:f>
      </x:c>
      <x:c r="R561" s="530" t="str">
        <x:f>IF(ISBLANK('_SCHEDULE'!R529),"",'_SCHEDULE'!R529)</x:f>
      </x:c>
      <x:c r="S561" s="523" t="str">
        <x:f>IF(ISBLANK('_SCHEDULE'!S529),"",'_SCHEDULE'!S529)</x:f>
      </x:c>
      <x:c r="T561" s="38"/>
      <x:c r="U561" s="38"/>
      <x:c r="V561" s="38"/>
      <x:c r="W561" s="38"/>
      <x:c r="X561" s="38"/>
      <x:c r="Y561" s="38"/>
      <x:c r="Z561" s="38"/>
      <x:c r="AA561" s="38"/>
      <x:c r="AB561" s="38"/>
      <x:c r="AC561" s="38"/>
      <x:c r="AD561" s="38"/>
      <x:c r="AE561" s="38"/>
      <x:c r="AF561" s="38"/>
      <x:c r="AG561" s="38"/>
      <x:c r="AH561" s="38"/>
      <x:c r="AI561" s="38"/>
      <x:c r="AJ561" s="38"/>
      <x:c r="AK561" s="38"/>
      <x:c r="AL561" s="38"/>
      <x:c r="AM561" s="38"/>
    </x:row>
    <x:row r="562">
      <x:c r="A562" s="523" t="str">
        <x:f>IF(ISBLANK('_SCHEDULE'!A530),"",'_SCHEDULE'!A530)</x:f>
      </x:c>
      <x:c r="B562" s="523" t="str">
        <x:f>IF(ISBLANK('_SCHEDULE'!B530),"",IF('_CONFIG'!$B$2="pt-BR",IF('_SCHEDULE'!B530="scheduled","programado",IF('_SCHEDULE'!B530="rejected","rejeitado",'_SCHEDULE'!B530)),'_SCHEDULE'!B530))</x:f>
      </x:c>
      <x:c r="C562" s="523" t="str">
        <x:f>IF(ISBLANK('_SCHEDULE'!C530),"",'_SCHEDULE'!C530)</x:f>
      </x:c>
      <x:c r="D562" s="523" t="str">
        <x:f>IF(ISBLANK('_SCHEDULE'!D530),"",'_SCHEDULE'!D530)</x:f>
      </x:c>
      <x:c r="E562" s="530" t="str">
        <x:f>IF(ISBLANK('_SCHEDULE'!E530),"",'_SCHEDULE'!E530)</x:f>
      </x:c>
      <x:c r="F562" s="530" t="str">
        <x:f>IF(ISBLANK('_SCHEDULE'!F530),"",'_SCHEDULE'!F530)</x:f>
      </x:c>
      <x:c r="G562" s="530" t="str">
        <x:f>IF(ISBLANK('_SCHEDULE'!G530),"",'_SCHEDULE'!G530)</x:f>
      </x:c>
      <x:c r="H562" s="530" t="str">
        <x:f>IF(ISBLANK('_SCHEDULE'!H530),"",'_SCHEDULE'!H530)</x:f>
      </x:c>
      <x:c r="I562" s="530" t="str">
        <x:f>IF(ISBLANK('_SCHEDULE'!I530),"",'_SCHEDULE'!I530)</x:f>
      </x:c>
      <x:c r="J562" s="530" t="str">
        <x:f>IF(ISBLANK('_SCHEDULE'!J530),"",'_SCHEDULE'!J530)</x:f>
      </x:c>
      <x:c r="K562" s="530" t="str">
        <x:f>IF(ISBLANK('_SCHEDULE'!K530),"",'_SCHEDULE'!K530)</x:f>
      </x:c>
      <x:c r="L562" s="530" t="str">
        <x:f>IF(ISBLANK('_SCHEDULE'!L530),"",'_SCHEDULE'!L530)</x:f>
      </x:c>
      <x:c r="M562" s="530" t="str">
        <x:f>IF(ISBLANK('_SCHEDULE'!M530),"",'_SCHEDULE'!M530)</x:f>
      </x:c>
      <x:c r="N562" s="530" t="str">
        <x:f>IF(ISBLANK('_SCHEDULE'!N530),"",'_SCHEDULE'!N530)</x:f>
      </x:c>
      <x:c r="O562" s="530" t="str">
        <x:f>IF(ISBLANK('_SCHEDULE'!O530),"",'_SCHEDULE'!O530)</x:f>
      </x:c>
      <x:c r="P562" s="530" t="str">
        <x:f>IF(ISBLANK('_SCHEDULE'!P530),"",'_SCHEDULE'!P530)</x:f>
      </x:c>
      <x:c r="Q562" s="530" t="str">
        <x:f>IF(ISBLANK('_SCHEDULE'!Q530),"",'_SCHEDULE'!Q530)</x:f>
      </x:c>
      <x:c r="R562" s="530" t="str">
        <x:f>IF(ISBLANK('_SCHEDULE'!R530),"",'_SCHEDULE'!R530)</x:f>
      </x:c>
      <x:c r="S562" s="523" t="str">
        <x:f>IF(ISBLANK('_SCHEDULE'!S530),"",'_SCHEDULE'!S530)</x:f>
      </x:c>
      <x:c r="T562" s="38"/>
      <x:c r="U562" s="38"/>
      <x:c r="V562" s="38"/>
      <x:c r="W562" s="38"/>
      <x:c r="X562" s="38"/>
      <x:c r="Y562" s="38"/>
      <x:c r="Z562" s="38"/>
      <x:c r="AA562" s="38"/>
      <x:c r="AB562" s="38"/>
      <x:c r="AC562" s="38"/>
      <x:c r="AD562" s="38"/>
      <x:c r="AE562" s="38"/>
      <x:c r="AF562" s="38"/>
      <x:c r="AG562" s="38"/>
      <x:c r="AH562" s="38"/>
      <x:c r="AI562" s="38"/>
      <x:c r="AJ562" s="38"/>
      <x:c r="AK562" s="38"/>
      <x:c r="AL562" s="38"/>
      <x:c r="AM562" s="38"/>
    </x:row>
    <x:row r="563">
      <x:c r="A563" s="523" t="str">
        <x:f>IF(ISBLANK('_SCHEDULE'!A531),"",'_SCHEDULE'!A531)</x:f>
      </x:c>
      <x:c r="B563" s="523" t="str">
        <x:f>IF(ISBLANK('_SCHEDULE'!B531),"",IF('_CONFIG'!$B$2="pt-BR",IF('_SCHEDULE'!B531="scheduled","programado",IF('_SCHEDULE'!B531="rejected","rejeitado",'_SCHEDULE'!B531)),'_SCHEDULE'!B531))</x:f>
      </x:c>
      <x:c r="C563" s="523" t="str">
        <x:f>IF(ISBLANK('_SCHEDULE'!C531),"",'_SCHEDULE'!C531)</x:f>
      </x:c>
      <x:c r="D563" s="523" t="str">
        <x:f>IF(ISBLANK('_SCHEDULE'!D531),"",'_SCHEDULE'!D531)</x:f>
      </x:c>
      <x:c r="E563" s="530" t="str">
        <x:f>IF(ISBLANK('_SCHEDULE'!E531),"",'_SCHEDULE'!E531)</x:f>
      </x:c>
      <x:c r="F563" s="530" t="str">
        <x:f>IF(ISBLANK('_SCHEDULE'!F531),"",'_SCHEDULE'!F531)</x:f>
      </x:c>
      <x:c r="G563" s="530" t="str">
        <x:f>IF(ISBLANK('_SCHEDULE'!G531),"",'_SCHEDULE'!G531)</x:f>
      </x:c>
      <x:c r="H563" s="530" t="str">
        <x:f>IF(ISBLANK('_SCHEDULE'!H531),"",'_SCHEDULE'!H531)</x:f>
      </x:c>
      <x:c r="I563" s="530" t="str">
        <x:f>IF(ISBLANK('_SCHEDULE'!I531),"",'_SCHEDULE'!I531)</x:f>
      </x:c>
      <x:c r="J563" s="530" t="str">
        <x:f>IF(ISBLANK('_SCHEDULE'!J531),"",'_SCHEDULE'!J531)</x:f>
      </x:c>
      <x:c r="K563" s="530" t="str">
        <x:f>IF(ISBLANK('_SCHEDULE'!K531),"",'_SCHEDULE'!K531)</x:f>
      </x:c>
      <x:c r="L563" s="530" t="str">
        <x:f>IF(ISBLANK('_SCHEDULE'!L531),"",'_SCHEDULE'!L531)</x:f>
      </x:c>
      <x:c r="M563" s="530" t="str">
        <x:f>IF(ISBLANK('_SCHEDULE'!M531),"",'_SCHEDULE'!M531)</x:f>
      </x:c>
      <x:c r="N563" s="530" t="str">
        <x:f>IF(ISBLANK('_SCHEDULE'!N531),"",'_SCHEDULE'!N531)</x:f>
      </x:c>
      <x:c r="O563" s="530" t="str">
        <x:f>IF(ISBLANK('_SCHEDULE'!O531),"",'_SCHEDULE'!O531)</x:f>
      </x:c>
      <x:c r="P563" s="530" t="str">
        <x:f>IF(ISBLANK('_SCHEDULE'!P531),"",'_SCHEDULE'!P531)</x:f>
      </x:c>
      <x:c r="Q563" s="530" t="str">
        <x:f>IF(ISBLANK('_SCHEDULE'!Q531),"",'_SCHEDULE'!Q531)</x:f>
      </x:c>
      <x:c r="R563" s="530" t="str">
        <x:f>IF(ISBLANK('_SCHEDULE'!R531),"",'_SCHEDULE'!R531)</x:f>
      </x:c>
      <x:c r="S563" s="523" t="str">
        <x:f>IF(ISBLANK('_SCHEDULE'!S531),"",'_SCHEDULE'!S531)</x:f>
      </x:c>
      <x:c r="T563" s="38"/>
      <x:c r="U563" s="38"/>
      <x:c r="V563" s="38"/>
      <x:c r="W563" s="38"/>
      <x:c r="X563" s="38"/>
      <x:c r="Y563" s="38"/>
      <x:c r="Z563" s="38"/>
      <x:c r="AA563" s="38"/>
      <x:c r="AB563" s="38"/>
      <x:c r="AC563" s="38"/>
      <x:c r="AD563" s="38"/>
      <x:c r="AE563" s="38"/>
      <x:c r="AF563" s="38"/>
      <x:c r="AG563" s="38"/>
      <x:c r="AH563" s="38"/>
      <x:c r="AI563" s="38"/>
      <x:c r="AJ563" s="38"/>
      <x:c r="AK563" s="38"/>
      <x:c r="AL563" s="38"/>
      <x:c r="AM563" s="38"/>
    </x:row>
    <x:row r="564">
      <x:c r="A564" s="523" t="str">
        <x:f>IF(ISBLANK('_SCHEDULE'!A532),"",'_SCHEDULE'!A532)</x:f>
      </x:c>
      <x:c r="B564" s="523" t="str">
        <x:f>IF(ISBLANK('_SCHEDULE'!B532),"",IF('_CONFIG'!$B$2="pt-BR",IF('_SCHEDULE'!B532="scheduled","programado",IF('_SCHEDULE'!B532="rejected","rejeitado",'_SCHEDULE'!B532)),'_SCHEDULE'!B532))</x:f>
      </x:c>
      <x:c r="C564" s="523" t="str">
        <x:f>IF(ISBLANK('_SCHEDULE'!C532),"",'_SCHEDULE'!C532)</x:f>
      </x:c>
      <x:c r="D564" s="523" t="str">
        <x:f>IF(ISBLANK('_SCHEDULE'!D532),"",'_SCHEDULE'!D532)</x:f>
      </x:c>
      <x:c r="E564" s="530" t="str">
        <x:f>IF(ISBLANK('_SCHEDULE'!E532),"",'_SCHEDULE'!E532)</x:f>
      </x:c>
      <x:c r="F564" s="530" t="str">
        <x:f>IF(ISBLANK('_SCHEDULE'!F532),"",'_SCHEDULE'!F532)</x:f>
      </x:c>
      <x:c r="G564" s="530" t="str">
        <x:f>IF(ISBLANK('_SCHEDULE'!G532),"",'_SCHEDULE'!G532)</x:f>
      </x:c>
      <x:c r="H564" s="530" t="str">
        <x:f>IF(ISBLANK('_SCHEDULE'!H532),"",'_SCHEDULE'!H532)</x:f>
      </x:c>
      <x:c r="I564" s="530" t="str">
        <x:f>IF(ISBLANK('_SCHEDULE'!I532),"",'_SCHEDULE'!I532)</x:f>
      </x:c>
      <x:c r="J564" s="530" t="str">
        <x:f>IF(ISBLANK('_SCHEDULE'!J532),"",'_SCHEDULE'!J532)</x:f>
      </x:c>
      <x:c r="K564" s="530" t="str">
        <x:f>IF(ISBLANK('_SCHEDULE'!K532),"",'_SCHEDULE'!K532)</x:f>
      </x:c>
      <x:c r="L564" s="530" t="str">
        <x:f>IF(ISBLANK('_SCHEDULE'!L532),"",'_SCHEDULE'!L532)</x:f>
      </x:c>
      <x:c r="M564" s="530" t="str">
        <x:f>IF(ISBLANK('_SCHEDULE'!M532),"",'_SCHEDULE'!M532)</x:f>
      </x:c>
      <x:c r="N564" s="530" t="str">
        <x:f>IF(ISBLANK('_SCHEDULE'!N532),"",'_SCHEDULE'!N532)</x:f>
      </x:c>
      <x:c r="O564" s="530" t="str">
        <x:f>IF(ISBLANK('_SCHEDULE'!O532),"",'_SCHEDULE'!O532)</x:f>
      </x:c>
      <x:c r="P564" s="530" t="str">
        <x:f>IF(ISBLANK('_SCHEDULE'!P532),"",'_SCHEDULE'!P532)</x:f>
      </x:c>
      <x:c r="Q564" s="530" t="str">
        <x:f>IF(ISBLANK('_SCHEDULE'!Q532),"",'_SCHEDULE'!Q532)</x:f>
      </x:c>
      <x:c r="R564" s="530" t="str">
        <x:f>IF(ISBLANK('_SCHEDULE'!R532),"",'_SCHEDULE'!R532)</x:f>
      </x:c>
      <x:c r="S564" s="523" t="str">
        <x:f>IF(ISBLANK('_SCHEDULE'!S532),"",'_SCHEDULE'!S532)</x:f>
      </x:c>
      <x:c r="T564" s="38"/>
      <x:c r="U564" s="38"/>
      <x:c r="V564" s="38"/>
      <x:c r="W564" s="38"/>
      <x:c r="X564" s="38"/>
      <x:c r="Y564" s="38"/>
      <x:c r="Z564" s="38"/>
      <x:c r="AA564" s="38"/>
      <x:c r="AB564" s="38"/>
      <x:c r="AC564" s="38"/>
      <x:c r="AD564" s="38"/>
      <x:c r="AE564" s="38"/>
      <x:c r="AF564" s="38"/>
      <x:c r="AG564" s="38"/>
      <x:c r="AH564" s="38"/>
      <x:c r="AI564" s="38"/>
      <x:c r="AJ564" s="38"/>
      <x:c r="AK564" s="38"/>
      <x:c r="AL564" s="38"/>
      <x:c r="AM564" s="38"/>
    </x:row>
    <x:row r="565">
      <x:c r="A565" s="523" t="str">
        <x:f>IF(ISBLANK('_SCHEDULE'!A533),"",'_SCHEDULE'!A533)</x:f>
      </x:c>
      <x:c r="B565" s="523" t="str">
        <x:f>IF(ISBLANK('_SCHEDULE'!B533),"",IF('_CONFIG'!$B$2="pt-BR",IF('_SCHEDULE'!B533="scheduled","programado",IF('_SCHEDULE'!B533="rejected","rejeitado",'_SCHEDULE'!B533)),'_SCHEDULE'!B533))</x:f>
      </x:c>
      <x:c r="C565" s="523" t="str">
        <x:f>IF(ISBLANK('_SCHEDULE'!C533),"",'_SCHEDULE'!C533)</x:f>
      </x:c>
      <x:c r="D565" s="523" t="str">
        <x:f>IF(ISBLANK('_SCHEDULE'!D533),"",'_SCHEDULE'!D533)</x:f>
      </x:c>
      <x:c r="E565" s="530" t="str">
        <x:f>IF(ISBLANK('_SCHEDULE'!E533),"",'_SCHEDULE'!E533)</x:f>
      </x:c>
      <x:c r="F565" s="530" t="str">
        <x:f>IF(ISBLANK('_SCHEDULE'!F533),"",'_SCHEDULE'!F533)</x:f>
      </x:c>
      <x:c r="G565" s="530" t="str">
        <x:f>IF(ISBLANK('_SCHEDULE'!G533),"",'_SCHEDULE'!G533)</x:f>
      </x:c>
      <x:c r="H565" s="530" t="str">
        <x:f>IF(ISBLANK('_SCHEDULE'!H533),"",'_SCHEDULE'!H533)</x:f>
      </x:c>
      <x:c r="I565" s="530" t="str">
        <x:f>IF(ISBLANK('_SCHEDULE'!I533),"",'_SCHEDULE'!I533)</x:f>
      </x:c>
      <x:c r="J565" s="530" t="str">
        <x:f>IF(ISBLANK('_SCHEDULE'!J533),"",'_SCHEDULE'!J533)</x:f>
      </x:c>
      <x:c r="K565" s="530" t="str">
        <x:f>IF(ISBLANK('_SCHEDULE'!K533),"",'_SCHEDULE'!K533)</x:f>
      </x:c>
      <x:c r="L565" s="530" t="str">
        <x:f>IF(ISBLANK('_SCHEDULE'!L533),"",'_SCHEDULE'!L533)</x:f>
      </x:c>
      <x:c r="M565" s="530" t="str">
        <x:f>IF(ISBLANK('_SCHEDULE'!M533),"",'_SCHEDULE'!M533)</x:f>
      </x:c>
      <x:c r="N565" s="530" t="str">
        <x:f>IF(ISBLANK('_SCHEDULE'!N533),"",'_SCHEDULE'!N533)</x:f>
      </x:c>
      <x:c r="O565" s="530" t="str">
        <x:f>IF(ISBLANK('_SCHEDULE'!O533),"",'_SCHEDULE'!O533)</x:f>
      </x:c>
      <x:c r="P565" s="530" t="str">
        <x:f>IF(ISBLANK('_SCHEDULE'!P533),"",'_SCHEDULE'!P533)</x:f>
      </x:c>
      <x:c r="Q565" s="530" t="str">
        <x:f>IF(ISBLANK('_SCHEDULE'!Q533),"",'_SCHEDULE'!Q533)</x:f>
      </x:c>
      <x:c r="R565" s="530" t="str">
        <x:f>IF(ISBLANK('_SCHEDULE'!R533),"",'_SCHEDULE'!R533)</x:f>
      </x:c>
      <x:c r="S565" s="523" t="str">
        <x:f>IF(ISBLANK('_SCHEDULE'!S533),"",'_SCHEDULE'!S533)</x:f>
      </x:c>
      <x:c r="T565" s="38"/>
      <x:c r="U565" s="38"/>
      <x:c r="V565" s="38"/>
      <x:c r="W565" s="38"/>
      <x:c r="X565" s="38"/>
      <x:c r="Y565" s="38"/>
      <x:c r="Z565" s="38"/>
      <x:c r="AA565" s="38"/>
      <x:c r="AB565" s="38"/>
      <x:c r="AC565" s="38"/>
      <x:c r="AD565" s="38"/>
      <x:c r="AE565" s="38"/>
      <x:c r="AF565" s="38"/>
      <x:c r="AG565" s="38"/>
      <x:c r="AH565" s="38"/>
      <x:c r="AI565" s="38"/>
      <x:c r="AJ565" s="38"/>
      <x:c r="AK565" s="38"/>
      <x:c r="AL565" s="38"/>
      <x:c r="AM565" s="38"/>
    </x:row>
    <x:row r="566">
      <x:c r="A566" s="523" t="str">
        <x:f>IF(ISBLANK('_SCHEDULE'!A534),"",'_SCHEDULE'!A534)</x:f>
      </x:c>
      <x:c r="B566" s="523" t="str">
        <x:f>IF(ISBLANK('_SCHEDULE'!B534),"",IF('_CONFIG'!$B$2="pt-BR",IF('_SCHEDULE'!B534="scheduled","programado",IF('_SCHEDULE'!B534="rejected","rejeitado",'_SCHEDULE'!B534)),'_SCHEDULE'!B534))</x:f>
      </x:c>
      <x:c r="C566" s="523" t="str">
        <x:f>IF(ISBLANK('_SCHEDULE'!C534),"",'_SCHEDULE'!C534)</x:f>
      </x:c>
      <x:c r="D566" s="523" t="str">
        <x:f>IF(ISBLANK('_SCHEDULE'!D534),"",'_SCHEDULE'!D534)</x:f>
      </x:c>
      <x:c r="E566" s="530" t="str">
        <x:f>IF(ISBLANK('_SCHEDULE'!E534),"",'_SCHEDULE'!E534)</x:f>
      </x:c>
      <x:c r="F566" s="530" t="str">
        <x:f>IF(ISBLANK('_SCHEDULE'!F534),"",'_SCHEDULE'!F534)</x:f>
      </x:c>
      <x:c r="G566" s="530" t="str">
        <x:f>IF(ISBLANK('_SCHEDULE'!G534),"",'_SCHEDULE'!G534)</x:f>
      </x:c>
      <x:c r="H566" s="530" t="str">
        <x:f>IF(ISBLANK('_SCHEDULE'!H534),"",'_SCHEDULE'!H534)</x:f>
      </x:c>
      <x:c r="I566" s="530" t="str">
        <x:f>IF(ISBLANK('_SCHEDULE'!I534),"",'_SCHEDULE'!I534)</x:f>
      </x:c>
      <x:c r="J566" s="530" t="str">
        <x:f>IF(ISBLANK('_SCHEDULE'!J534),"",'_SCHEDULE'!J534)</x:f>
      </x:c>
      <x:c r="K566" s="530" t="str">
        <x:f>IF(ISBLANK('_SCHEDULE'!K534),"",'_SCHEDULE'!K534)</x:f>
      </x:c>
      <x:c r="L566" s="530" t="str">
        <x:f>IF(ISBLANK('_SCHEDULE'!L534),"",'_SCHEDULE'!L534)</x:f>
      </x:c>
      <x:c r="M566" s="530" t="str">
        <x:f>IF(ISBLANK('_SCHEDULE'!M534),"",'_SCHEDULE'!M534)</x:f>
      </x:c>
      <x:c r="N566" s="530" t="str">
        <x:f>IF(ISBLANK('_SCHEDULE'!N534),"",'_SCHEDULE'!N534)</x:f>
      </x:c>
      <x:c r="O566" s="530" t="str">
        <x:f>IF(ISBLANK('_SCHEDULE'!O534),"",'_SCHEDULE'!O534)</x:f>
      </x:c>
      <x:c r="P566" s="530" t="str">
        <x:f>IF(ISBLANK('_SCHEDULE'!P534),"",'_SCHEDULE'!P534)</x:f>
      </x:c>
      <x:c r="Q566" s="530" t="str">
        <x:f>IF(ISBLANK('_SCHEDULE'!Q534),"",'_SCHEDULE'!Q534)</x:f>
      </x:c>
      <x:c r="R566" s="530" t="str">
        <x:f>IF(ISBLANK('_SCHEDULE'!R534),"",'_SCHEDULE'!R534)</x:f>
      </x:c>
      <x:c r="S566" s="523" t="str">
        <x:f>IF(ISBLANK('_SCHEDULE'!S534),"",'_SCHEDULE'!S534)</x:f>
      </x:c>
      <x:c r="T566" s="38"/>
      <x:c r="U566" s="38"/>
      <x:c r="V566" s="38"/>
      <x:c r="W566" s="38"/>
      <x:c r="X566" s="38"/>
      <x:c r="Y566" s="38"/>
      <x:c r="Z566" s="38"/>
      <x:c r="AA566" s="38"/>
      <x:c r="AB566" s="38"/>
      <x:c r="AC566" s="38"/>
      <x:c r="AD566" s="38"/>
      <x:c r="AE566" s="38"/>
      <x:c r="AF566" s="38"/>
      <x:c r="AG566" s="38"/>
      <x:c r="AH566" s="38"/>
      <x:c r="AI566" s="38"/>
      <x:c r="AJ566" s="38"/>
      <x:c r="AK566" s="38"/>
      <x:c r="AL566" s="38"/>
      <x:c r="AM566" s="38"/>
    </x:row>
    <x:row r="567">
      <x:c r="A567" s="523" t="str">
        <x:f>IF(ISBLANK('_SCHEDULE'!A535),"",'_SCHEDULE'!A535)</x:f>
      </x:c>
      <x:c r="B567" s="523" t="str">
        <x:f>IF(ISBLANK('_SCHEDULE'!B535),"",IF('_CONFIG'!$B$2="pt-BR",IF('_SCHEDULE'!B535="scheduled","programado",IF('_SCHEDULE'!B535="rejected","rejeitado",'_SCHEDULE'!B535)),'_SCHEDULE'!B535))</x:f>
      </x:c>
      <x:c r="C567" s="523" t="str">
        <x:f>IF(ISBLANK('_SCHEDULE'!C535),"",'_SCHEDULE'!C535)</x:f>
      </x:c>
      <x:c r="D567" s="523" t="str">
        <x:f>IF(ISBLANK('_SCHEDULE'!D535),"",'_SCHEDULE'!D535)</x:f>
      </x:c>
      <x:c r="E567" s="530" t="str">
        <x:f>IF(ISBLANK('_SCHEDULE'!E535),"",'_SCHEDULE'!E535)</x:f>
      </x:c>
      <x:c r="F567" s="530" t="str">
        <x:f>IF(ISBLANK('_SCHEDULE'!F535),"",'_SCHEDULE'!F535)</x:f>
      </x:c>
      <x:c r="G567" s="530" t="str">
        <x:f>IF(ISBLANK('_SCHEDULE'!G535),"",'_SCHEDULE'!G535)</x:f>
      </x:c>
      <x:c r="H567" s="530" t="str">
        <x:f>IF(ISBLANK('_SCHEDULE'!H535),"",'_SCHEDULE'!H535)</x:f>
      </x:c>
      <x:c r="I567" s="530" t="str">
        <x:f>IF(ISBLANK('_SCHEDULE'!I535),"",'_SCHEDULE'!I535)</x:f>
      </x:c>
      <x:c r="J567" s="530" t="str">
        <x:f>IF(ISBLANK('_SCHEDULE'!J535),"",'_SCHEDULE'!J535)</x:f>
      </x:c>
      <x:c r="K567" s="530" t="str">
        <x:f>IF(ISBLANK('_SCHEDULE'!K535),"",'_SCHEDULE'!K535)</x:f>
      </x:c>
      <x:c r="L567" s="530" t="str">
        <x:f>IF(ISBLANK('_SCHEDULE'!L535),"",'_SCHEDULE'!L535)</x:f>
      </x:c>
      <x:c r="M567" s="530" t="str">
        <x:f>IF(ISBLANK('_SCHEDULE'!M535),"",'_SCHEDULE'!M535)</x:f>
      </x:c>
      <x:c r="N567" s="530" t="str">
        <x:f>IF(ISBLANK('_SCHEDULE'!N535),"",'_SCHEDULE'!N535)</x:f>
      </x:c>
      <x:c r="O567" s="530" t="str">
        <x:f>IF(ISBLANK('_SCHEDULE'!O535),"",'_SCHEDULE'!O535)</x:f>
      </x:c>
      <x:c r="P567" s="530" t="str">
        <x:f>IF(ISBLANK('_SCHEDULE'!P535),"",'_SCHEDULE'!P535)</x:f>
      </x:c>
      <x:c r="Q567" s="530" t="str">
        <x:f>IF(ISBLANK('_SCHEDULE'!Q535),"",'_SCHEDULE'!Q535)</x:f>
      </x:c>
      <x:c r="R567" s="530" t="str">
        <x:f>IF(ISBLANK('_SCHEDULE'!R535),"",'_SCHEDULE'!R535)</x:f>
      </x:c>
      <x:c r="S567" s="523" t="str">
        <x:f>IF(ISBLANK('_SCHEDULE'!S535),"",'_SCHEDULE'!S535)</x:f>
      </x:c>
      <x:c r="T567" s="38"/>
      <x:c r="U567" s="38"/>
      <x:c r="V567" s="38"/>
      <x:c r="W567" s="38"/>
      <x:c r="X567" s="38"/>
      <x:c r="Y567" s="38"/>
      <x:c r="Z567" s="38"/>
      <x:c r="AA567" s="38"/>
      <x:c r="AB567" s="38"/>
      <x:c r="AC567" s="38"/>
      <x:c r="AD567" s="38"/>
      <x:c r="AE567" s="38"/>
      <x:c r="AF567" s="38"/>
      <x:c r="AG567" s="38"/>
      <x:c r="AH567" s="38"/>
      <x:c r="AI567" s="38"/>
      <x:c r="AJ567" s="38"/>
      <x:c r="AK567" s="38"/>
      <x:c r="AL567" s="38"/>
      <x:c r="AM567" s="38"/>
    </x:row>
    <x:row r="568">
      <x:c r="A568" s="523" t="str">
        <x:f>IF(ISBLANK('_SCHEDULE'!A536),"",'_SCHEDULE'!A536)</x:f>
      </x:c>
      <x:c r="B568" s="523" t="str">
        <x:f>IF(ISBLANK('_SCHEDULE'!B536),"",IF('_CONFIG'!$B$2="pt-BR",IF('_SCHEDULE'!B536="scheduled","programado",IF('_SCHEDULE'!B536="rejected","rejeitado",'_SCHEDULE'!B536)),'_SCHEDULE'!B536))</x:f>
      </x:c>
      <x:c r="C568" s="523" t="str">
        <x:f>IF(ISBLANK('_SCHEDULE'!C536),"",'_SCHEDULE'!C536)</x:f>
      </x:c>
      <x:c r="D568" s="523" t="str">
        <x:f>IF(ISBLANK('_SCHEDULE'!D536),"",'_SCHEDULE'!D536)</x:f>
      </x:c>
      <x:c r="E568" s="530" t="str">
        <x:f>IF(ISBLANK('_SCHEDULE'!E536),"",'_SCHEDULE'!E536)</x:f>
      </x:c>
      <x:c r="F568" s="530" t="str">
        <x:f>IF(ISBLANK('_SCHEDULE'!F536),"",'_SCHEDULE'!F536)</x:f>
      </x:c>
      <x:c r="G568" s="530" t="str">
        <x:f>IF(ISBLANK('_SCHEDULE'!G536),"",'_SCHEDULE'!G536)</x:f>
      </x:c>
      <x:c r="H568" s="530" t="str">
        <x:f>IF(ISBLANK('_SCHEDULE'!H536),"",'_SCHEDULE'!H536)</x:f>
      </x:c>
      <x:c r="I568" s="530" t="str">
        <x:f>IF(ISBLANK('_SCHEDULE'!I536),"",'_SCHEDULE'!I536)</x:f>
      </x:c>
      <x:c r="J568" s="530" t="str">
        <x:f>IF(ISBLANK('_SCHEDULE'!J536),"",'_SCHEDULE'!J536)</x:f>
      </x:c>
      <x:c r="K568" s="530" t="str">
        <x:f>IF(ISBLANK('_SCHEDULE'!K536),"",'_SCHEDULE'!K536)</x:f>
      </x:c>
      <x:c r="L568" s="530" t="str">
        <x:f>IF(ISBLANK('_SCHEDULE'!L536),"",'_SCHEDULE'!L536)</x:f>
      </x:c>
      <x:c r="M568" s="530" t="str">
        <x:f>IF(ISBLANK('_SCHEDULE'!M536),"",'_SCHEDULE'!M536)</x:f>
      </x:c>
      <x:c r="N568" s="530" t="str">
        <x:f>IF(ISBLANK('_SCHEDULE'!N536),"",'_SCHEDULE'!N536)</x:f>
      </x:c>
      <x:c r="O568" s="530" t="str">
        <x:f>IF(ISBLANK('_SCHEDULE'!O536),"",'_SCHEDULE'!O536)</x:f>
      </x:c>
      <x:c r="P568" s="530" t="str">
        <x:f>IF(ISBLANK('_SCHEDULE'!P536),"",'_SCHEDULE'!P536)</x:f>
      </x:c>
      <x:c r="Q568" s="530" t="str">
        <x:f>IF(ISBLANK('_SCHEDULE'!Q536),"",'_SCHEDULE'!Q536)</x:f>
      </x:c>
      <x:c r="R568" s="530" t="str">
        <x:f>IF(ISBLANK('_SCHEDULE'!R536),"",'_SCHEDULE'!R536)</x:f>
      </x:c>
      <x:c r="S568" s="523" t="str">
        <x:f>IF(ISBLANK('_SCHEDULE'!S536),"",'_SCHEDULE'!S536)</x:f>
      </x:c>
      <x:c r="T568" s="38"/>
      <x:c r="U568" s="38"/>
      <x:c r="V568" s="38"/>
      <x:c r="W568" s="38"/>
      <x:c r="X568" s="38"/>
      <x:c r="Y568" s="38"/>
      <x:c r="Z568" s="38"/>
      <x:c r="AA568" s="38"/>
      <x:c r="AB568" s="38"/>
      <x:c r="AC568" s="38"/>
      <x:c r="AD568" s="38"/>
      <x:c r="AE568" s="38"/>
      <x:c r="AF568" s="38"/>
      <x:c r="AG568" s="38"/>
      <x:c r="AH568" s="38"/>
      <x:c r="AI568" s="38"/>
      <x:c r="AJ568" s="38"/>
      <x:c r="AK568" s="38"/>
      <x:c r="AL568" s="38"/>
      <x:c r="AM568" s="38"/>
    </x:row>
    <x:row r="569">
      <x:c r="A569" s="523" t="str">
        <x:f>IF(ISBLANK('_SCHEDULE'!A537),"",'_SCHEDULE'!A537)</x:f>
      </x:c>
      <x:c r="B569" s="523" t="str">
        <x:f>IF(ISBLANK('_SCHEDULE'!B537),"",IF('_CONFIG'!$B$2="pt-BR",IF('_SCHEDULE'!B537="scheduled","programado",IF('_SCHEDULE'!B537="rejected","rejeitado",'_SCHEDULE'!B537)),'_SCHEDULE'!B537))</x:f>
      </x:c>
      <x:c r="C569" s="523" t="str">
        <x:f>IF(ISBLANK('_SCHEDULE'!C537),"",'_SCHEDULE'!C537)</x:f>
      </x:c>
      <x:c r="D569" s="523" t="str">
        <x:f>IF(ISBLANK('_SCHEDULE'!D537),"",'_SCHEDULE'!D537)</x:f>
      </x:c>
      <x:c r="E569" s="530" t="str">
        <x:f>IF(ISBLANK('_SCHEDULE'!E537),"",'_SCHEDULE'!E537)</x:f>
      </x:c>
      <x:c r="F569" s="530" t="str">
        <x:f>IF(ISBLANK('_SCHEDULE'!F537),"",'_SCHEDULE'!F537)</x:f>
      </x:c>
      <x:c r="G569" s="530" t="str">
        <x:f>IF(ISBLANK('_SCHEDULE'!G537),"",'_SCHEDULE'!G537)</x:f>
      </x:c>
      <x:c r="H569" s="530" t="str">
        <x:f>IF(ISBLANK('_SCHEDULE'!H537),"",'_SCHEDULE'!H537)</x:f>
      </x:c>
      <x:c r="I569" s="530" t="str">
        <x:f>IF(ISBLANK('_SCHEDULE'!I537),"",'_SCHEDULE'!I537)</x:f>
      </x:c>
      <x:c r="J569" s="530" t="str">
        <x:f>IF(ISBLANK('_SCHEDULE'!J537),"",'_SCHEDULE'!J537)</x:f>
      </x:c>
      <x:c r="K569" s="530" t="str">
        <x:f>IF(ISBLANK('_SCHEDULE'!K537),"",'_SCHEDULE'!K537)</x:f>
      </x:c>
      <x:c r="L569" s="530" t="str">
        <x:f>IF(ISBLANK('_SCHEDULE'!L537),"",'_SCHEDULE'!L537)</x:f>
      </x:c>
      <x:c r="M569" s="530" t="str">
        <x:f>IF(ISBLANK('_SCHEDULE'!M537),"",'_SCHEDULE'!M537)</x:f>
      </x:c>
      <x:c r="N569" s="530" t="str">
        <x:f>IF(ISBLANK('_SCHEDULE'!N537),"",'_SCHEDULE'!N537)</x:f>
      </x:c>
      <x:c r="O569" s="530" t="str">
        <x:f>IF(ISBLANK('_SCHEDULE'!O537),"",'_SCHEDULE'!O537)</x:f>
      </x:c>
      <x:c r="P569" s="530" t="str">
        <x:f>IF(ISBLANK('_SCHEDULE'!P537),"",'_SCHEDULE'!P537)</x:f>
      </x:c>
      <x:c r="Q569" s="530" t="str">
        <x:f>IF(ISBLANK('_SCHEDULE'!Q537),"",'_SCHEDULE'!Q537)</x:f>
      </x:c>
      <x:c r="R569" s="530" t="str">
        <x:f>IF(ISBLANK('_SCHEDULE'!R537),"",'_SCHEDULE'!R537)</x:f>
      </x:c>
      <x:c r="S569" s="523" t="str">
        <x:f>IF(ISBLANK('_SCHEDULE'!S537),"",'_SCHEDULE'!S537)</x:f>
      </x:c>
      <x:c r="T569" s="38"/>
      <x:c r="U569" s="38"/>
      <x:c r="V569" s="38"/>
      <x:c r="W569" s="38"/>
      <x:c r="X569" s="38"/>
      <x:c r="Y569" s="38"/>
      <x:c r="Z569" s="38"/>
      <x:c r="AA569" s="38"/>
      <x:c r="AB569" s="38"/>
      <x:c r="AC569" s="38"/>
      <x:c r="AD569" s="38"/>
      <x:c r="AE569" s="38"/>
      <x:c r="AF569" s="38"/>
      <x:c r="AG569" s="38"/>
      <x:c r="AH569" s="38"/>
      <x:c r="AI569" s="38"/>
      <x:c r="AJ569" s="38"/>
      <x:c r="AK569" s="38"/>
      <x:c r="AL569" s="38"/>
      <x:c r="AM569" s="38"/>
    </x:row>
    <x:row r="570">
      <x:c r="A570" s="523" t="str">
        <x:f>IF(ISBLANK('_SCHEDULE'!A538),"",'_SCHEDULE'!A538)</x:f>
      </x:c>
      <x:c r="B570" s="523" t="str">
        <x:f>IF(ISBLANK('_SCHEDULE'!B538),"",IF('_CONFIG'!$B$2="pt-BR",IF('_SCHEDULE'!B538="scheduled","programado",IF('_SCHEDULE'!B538="rejected","rejeitado",'_SCHEDULE'!B538)),'_SCHEDULE'!B538))</x:f>
      </x:c>
      <x:c r="C570" s="523" t="str">
        <x:f>IF(ISBLANK('_SCHEDULE'!C538),"",'_SCHEDULE'!C538)</x:f>
      </x:c>
      <x:c r="D570" s="523" t="str">
        <x:f>IF(ISBLANK('_SCHEDULE'!D538),"",'_SCHEDULE'!D538)</x:f>
      </x:c>
      <x:c r="E570" s="530" t="str">
        <x:f>IF(ISBLANK('_SCHEDULE'!E538),"",'_SCHEDULE'!E538)</x:f>
      </x:c>
      <x:c r="F570" s="530" t="str">
        <x:f>IF(ISBLANK('_SCHEDULE'!F538),"",'_SCHEDULE'!F538)</x:f>
      </x:c>
      <x:c r="G570" s="530" t="str">
        <x:f>IF(ISBLANK('_SCHEDULE'!G538),"",'_SCHEDULE'!G538)</x:f>
      </x:c>
      <x:c r="H570" s="530" t="str">
        <x:f>IF(ISBLANK('_SCHEDULE'!H538),"",'_SCHEDULE'!H538)</x:f>
      </x:c>
      <x:c r="I570" s="530" t="str">
        <x:f>IF(ISBLANK('_SCHEDULE'!I538),"",'_SCHEDULE'!I538)</x:f>
      </x:c>
      <x:c r="J570" s="530" t="str">
        <x:f>IF(ISBLANK('_SCHEDULE'!J538),"",'_SCHEDULE'!J538)</x:f>
      </x:c>
      <x:c r="K570" s="530" t="str">
        <x:f>IF(ISBLANK('_SCHEDULE'!K538),"",'_SCHEDULE'!K538)</x:f>
      </x:c>
      <x:c r="L570" s="530" t="str">
        <x:f>IF(ISBLANK('_SCHEDULE'!L538),"",'_SCHEDULE'!L538)</x:f>
      </x:c>
      <x:c r="M570" s="530" t="str">
        <x:f>IF(ISBLANK('_SCHEDULE'!M538),"",'_SCHEDULE'!M538)</x:f>
      </x:c>
      <x:c r="N570" s="530" t="str">
        <x:f>IF(ISBLANK('_SCHEDULE'!N538),"",'_SCHEDULE'!N538)</x:f>
      </x:c>
      <x:c r="O570" s="530" t="str">
        <x:f>IF(ISBLANK('_SCHEDULE'!O538),"",'_SCHEDULE'!O538)</x:f>
      </x:c>
      <x:c r="P570" s="530" t="str">
        <x:f>IF(ISBLANK('_SCHEDULE'!P538),"",'_SCHEDULE'!P538)</x:f>
      </x:c>
      <x:c r="Q570" s="530" t="str">
        <x:f>IF(ISBLANK('_SCHEDULE'!Q538),"",'_SCHEDULE'!Q538)</x:f>
      </x:c>
      <x:c r="R570" s="530" t="str">
        <x:f>IF(ISBLANK('_SCHEDULE'!R538),"",'_SCHEDULE'!R538)</x:f>
      </x:c>
      <x:c r="S570" s="523" t="str">
        <x:f>IF(ISBLANK('_SCHEDULE'!S538),"",'_SCHEDULE'!S538)</x:f>
      </x:c>
      <x:c r="T570" s="38"/>
      <x:c r="U570" s="38"/>
      <x:c r="V570" s="38"/>
      <x:c r="W570" s="38"/>
      <x:c r="X570" s="38"/>
      <x:c r="Y570" s="38"/>
      <x:c r="Z570" s="38"/>
      <x:c r="AA570" s="38"/>
      <x:c r="AB570" s="38"/>
      <x:c r="AC570" s="38"/>
      <x:c r="AD570" s="38"/>
      <x:c r="AE570" s="38"/>
      <x:c r="AF570" s="38"/>
      <x:c r="AG570" s="38"/>
      <x:c r="AH570" s="38"/>
      <x:c r="AI570" s="38"/>
      <x:c r="AJ570" s="38"/>
      <x:c r="AK570" s="38"/>
      <x:c r="AL570" s="38"/>
      <x:c r="AM570" s="38"/>
    </x:row>
    <x:row r="571">
      <x:c r="A571" s="523" t="str">
        <x:f>IF(ISBLANK('_SCHEDULE'!A539),"",'_SCHEDULE'!A539)</x:f>
      </x:c>
      <x:c r="B571" s="523" t="str">
        <x:f>IF(ISBLANK('_SCHEDULE'!B539),"",IF('_CONFIG'!$B$2="pt-BR",IF('_SCHEDULE'!B539="scheduled","programado",IF('_SCHEDULE'!B539="rejected","rejeitado",'_SCHEDULE'!B539)),'_SCHEDULE'!B539))</x:f>
      </x:c>
      <x:c r="C571" s="523" t="str">
        <x:f>IF(ISBLANK('_SCHEDULE'!C539),"",'_SCHEDULE'!C539)</x:f>
      </x:c>
      <x:c r="D571" s="523" t="str">
        <x:f>IF(ISBLANK('_SCHEDULE'!D539),"",'_SCHEDULE'!D539)</x:f>
      </x:c>
      <x:c r="E571" s="530" t="str">
        <x:f>IF(ISBLANK('_SCHEDULE'!E539),"",'_SCHEDULE'!E539)</x:f>
      </x:c>
      <x:c r="F571" s="530" t="str">
        <x:f>IF(ISBLANK('_SCHEDULE'!F539),"",'_SCHEDULE'!F539)</x:f>
      </x:c>
      <x:c r="G571" s="530" t="str">
        <x:f>IF(ISBLANK('_SCHEDULE'!G539),"",'_SCHEDULE'!G539)</x:f>
      </x:c>
      <x:c r="H571" s="530" t="str">
        <x:f>IF(ISBLANK('_SCHEDULE'!H539),"",'_SCHEDULE'!H539)</x:f>
      </x:c>
      <x:c r="I571" s="530" t="str">
        <x:f>IF(ISBLANK('_SCHEDULE'!I539),"",'_SCHEDULE'!I539)</x:f>
      </x:c>
      <x:c r="J571" s="530" t="str">
        <x:f>IF(ISBLANK('_SCHEDULE'!J539),"",'_SCHEDULE'!J539)</x:f>
      </x:c>
      <x:c r="K571" s="530" t="str">
        <x:f>IF(ISBLANK('_SCHEDULE'!K539),"",'_SCHEDULE'!K539)</x:f>
      </x:c>
      <x:c r="L571" s="530" t="str">
        <x:f>IF(ISBLANK('_SCHEDULE'!L539),"",'_SCHEDULE'!L539)</x:f>
      </x:c>
      <x:c r="M571" s="530" t="str">
        <x:f>IF(ISBLANK('_SCHEDULE'!M539),"",'_SCHEDULE'!M539)</x:f>
      </x:c>
      <x:c r="N571" s="530" t="str">
        <x:f>IF(ISBLANK('_SCHEDULE'!N539),"",'_SCHEDULE'!N539)</x:f>
      </x:c>
      <x:c r="O571" s="530" t="str">
        <x:f>IF(ISBLANK('_SCHEDULE'!O539),"",'_SCHEDULE'!O539)</x:f>
      </x:c>
      <x:c r="P571" s="530" t="str">
        <x:f>IF(ISBLANK('_SCHEDULE'!P539),"",'_SCHEDULE'!P539)</x:f>
      </x:c>
      <x:c r="Q571" s="530" t="str">
        <x:f>IF(ISBLANK('_SCHEDULE'!Q539),"",'_SCHEDULE'!Q539)</x:f>
      </x:c>
      <x:c r="R571" s="530" t="str">
        <x:f>IF(ISBLANK('_SCHEDULE'!R539),"",'_SCHEDULE'!R539)</x:f>
      </x:c>
      <x:c r="S571" s="523" t="str">
        <x:f>IF(ISBLANK('_SCHEDULE'!S539),"",'_SCHEDULE'!S539)</x:f>
      </x:c>
      <x:c r="T571" s="38"/>
      <x:c r="U571" s="38"/>
      <x:c r="V571" s="38"/>
      <x:c r="W571" s="38"/>
      <x:c r="X571" s="38"/>
      <x:c r="Y571" s="38"/>
      <x:c r="Z571" s="38"/>
      <x:c r="AA571" s="38"/>
      <x:c r="AB571" s="38"/>
      <x:c r="AC571" s="38"/>
      <x:c r="AD571" s="38"/>
      <x:c r="AE571" s="38"/>
      <x:c r="AF571" s="38"/>
      <x:c r="AG571" s="38"/>
      <x:c r="AH571" s="38"/>
      <x:c r="AI571" s="38"/>
      <x:c r="AJ571" s="38"/>
      <x:c r="AK571" s="38"/>
      <x:c r="AL571" s="38"/>
      <x:c r="AM571" s="38"/>
    </x:row>
    <x:row r="572">
      <x:c r="A572" s="523" t="str">
        <x:f>IF(ISBLANK('_SCHEDULE'!A540),"",'_SCHEDULE'!A540)</x:f>
      </x:c>
      <x:c r="B572" s="523" t="str">
        <x:f>IF(ISBLANK('_SCHEDULE'!B540),"",IF('_CONFIG'!$B$2="pt-BR",IF('_SCHEDULE'!B540="scheduled","programado",IF('_SCHEDULE'!B540="rejected","rejeitado",'_SCHEDULE'!B540)),'_SCHEDULE'!B540))</x:f>
      </x:c>
      <x:c r="C572" s="523" t="str">
        <x:f>IF(ISBLANK('_SCHEDULE'!C540),"",'_SCHEDULE'!C540)</x:f>
      </x:c>
      <x:c r="D572" s="523" t="str">
        <x:f>IF(ISBLANK('_SCHEDULE'!D540),"",'_SCHEDULE'!D540)</x:f>
      </x:c>
      <x:c r="E572" s="530" t="str">
        <x:f>IF(ISBLANK('_SCHEDULE'!E540),"",'_SCHEDULE'!E540)</x:f>
      </x:c>
      <x:c r="F572" s="530" t="str">
        <x:f>IF(ISBLANK('_SCHEDULE'!F540),"",'_SCHEDULE'!F540)</x:f>
      </x:c>
      <x:c r="G572" s="530" t="str">
        <x:f>IF(ISBLANK('_SCHEDULE'!G540),"",'_SCHEDULE'!G540)</x:f>
      </x:c>
      <x:c r="H572" s="530" t="str">
        <x:f>IF(ISBLANK('_SCHEDULE'!H540),"",'_SCHEDULE'!H540)</x:f>
      </x:c>
      <x:c r="I572" s="530" t="str">
        <x:f>IF(ISBLANK('_SCHEDULE'!I540),"",'_SCHEDULE'!I540)</x:f>
      </x:c>
      <x:c r="J572" s="530" t="str">
        <x:f>IF(ISBLANK('_SCHEDULE'!J540),"",'_SCHEDULE'!J540)</x:f>
      </x:c>
      <x:c r="K572" s="530" t="str">
        <x:f>IF(ISBLANK('_SCHEDULE'!K540),"",'_SCHEDULE'!K540)</x:f>
      </x:c>
      <x:c r="L572" s="530" t="str">
        <x:f>IF(ISBLANK('_SCHEDULE'!L540),"",'_SCHEDULE'!L540)</x:f>
      </x:c>
      <x:c r="M572" s="530" t="str">
        <x:f>IF(ISBLANK('_SCHEDULE'!M540),"",'_SCHEDULE'!M540)</x:f>
      </x:c>
      <x:c r="N572" s="530" t="str">
        <x:f>IF(ISBLANK('_SCHEDULE'!N540),"",'_SCHEDULE'!N540)</x:f>
      </x:c>
      <x:c r="O572" s="530" t="str">
        <x:f>IF(ISBLANK('_SCHEDULE'!O540),"",'_SCHEDULE'!O540)</x:f>
      </x:c>
      <x:c r="P572" s="530" t="str">
        <x:f>IF(ISBLANK('_SCHEDULE'!P540),"",'_SCHEDULE'!P540)</x:f>
      </x:c>
      <x:c r="Q572" s="530" t="str">
        <x:f>IF(ISBLANK('_SCHEDULE'!Q540),"",'_SCHEDULE'!Q540)</x:f>
      </x:c>
      <x:c r="R572" s="530" t="str">
        <x:f>IF(ISBLANK('_SCHEDULE'!R540),"",'_SCHEDULE'!R540)</x:f>
      </x:c>
      <x:c r="S572" s="523" t="str">
        <x:f>IF(ISBLANK('_SCHEDULE'!S540),"",'_SCHEDULE'!S540)</x:f>
      </x:c>
      <x:c r="T572" s="38"/>
      <x:c r="U572" s="38"/>
      <x:c r="V572" s="38"/>
      <x:c r="W572" s="38"/>
      <x:c r="X572" s="38"/>
      <x:c r="Y572" s="38"/>
      <x:c r="Z572" s="38"/>
      <x:c r="AA572" s="38"/>
      <x:c r="AB572" s="38"/>
      <x:c r="AC572" s="38"/>
      <x:c r="AD572" s="38"/>
      <x:c r="AE572" s="38"/>
      <x:c r="AF572" s="38"/>
      <x:c r="AG572" s="38"/>
      <x:c r="AH572" s="38"/>
      <x:c r="AI572" s="38"/>
      <x:c r="AJ572" s="38"/>
      <x:c r="AK572" s="38"/>
      <x:c r="AL572" s="38"/>
      <x:c r="AM572" s="38"/>
    </x:row>
    <x:row r="573">
      <x:c r="A573" s="523" t="str">
        <x:f>IF(ISBLANK('_SCHEDULE'!A541),"",'_SCHEDULE'!A541)</x:f>
      </x:c>
      <x:c r="B573" s="523" t="str">
        <x:f>IF(ISBLANK('_SCHEDULE'!B541),"",IF('_CONFIG'!$B$2="pt-BR",IF('_SCHEDULE'!B541="scheduled","programado",IF('_SCHEDULE'!B541="rejected","rejeitado",'_SCHEDULE'!B541)),'_SCHEDULE'!B541))</x:f>
      </x:c>
      <x:c r="C573" s="523" t="str">
        <x:f>IF(ISBLANK('_SCHEDULE'!C541),"",'_SCHEDULE'!C541)</x:f>
      </x:c>
      <x:c r="D573" s="523" t="str">
        <x:f>IF(ISBLANK('_SCHEDULE'!D541),"",'_SCHEDULE'!D541)</x:f>
      </x:c>
      <x:c r="E573" s="530" t="str">
        <x:f>IF(ISBLANK('_SCHEDULE'!E541),"",'_SCHEDULE'!E541)</x:f>
      </x:c>
      <x:c r="F573" s="530" t="str">
        <x:f>IF(ISBLANK('_SCHEDULE'!F541),"",'_SCHEDULE'!F541)</x:f>
      </x:c>
      <x:c r="G573" s="530" t="str">
        <x:f>IF(ISBLANK('_SCHEDULE'!G541),"",'_SCHEDULE'!G541)</x:f>
      </x:c>
      <x:c r="H573" s="530" t="str">
        <x:f>IF(ISBLANK('_SCHEDULE'!H541),"",'_SCHEDULE'!H541)</x:f>
      </x:c>
      <x:c r="I573" s="530" t="str">
        <x:f>IF(ISBLANK('_SCHEDULE'!I541),"",'_SCHEDULE'!I541)</x:f>
      </x:c>
      <x:c r="J573" s="530" t="str">
        <x:f>IF(ISBLANK('_SCHEDULE'!J541),"",'_SCHEDULE'!J541)</x:f>
      </x:c>
      <x:c r="K573" s="530" t="str">
        <x:f>IF(ISBLANK('_SCHEDULE'!K541),"",'_SCHEDULE'!K541)</x:f>
      </x:c>
      <x:c r="L573" s="530" t="str">
        <x:f>IF(ISBLANK('_SCHEDULE'!L541),"",'_SCHEDULE'!L541)</x:f>
      </x:c>
      <x:c r="M573" s="530" t="str">
        <x:f>IF(ISBLANK('_SCHEDULE'!M541),"",'_SCHEDULE'!M541)</x:f>
      </x:c>
      <x:c r="N573" s="530" t="str">
        <x:f>IF(ISBLANK('_SCHEDULE'!N541),"",'_SCHEDULE'!N541)</x:f>
      </x:c>
      <x:c r="O573" s="530" t="str">
        <x:f>IF(ISBLANK('_SCHEDULE'!O541),"",'_SCHEDULE'!O541)</x:f>
      </x:c>
      <x:c r="P573" s="530" t="str">
        <x:f>IF(ISBLANK('_SCHEDULE'!P541),"",'_SCHEDULE'!P541)</x:f>
      </x:c>
      <x:c r="Q573" s="530" t="str">
        <x:f>IF(ISBLANK('_SCHEDULE'!Q541),"",'_SCHEDULE'!Q541)</x:f>
      </x:c>
      <x:c r="R573" s="530" t="str">
        <x:f>IF(ISBLANK('_SCHEDULE'!R541),"",'_SCHEDULE'!R541)</x:f>
      </x:c>
      <x:c r="S573" s="523" t="str">
        <x:f>IF(ISBLANK('_SCHEDULE'!S541),"",'_SCHEDULE'!S541)</x:f>
      </x:c>
      <x:c r="T573" s="38"/>
      <x:c r="U573" s="38"/>
      <x:c r="V573" s="38"/>
      <x:c r="W573" s="38"/>
      <x:c r="X573" s="38"/>
      <x:c r="Y573" s="38"/>
      <x:c r="Z573" s="38"/>
      <x:c r="AA573" s="38"/>
      <x:c r="AB573" s="38"/>
      <x:c r="AC573" s="38"/>
      <x:c r="AD573" s="38"/>
      <x:c r="AE573" s="38"/>
      <x:c r="AF573" s="38"/>
      <x:c r="AG573" s="38"/>
      <x:c r="AH573" s="38"/>
      <x:c r="AI573" s="38"/>
      <x:c r="AJ573" s="38"/>
      <x:c r="AK573" s="38"/>
      <x:c r="AL573" s="38"/>
      <x:c r="AM573" s="38"/>
    </x:row>
    <x:row r="574">
      <x:c r="A574" s="523" t="str">
        <x:f>IF(ISBLANK('_SCHEDULE'!A542),"",'_SCHEDULE'!A542)</x:f>
      </x:c>
      <x:c r="B574" s="523" t="str">
        <x:f>IF(ISBLANK('_SCHEDULE'!B542),"",IF('_CONFIG'!$B$2="pt-BR",IF('_SCHEDULE'!B542="scheduled","programado",IF('_SCHEDULE'!B542="rejected","rejeitado",'_SCHEDULE'!B542)),'_SCHEDULE'!B542))</x:f>
      </x:c>
      <x:c r="C574" s="523" t="str">
        <x:f>IF(ISBLANK('_SCHEDULE'!C542),"",'_SCHEDULE'!C542)</x:f>
      </x:c>
      <x:c r="D574" s="523" t="str">
        <x:f>IF(ISBLANK('_SCHEDULE'!D542),"",'_SCHEDULE'!D542)</x:f>
      </x:c>
      <x:c r="E574" s="530" t="str">
        <x:f>IF(ISBLANK('_SCHEDULE'!E542),"",'_SCHEDULE'!E542)</x:f>
      </x:c>
      <x:c r="F574" s="530" t="str">
        <x:f>IF(ISBLANK('_SCHEDULE'!F542),"",'_SCHEDULE'!F542)</x:f>
      </x:c>
      <x:c r="G574" s="530" t="str">
        <x:f>IF(ISBLANK('_SCHEDULE'!G542),"",'_SCHEDULE'!G542)</x:f>
      </x:c>
      <x:c r="H574" s="530" t="str">
        <x:f>IF(ISBLANK('_SCHEDULE'!H542),"",'_SCHEDULE'!H542)</x:f>
      </x:c>
      <x:c r="I574" s="530" t="str">
        <x:f>IF(ISBLANK('_SCHEDULE'!I542),"",'_SCHEDULE'!I542)</x:f>
      </x:c>
      <x:c r="J574" s="530" t="str">
        <x:f>IF(ISBLANK('_SCHEDULE'!J542),"",'_SCHEDULE'!J542)</x:f>
      </x:c>
      <x:c r="K574" s="530" t="str">
        <x:f>IF(ISBLANK('_SCHEDULE'!K542),"",'_SCHEDULE'!K542)</x:f>
      </x:c>
      <x:c r="L574" s="530" t="str">
        <x:f>IF(ISBLANK('_SCHEDULE'!L542),"",'_SCHEDULE'!L542)</x:f>
      </x:c>
      <x:c r="M574" s="530" t="str">
        <x:f>IF(ISBLANK('_SCHEDULE'!M542),"",'_SCHEDULE'!M542)</x:f>
      </x:c>
      <x:c r="N574" s="530" t="str">
        <x:f>IF(ISBLANK('_SCHEDULE'!N542),"",'_SCHEDULE'!N542)</x:f>
      </x:c>
      <x:c r="O574" s="530" t="str">
        <x:f>IF(ISBLANK('_SCHEDULE'!O542),"",'_SCHEDULE'!O542)</x:f>
      </x:c>
      <x:c r="P574" s="530" t="str">
        <x:f>IF(ISBLANK('_SCHEDULE'!P542),"",'_SCHEDULE'!P542)</x:f>
      </x:c>
      <x:c r="Q574" s="530" t="str">
        <x:f>IF(ISBLANK('_SCHEDULE'!Q542),"",'_SCHEDULE'!Q542)</x:f>
      </x:c>
      <x:c r="R574" s="530" t="str">
        <x:f>IF(ISBLANK('_SCHEDULE'!R542),"",'_SCHEDULE'!R542)</x:f>
      </x:c>
      <x:c r="S574" s="523" t="str">
        <x:f>IF(ISBLANK('_SCHEDULE'!S542),"",'_SCHEDULE'!S542)</x:f>
      </x:c>
      <x:c r="T574" s="38"/>
      <x:c r="U574" s="38"/>
      <x:c r="V574" s="38"/>
      <x:c r="W574" s="38"/>
      <x:c r="X574" s="38"/>
      <x:c r="Y574" s="38"/>
      <x:c r="Z574" s="38"/>
      <x:c r="AA574" s="38"/>
      <x:c r="AB574" s="38"/>
      <x:c r="AC574" s="38"/>
      <x:c r="AD574" s="38"/>
      <x:c r="AE574" s="38"/>
      <x:c r="AF574" s="38"/>
      <x:c r="AG574" s="38"/>
      <x:c r="AH574" s="38"/>
      <x:c r="AI574" s="38"/>
      <x:c r="AJ574" s="38"/>
      <x:c r="AK574" s="38"/>
      <x:c r="AL574" s="38"/>
      <x:c r="AM574" s="38"/>
    </x:row>
    <x:row r="575">
      <x:c r="A575" s="523" t="str">
        <x:f>IF(ISBLANK('_SCHEDULE'!A543),"",'_SCHEDULE'!A543)</x:f>
      </x:c>
      <x:c r="B575" s="523" t="str">
        <x:f>IF(ISBLANK('_SCHEDULE'!B543),"",IF('_CONFIG'!$B$2="pt-BR",IF('_SCHEDULE'!B543="scheduled","programado",IF('_SCHEDULE'!B543="rejected","rejeitado",'_SCHEDULE'!B543)),'_SCHEDULE'!B543))</x:f>
      </x:c>
      <x:c r="C575" s="523" t="str">
        <x:f>IF(ISBLANK('_SCHEDULE'!C543),"",'_SCHEDULE'!C543)</x:f>
      </x:c>
      <x:c r="D575" s="523" t="str">
        <x:f>IF(ISBLANK('_SCHEDULE'!D543),"",'_SCHEDULE'!D543)</x:f>
      </x:c>
      <x:c r="E575" s="530" t="str">
        <x:f>IF(ISBLANK('_SCHEDULE'!E543),"",'_SCHEDULE'!E543)</x:f>
      </x:c>
      <x:c r="F575" s="530" t="str">
        <x:f>IF(ISBLANK('_SCHEDULE'!F543),"",'_SCHEDULE'!F543)</x:f>
      </x:c>
      <x:c r="G575" s="530" t="str">
        <x:f>IF(ISBLANK('_SCHEDULE'!G543),"",'_SCHEDULE'!G543)</x:f>
      </x:c>
      <x:c r="H575" s="530" t="str">
        <x:f>IF(ISBLANK('_SCHEDULE'!H543),"",'_SCHEDULE'!H543)</x:f>
      </x:c>
      <x:c r="I575" s="530" t="str">
        <x:f>IF(ISBLANK('_SCHEDULE'!I543),"",'_SCHEDULE'!I543)</x:f>
      </x:c>
      <x:c r="J575" s="530" t="str">
        <x:f>IF(ISBLANK('_SCHEDULE'!J543),"",'_SCHEDULE'!J543)</x:f>
      </x:c>
      <x:c r="K575" s="530" t="str">
        <x:f>IF(ISBLANK('_SCHEDULE'!K543),"",'_SCHEDULE'!K543)</x:f>
      </x:c>
      <x:c r="L575" s="530" t="str">
        <x:f>IF(ISBLANK('_SCHEDULE'!L543),"",'_SCHEDULE'!L543)</x:f>
      </x:c>
      <x:c r="M575" s="530" t="str">
        <x:f>IF(ISBLANK('_SCHEDULE'!M543),"",'_SCHEDULE'!M543)</x:f>
      </x:c>
      <x:c r="N575" s="530" t="str">
        <x:f>IF(ISBLANK('_SCHEDULE'!N543),"",'_SCHEDULE'!N543)</x:f>
      </x:c>
      <x:c r="O575" s="530" t="str">
        <x:f>IF(ISBLANK('_SCHEDULE'!O543),"",'_SCHEDULE'!O543)</x:f>
      </x:c>
      <x:c r="P575" s="530" t="str">
        <x:f>IF(ISBLANK('_SCHEDULE'!P543),"",'_SCHEDULE'!P543)</x:f>
      </x:c>
      <x:c r="Q575" s="530" t="str">
        <x:f>IF(ISBLANK('_SCHEDULE'!Q543),"",'_SCHEDULE'!Q543)</x:f>
      </x:c>
      <x:c r="R575" s="530" t="str">
        <x:f>IF(ISBLANK('_SCHEDULE'!R543),"",'_SCHEDULE'!R543)</x:f>
      </x:c>
      <x:c r="S575" s="523" t="str">
        <x:f>IF(ISBLANK('_SCHEDULE'!S543),"",'_SCHEDULE'!S543)</x:f>
      </x:c>
      <x:c r="T575" s="38"/>
      <x:c r="U575" s="38"/>
      <x:c r="V575" s="38"/>
      <x:c r="W575" s="38"/>
      <x:c r="X575" s="38"/>
      <x:c r="Y575" s="38"/>
      <x:c r="Z575" s="38"/>
      <x:c r="AA575" s="38"/>
      <x:c r="AB575" s="38"/>
      <x:c r="AC575" s="38"/>
      <x:c r="AD575" s="38"/>
      <x:c r="AE575" s="38"/>
      <x:c r="AF575" s="38"/>
      <x:c r="AG575" s="38"/>
      <x:c r="AH575" s="38"/>
      <x:c r="AI575" s="38"/>
      <x:c r="AJ575" s="38"/>
      <x:c r="AK575" s="38"/>
      <x:c r="AL575" s="38"/>
      <x:c r="AM575" s="38"/>
    </x:row>
    <x:row r="576">
      <x:c r="A576" s="523" t="str">
        <x:f>IF(ISBLANK('_SCHEDULE'!A544),"",'_SCHEDULE'!A544)</x:f>
      </x:c>
      <x:c r="B576" s="523" t="str">
        <x:f>IF(ISBLANK('_SCHEDULE'!B544),"",IF('_CONFIG'!$B$2="pt-BR",IF('_SCHEDULE'!B544="scheduled","programado",IF('_SCHEDULE'!B544="rejected","rejeitado",'_SCHEDULE'!B544)),'_SCHEDULE'!B544))</x:f>
      </x:c>
      <x:c r="C576" s="523" t="str">
        <x:f>IF(ISBLANK('_SCHEDULE'!C544),"",'_SCHEDULE'!C544)</x:f>
      </x:c>
      <x:c r="D576" s="523" t="str">
        <x:f>IF(ISBLANK('_SCHEDULE'!D544),"",'_SCHEDULE'!D544)</x:f>
      </x:c>
      <x:c r="E576" s="530" t="str">
        <x:f>IF(ISBLANK('_SCHEDULE'!E544),"",'_SCHEDULE'!E544)</x:f>
      </x:c>
      <x:c r="F576" s="530" t="str">
        <x:f>IF(ISBLANK('_SCHEDULE'!F544),"",'_SCHEDULE'!F544)</x:f>
      </x:c>
      <x:c r="G576" s="530" t="str">
        <x:f>IF(ISBLANK('_SCHEDULE'!G544),"",'_SCHEDULE'!G544)</x:f>
      </x:c>
      <x:c r="H576" s="530" t="str">
        <x:f>IF(ISBLANK('_SCHEDULE'!H544),"",'_SCHEDULE'!H544)</x:f>
      </x:c>
      <x:c r="I576" s="530" t="str">
        <x:f>IF(ISBLANK('_SCHEDULE'!I544),"",'_SCHEDULE'!I544)</x:f>
      </x:c>
      <x:c r="J576" s="530" t="str">
        <x:f>IF(ISBLANK('_SCHEDULE'!J544),"",'_SCHEDULE'!J544)</x:f>
      </x:c>
      <x:c r="K576" s="530" t="str">
        <x:f>IF(ISBLANK('_SCHEDULE'!K544),"",'_SCHEDULE'!K544)</x:f>
      </x:c>
      <x:c r="L576" s="530" t="str">
        <x:f>IF(ISBLANK('_SCHEDULE'!L544),"",'_SCHEDULE'!L544)</x:f>
      </x:c>
      <x:c r="M576" s="530" t="str">
        <x:f>IF(ISBLANK('_SCHEDULE'!M544),"",'_SCHEDULE'!M544)</x:f>
      </x:c>
      <x:c r="N576" s="530" t="str">
        <x:f>IF(ISBLANK('_SCHEDULE'!N544),"",'_SCHEDULE'!N544)</x:f>
      </x:c>
      <x:c r="O576" s="530" t="str">
        <x:f>IF(ISBLANK('_SCHEDULE'!O544),"",'_SCHEDULE'!O544)</x:f>
      </x:c>
      <x:c r="P576" s="530" t="str">
        <x:f>IF(ISBLANK('_SCHEDULE'!P544),"",'_SCHEDULE'!P544)</x:f>
      </x:c>
      <x:c r="Q576" s="530" t="str">
        <x:f>IF(ISBLANK('_SCHEDULE'!Q544),"",'_SCHEDULE'!Q544)</x:f>
      </x:c>
      <x:c r="R576" s="530" t="str">
        <x:f>IF(ISBLANK('_SCHEDULE'!R544),"",'_SCHEDULE'!R544)</x:f>
      </x:c>
      <x:c r="S576" s="523" t="str">
        <x:f>IF(ISBLANK('_SCHEDULE'!S544),"",'_SCHEDULE'!S544)</x:f>
      </x:c>
      <x:c r="T576" s="38"/>
      <x:c r="U576" s="38"/>
      <x:c r="V576" s="38"/>
      <x:c r="W576" s="38"/>
      <x:c r="X576" s="38"/>
      <x:c r="Y576" s="38"/>
      <x:c r="Z576" s="38"/>
      <x:c r="AA576" s="38"/>
      <x:c r="AB576" s="38"/>
      <x:c r="AC576" s="38"/>
      <x:c r="AD576" s="38"/>
      <x:c r="AE576" s="38"/>
      <x:c r="AF576" s="38"/>
      <x:c r="AG576" s="38"/>
      <x:c r="AH576" s="38"/>
      <x:c r="AI576" s="38"/>
      <x:c r="AJ576" s="38"/>
      <x:c r="AK576" s="38"/>
      <x:c r="AL576" s="38"/>
      <x:c r="AM576" s="38"/>
    </x:row>
    <x:row r="577">
      <x:c r="A577" s="523" t="str">
        <x:f>IF(ISBLANK('_SCHEDULE'!A545),"",'_SCHEDULE'!A545)</x:f>
      </x:c>
      <x:c r="B577" s="523" t="str">
        <x:f>IF(ISBLANK('_SCHEDULE'!B545),"",IF('_CONFIG'!$B$2="pt-BR",IF('_SCHEDULE'!B545="scheduled","programado",IF('_SCHEDULE'!B545="rejected","rejeitado",'_SCHEDULE'!B545)),'_SCHEDULE'!B545))</x:f>
      </x:c>
      <x:c r="C577" s="523" t="str">
        <x:f>IF(ISBLANK('_SCHEDULE'!C545),"",'_SCHEDULE'!C545)</x:f>
      </x:c>
      <x:c r="D577" s="523" t="str">
        <x:f>IF(ISBLANK('_SCHEDULE'!D545),"",'_SCHEDULE'!D545)</x:f>
      </x:c>
      <x:c r="E577" s="530" t="str">
        <x:f>IF(ISBLANK('_SCHEDULE'!E545),"",'_SCHEDULE'!E545)</x:f>
      </x:c>
      <x:c r="F577" s="530" t="str">
        <x:f>IF(ISBLANK('_SCHEDULE'!F545),"",'_SCHEDULE'!F545)</x:f>
      </x:c>
      <x:c r="G577" s="530" t="str">
        <x:f>IF(ISBLANK('_SCHEDULE'!G545),"",'_SCHEDULE'!G545)</x:f>
      </x:c>
      <x:c r="H577" s="530" t="str">
        <x:f>IF(ISBLANK('_SCHEDULE'!H545),"",'_SCHEDULE'!H545)</x:f>
      </x:c>
      <x:c r="I577" s="530" t="str">
        <x:f>IF(ISBLANK('_SCHEDULE'!I545),"",'_SCHEDULE'!I545)</x:f>
      </x:c>
      <x:c r="J577" s="530" t="str">
        <x:f>IF(ISBLANK('_SCHEDULE'!J545),"",'_SCHEDULE'!J545)</x:f>
      </x:c>
      <x:c r="K577" s="530" t="str">
        <x:f>IF(ISBLANK('_SCHEDULE'!K545),"",'_SCHEDULE'!K545)</x:f>
      </x:c>
      <x:c r="L577" s="530" t="str">
        <x:f>IF(ISBLANK('_SCHEDULE'!L545),"",'_SCHEDULE'!L545)</x:f>
      </x:c>
      <x:c r="M577" s="530" t="str">
        <x:f>IF(ISBLANK('_SCHEDULE'!M545),"",'_SCHEDULE'!M545)</x:f>
      </x:c>
      <x:c r="N577" s="530" t="str">
        <x:f>IF(ISBLANK('_SCHEDULE'!N545),"",'_SCHEDULE'!N545)</x:f>
      </x:c>
      <x:c r="O577" s="530" t="str">
        <x:f>IF(ISBLANK('_SCHEDULE'!O545),"",'_SCHEDULE'!O545)</x:f>
      </x:c>
      <x:c r="P577" s="530" t="str">
        <x:f>IF(ISBLANK('_SCHEDULE'!P545),"",'_SCHEDULE'!P545)</x:f>
      </x:c>
      <x:c r="Q577" s="530" t="str">
        <x:f>IF(ISBLANK('_SCHEDULE'!Q545),"",'_SCHEDULE'!Q545)</x:f>
      </x:c>
      <x:c r="R577" s="530" t="str">
        <x:f>IF(ISBLANK('_SCHEDULE'!R545),"",'_SCHEDULE'!R545)</x:f>
      </x:c>
      <x:c r="S577" s="523" t="str">
        <x:f>IF(ISBLANK('_SCHEDULE'!S545),"",'_SCHEDULE'!S545)</x:f>
      </x:c>
      <x:c r="T577" s="38"/>
      <x:c r="U577" s="38"/>
      <x:c r="V577" s="38"/>
      <x:c r="W577" s="38"/>
      <x:c r="X577" s="38"/>
      <x:c r="Y577" s="38"/>
      <x:c r="Z577" s="38"/>
      <x:c r="AA577" s="38"/>
      <x:c r="AB577" s="38"/>
      <x:c r="AC577" s="38"/>
      <x:c r="AD577" s="38"/>
      <x:c r="AE577" s="38"/>
      <x:c r="AF577" s="38"/>
      <x:c r="AG577" s="38"/>
      <x:c r="AH577" s="38"/>
      <x:c r="AI577" s="38"/>
      <x:c r="AJ577" s="38"/>
      <x:c r="AK577" s="38"/>
      <x:c r="AL577" s="38"/>
      <x:c r="AM577" s="38"/>
    </x:row>
    <x:row r="578">
      <x:c r="A578" s="523" t="str">
        <x:f>IF(ISBLANK('_SCHEDULE'!A546),"",'_SCHEDULE'!A546)</x:f>
      </x:c>
      <x:c r="B578" s="523" t="str">
        <x:f>IF(ISBLANK('_SCHEDULE'!B546),"",IF('_CONFIG'!$B$2="pt-BR",IF('_SCHEDULE'!B546="scheduled","programado",IF('_SCHEDULE'!B546="rejected","rejeitado",'_SCHEDULE'!B546)),'_SCHEDULE'!B546))</x:f>
      </x:c>
      <x:c r="C578" s="523" t="str">
        <x:f>IF(ISBLANK('_SCHEDULE'!C546),"",'_SCHEDULE'!C546)</x:f>
      </x:c>
      <x:c r="D578" s="523" t="str">
        <x:f>IF(ISBLANK('_SCHEDULE'!D546),"",'_SCHEDULE'!D546)</x:f>
      </x:c>
      <x:c r="E578" s="530" t="str">
        <x:f>IF(ISBLANK('_SCHEDULE'!E546),"",'_SCHEDULE'!E546)</x:f>
      </x:c>
      <x:c r="F578" s="530" t="str">
        <x:f>IF(ISBLANK('_SCHEDULE'!F546),"",'_SCHEDULE'!F546)</x:f>
      </x:c>
      <x:c r="G578" s="530" t="str">
        <x:f>IF(ISBLANK('_SCHEDULE'!G546),"",'_SCHEDULE'!G546)</x:f>
      </x:c>
      <x:c r="H578" s="530" t="str">
        <x:f>IF(ISBLANK('_SCHEDULE'!H546),"",'_SCHEDULE'!H546)</x:f>
      </x:c>
      <x:c r="I578" s="530" t="str">
        <x:f>IF(ISBLANK('_SCHEDULE'!I546),"",'_SCHEDULE'!I546)</x:f>
      </x:c>
      <x:c r="J578" s="530" t="str">
        <x:f>IF(ISBLANK('_SCHEDULE'!J546),"",'_SCHEDULE'!J546)</x:f>
      </x:c>
      <x:c r="K578" s="530" t="str">
        <x:f>IF(ISBLANK('_SCHEDULE'!K546),"",'_SCHEDULE'!K546)</x:f>
      </x:c>
      <x:c r="L578" s="530" t="str">
        <x:f>IF(ISBLANK('_SCHEDULE'!L546),"",'_SCHEDULE'!L546)</x:f>
      </x:c>
      <x:c r="M578" s="530" t="str">
        <x:f>IF(ISBLANK('_SCHEDULE'!M546),"",'_SCHEDULE'!M546)</x:f>
      </x:c>
      <x:c r="N578" s="530" t="str">
        <x:f>IF(ISBLANK('_SCHEDULE'!N546),"",'_SCHEDULE'!N546)</x:f>
      </x:c>
      <x:c r="O578" s="530" t="str">
        <x:f>IF(ISBLANK('_SCHEDULE'!O546),"",'_SCHEDULE'!O546)</x:f>
      </x:c>
      <x:c r="P578" s="530" t="str">
        <x:f>IF(ISBLANK('_SCHEDULE'!P546),"",'_SCHEDULE'!P546)</x:f>
      </x:c>
      <x:c r="Q578" s="530" t="str">
        <x:f>IF(ISBLANK('_SCHEDULE'!Q546),"",'_SCHEDULE'!Q546)</x:f>
      </x:c>
      <x:c r="R578" s="530" t="str">
        <x:f>IF(ISBLANK('_SCHEDULE'!R546),"",'_SCHEDULE'!R546)</x:f>
      </x:c>
      <x:c r="S578" s="523" t="str">
        <x:f>IF(ISBLANK('_SCHEDULE'!S546),"",'_SCHEDULE'!S546)</x:f>
      </x:c>
      <x:c r="T578" s="38"/>
      <x:c r="U578" s="38"/>
      <x:c r="V578" s="38"/>
      <x:c r="W578" s="38"/>
      <x:c r="X578" s="38"/>
      <x:c r="Y578" s="38"/>
      <x:c r="Z578" s="38"/>
      <x:c r="AA578" s="38"/>
      <x:c r="AB578" s="38"/>
      <x:c r="AC578" s="38"/>
      <x:c r="AD578" s="38"/>
      <x:c r="AE578" s="38"/>
      <x:c r="AF578" s="38"/>
      <x:c r="AG578" s="38"/>
      <x:c r="AH578" s="38"/>
      <x:c r="AI578" s="38"/>
      <x:c r="AJ578" s="38"/>
      <x:c r="AK578" s="38"/>
      <x:c r="AL578" s="38"/>
      <x:c r="AM578" s="38"/>
    </x:row>
    <x:row r="579">
      <x:c r="A579" s="523" t="str">
        <x:f>IF(ISBLANK('_SCHEDULE'!A547),"",'_SCHEDULE'!A547)</x:f>
      </x:c>
      <x:c r="B579" s="523" t="str">
        <x:f>IF(ISBLANK('_SCHEDULE'!B547),"",IF('_CONFIG'!$B$2="pt-BR",IF('_SCHEDULE'!B547="scheduled","programado",IF('_SCHEDULE'!B547="rejected","rejeitado",'_SCHEDULE'!B547)),'_SCHEDULE'!B547))</x:f>
      </x:c>
      <x:c r="C579" s="523" t="str">
        <x:f>IF(ISBLANK('_SCHEDULE'!C547),"",'_SCHEDULE'!C547)</x:f>
      </x:c>
      <x:c r="D579" s="523" t="str">
        <x:f>IF(ISBLANK('_SCHEDULE'!D547),"",'_SCHEDULE'!D547)</x:f>
      </x:c>
      <x:c r="E579" s="530" t="str">
        <x:f>IF(ISBLANK('_SCHEDULE'!E547),"",'_SCHEDULE'!E547)</x:f>
      </x:c>
      <x:c r="F579" s="530" t="str">
        <x:f>IF(ISBLANK('_SCHEDULE'!F547),"",'_SCHEDULE'!F547)</x:f>
      </x:c>
      <x:c r="G579" s="530" t="str">
        <x:f>IF(ISBLANK('_SCHEDULE'!G547),"",'_SCHEDULE'!G547)</x:f>
      </x:c>
      <x:c r="H579" s="530" t="str">
        <x:f>IF(ISBLANK('_SCHEDULE'!H547),"",'_SCHEDULE'!H547)</x:f>
      </x:c>
      <x:c r="I579" s="530" t="str">
        <x:f>IF(ISBLANK('_SCHEDULE'!I547),"",'_SCHEDULE'!I547)</x:f>
      </x:c>
      <x:c r="J579" s="530" t="str">
        <x:f>IF(ISBLANK('_SCHEDULE'!J547),"",'_SCHEDULE'!J547)</x:f>
      </x:c>
      <x:c r="K579" s="530" t="str">
        <x:f>IF(ISBLANK('_SCHEDULE'!K547),"",'_SCHEDULE'!K547)</x:f>
      </x:c>
      <x:c r="L579" s="530" t="str">
        <x:f>IF(ISBLANK('_SCHEDULE'!L547),"",'_SCHEDULE'!L547)</x:f>
      </x:c>
      <x:c r="M579" s="530" t="str">
        <x:f>IF(ISBLANK('_SCHEDULE'!M547),"",'_SCHEDULE'!M547)</x:f>
      </x:c>
      <x:c r="N579" s="530" t="str">
        <x:f>IF(ISBLANK('_SCHEDULE'!N547),"",'_SCHEDULE'!N547)</x:f>
      </x:c>
      <x:c r="O579" s="530" t="str">
        <x:f>IF(ISBLANK('_SCHEDULE'!O547),"",'_SCHEDULE'!O547)</x:f>
      </x:c>
      <x:c r="P579" s="530" t="str">
        <x:f>IF(ISBLANK('_SCHEDULE'!P547),"",'_SCHEDULE'!P547)</x:f>
      </x:c>
      <x:c r="Q579" s="530" t="str">
        <x:f>IF(ISBLANK('_SCHEDULE'!Q547),"",'_SCHEDULE'!Q547)</x:f>
      </x:c>
      <x:c r="R579" s="530" t="str">
        <x:f>IF(ISBLANK('_SCHEDULE'!R547),"",'_SCHEDULE'!R547)</x:f>
      </x:c>
      <x:c r="S579" s="523" t="str">
        <x:f>IF(ISBLANK('_SCHEDULE'!S547),"",'_SCHEDULE'!S547)</x:f>
      </x:c>
      <x:c r="T579" s="38"/>
      <x:c r="U579" s="38"/>
      <x:c r="V579" s="38"/>
      <x:c r="W579" s="38"/>
      <x:c r="X579" s="38"/>
      <x:c r="Y579" s="38"/>
      <x:c r="Z579" s="38"/>
      <x:c r="AA579" s="38"/>
      <x:c r="AB579" s="38"/>
      <x:c r="AC579" s="38"/>
      <x:c r="AD579" s="38"/>
      <x:c r="AE579" s="38"/>
      <x:c r="AF579" s="38"/>
      <x:c r="AG579" s="38"/>
      <x:c r="AH579" s="38"/>
      <x:c r="AI579" s="38"/>
      <x:c r="AJ579" s="38"/>
      <x:c r="AK579" s="38"/>
      <x:c r="AL579" s="38"/>
      <x:c r="AM579" s="38"/>
    </x:row>
    <x:row r="580">
      <x:c r="A580" s="523" t="str">
        <x:f>IF(ISBLANK('_SCHEDULE'!A548),"",'_SCHEDULE'!A548)</x:f>
      </x:c>
      <x:c r="B580" s="523" t="str">
        <x:f>IF(ISBLANK('_SCHEDULE'!B548),"",IF('_CONFIG'!$B$2="pt-BR",IF('_SCHEDULE'!B548="scheduled","programado",IF('_SCHEDULE'!B548="rejected","rejeitado",'_SCHEDULE'!B548)),'_SCHEDULE'!B548))</x:f>
      </x:c>
      <x:c r="C580" s="523" t="str">
        <x:f>IF(ISBLANK('_SCHEDULE'!C548),"",'_SCHEDULE'!C548)</x:f>
      </x:c>
      <x:c r="D580" s="523" t="str">
        <x:f>IF(ISBLANK('_SCHEDULE'!D548),"",'_SCHEDULE'!D548)</x:f>
      </x:c>
      <x:c r="E580" s="530" t="str">
        <x:f>IF(ISBLANK('_SCHEDULE'!E548),"",'_SCHEDULE'!E548)</x:f>
      </x:c>
      <x:c r="F580" s="530" t="str">
        <x:f>IF(ISBLANK('_SCHEDULE'!F548),"",'_SCHEDULE'!F548)</x:f>
      </x:c>
      <x:c r="G580" s="530" t="str">
        <x:f>IF(ISBLANK('_SCHEDULE'!G548),"",'_SCHEDULE'!G548)</x:f>
      </x:c>
      <x:c r="H580" s="530" t="str">
        <x:f>IF(ISBLANK('_SCHEDULE'!H548),"",'_SCHEDULE'!H548)</x:f>
      </x:c>
      <x:c r="I580" s="530" t="str">
        <x:f>IF(ISBLANK('_SCHEDULE'!I548),"",'_SCHEDULE'!I548)</x:f>
      </x:c>
      <x:c r="J580" s="530" t="str">
        <x:f>IF(ISBLANK('_SCHEDULE'!J548),"",'_SCHEDULE'!J548)</x:f>
      </x:c>
      <x:c r="K580" s="530" t="str">
        <x:f>IF(ISBLANK('_SCHEDULE'!K548),"",'_SCHEDULE'!K548)</x:f>
      </x:c>
      <x:c r="L580" s="530" t="str">
        <x:f>IF(ISBLANK('_SCHEDULE'!L548),"",'_SCHEDULE'!L548)</x:f>
      </x:c>
      <x:c r="M580" s="530" t="str">
        <x:f>IF(ISBLANK('_SCHEDULE'!M548),"",'_SCHEDULE'!M548)</x:f>
      </x:c>
      <x:c r="N580" s="530" t="str">
        <x:f>IF(ISBLANK('_SCHEDULE'!N548),"",'_SCHEDULE'!N548)</x:f>
      </x:c>
      <x:c r="O580" s="530" t="str">
        <x:f>IF(ISBLANK('_SCHEDULE'!O548),"",'_SCHEDULE'!O548)</x:f>
      </x:c>
      <x:c r="P580" s="530" t="str">
        <x:f>IF(ISBLANK('_SCHEDULE'!P548),"",'_SCHEDULE'!P548)</x:f>
      </x:c>
      <x:c r="Q580" s="530" t="str">
        <x:f>IF(ISBLANK('_SCHEDULE'!Q548),"",'_SCHEDULE'!Q548)</x:f>
      </x:c>
      <x:c r="R580" s="530" t="str">
        <x:f>IF(ISBLANK('_SCHEDULE'!R548),"",'_SCHEDULE'!R548)</x:f>
      </x:c>
      <x:c r="S580" s="523" t="str">
        <x:f>IF(ISBLANK('_SCHEDULE'!S548),"",'_SCHEDULE'!S548)</x:f>
      </x:c>
      <x:c r="T580" s="38"/>
      <x:c r="U580" s="38"/>
      <x:c r="V580" s="38"/>
      <x:c r="W580" s="38"/>
      <x:c r="X580" s="38"/>
      <x:c r="Y580" s="38"/>
      <x:c r="Z580" s="38"/>
      <x:c r="AA580" s="38"/>
      <x:c r="AB580" s="38"/>
      <x:c r="AC580" s="38"/>
      <x:c r="AD580" s="38"/>
      <x:c r="AE580" s="38"/>
      <x:c r="AF580" s="38"/>
      <x:c r="AG580" s="38"/>
      <x:c r="AH580" s="38"/>
      <x:c r="AI580" s="38"/>
      <x:c r="AJ580" s="38"/>
      <x:c r="AK580" s="38"/>
      <x:c r="AL580" s="38"/>
      <x:c r="AM580" s="38"/>
    </x:row>
    <x:row r="581">
      <x:c r="A581" s="523" t="str">
        <x:f>IF(ISBLANK('_SCHEDULE'!A549),"",'_SCHEDULE'!A549)</x:f>
      </x:c>
      <x:c r="B581" s="523" t="str">
        <x:f>IF(ISBLANK('_SCHEDULE'!B549),"",IF('_CONFIG'!$B$2="pt-BR",IF('_SCHEDULE'!B549="scheduled","programado",IF('_SCHEDULE'!B549="rejected","rejeitado",'_SCHEDULE'!B549)),'_SCHEDULE'!B549))</x:f>
      </x:c>
      <x:c r="C581" s="523" t="str">
        <x:f>IF(ISBLANK('_SCHEDULE'!C549),"",'_SCHEDULE'!C549)</x:f>
      </x:c>
      <x:c r="D581" s="523" t="str">
        <x:f>IF(ISBLANK('_SCHEDULE'!D549),"",'_SCHEDULE'!D549)</x:f>
      </x:c>
      <x:c r="E581" s="530" t="str">
        <x:f>IF(ISBLANK('_SCHEDULE'!E549),"",'_SCHEDULE'!E549)</x:f>
      </x:c>
      <x:c r="F581" s="530" t="str">
        <x:f>IF(ISBLANK('_SCHEDULE'!F549),"",'_SCHEDULE'!F549)</x:f>
      </x:c>
      <x:c r="G581" s="530" t="str">
        <x:f>IF(ISBLANK('_SCHEDULE'!G549),"",'_SCHEDULE'!G549)</x:f>
      </x:c>
      <x:c r="H581" s="530" t="str">
        <x:f>IF(ISBLANK('_SCHEDULE'!H549),"",'_SCHEDULE'!H549)</x:f>
      </x:c>
      <x:c r="I581" s="530" t="str">
        <x:f>IF(ISBLANK('_SCHEDULE'!I549),"",'_SCHEDULE'!I549)</x:f>
      </x:c>
      <x:c r="J581" s="530" t="str">
        <x:f>IF(ISBLANK('_SCHEDULE'!J549),"",'_SCHEDULE'!J549)</x:f>
      </x:c>
      <x:c r="K581" s="530" t="str">
        <x:f>IF(ISBLANK('_SCHEDULE'!K549),"",'_SCHEDULE'!K549)</x:f>
      </x:c>
      <x:c r="L581" s="530" t="str">
        <x:f>IF(ISBLANK('_SCHEDULE'!L549),"",'_SCHEDULE'!L549)</x:f>
      </x:c>
      <x:c r="M581" s="530" t="str">
        <x:f>IF(ISBLANK('_SCHEDULE'!M549),"",'_SCHEDULE'!M549)</x:f>
      </x:c>
      <x:c r="N581" s="530" t="str">
        <x:f>IF(ISBLANK('_SCHEDULE'!N549),"",'_SCHEDULE'!N549)</x:f>
      </x:c>
      <x:c r="O581" s="530" t="str">
        <x:f>IF(ISBLANK('_SCHEDULE'!O549),"",'_SCHEDULE'!O549)</x:f>
      </x:c>
      <x:c r="P581" s="530" t="str">
        <x:f>IF(ISBLANK('_SCHEDULE'!P549),"",'_SCHEDULE'!P549)</x:f>
      </x:c>
      <x:c r="Q581" s="530" t="str">
        <x:f>IF(ISBLANK('_SCHEDULE'!Q549),"",'_SCHEDULE'!Q549)</x:f>
      </x:c>
      <x:c r="R581" s="530" t="str">
        <x:f>IF(ISBLANK('_SCHEDULE'!R549),"",'_SCHEDULE'!R549)</x:f>
      </x:c>
      <x:c r="S581" s="523" t="str">
        <x:f>IF(ISBLANK('_SCHEDULE'!S549),"",'_SCHEDULE'!S549)</x:f>
      </x:c>
      <x:c r="T581" s="38"/>
      <x:c r="U581" s="38"/>
      <x:c r="V581" s="38"/>
      <x:c r="W581" s="38"/>
      <x:c r="X581" s="38"/>
      <x:c r="Y581" s="38"/>
      <x:c r="Z581" s="38"/>
      <x:c r="AA581" s="38"/>
      <x:c r="AB581" s="38"/>
      <x:c r="AC581" s="38"/>
      <x:c r="AD581" s="38"/>
      <x:c r="AE581" s="38"/>
      <x:c r="AF581" s="38"/>
      <x:c r="AG581" s="38"/>
      <x:c r="AH581" s="38"/>
      <x:c r="AI581" s="38"/>
      <x:c r="AJ581" s="38"/>
      <x:c r="AK581" s="38"/>
      <x:c r="AL581" s="38"/>
      <x:c r="AM581" s="38"/>
    </x:row>
    <x:row r="582">
      <x:c r="A582" s="523" t="str">
        <x:f>IF(ISBLANK('_SCHEDULE'!A550),"",'_SCHEDULE'!A550)</x:f>
      </x:c>
      <x:c r="B582" s="523" t="str">
        <x:f>IF(ISBLANK('_SCHEDULE'!B550),"",IF('_CONFIG'!$B$2="pt-BR",IF('_SCHEDULE'!B550="scheduled","programado",IF('_SCHEDULE'!B550="rejected","rejeitado",'_SCHEDULE'!B550)),'_SCHEDULE'!B550))</x:f>
      </x:c>
      <x:c r="C582" s="523" t="str">
        <x:f>IF(ISBLANK('_SCHEDULE'!C550),"",'_SCHEDULE'!C550)</x:f>
      </x:c>
      <x:c r="D582" s="523" t="str">
        <x:f>IF(ISBLANK('_SCHEDULE'!D550),"",'_SCHEDULE'!D550)</x:f>
      </x:c>
      <x:c r="E582" s="530" t="str">
        <x:f>IF(ISBLANK('_SCHEDULE'!E550),"",'_SCHEDULE'!E550)</x:f>
      </x:c>
      <x:c r="F582" s="530" t="str">
        <x:f>IF(ISBLANK('_SCHEDULE'!F550),"",'_SCHEDULE'!F550)</x:f>
      </x:c>
      <x:c r="G582" s="530" t="str">
        <x:f>IF(ISBLANK('_SCHEDULE'!G550),"",'_SCHEDULE'!G550)</x:f>
      </x:c>
      <x:c r="H582" s="530" t="str">
        <x:f>IF(ISBLANK('_SCHEDULE'!H550),"",'_SCHEDULE'!H550)</x:f>
      </x:c>
      <x:c r="I582" s="530" t="str">
        <x:f>IF(ISBLANK('_SCHEDULE'!I550),"",'_SCHEDULE'!I550)</x:f>
      </x:c>
      <x:c r="J582" s="530" t="str">
        <x:f>IF(ISBLANK('_SCHEDULE'!J550),"",'_SCHEDULE'!J550)</x:f>
      </x:c>
      <x:c r="K582" s="530" t="str">
        <x:f>IF(ISBLANK('_SCHEDULE'!K550),"",'_SCHEDULE'!K550)</x:f>
      </x:c>
      <x:c r="L582" s="530" t="str">
        <x:f>IF(ISBLANK('_SCHEDULE'!L550),"",'_SCHEDULE'!L550)</x:f>
      </x:c>
      <x:c r="M582" s="530" t="str">
        <x:f>IF(ISBLANK('_SCHEDULE'!M550),"",'_SCHEDULE'!M550)</x:f>
      </x:c>
      <x:c r="N582" s="530" t="str">
        <x:f>IF(ISBLANK('_SCHEDULE'!N550),"",'_SCHEDULE'!N550)</x:f>
      </x:c>
      <x:c r="O582" s="530" t="str">
        <x:f>IF(ISBLANK('_SCHEDULE'!O550),"",'_SCHEDULE'!O550)</x:f>
      </x:c>
      <x:c r="P582" s="530" t="str">
        <x:f>IF(ISBLANK('_SCHEDULE'!P550),"",'_SCHEDULE'!P550)</x:f>
      </x:c>
      <x:c r="Q582" s="530" t="str">
        <x:f>IF(ISBLANK('_SCHEDULE'!Q550),"",'_SCHEDULE'!Q550)</x:f>
      </x:c>
      <x:c r="R582" s="530" t="str">
        <x:f>IF(ISBLANK('_SCHEDULE'!R550),"",'_SCHEDULE'!R550)</x:f>
      </x:c>
      <x:c r="S582" s="523" t="str">
        <x:f>IF(ISBLANK('_SCHEDULE'!S550),"",'_SCHEDULE'!S550)</x:f>
      </x:c>
      <x:c r="T582" s="38"/>
      <x:c r="U582" s="38"/>
      <x:c r="V582" s="38"/>
      <x:c r="W582" s="38"/>
      <x:c r="X582" s="38"/>
      <x:c r="Y582" s="38"/>
      <x:c r="Z582" s="38"/>
      <x:c r="AA582" s="38"/>
      <x:c r="AB582" s="38"/>
      <x:c r="AC582" s="38"/>
      <x:c r="AD582" s="38"/>
      <x:c r="AE582" s="38"/>
      <x:c r="AF582" s="38"/>
      <x:c r="AG582" s="38"/>
      <x:c r="AH582" s="38"/>
      <x:c r="AI582" s="38"/>
      <x:c r="AJ582" s="38"/>
      <x:c r="AK582" s="38"/>
      <x:c r="AL582" s="38"/>
      <x:c r="AM582" s="38"/>
    </x:row>
    <x:row r="583">
      <x:c r="A583" s="523" t="str">
        <x:f>IF(ISBLANK('_SCHEDULE'!A551),"",'_SCHEDULE'!A551)</x:f>
      </x:c>
      <x:c r="B583" s="523" t="str">
        <x:f>IF(ISBLANK('_SCHEDULE'!B551),"",IF('_CONFIG'!$B$2="pt-BR",IF('_SCHEDULE'!B551="scheduled","programado",IF('_SCHEDULE'!B551="rejected","rejeitado",'_SCHEDULE'!B551)),'_SCHEDULE'!B551))</x:f>
      </x:c>
      <x:c r="C583" s="523" t="str">
        <x:f>IF(ISBLANK('_SCHEDULE'!C551),"",'_SCHEDULE'!C551)</x:f>
      </x:c>
      <x:c r="D583" s="523" t="str">
        <x:f>IF(ISBLANK('_SCHEDULE'!D551),"",'_SCHEDULE'!D551)</x:f>
      </x:c>
      <x:c r="E583" s="530" t="str">
        <x:f>IF(ISBLANK('_SCHEDULE'!E551),"",'_SCHEDULE'!E551)</x:f>
      </x:c>
      <x:c r="F583" s="530" t="str">
        <x:f>IF(ISBLANK('_SCHEDULE'!F551),"",'_SCHEDULE'!F551)</x:f>
      </x:c>
      <x:c r="G583" s="530" t="str">
        <x:f>IF(ISBLANK('_SCHEDULE'!G551),"",'_SCHEDULE'!G551)</x:f>
      </x:c>
      <x:c r="H583" s="530" t="str">
        <x:f>IF(ISBLANK('_SCHEDULE'!H551),"",'_SCHEDULE'!H551)</x:f>
      </x:c>
      <x:c r="I583" s="530" t="str">
        <x:f>IF(ISBLANK('_SCHEDULE'!I551),"",'_SCHEDULE'!I551)</x:f>
      </x:c>
      <x:c r="J583" s="530" t="str">
        <x:f>IF(ISBLANK('_SCHEDULE'!J551),"",'_SCHEDULE'!J551)</x:f>
      </x:c>
      <x:c r="K583" s="530" t="str">
        <x:f>IF(ISBLANK('_SCHEDULE'!K551),"",'_SCHEDULE'!K551)</x:f>
      </x:c>
      <x:c r="L583" s="530" t="str">
        <x:f>IF(ISBLANK('_SCHEDULE'!L551),"",'_SCHEDULE'!L551)</x:f>
      </x:c>
      <x:c r="M583" s="530" t="str">
        <x:f>IF(ISBLANK('_SCHEDULE'!M551),"",'_SCHEDULE'!M551)</x:f>
      </x:c>
      <x:c r="N583" s="530" t="str">
        <x:f>IF(ISBLANK('_SCHEDULE'!N551),"",'_SCHEDULE'!N551)</x:f>
      </x:c>
      <x:c r="O583" s="530" t="str">
        <x:f>IF(ISBLANK('_SCHEDULE'!O551),"",'_SCHEDULE'!O551)</x:f>
      </x:c>
      <x:c r="P583" s="530" t="str">
        <x:f>IF(ISBLANK('_SCHEDULE'!P551),"",'_SCHEDULE'!P551)</x:f>
      </x:c>
      <x:c r="Q583" s="530" t="str">
        <x:f>IF(ISBLANK('_SCHEDULE'!Q551),"",'_SCHEDULE'!Q551)</x:f>
      </x:c>
      <x:c r="R583" s="530" t="str">
        <x:f>IF(ISBLANK('_SCHEDULE'!R551),"",'_SCHEDULE'!R551)</x:f>
      </x:c>
      <x:c r="S583" s="523" t="str">
        <x:f>IF(ISBLANK('_SCHEDULE'!S551),"",'_SCHEDULE'!S551)</x:f>
      </x:c>
      <x:c r="T583" s="38"/>
      <x:c r="U583" s="38"/>
      <x:c r="V583" s="38"/>
      <x:c r="W583" s="38"/>
      <x:c r="X583" s="38"/>
      <x:c r="Y583" s="38"/>
      <x:c r="Z583" s="38"/>
      <x:c r="AA583" s="38"/>
      <x:c r="AB583" s="38"/>
      <x:c r="AC583" s="38"/>
      <x:c r="AD583" s="38"/>
      <x:c r="AE583" s="38"/>
      <x:c r="AF583" s="38"/>
      <x:c r="AG583" s="38"/>
      <x:c r="AH583" s="38"/>
      <x:c r="AI583" s="38"/>
      <x:c r="AJ583" s="38"/>
      <x:c r="AK583" s="38"/>
      <x:c r="AL583" s="38"/>
      <x:c r="AM583" s="38"/>
    </x:row>
    <x:row r="584">
      <x:c r="A584" s="523" t="str">
        <x:f>IF(ISBLANK('_SCHEDULE'!A552),"",'_SCHEDULE'!A552)</x:f>
      </x:c>
      <x:c r="B584" s="523" t="str">
        <x:f>IF(ISBLANK('_SCHEDULE'!B552),"",IF('_CONFIG'!$B$2="pt-BR",IF('_SCHEDULE'!B552="scheduled","programado",IF('_SCHEDULE'!B552="rejected","rejeitado",'_SCHEDULE'!B552)),'_SCHEDULE'!B552))</x:f>
      </x:c>
      <x:c r="C584" s="523" t="str">
        <x:f>IF(ISBLANK('_SCHEDULE'!C552),"",'_SCHEDULE'!C552)</x:f>
      </x:c>
      <x:c r="D584" s="523" t="str">
        <x:f>IF(ISBLANK('_SCHEDULE'!D552),"",'_SCHEDULE'!D552)</x:f>
      </x:c>
      <x:c r="E584" s="530" t="str">
        <x:f>IF(ISBLANK('_SCHEDULE'!E552),"",'_SCHEDULE'!E552)</x:f>
      </x:c>
      <x:c r="F584" s="530" t="str">
        <x:f>IF(ISBLANK('_SCHEDULE'!F552),"",'_SCHEDULE'!F552)</x:f>
      </x:c>
      <x:c r="G584" s="530" t="str">
        <x:f>IF(ISBLANK('_SCHEDULE'!G552),"",'_SCHEDULE'!G552)</x:f>
      </x:c>
      <x:c r="H584" s="530" t="str">
        <x:f>IF(ISBLANK('_SCHEDULE'!H552),"",'_SCHEDULE'!H552)</x:f>
      </x:c>
      <x:c r="I584" s="530" t="str">
        <x:f>IF(ISBLANK('_SCHEDULE'!I552),"",'_SCHEDULE'!I552)</x:f>
      </x:c>
      <x:c r="J584" s="530" t="str">
        <x:f>IF(ISBLANK('_SCHEDULE'!J552),"",'_SCHEDULE'!J552)</x:f>
      </x:c>
      <x:c r="K584" s="530" t="str">
        <x:f>IF(ISBLANK('_SCHEDULE'!K552),"",'_SCHEDULE'!K552)</x:f>
      </x:c>
      <x:c r="L584" s="530" t="str">
        <x:f>IF(ISBLANK('_SCHEDULE'!L552),"",'_SCHEDULE'!L552)</x:f>
      </x:c>
      <x:c r="M584" s="530" t="str">
        <x:f>IF(ISBLANK('_SCHEDULE'!M552),"",'_SCHEDULE'!M552)</x:f>
      </x:c>
      <x:c r="N584" s="530" t="str">
        <x:f>IF(ISBLANK('_SCHEDULE'!N552),"",'_SCHEDULE'!N552)</x:f>
      </x:c>
      <x:c r="O584" s="530" t="str">
        <x:f>IF(ISBLANK('_SCHEDULE'!O552),"",'_SCHEDULE'!O552)</x:f>
      </x:c>
      <x:c r="P584" s="530" t="str">
        <x:f>IF(ISBLANK('_SCHEDULE'!P552),"",'_SCHEDULE'!P552)</x:f>
      </x:c>
      <x:c r="Q584" s="530" t="str">
        <x:f>IF(ISBLANK('_SCHEDULE'!Q552),"",'_SCHEDULE'!Q552)</x:f>
      </x:c>
      <x:c r="R584" s="530" t="str">
        <x:f>IF(ISBLANK('_SCHEDULE'!R552),"",'_SCHEDULE'!R552)</x:f>
      </x:c>
      <x:c r="S584" s="523" t="str">
        <x:f>IF(ISBLANK('_SCHEDULE'!S552),"",'_SCHEDULE'!S552)</x:f>
      </x:c>
      <x:c r="T584" s="38"/>
      <x:c r="U584" s="38"/>
      <x:c r="V584" s="38"/>
      <x:c r="W584" s="38"/>
      <x:c r="X584" s="38"/>
      <x:c r="Y584" s="38"/>
      <x:c r="Z584" s="38"/>
      <x:c r="AA584" s="38"/>
      <x:c r="AB584" s="38"/>
      <x:c r="AC584" s="38"/>
      <x:c r="AD584" s="38"/>
      <x:c r="AE584" s="38"/>
      <x:c r="AF584" s="38"/>
      <x:c r="AG584" s="38"/>
      <x:c r="AH584" s="38"/>
      <x:c r="AI584" s="38"/>
      <x:c r="AJ584" s="38"/>
      <x:c r="AK584" s="38"/>
      <x:c r="AL584" s="38"/>
      <x:c r="AM584" s="38"/>
    </x:row>
    <x:row r="585">
      <x:c r="A585" s="523" t="str">
        <x:f>IF(ISBLANK('_SCHEDULE'!A553),"",'_SCHEDULE'!A553)</x:f>
      </x:c>
      <x:c r="B585" s="523" t="str">
        <x:f>IF(ISBLANK('_SCHEDULE'!B553),"",IF('_CONFIG'!$B$2="pt-BR",IF('_SCHEDULE'!B553="scheduled","programado",IF('_SCHEDULE'!B553="rejected","rejeitado",'_SCHEDULE'!B553)),'_SCHEDULE'!B553))</x:f>
      </x:c>
      <x:c r="C585" s="523" t="str">
        <x:f>IF(ISBLANK('_SCHEDULE'!C553),"",'_SCHEDULE'!C553)</x:f>
      </x:c>
      <x:c r="D585" s="523" t="str">
        <x:f>IF(ISBLANK('_SCHEDULE'!D553),"",'_SCHEDULE'!D553)</x:f>
      </x:c>
      <x:c r="E585" s="530" t="str">
        <x:f>IF(ISBLANK('_SCHEDULE'!E553),"",'_SCHEDULE'!E553)</x:f>
      </x:c>
      <x:c r="F585" s="530" t="str">
        <x:f>IF(ISBLANK('_SCHEDULE'!F553),"",'_SCHEDULE'!F553)</x:f>
      </x:c>
      <x:c r="G585" s="530" t="str">
        <x:f>IF(ISBLANK('_SCHEDULE'!G553),"",'_SCHEDULE'!G553)</x:f>
      </x:c>
      <x:c r="H585" s="530" t="str">
        <x:f>IF(ISBLANK('_SCHEDULE'!H553),"",'_SCHEDULE'!H553)</x:f>
      </x:c>
      <x:c r="I585" s="530" t="str">
        <x:f>IF(ISBLANK('_SCHEDULE'!I553),"",'_SCHEDULE'!I553)</x:f>
      </x:c>
      <x:c r="J585" s="530" t="str">
        <x:f>IF(ISBLANK('_SCHEDULE'!J553),"",'_SCHEDULE'!J553)</x:f>
      </x:c>
      <x:c r="K585" s="530" t="str">
        <x:f>IF(ISBLANK('_SCHEDULE'!K553),"",'_SCHEDULE'!K553)</x:f>
      </x:c>
      <x:c r="L585" s="530" t="str">
        <x:f>IF(ISBLANK('_SCHEDULE'!L553),"",'_SCHEDULE'!L553)</x:f>
      </x:c>
      <x:c r="M585" s="530" t="str">
        <x:f>IF(ISBLANK('_SCHEDULE'!M553),"",'_SCHEDULE'!M553)</x:f>
      </x:c>
      <x:c r="N585" s="530" t="str">
        <x:f>IF(ISBLANK('_SCHEDULE'!N553),"",'_SCHEDULE'!N553)</x:f>
      </x:c>
      <x:c r="O585" s="530" t="str">
        <x:f>IF(ISBLANK('_SCHEDULE'!O553),"",'_SCHEDULE'!O553)</x:f>
      </x:c>
      <x:c r="P585" s="530" t="str">
        <x:f>IF(ISBLANK('_SCHEDULE'!P553),"",'_SCHEDULE'!P553)</x:f>
      </x:c>
      <x:c r="Q585" s="530" t="str">
        <x:f>IF(ISBLANK('_SCHEDULE'!Q553),"",'_SCHEDULE'!Q553)</x:f>
      </x:c>
      <x:c r="R585" s="530" t="str">
        <x:f>IF(ISBLANK('_SCHEDULE'!R553),"",'_SCHEDULE'!R553)</x:f>
      </x:c>
      <x:c r="S585" s="523" t="str">
        <x:f>IF(ISBLANK('_SCHEDULE'!S553),"",'_SCHEDULE'!S553)</x:f>
      </x:c>
      <x:c r="T585" s="38"/>
      <x:c r="U585" s="38"/>
      <x:c r="V585" s="38"/>
      <x:c r="W585" s="38"/>
      <x:c r="X585" s="38"/>
      <x:c r="Y585" s="38"/>
      <x:c r="Z585" s="38"/>
      <x:c r="AA585" s="38"/>
      <x:c r="AB585" s="38"/>
      <x:c r="AC585" s="38"/>
      <x:c r="AD585" s="38"/>
      <x:c r="AE585" s="38"/>
      <x:c r="AF585" s="38"/>
      <x:c r="AG585" s="38"/>
      <x:c r="AH585" s="38"/>
      <x:c r="AI585" s="38"/>
      <x:c r="AJ585" s="38"/>
      <x:c r="AK585" s="38"/>
      <x:c r="AL585" s="38"/>
      <x:c r="AM585" s="38"/>
    </x:row>
    <x:row r="586">
      <x:c r="A586" s="523" t="str">
        <x:f>IF(ISBLANK('_SCHEDULE'!A554),"",'_SCHEDULE'!A554)</x:f>
      </x:c>
      <x:c r="B586" s="523" t="str">
        <x:f>IF(ISBLANK('_SCHEDULE'!B554),"",IF('_CONFIG'!$B$2="pt-BR",IF('_SCHEDULE'!B554="scheduled","programado",IF('_SCHEDULE'!B554="rejected","rejeitado",'_SCHEDULE'!B554)),'_SCHEDULE'!B554))</x:f>
      </x:c>
      <x:c r="C586" s="523" t="str">
        <x:f>IF(ISBLANK('_SCHEDULE'!C554),"",'_SCHEDULE'!C554)</x:f>
      </x:c>
      <x:c r="D586" s="523" t="str">
        <x:f>IF(ISBLANK('_SCHEDULE'!D554),"",'_SCHEDULE'!D554)</x:f>
      </x:c>
      <x:c r="E586" s="530" t="str">
        <x:f>IF(ISBLANK('_SCHEDULE'!E554),"",'_SCHEDULE'!E554)</x:f>
      </x:c>
      <x:c r="F586" s="530" t="str">
        <x:f>IF(ISBLANK('_SCHEDULE'!F554),"",'_SCHEDULE'!F554)</x:f>
      </x:c>
      <x:c r="G586" s="530" t="str">
        <x:f>IF(ISBLANK('_SCHEDULE'!G554),"",'_SCHEDULE'!G554)</x:f>
      </x:c>
      <x:c r="H586" s="530" t="str">
        <x:f>IF(ISBLANK('_SCHEDULE'!H554),"",'_SCHEDULE'!H554)</x:f>
      </x:c>
      <x:c r="I586" s="530" t="str">
        <x:f>IF(ISBLANK('_SCHEDULE'!I554),"",'_SCHEDULE'!I554)</x:f>
      </x:c>
      <x:c r="J586" s="530" t="str">
        <x:f>IF(ISBLANK('_SCHEDULE'!J554),"",'_SCHEDULE'!J554)</x:f>
      </x:c>
      <x:c r="K586" s="530" t="str">
        <x:f>IF(ISBLANK('_SCHEDULE'!K554),"",'_SCHEDULE'!K554)</x:f>
      </x:c>
      <x:c r="L586" s="530" t="str">
        <x:f>IF(ISBLANK('_SCHEDULE'!L554),"",'_SCHEDULE'!L554)</x:f>
      </x:c>
      <x:c r="M586" s="530" t="str">
        <x:f>IF(ISBLANK('_SCHEDULE'!M554),"",'_SCHEDULE'!M554)</x:f>
      </x:c>
      <x:c r="N586" s="530" t="str">
        <x:f>IF(ISBLANK('_SCHEDULE'!N554),"",'_SCHEDULE'!N554)</x:f>
      </x:c>
      <x:c r="O586" s="530" t="str">
        <x:f>IF(ISBLANK('_SCHEDULE'!O554),"",'_SCHEDULE'!O554)</x:f>
      </x:c>
      <x:c r="P586" s="530" t="str">
        <x:f>IF(ISBLANK('_SCHEDULE'!P554),"",'_SCHEDULE'!P554)</x:f>
      </x:c>
      <x:c r="Q586" s="530" t="str">
        <x:f>IF(ISBLANK('_SCHEDULE'!Q554),"",'_SCHEDULE'!Q554)</x:f>
      </x:c>
      <x:c r="R586" s="530" t="str">
        <x:f>IF(ISBLANK('_SCHEDULE'!R554),"",'_SCHEDULE'!R554)</x:f>
      </x:c>
      <x:c r="S586" s="523" t="str">
        <x:f>IF(ISBLANK('_SCHEDULE'!S554),"",'_SCHEDULE'!S554)</x:f>
      </x:c>
      <x:c r="T586" s="38"/>
      <x:c r="U586" s="38"/>
      <x:c r="V586" s="38"/>
      <x:c r="W586" s="38"/>
      <x:c r="X586" s="38"/>
      <x:c r="Y586" s="38"/>
      <x:c r="Z586" s="38"/>
      <x:c r="AA586" s="38"/>
      <x:c r="AB586" s="38"/>
      <x:c r="AC586" s="38"/>
      <x:c r="AD586" s="38"/>
      <x:c r="AE586" s="38"/>
      <x:c r="AF586" s="38"/>
      <x:c r="AG586" s="38"/>
      <x:c r="AH586" s="38"/>
      <x:c r="AI586" s="38"/>
      <x:c r="AJ586" s="38"/>
      <x:c r="AK586" s="38"/>
      <x:c r="AL586" s="38"/>
      <x:c r="AM586" s="38"/>
    </x:row>
    <x:row r="587">
      <x:c r="A587" s="523" t="str">
        <x:f>IF(ISBLANK('_SCHEDULE'!A555),"",'_SCHEDULE'!A555)</x:f>
      </x:c>
      <x:c r="B587" s="523" t="str">
        <x:f>IF(ISBLANK('_SCHEDULE'!B555),"",IF('_CONFIG'!$B$2="pt-BR",IF('_SCHEDULE'!B555="scheduled","programado",IF('_SCHEDULE'!B555="rejected","rejeitado",'_SCHEDULE'!B555)),'_SCHEDULE'!B555))</x:f>
      </x:c>
      <x:c r="C587" s="523" t="str">
        <x:f>IF(ISBLANK('_SCHEDULE'!C555),"",'_SCHEDULE'!C555)</x:f>
      </x:c>
      <x:c r="D587" s="523" t="str">
        <x:f>IF(ISBLANK('_SCHEDULE'!D555),"",'_SCHEDULE'!D555)</x:f>
      </x:c>
      <x:c r="E587" s="530" t="str">
        <x:f>IF(ISBLANK('_SCHEDULE'!E555),"",'_SCHEDULE'!E555)</x:f>
      </x:c>
      <x:c r="F587" s="530" t="str">
        <x:f>IF(ISBLANK('_SCHEDULE'!F555),"",'_SCHEDULE'!F555)</x:f>
      </x:c>
      <x:c r="G587" s="530" t="str">
        <x:f>IF(ISBLANK('_SCHEDULE'!G555),"",'_SCHEDULE'!G555)</x:f>
      </x:c>
      <x:c r="H587" s="530" t="str">
        <x:f>IF(ISBLANK('_SCHEDULE'!H555),"",'_SCHEDULE'!H555)</x:f>
      </x:c>
      <x:c r="I587" s="530" t="str">
        <x:f>IF(ISBLANK('_SCHEDULE'!I555),"",'_SCHEDULE'!I555)</x:f>
      </x:c>
      <x:c r="J587" s="530" t="str">
        <x:f>IF(ISBLANK('_SCHEDULE'!J555),"",'_SCHEDULE'!J555)</x:f>
      </x:c>
      <x:c r="K587" s="530" t="str">
        <x:f>IF(ISBLANK('_SCHEDULE'!K555),"",'_SCHEDULE'!K555)</x:f>
      </x:c>
      <x:c r="L587" s="530" t="str">
        <x:f>IF(ISBLANK('_SCHEDULE'!L555),"",'_SCHEDULE'!L555)</x:f>
      </x:c>
      <x:c r="M587" s="530" t="str">
        <x:f>IF(ISBLANK('_SCHEDULE'!M555),"",'_SCHEDULE'!M555)</x:f>
      </x:c>
      <x:c r="N587" s="530" t="str">
        <x:f>IF(ISBLANK('_SCHEDULE'!N555),"",'_SCHEDULE'!N555)</x:f>
      </x:c>
      <x:c r="O587" s="530" t="str">
        <x:f>IF(ISBLANK('_SCHEDULE'!O555),"",'_SCHEDULE'!O555)</x:f>
      </x:c>
      <x:c r="P587" s="530" t="str">
        <x:f>IF(ISBLANK('_SCHEDULE'!P555),"",'_SCHEDULE'!P555)</x:f>
      </x:c>
      <x:c r="Q587" s="530" t="str">
        <x:f>IF(ISBLANK('_SCHEDULE'!Q555),"",'_SCHEDULE'!Q555)</x:f>
      </x:c>
      <x:c r="R587" s="530" t="str">
        <x:f>IF(ISBLANK('_SCHEDULE'!R555),"",'_SCHEDULE'!R555)</x:f>
      </x:c>
      <x:c r="S587" s="523" t="str">
        <x:f>IF(ISBLANK('_SCHEDULE'!S555),"",'_SCHEDULE'!S555)</x:f>
      </x:c>
      <x:c r="T587" s="38"/>
      <x:c r="U587" s="38"/>
      <x:c r="V587" s="38"/>
      <x:c r="W587" s="38"/>
      <x:c r="X587" s="38"/>
      <x:c r="Y587" s="38"/>
      <x:c r="Z587" s="38"/>
      <x:c r="AA587" s="38"/>
      <x:c r="AB587" s="38"/>
      <x:c r="AC587" s="38"/>
      <x:c r="AD587" s="38"/>
      <x:c r="AE587" s="38"/>
      <x:c r="AF587" s="38"/>
      <x:c r="AG587" s="38"/>
      <x:c r="AH587" s="38"/>
      <x:c r="AI587" s="38"/>
      <x:c r="AJ587" s="38"/>
      <x:c r="AK587" s="38"/>
      <x:c r="AL587" s="38"/>
      <x:c r="AM587" s="38"/>
    </x:row>
    <x:row r="588">
      <x:c r="A588" s="523" t="str">
        <x:f>IF(ISBLANK('_SCHEDULE'!A556),"",'_SCHEDULE'!A556)</x:f>
      </x:c>
      <x:c r="B588" s="523" t="str">
        <x:f>IF(ISBLANK('_SCHEDULE'!B556),"",IF('_CONFIG'!$B$2="pt-BR",IF('_SCHEDULE'!B556="scheduled","programado",IF('_SCHEDULE'!B556="rejected","rejeitado",'_SCHEDULE'!B556)),'_SCHEDULE'!B556))</x:f>
      </x:c>
      <x:c r="C588" s="523" t="str">
        <x:f>IF(ISBLANK('_SCHEDULE'!C556),"",'_SCHEDULE'!C556)</x:f>
      </x:c>
      <x:c r="D588" s="523" t="str">
        <x:f>IF(ISBLANK('_SCHEDULE'!D556),"",'_SCHEDULE'!D556)</x:f>
      </x:c>
      <x:c r="E588" s="530" t="str">
        <x:f>IF(ISBLANK('_SCHEDULE'!E556),"",'_SCHEDULE'!E556)</x:f>
      </x:c>
      <x:c r="F588" s="530" t="str">
        <x:f>IF(ISBLANK('_SCHEDULE'!F556),"",'_SCHEDULE'!F556)</x:f>
      </x:c>
      <x:c r="G588" s="530" t="str">
        <x:f>IF(ISBLANK('_SCHEDULE'!G556),"",'_SCHEDULE'!G556)</x:f>
      </x:c>
      <x:c r="H588" s="530" t="str">
        <x:f>IF(ISBLANK('_SCHEDULE'!H556),"",'_SCHEDULE'!H556)</x:f>
      </x:c>
      <x:c r="I588" s="530" t="str">
        <x:f>IF(ISBLANK('_SCHEDULE'!I556),"",'_SCHEDULE'!I556)</x:f>
      </x:c>
      <x:c r="J588" s="530" t="str">
        <x:f>IF(ISBLANK('_SCHEDULE'!J556),"",'_SCHEDULE'!J556)</x:f>
      </x:c>
      <x:c r="K588" s="530" t="str">
        <x:f>IF(ISBLANK('_SCHEDULE'!K556),"",'_SCHEDULE'!K556)</x:f>
      </x:c>
      <x:c r="L588" s="530" t="str">
        <x:f>IF(ISBLANK('_SCHEDULE'!L556),"",'_SCHEDULE'!L556)</x:f>
      </x:c>
      <x:c r="M588" s="530" t="str">
        <x:f>IF(ISBLANK('_SCHEDULE'!M556),"",'_SCHEDULE'!M556)</x:f>
      </x:c>
      <x:c r="N588" s="530" t="str">
        <x:f>IF(ISBLANK('_SCHEDULE'!N556),"",'_SCHEDULE'!N556)</x:f>
      </x:c>
      <x:c r="O588" s="530" t="str">
        <x:f>IF(ISBLANK('_SCHEDULE'!O556),"",'_SCHEDULE'!O556)</x:f>
      </x:c>
      <x:c r="P588" s="530" t="str">
        <x:f>IF(ISBLANK('_SCHEDULE'!P556),"",'_SCHEDULE'!P556)</x:f>
      </x:c>
      <x:c r="Q588" s="530" t="str">
        <x:f>IF(ISBLANK('_SCHEDULE'!Q556),"",'_SCHEDULE'!Q556)</x:f>
      </x:c>
      <x:c r="R588" s="530" t="str">
        <x:f>IF(ISBLANK('_SCHEDULE'!R556),"",'_SCHEDULE'!R556)</x:f>
      </x:c>
      <x:c r="S588" s="523" t="str">
        <x:f>IF(ISBLANK('_SCHEDULE'!S556),"",'_SCHEDULE'!S556)</x:f>
      </x:c>
      <x:c r="T588" s="38"/>
      <x:c r="U588" s="38"/>
      <x:c r="V588" s="38"/>
      <x:c r="W588" s="38"/>
      <x:c r="X588" s="38"/>
      <x:c r="Y588" s="38"/>
      <x:c r="Z588" s="38"/>
      <x:c r="AA588" s="38"/>
      <x:c r="AB588" s="38"/>
      <x:c r="AC588" s="38"/>
      <x:c r="AD588" s="38"/>
      <x:c r="AE588" s="38"/>
      <x:c r="AF588" s="38"/>
      <x:c r="AG588" s="38"/>
      <x:c r="AH588" s="38"/>
      <x:c r="AI588" s="38"/>
      <x:c r="AJ588" s="38"/>
      <x:c r="AK588" s="38"/>
      <x:c r="AL588" s="38"/>
      <x:c r="AM588" s="38"/>
    </x:row>
    <x:row r="589">
      <x:c r="A589" s="523" t="str">
        <x:f>IF(ISBLANK('_SCHEDULE'!A557),"",'_SCHEDULE'!A557)</x:f>
      </x:c>
      <x:c r="B589" s="523" t="str">
        <x:f>IF(ISBLANK('_SCHEDULE'!B557),"",IF('_CONFIG'!$B$2="pt-BR",IF('_SCHEDULE'!B557="scheduled","programado",IF('_SCHEDULE'!B557="rejected","rejeitado",'_SCHEDULE'!B557)),'_SCHEDULE'!B557))</x:f>
      </x:c>
      <x:c r="C589" s="523" t="str">
        <x:f>IF(ISBLANK('_SCHEDULE'!C557),"",'_SCHEDULE'!C557)</x:f>
      </x:c>
      <x:c r="D589" s="523" t="str">
        <x:f>IF(ISBLANK('_SCHEDULE'!D557),"",'_SCHEDULE'!D557)</x:f>
      </x:c>
      <x:c r="E589" s="530" t="str">
        <x:f>IF(ISBLANK('_SCHEDULE'!E557),"",'_SCHEDULE'!E557)</x:f>
      </x:c>
      <x:c r="F589" s="530" t="str">
        <x:f>IF(ISBLANK('_SCHEDULE'!F557),"",'_SCHEDULE'!F557)</x:f>
      </x:c>
      <x:c r="G589" s="530" t="str">
        <x:f>IF(ISBLANK('_SCHEDULE'!G557),"",'_SCHEDULE'!G557)</x:f>
      </x:c>
      <x:c r="H589" s="530" t="str">
        <x:f>IF(ISBLANK('_SCHEDULE'!H557),"",'_SCHEDULE'!H557)</x:f>
      </x:c>
      <x:c r="I589" s="530" t="str">
        <x:f>IF(ISBLANK('_SCHEDULE'!I557),"",'_SCHEDULE'!I557)</x:f>
      </x:c>
      <x:c r="J589" s="530" t="str">
        <x:f>IF(ISBLANK('_SCHEDULE'!J557),"",'_SCHEDULE'!J557)</x:f>
      </x:c>
      <x:c r="K589" s="530" t="str">
        <x:f>IF(ISBLANK('_SCHEDULE'!K557),"",'_SCHEDULE'!K557)</x:f>
      </x:c>
      <x:c r="L589" s="530" t="str">
        <x:f>IF(ISBLANK('_SCHEDULE'!L557),"",'_SCHEDULE'!L557)</x:f>
      </x:c>
      <x:c r="M589" s="530" t="str">
        <x:f>IF(ISBLANK('_SCHEDULE'!M557),"",'_SCHEDULE'!M557)</x:f>
      </x:c>
      <x:c r="N589" s="530" t="str">
        <x:f>IF(ISBLANK('_SCHEDULE'!N557),"",'_SCHEDULE'!N557)</x:f>
      </x:c>
      <x:c r="O589" s="530" t="str">
        <x:f>IF(ISBLANK('_SCHEDULE'!O557),"",'_SCHEDULE'!O557)</x:f>
      </x:c>
      <x:c r="P589" s="530" t="str">
        <x:f>IF(ISBLANK('_SCHEDULE'!P557),"",'_SCHEDULE'!P557)</x:f>
      </x:c>
      <x:c r="Q589" s="530" t="str">
        <x:f>IF(ISBLANK('_SCHEDULE'!Q557),"",'_SCHEDULE'!Q557)</x:f>
      </x:c>
      <x:c r="R589" s="530" t="str">
        <x:f>IF(ISBLANK('_SCHEDULE'!R557),"",'_SCHEDULE'!R557)</x:f>
      </x:c>
      <x:c r="S589" s="523" t="str">
        <x:f>IF(ISBLANK('_SCHEDULE'!S557),"",'_SCHEDULE'!S557)</x:f>
      </x:c>
      <x:c r="T589" s="38"/>
      <x:c r="U589" s="38"/>
      <x:c r="V589" s="38"/>
      <x:c r="W589" s="38"/>
      <x:c r="X589" s="38"/>
      <x:c r="Y589" s="38"/>
      <x:c r="Z589" s="38"/>
      <x:c r="AA589" s="38"/>
      <x:c r="AB589" s="38"/>
      <x:c r="AC589" s="38"/>
      <x:c r="AD589" s="38"/>
      <x:c r="AE589" s="38"/>
      <x:c r="AF589" s="38"/>
      <x:c r="AG589" s="38"/>
      <x:c r="AH589" s="38"/>
      <x:c r="AI589" s="38"/>
      <x:c r="AJ589" s="38"/>
      <x:c r="AK589" s="38"/>
      <x:c r="AL589" s="38"/>
      <x:c r="AM589" s="38"/>
    </x:row>
    <x:row r="590">
      <x:c r="A590" s="523" t="str">
        <x:f>IF(ISBLANK('_SCHEDULE'!A558),"",'_SCHEDULE'!A558)</x:f>
      </x:c>
      <x:c r="B590" s="523" t="str">
        <x:f>IF(ISBLANK('_SCHEDULE'!B558),"",IF('_CONFIG'!$B$2="pt-BR",IF('_SCHEDULE'!B558="scheduled","programado",IF('_SCHEDULE'!B558="rejected","rejeitado",'_SCHEDULE'!B558)),'_SCHEDULE'!B558))</x:f>
      </x:c>
      <x:c r="C590" s="523" t="str">
        <x:f>IF(ISBLANK('_SCHEDULE'!C558),"",'_SCHEDULE'!C558)</x:f>
      </x:c>
      <x:c r="D590" s="523" t="str">
        <x:f>IF(ISBLANK('_SCHEDULE'!D558),"",'_SCHEDULE'!D558)</x:f>
      </x:c>
      <x:c r="E590" s="530" t="str">
        <x:f>IF(ISBLANK('_SCHEDULE'!E558),"",'_SCHEDULE'!E558)</x:f>
      </x:c>
      <x:c r="F590" s="530" t="str">
        <x:f>IF(ISBLANK('_SCHEDULE'!F558),"",'_SCHEDULE'!F558)</x:f>
      </x:c>
      <x:c r="G590" s="530" t="str">
        <x:f>IF(ISBLANK('_SCHEDULE'!G558),"",'_SCHEDULE'!G558)</x:f>
      </x:c>
      <x:c r="H590" s="530" t="str">
        <x:f>IF(ISBLANK('_SCHEDULE'!H558),"",'_SCHEDULE'!H558)</x:f>
      </x:c>
      <x:c r="I590" s="530" t="str">
        <x:f>IF(ISBLANK('_SCHEDULE'!I558),"",'_SCHEDULE'!I558)</x:f>
      </x:c>
      <x:c r="J590" s="530" t="str">
        <x:f>IF(ISBLANK('_SCHEDULE'!J558),"",'_SCHEDULE'!J558)</x:f>
      </x:c>
      <x:c r="K590" s="530" t="str">
        <x:f>IF(ISBLANK('_SCHEDULE'!K558),"",'_SCHEDULE'!K558)</x:f>
      </x:c>
      <x:c r="L590" s="530" t="str">
        <x:f>IF(ISBLANK('_SCHEDULE'!L558),"",'_SCHEDULE'!L558)</x:f>
      </x:c>
      <x:c r="M590" s="530" t="str">
        <x:f>IF(ISBLANK('_SCHEDULE'!M558),"",'_SCHEDULE'!M558)</x:f>
      </x:c>
      <x:c r="N590" s="530" t="str">
        <x:f>IF(ISBLANK('_SCHEDULE'!N558),"",'_SCHEDULE'!N558)</x:f>
      </x:c>
      <x:c r="O590" s="530" t="str">
        <x:f>IF(ISBLANK('_SCHEDULE'!O558),"",'_SCHEDULE'!O558)</x:f>
      </x:c>
      <x:c r="P590" s="530" t="str">
        <x:f>IF(ISBLANK('_SCHEDULE'!P558),"",'_SCHEDULE'!P558)</x:f>
      </x:c>
      <x:c r="Q590" s="530" t="str">
        <x:f>IF(ISBLANK('_SCHEDULE'!Q558),"",'_SCHEDULE'!Q558)</x:f>
      </x:c>
      <x:c r="R590" s="530" t="str">
        <x:f>IF(ISBLANK('_SCHEDULE'!R558),"",'_SCHEDULE'!R558)</x:f>
      </x:c>
      <x:c r="S590" s="523" t="str">
        <x:f>IF(ISBLANK('_SCHEDULE'!S558),"",'_SCHEDULE'!S558)</x:f>
      </x:c>
      <x:c r="T590" s="38"/>
      <x:c r="U590" s="38"/>
      <x:c r="V590" s="38"/>
      <x:c r="W590" s="38"/>
      <x:c r="X590" s="38"/>
      <x:c r="Y590" s="38"/>
      <x:c r="Z590" s="38"/>
      <x:c r="AA590" s="38"/>
      <x:c r="AB590" s="38"/>
      <x:c r="AC590" s="38"/>
      <x:c r="AD590" s="38"/>
      <x:c r="AE590" s="38"/>
      <x:c r="AF590" s="38"/>
      <x:c r="AG590" s="38"/>
      <x:c r="AH590" s="38"/>
      <x:c r="AI590" s="38"/>
      <x:c r="AJ590" s="38"/>
      <x:c r="AK590" s="38"/>
      <x:c r="AL590" s="38"/>
      <x:c r="AM590" s="38"/>
    </x:row>
    <x:row r="591">
      <x:c r="A591" s="523" t="str">
        <x:f>IF(ISBLANK('_SCHEDULE'!A559),"",'_SCHEDULE'!A559)</x:f>
      </x:c>
      <x:c r="B591" s="523" t="str">
        <x:f>IF(ISBLANK('_SCHEDULE'!B559),"",IF('_CONFIG'!$B$2="pt-BR",IF('_SCHEDULE'!B559="scheduled","programado",IF('_SCHEDULE'!B559="rejected","rejeitado",'_SCHEDULE'!B559)),'_SCHEDULE'!B559))</x:f>
      </x:c>
      <x:c r="C591" s="523" t="str">
        <x:f>IF(ISBLANK('_SCHEDULE'!C559),"",'_SCHEDULE'!C559)</x:f>
      </x:c>
      <x:c r="D591" s="523" t="str">
        <x:f>IF(ISBLANK('_SCHEDULE'!D559),"",'_SCHEDULE'!D559)</x:f>
      </x:c>
      <x:c r="E591" s="530" t="str">
        <x:f>IF(ISBLANK('_SCHEDULE'!E559),"",'_SCHEDULE'!E559)</x:f>
      </x:c>
      <x:c r="F591" s="530" t="str">
        <x:f>IF(ISBLANK('_SCHEDULE'!F559),"",'_SCHEDULE'!F559)</x:f>
      </x:c>
      <x:c r="G591" s="530" t="str">
        <x:f>IF(ISBLANK('_SCHEDULE'!G559),"",'_SCHEDULE'!G559)</x:f>
      </x:c>
      <x:c r="H591" s="530" t="str">
        <x:f>IF(ISBLANK('_SCHEDULE'!H559),"",'_SCHEDULE'!H559)</x:f>
      </x:c>
      <x:c r="I591" s="530" t="str">
        <x:f>IF(ISBLANK('_SCHEDULE'!I559),"",'_SCHEDULE'!I559)</x:f>
      </x:c>
      <x:c r="J591" s="530" t="str">
        <x:f>IF(ISBLANK('_SCHEDULE'!J559),"",'_SCHEDULE'!J559)</x:f>
      </x:c>
      <x:c r="K591" s="530" t="str">
        <x:f>IF(ISBLANK('_SCHEDULE'!K559),"",'_SCHEDULE'!K559)</x:f>
      </x:c>
      <x:c r="L591" s="530" t="str">
        <x:f>IF(ISBLANK('_SCHEDULE'!L559),"",'_SCHEDULE'!L559)</x:f>
      </x:c>
      <x:c r="M591" s="530" t="str">
        <x:f>IF(ISBLANK('_SCHEDULE'!M559),"",'_SCHEDULE'!M559)</x:f>
      </x:c>
      <x:c r="N591" s="530" t="str">
        <x:f>IF(ISBLANK('_SCHEDULE'!N559),"",'_SCHEDULE'!N559)</x:f>
      </x:c>
      <x:c r="O591" s="530" t="str">
        <x:f>IF(ISBLANK('_SCHEDULE'!O559),"",'_SCHEDULE'!O559)</x:f>
      </x:c>
      <x:c r="P591" s="530" t="str">
        <x:f>IF(ISBLANK('_SCHEDULE'!P559),"",'_SCHEDULE'!P559)</x:f>
      </x:c>
      <x:c r="Q591" s="530" t="str">
        <x:f>IF(ISBLANK('_SCHEDULE'!Q559),"",'_SCHEDULE'!Q559)</x:f>
      </x:c>
      <x:c r="R591" s="530" t="str">
        <x:f>IF(ISBLANK('_SCHEDULE'!R559),"",'_SCHEDULE'!R559)</x:f>
      </x:c>
      <x:c r="S591" s="523" t="str">
        <x:f>IF(ISBLANK('_SCHEDULE'!S559),"",'_SCHEDULE'!S559)</x:f>
      </x:c>
      <x:c r="T591" s="38"/>
      <x:c r="U591" s="38"/>
      <x:c r="V591" s="38"/>
      <x:c r="W591" s="38"/>
      <x:c r="X591" s="38"/>
      <x:c r="Y591" s="38"/>
      <x:c r="Z591" s="38"/>
      <x:c r="AA591" s="38"/>
      <x:c r="AB591" s="38"/>
      <x:c r="AC591" s="38"/>
      <x:c r="AD591" s="38"/>
      <x:c r="AE591" s="38"/>
      <x:c r="AF591" s="38"/>
      <x:c r="AG591" s="38"/>
      <x:c r="AH591" s="38"/>
      <x:c r="AI591" s="38"/>
      <x:c r="AJ591" s="38"/>
      <x:c r="AK591" s="38"/>
      <x:c r="AL591" s="38"/>
      <x:c r="AM591" s="38"/>
    </x:row>
    <x:row r="592">
      <x:c r="A592" s="523" t="str">
        <x:f>IF(ISBLANK('_SCHEDULE'!A560),"",'_SCHEDULE'!A560)</x:f>
      </x:c>
      <x:c r="B592" s="523" t="str">
        <x:f>IF(ISBLANK('_SCHEDULE'!B560),"",IF('_CONFIG'!$B$2="pt-BR",IF('_SCHEDULE'!B560="scheduled","programado",IF('_SCHEDULE'!B560="rejected","rejeitado",'_SCHEDULE'!B560)),'_SCHEDULE'!B560))</x:f>
      </x:c>
      <x:c r="C592" s="523" t="str">
        <x:f>IF(ISBLANK('_SCHEDULE'!C560),"",'_SCHEDULE'!C560)</x:f>
      </x:c>
      <x:c r="D592" s="523" t="str">
        <x:f>IF(ISBLANK('_SCHEDULE'!D560),"",'_SCHEDULE'!D560)</x:f>
      </x:c>
      <x:c r="E592" s="530" t="str">
        <x:f>IF(ISBLANK('_SCHEDULE'!E560),"",'_SCHEDULE'!E560)</x:f>
      </x:c>
      <x:c r="F592" s="530" t="str">
        <x:f>IF(ISBLANK('_SCHEDULE'!F560),"",'_SCHEDULE'!F560)</x:f>
      </x:c>
      <x:c r="G592" s="530" t="str">
        <x:f>IF(ISBLANK('_SCHEDULE'!G560),"",'_SCHEDULE'!G560)</x:f>
      </x:c>
      <x:c r="H592" s="530" t="str">
        <x:f>IF(ISBLANK('_SCHEDULE'!H560),"",'_SCHEDULE'!H560)</x:f>
      </x:c>
      <x:c r="I592" s="530" t="str">
        <x:f>IF(ISBLANK('_SCHEDULE'!I560),"",'_SCHEDULE'!I560)</x:f>
      </x:c>
      <x:c r="J592" s="530" t="str">
        <x:f>IF(ISBLANK('_SCHEDULE'!J560),"",'_SCHEDULE'!J560)</x:f>
      </x:c>
      <x:c r="K592" s="530" t="str">
        <x:f>IF(ISBLANK('_SCHEDULE'!K560),"",'_SCHEDULE'!K560)</x:f>
      </x:c>
      <x:c r="L592" s="530" t="str">
        <x:f>IF(ISBLANK('_SCHEDULE'!L560),"",'_SCHEDULE'!L560)</x:f>
      </x:c>
      <x:c r="M592" s="530" t="str">
        <x:f>IF(ISBLANK('_SCHEDULE'!M560),"",'_SCHEDULE'!M560)</x:f>
      </x:c>
      <x:c r="N592" s="530" t="str">
        <x:f>IF(ISBLANK('_SCHEDULE'!N560),"",'_SCHEDULE'!N560)</x:f>
      </x:c>
      <x:c r="O592" s="530" t="str">
        <x:f>IF(ISBLANK('_SCHEDULE'!O560),"",'_SCHEDULE'!O560)</x:f>
      </x:c>
      <x:c r="P592" s="530" t="str">
        <x:f>IF(ISBLANK('_SCHEDULE'!P560),"",'_SCHEDULE'!P560)</x:f>
      </x:c>
      <x:c r="Q592" s="530" t="str">
        <x:f>IF(ISBLANK('_SCHEDULE'!Q560),"",'_SCHEDULE'!Q560)</x:f>
      </x:c>
      <x:c r="R592" s="530" t="str">
        <x:f>IF(ISBLANK('_SCHEDULE'!R560),"",'_SCHEDULE'!R560)</x:f>
      </x:c>
      <x:c r="S592" s="523" t="str">
        <x:f>IF(ISBLANK('_SCHEDULE'!S560),"",'_SCHEDULE'!S560)</x:f>
      </x:c>
      <x:c r="T592" s="38"/>
      <x:c r="U592" s="38"/>
      <x:c r="V592" s="38"/>
      <x:c r="W592" s="38"/>
      <x:c r="X592" s="38"/>
      <x:c r="Y592" s="38"/>
      <x:c r="Z592" s="38"/>
      <x:c r="AA592" s="38"/>
      <x:c r="AB592" s="38"/>
      <x:c r="AC592" s="38"/>
      <x:c r="AD592" s="38"/>
      <x:c r="AE592" s="38"/>
      <x:c r="AF592" s="38"/>
      <x:c r="AG592" s="38"/>
      <x:c r="AH592" s="38"/>
      <x:c r="AI592" s="38"/>
      <x:c r="AJ592" s="38"/>
      <x:c r="AK592" s="38"/>
      <x:c r="AL592" s="38"/>
      <x:c r="AM592" s="38"/>
    </x:row>
    <x:row r="593">
      <x:c r="A593" s="523" t="str">
        <x:f>IF(ISBLANK('_SCHEDULE'!A561),"",'_SCHEDULE'!A561)</x:f>
      </x:c>
      <x:c r="B593" s="523" t="str">
        <x:f>IF(ISBLANK('_SCHEDULE'!B561),"",IF('_CONFIG'!$B$2="pt-BR",IF('_SCHEDULE'!B561="scheduled","programado",IF('_SCHEDULE'!B561="rejected","rejeitado",'_SCHEDULE'!B561)),'_SCHEDULE'!B561))</x:f>
      </x:c>
      <x:c r="C593" s="523" t="str">
        <x:f>IF(ISBLANK('_SCHEDULE'!C561),"",'_SCHEDULE'!C561)</x:f>
      </x:c>
      <x:c r="D593" s="523" t="str">
        <x:f>IF(ISBLANK('_SCHEDULE'!D561),"",'_SCHEDULE'!D561)</x:f>
      </x:c>
      <x:c r="E593" s="530" t="str">
        <x:f>IF(ISBLANK('_SCHEDULE'!E561),"",'_SCHEDULE'!E561)</x:f>
      </x:c>
      <x:c r="F593" s="530" t="str">
        <x:f>IF(ISBLANK('_SCHEDULE'!F561),"",'_SCHEDULE'!F561)</x:f>
      </x:c>
      <x:c r="G593" s="530" t="str">
        <x:f>IF(ISBLANK('_SCHEDULE'!G561),"",'_SCHEDULE'!G561)</x:f>
      </x:c>
      <x:c r="H593" s="530" t="str">
        <x:f>IF(ISBLANK('_SCHEDULE'!H561),"",'_SCHEDULE'!H561)</x:f>
      </x:c>
      <x:c r="I593" s="530" t="str">
        <x:f>IF(ISBLANK('_SCHEDULE'!I561),"",'_SCHEDULE'!I561)</x:f>
      </x:c>
      <x:c r="J593" s="530" t="str">
        <x:f>IF(ISBLANK('_SCHEDULE'!J561),"",'_SCHEDULE'!J561)</x:f>
      </x:c>
      <x:c r="K593" s="530" t="str">
        <x:f>IF(ISBLANK('_SCHEDULE'!K561),"",'_SCHEDULE'!K561)</x:f>
      </x:c>
      <x:c r="L593" s="530" t="str">
        <x:f>IF(ISBLANK('_SCHEDULE'!L561),"",'_SCHEDULE'!L561)</x:f>
      </x:c>
      <x:c r="M593" s="530" t="str">
        <x:f>IF(ISBLANK('_SCHEDULE'!M561),"",'_SCHEDULE'!M561)</x:f>
      </x:c>
      <x:c r="N593" s="530" t="str">
        <x:f>IF(ISBLANK('_SCHEDULE'!N561),"",'_SCHEDULE'!N561)</x:f>
      </x:c>
      <x:c r="O593" s="530" t="str">
        <x:f>IF(ISBLANK('_SCHEDULE'!O561),"",'_SCHEDULE'!O561)</x:f>
      </x:c>
      <x:c r="P593" s="530" t="str">
        <x:f>IF(ISBLANK('_SCHEDULE'!P561),"",'_SCHEDULE'!P561)</x:f>
      </x:c>
      <x:c r="Q593" s="530" t="str">
        <x:f>IF(ISBLANK('_SCHEDULE'!Q561),"",'_SCHEDULE'!Q561)</x:f>
      </x:c>
      <x:c r="R593" s="530" t="str">
        <x:f>IF(ISBLANK('_SCHEDULE'!R561),"",'_SCHEDULE'!R561)</x:f>
      </x:c>
      <x:c r="S593" s="523" t="str">
        <x:f>IF(ISBLANK('_SCHEDULE'!S561),"",'_SCHEDULE'!S561)</x:f>
      </x:c>
      <x:c r="T593" s="38"/>
      <x:c r="U593" s="38"/>
      <x:c r="V593" s="38"/>
      <x:c r="W593" s="38"/>
      <x:c r="X593" s="38"/>
      <x:c r="Y593" s="38"/>
      <x:c r="Z593" s="38"/>
      <x:c r="AA593" s="38"/>
      <x:c r="AB593" s="38"/>
      <x:c r="AC593" s="38"/>
      <x:c r="AD593" s="38"/>
      <x:c r="AE593" s="38"/>
      <x:c r="AF593" s="38"/>
      <x:c r="AG593" s="38"/>
      <x:c r="AH593" s="38"/>
      <x:c r="AI593" s="38"/>
      <x:c r="AJ593" s="38"/>
      <x:c r="AK593" s="38"/>
      <x:c r="AL593" s="38"/>
      <x:c r="AM593" s="38"/>
    </x:row>
    <x:row r="594">
      <x:c r="A594" s="523" t="str">
        <x:f>IF(ISBLANK('_SCHEDULE'!A562),"",'_SCHEDULE'!A562)</x:f>
      </x:c>
      <x:c r="B594" s="523" t="str">
        <x:f>IF(ISBLANK('_SCHEDULE'!B562),"",IF('_CONFIG'!$B$2="pt-BR",IF('_SCHEDULE'!B562="scheduled","programado",IF('_SCHEDULE'!B562="rejected","rejeitado",'_SCHEDULE'!B562)),'_SCHEDULE'!B562))</x:f>
      </x:c>
      <x:c r="C594" s="523" t="str">
        <x:f>IF(ISBLANK('_SCHEDULE'!C562),"",'_SCHEDULE'!C562)</x:f>
      </x:c>
      <x:c r="D594" s="523" t="str">
        <x:f>IF(ISBLANK('_SCHEDULE'!D562),"",'_SCHEDULE'!D562)</x:f>
      </x:c>
      <x:c r="E594" s="530" t="str">
        <x:f>IF(ISBLANK('_SCHEDULE'!E562),"",'_SCHEDULE'!E562)</x:f>
      </x:c>
      <x:c r="F594" s="530" t="str">
        <x:f>IF(ISBLANK('_SCHEDULE'!F562),"",'_SCHEDULE'!F562)</x:f>
      </x:c>
      <x:c r="G594" s="530" t="str">
        <x:f>IF(ISBLANK('_SCHEDULE'!G562),"",'_SCHEDULE'!G562)</x:f>
      </x:c>
      <x:c r="H594" s="530" t="str">
        <x:f>IF(ISBLANK('_SCHEDULE'!H562),"",'_SCHEDULE'!H562)</x:f>
      </x:c>
      <x:c r="I594" s="530" t="str">
        <x:f>IF(ISBLANK('_SCHEDULE'!I562),"",'_SCHEDULE'!I562)</x:f>
      </x:c>
      <x:c r="J594" s="530" t="str">
        <x:f>IF(ISBLANK('_SCHEDULE'!J562),"",'_SCHEDULE'!J562)</x:f>
      </x:c>
      <x:c r="K594" s="530" t="str">
        <x:f>IF(ISBLANK('_SCHEDULE'!K562),"",'_SCHEDULE'!K562)</x:f>
      </x:c>
      <x:c r="L594" s="530" t="str">
        <x:f>IF(ISBLANK('_SCHEDULE'!L562),"",'_SCHEDULE'!L562)</x:f>
      </x:c>
      <x:c r="M594" s="530" t="str">
        <x:f>IF(ISBLANK('_SCHEDULE'!M562),"",'_SCHEDULE'!M562)</x:f>
      </x:c>
      <x:c r="N594" s="530" t="str">
        <x:f>IF(ISBLANK('_SCHEDULE'!N562),"",'_SCHEDULE'!N562)</x:f>
      </x:c>
      <x:c r="O594" s="530" t="str">
        <x:f>IF(ISBLANK('_SCHEDULE'!O562),"",'_SCHEDULE'!O562)</x:f>
      </x:c>
      <x:c r="P594" s="530" t="str">
        <x:f>IF(ISBLANK('_SCHEDULE'!P562),"",'_SCHEDULE'!P562)</x:f>
      </x:c>
      <x:c r="Q594" s="530" t="str">
        <x:f>IF(ISBLANK('_SCHEDULE'!Q562),"",'_SCHEDULE'!Q562)</x:f>
      </x:c>
      <x:c r="R594" s="530" t="str">
        <x:f>IF(ISBLANK('_SCHEDULE'!R562),"",'_SCHEDULE'!R562)</x:f>
      </x:c>
      <x:c r="S594" s="523" t="str">
        <x:f>IF(ISBLANK('_SCHEDULE'!S562),"",'_SCHEDULE'!S562)</x:f>
      </x:c>
      <x:c r="T594" s="38"/>
      <x:c r="U594" s="38"/>
      <x:c r="V594" s="38"/>
      <x:c r="W594" s="38"/>
      <x:c r="X594" s="38"/>
      <x:c r="Y594" s="38"/>
      <x:c r="Z594" s="38"/>
      <x:c r="AA594" s="38"/>
      <x:c r="AB594" s="38"/>
      <x:c r="AC594" s="38"/>
      <x:c r="AD594" s="38"/>
      <x:c r="AE594" s="38"/>
      <x:c r="AF594" s="38"/>
      <x:c r="AG594" s="38"/>
      <x:c r="AH594" s="38"/>
      <x:c r="AI594" s="38"/>
      <x:c r="AJ594" s="38"/>
      <x:c r="AK594" s="38"/>
      <x:c r="AL594" s="38"/>
      <x:c r="AM594" s="38"/>
    </x:row>
    <x:row r="595">
      <x:c r="A595" s="523" t="str">
        <x:f>IF(ISBLANK('_SCHEDULE'!A563),"",'_SCHEDULE'!A563)</x:f>
      </x:c>
      <x:c r="B595" s="523" t="str">
        <x:f>IF(ISBLANK('_SCHEDULE'!B563),"",IF('_CONFIG'!$B$2="pt-BR",IF('_SCHEDULE'!B563="scheduled","programado",IF('_SCHEDULE'!B563="rejected","rejeitado",'_SCHEDULE'!B563)),'_SCHEDULE'!B563))</x:f>
      </x:c>
      <x:c r="C595" s="523" t="str">
        <x:f>IF(ISBLANK('_SCHEDULE'!C563),"",'_SCHEDULE'!C563)</x:f>
      </x:c>
      <x:c r="D595" s="523" t="str">
        <x:f>IF(ISBLANK('_SCHEDULE'!D563),"",'_SCHEDULE'!D563)</x:f>
      </x:c>
      <x:c r="E595" s="530" t="str">
        <x:f>IF(ISBLANK('_SCHEDULE'!E563),"",'_SCHEDULE'!E563)</x:f>
      </x:c>
      <x:c r="F595" s="530" t="str">
        <x:f>IF(ISBLANK('_SCHEDULE'!F563),"",'_SCHEDULE'!F563)</x:f>
      </x:c>
      <x:c r="G595" s="530" t="str">
        <x:f>IF(ISBLANK('_SCHEDULE'!G563),"",'_SCHEDULE'!G563)</x:f>
      </x:c>
      <x:c r="H595" s="530" t="str">
        <x:f>IF(ISBLANK('_SCHEDULE'!H563),"",'_SCHEDULE'!H563)</x:f>
      </x:c>
      <x:c r="I595" s="530" t="str">
        <x:f>IF(ISBLANK('_SCHEDULE'!I563),"",'_SCHEDULE'!I563)</x:f>
      </x:c>
      <x:c r="J595" s="530" t="str">
        <x:f>IF(ISBLANK('_SCHEDULE'!J563),"",'_SCHEDULE'!J563)</x:f>
      </x:c>
      <x:c r="K595" s="530" t="str">
        <x:f>IF(ISBLANK('_SCHEDULE'!K563),"",'_SCHEDULE'!K563)</x:f>
      </x:c>
      <x:c r="L595" s="530" t="str">
        <x:f>IF(ISBLANK('_SCHEDULE'!L563),"",'_SCHEDULE'!L563)</x:f>
      </x:c>
      <x:c r="M595" s="530" t="str">
        <x:f>IF(ISBLANK('_SCHEDULE'!M563),"",'_SCHEDULE'!M563)</x:f>
      </x:c>
      <x:c r="N595" s="530" t="str">
        <x:f>IF(ISBLANK('_SCHEDULE'!N563),"",'_SCHEDULE'!N563)</x:f>
      </x:c>
      <x:c r="O595" s="530" t="str">
        <x:f>IF(ISBLANK('_SCHEDULE'!O563),"",'_SCHEDULE'!O563)</x:f>
      </x:c>
      <x:c r="P595" s="530" t="str">
        <x:f>IF(ISBLANK('_SCHEDULE'!P563),"",'_SCHEDULE'!P563)</x:f>
      </x:c>
      <x:c r="Q595" s="530" t="str">
        <x:f>IF(ISBLANK('_SCHEDULE'!Q563),"",'_SCHEDULE'!Q563)</x:f>
      </x:c>
      <x:c r="R595" s="530" t="str">
        <x:f>IF(ISBLANK('_SCHEDULE'!R563),"",'_SCHEDULE'!R563)</x:f>
      </x:c>
      <x:c r="S595" s="523" t="str">
        <x:f>IF(ISBLANK('_SCHEDULE'!S563),"",'_SCHEDULE'!S563)</x:f>
      </x:c>
      <x:c r="T595" s="38"/>
      <x:c r="U595" s="38"/>
      <x:c r="V595" s="38"/>
      <x:c r="W595" s="38"/>
      <x:c r="X595" s="38"/>
      <x:c r="Y595" s="38"/>
      <x:c r="Z595" s="38"/>
      <x:c r="AA595" s="38"/>
      <x:c r="AB595" s="38"/>
      <x:c r="AC595" s="38"/>
      <x:c r="AD595" s="38"/>
      <x:c r="AE595" s="38"/>
      <x:c r="AF595" s="38"/>
      <x:c r="AG595" s="38"/>
      <x:c r="AH595" s="38"/>
      <x:c r="AI595" s="38"/>
      <x:c r="AJ595" s="38"/>
      <x:c r="AK595" s="38"/>
      <x:c r="AL595" s="38"/>
      <x:c r="AM595" s="38"/>
    </x:row>
    <x:row r="596">
      <x:c r="A596" s="523" t="str">
        <x:f>IF(ISBLANK('_SCHEDULE'!A564),"",'_SCHEDULE'!A564)</x:f>
      </x:c>
      <x:c r="B596" s="523" t="str">
        <x:f>IF(ISBLANK('_SCHEDULE'!B564),"",IF('_CONFIG'!$B$2="pt-BR",IF('_SCHEDULE'!B564="scheduled","programado",IF('_SCHEDULE'!B564="rejected","rejeitado",'_SCHEDULE'!B564)),'_SCHEDULE'!B564))</x:f>
      </x:c>
      <x:c r="C596" s="523" t="str">
        <x:f>IF(ISBLANK('_SCHEDULE'!C564),"",'_SCHEDULE'!C564)</x:f>
      </x:c>
      <x:c r="D596" s="523" t="str">
        <x:f>IF(ISBLANK('_SCHEDULE'!D564),"",'_SCHEDULE'!D564)</x:f>
      </x:c>
      <x:c r="E596" s="530" t="str">
        <x:f>IF(ISBLANK('_SCHEDULE'!E564),"",'_SCHEDULE'!E564)</x:f>
      </x:c>
      <x:c r="F596" s="530" t="str">
        <x:f>IF(ISBLANK('_SCHEDULE'!F564),"",'_SCHEDULE'!F564)</x:f>
      </x:c>
      <x:c r="G596" s="530" t="str">
        <x:f>IF(ISBLANK('_SCHEDULE'!G564),"",'_SCHEDULE'!G564)</x:f>
      </x:c>
      <x:c r="H596" s="530" t="str">
        <x:f>IF(ISBLANK('_SCHEDULE'!H564),"",'_SCHEDULE'!H564)</x:f>
      </x:c>
      <x:c r="I596" s="530" t="str">
        <x:f>IF(ISBLANK('_SCHEDULE'!I564),"",'_SCHEDULE'!I564)</x:f>
      </x:c>
      <x:c r="J596" s="530" t="str">
        <x:f>IF(ISBLANK('_SCHEDULE'!J564),"",'_SCHEDULE'!J564)</x:f>
      </x:c>
      <x:c r="K596" s="530" t="str">
        <x:f>IF(ISBLANK('_SCHEDULE'!K564),"",'_SCHEDULE'!K564)</x:f>
      </x:c>
      <x:c r="L596" s="530" t="str">
        <x:f>IF(ISBLANK('_SCHEDULE'!L564),"",'_SCHEDULE'!L564)</x:f>
      </x:c>
      <x:c r="M596" s="530" t="str">
        <x:f>IF(ISBLANK('_SCHEDULE'!M564),"",'_SCHEDULE'!M564)</x:f>
      </x:c>
      <x:c r="N596" s="530" t="str">
        <x:f>IF(ISBLANK('_SCHEDULE'!N564),"",'_SCHEDULE'!N564)</x:f>
      </x:c>
      <x:c r="O596" s="530" t="str">
        <x:f>IF(ISBLANK('_SCHEDULE'!O564),"",'_SCHEDULE'!O564)</x:f>
      </x:c>
      <x:c r="P596" s="530" t="str">
        <x:f>IF(ISBLANK('_SCHEDULE'!P564),"",'_SCHEDULE'!P564)</x:f>
      </x:c>
      <x:c r="Q596" s="530" t="str">
        <x:f>IF(ISBLANK('_SCHEDULE'!Q564),"",'_SCHEDULE'!Q564)</x:f>
      </x:c>
      <x:c r="R596" s="530" t="str">
        <x:f>IF(ISBLANK('_SCHEDULE'!R564),"",'_SCHEDULE'!R564)</x:f>
      </x:c>
      <x:c r="S596" s="523" t="str">
        <x:f>IF(ISBLANK('_SCHEDULE'!S564),"",'_SCHEDULE'!S564)</x:f>
      </x:c>
      <x:c r="T596" s="38"/>
      <x:c r="U596" s="38"/>
      <x:c r="V596" s="38"/>
      <x:c r="W596" s="38"/>
      <x:c r="X596" s="38"/>
      <x:c r="Y596" s="38"/>
      <x:c r="Z596" s="38"/>
      <x:c r="AA596" s="38"/>
      <x:c r="AB596" s="38"/>
      <x:c r="AC596" s="38"/>
      <x:c r="AD596" s="38"/>
      <x:c r="AE596" s="38"/>
      <x:c r="AF596" s="38"/>
      <x:c r="AG596" s="38"/>
      <x:c r="AH596" s="38"/>
      <x:c r="AI596" s="38"/>
      <x:c r="AJ596" s="38"/>
      <x:c r="AK596" s="38"/>
      <x:c r="AL596" s="38"/>
      <x:c r="AM596" s="38"/>
    </x:row>
    <x:row r="597">
      <x:c r="A597" s="523" t="str">
        <x:f>IF(ISBLANK('_SCHEDULE'!A565),"",'_SCHEDULE'!A565)</x:f>
      </x:c>
      <x:c r="B597" s="523" t="str">
        <x:f>IF(ISBLANK('_SCHEDULE'!B565),"",IF('_CONFIG'!$B$2="pt-BR",IF('_SCHEDULE'!B565="scheduled","programado",IF('_SCHEDULE'!B565="rejected","rejeitado",'_SCHEDULE'!B565)),'_SCHEDULE'!B565))</x:f>
      </x:c>
      <x:c r="C597" s="523" t="str">
        <x:f>IF(ISBLANK('_SCHEDULE'!C565),"",'_SCHEDULE'!C565)</x:f>
      </x:c>
      <x:c r="D597" s="523" t="str">
        <x:f>IF(ISBLANK('_SCHEDULE'!D565),"",'_SCHEDULE'!D565)</x:f>
      </x:c>
      <x:c r="E597" s="530" t="str">
        <x:f>IF(ISBLANK('_SCHEDULE'!E565),"",'_SCHEDULE'!E565)</x:f>
      </x:c>
      <x:c r="F597" s="530" t="str">
        <x:f>IF(ISBLANK('_SCHEDULE'!F565),"",'_SCHEDULE'!F565)</x:f>
      </x:c>
      <x:c r="G597" s="530" t="str">
        <x:f>IF(ISBLANK('_SCHEDULE'!G565),"",'_SCHEDULE'!G565)</x:f>
      </x:c>
      <x:c r="H597" s="530" t="str">
        <x:f>IF(ISBLANK('_SCHEDULE'!H565),"",'_SCHEDULE'!H565)</x:f>
      </x:c>
      <x:c r="I597" s="530" t="str">
        <x:f>IF(ISBLANK('_SCHEDULE'!I565),"",'_SCHEDULE'!I565)</x:f>
      </x:c>
      <x:c r="J597" s="530" t="str">
        <x:f>IF(ISBLANK('_SCHEDULE'!J565),"",'_SCHEDULE'!J565)</x:f>
      </x:c>
      <x:c r="K597" s="530" t="str">
        <x:f>IF(ISBLANK('_SCHEDULE'!K565),"",'_SCHEDULE'!K565)</x:f>
      </x:c>
      <x:c r="L597" s="530" t="str">
        <x:f>IF(ISBLANK('_SCHEDULE'!L565),"",'_SCHEDULE'!L565)</x:f>
      </x:c>
      <x:c r="M597" s="530" t="str">
        <x:f>IF(ISBLANK('_SCHEDULE'!M565),"",'_SCHEDULE'!M565)</x:f>
      </x:c>
      <x:c r="N597" s="530" t="str">
        <x:f>IF(ISBLANK('_SCHEDULE'!N565),"",'_SCHEDULE'!N565)</x:f>
      </x:c>
      <x:c r="O597" s="530" t="str">
        <x:f>IF(ISBLANK('_SCHEDULE'!O565),"",'_SCHEDULE'!O565)</x:f>
      </x:c>
      <x:c r="P597" s="530" t="str">
        <x:f>IF(ISBLANK('_SCHEDULE'!P565),"",'_SCHEDULE'!P565)</x:f>
      </x:c>
      <x:c r="Q597" s="530" t="str">
        <x:f>IF(ISBLANK('_SCHEDULE'!Q565),"",'_SCHEDULE'!Q565)</x:f>
      </x:c>
      <x:c r="R597" s="530" t="str">
        <x:f>IF(ISBLANK('_SCHEDULE'!R565),"",'_SCHEDULE'!R565)</x:f>
      </x:c>
      <x:c r="S597" s="523" t="str">
        <x:f>IF(ISBLANK('_SCHEDULE'!S565),"",'_SCHEDULE'!S565)</x:f>
      </x:c>
      <x:c r="T597" s="38"/>
      <x:c r="U597" s="38"/>
      <x:c r="V597" s="38"/>
      <x:c r="W597" s="38"/>
      <x:c r="X597" s="38"/>
      <x:c r="Y597" s="38"/>
      <x:c r="Z597" s="38"/>
      <x:c r="AA597" s="38"/>
      <x:c r="AB597" s="38"/>
      <x:c r="AC597" s="38"/>
      <x:c r="AD597" s="38"/>
      <x:c r="AE597" s="38"/>
      <x:c r="AF597" s="38"/>
      <x:c r="AG597" s="38"/>
      <x:c r="AH597" s="38"/>
      <x:c r="AI597" s="38"/>
      <x:c r="AJ597" s="38"/>
      <x:c r="AK597" s="38"/>
      <x:c r="AL597" s="38"/>
      <x:c r="AM597" s="38"/>
    </x:row>
    <x:row r="598">
      <x:c r="A598" s="523" t="str">
        <x:f>IF(ISBLANK('_SCHEDULE'!A566),"",'_SCHEDULE'!A566)</x:f>
      </x:c>
      <x:c r="B598" s="523" t="str">
        <x:f>IF(ISBLANK('_SCHEDULE'!B566),"",IF('_CONFIG'!$B$2="pt-BR",IF('_SCHEDULE'!B566="scheduled","programado",IF('_SCHEDULE'!B566="rejected","rejeitado",'_SCHEDULE'!B566)),'_SCHEDULE'!B566))</x:f>
      </x:c>
      <x:c r="C598" s="523" t="str">
        <x:f>IF(ISBLANK('_SCHEDULE'!C566),"",'_SCHEDULE'!C566)</x:f>
      </x:c>
      <x:c r="D598" s="523" t="str">
        <x:f>IF(ISBLANK('_SCHEDULE'!D566),"",'_SCHEDULE'!D566)</x:f>
      </x:c>
      <x:c r="E598" s="530" t="str">
        <x:f>IF(ISBLANK('_SCHEDULE'!E566),"",'_SCHEDULE'!E566)</x:f>
      </x:c>
      <x:c r="F598" s="530" t="str">
        <x:f>IF(ISBLANK('_SCHEDULE'!F566),"",'_SCHEDULE'!F566)</x:f>
      </x:c>
      <x:c r="G598" s="530" t="str">
        <x:f>IF(ISBLANK('_SCHEDULE'!G566),"",'_SCHEDULE'!G566)</x:f>
      </x:c>
      <x:c r="H598" s="530" t="str">
        <x:f>IF(ISBLANK('_SCHEDULE'!H566),"",'_SCHEDULE'!H566)</x:f>
      </x:c>
      <x:c r="I598" s="530" t="str">
        <x:f>IF(ISBLANK('_SCHEDULE'!I566),"",'_SCHEDULE'!I566)</x:f>
      </x:c>
      <x:c r="J598" s="530" t="str">
        <x:f>IF(ISBLANK('_SCHEDULE'!J566),"",'_SCHEDULE'!J566)</x:f>
      </x:c>
      <x:c r="K598" s="530" t="str">
        <x:f>IF(ISBLANK('_SCHEDULE'!K566),"",'_SCHEDULE'!K566)</x:f>
      </x:c>
      <x:c r="L598" s="530" t="str">
        <x:f>IF(ISBLANK('_SCHEDULE'!L566),"",'_SCHEDULE'!L566)</x:f>
      </x:c>
      <x:c r="M598" s="530" t="str">
        <x:f>IF(ISBLANK('_SCHEDULE'!M566),"",'_SCHEDULE'!M566)</x:f>
      </x:c>
      <x:c r="N598" s="530" t="str">
        <x:f>IF(ISBLANK('_SCHEDULE'!N566),"",'_SCHEDULE'!N566)</x:f>
      </x:c>
      <x:c r="O598" s="530" t="str">
        <x:f>IF(ISBLANK('_SCHEDULE'!O566),"",'_SCHEDULE'!O566)</x:f>
      </x:c>
      <x:c r="P598" s="530" t="str">
        <x:f>IF(ISBLANK('_SCHEDULE'!P566),"",'_SCHEDULE'!P566)</x:f>
      </x:c>
      <x:c r="Q598" s="530" t="str">
        <x:f>IF(ISBLANK('_SCHEDULE'!Q566),"",'_SCHEDULE'!Q566)</x:f>
      </x:c>
      <x:c r="R598" s="530" t="str">
        <x:f>IF(ISBLANK('_SCHEDULE'!R566),"",'_SCHEDULE'!R566)</x:f>
      </x:c>
      <x:c r="S598" s="523" t="str">
        <x:f>IF(ISBLANK('_SCHEDULE'!S566),"",'_SCHEDULE'!S566)</x:f>
      </x:c>
      <x:c r="T598" s="38"/>
      <x:c r="U598" s="38"/>
      <x:c r="V598" s="38"/>
      <x:c r="W598" s="38"/>
      <x:c r="X598" s="38"/>
      <x:c r="Y598" s="38"/>
      <x:c r="Z598" s="38"/>
      <x:c r="AA598" s="38"/>
      <x:c r="AB598" s="38"/>
      <x:c r="AC598" s="38"/>
      <x:c r="AD598" s="38"/>
      <x:c r="AE598" s="38"/>
      <x:c r="AF598" s="38"/>
      <x:c r="AG598" s="38"/>
      <x:c r="AH598" s="38"/>
      <x:c r="AI598" s="38"/>
      <x:c r="AJ598" s="38"/>
      <x:c r="AK598" s="38"/>
      <x:c r="AL598" s="38"/>
      <x:c r="AM598" s="38"/>
    </x:row>
    <x:row r="599">
      <x:c r="A599" s="523" t="str">
        <x:f>IF(ISBLANK('_SCHEDULE'!A567),"",'_SCHEDULE'!A567)</x:f>
      </x:c>
      <x:c r="B599" s="523" t="str">
        <x:f>IF(ISBLANK('_SCHEDULE'!B567),"",IF('_CONFIG'!$B$2="pt-BR",IF('_SCHEDULE'!B567="scheduled","programado",IF('_SCHEDULE'!B567="rejected","rejeitado",'_SCHEDULE'!B567)),'_SCHEDULE'!B567))</x:f>
      </x:c>
      <x:c r="C599" s="523" t="str">
        <x:f>IF(ISBLANK('_SCHEDULE'!C567),"",'_SCHEDULE'!C567)</x:f>
      </x:c>
      <x:c r="D599" s="523" t="str">
        <x:f>IF(ISBLANK('_SCHEDULE'!D567),"",'_SCHEDULE'!D567)</x:f>
      </x:c>
      <x:c r="E599" s="530" t="str">
        <x:f>IF(ISBLANK('_SCHEDULE'!E567),"",'_SCHEDULE'!E567)</x:f>
      </x:c>
      <x:c r="F599" s="530" t="str">
        <x:f>IF(ISBLANK('_SCHEDULE'!F567),"",'_SCHEDULE'!F567)</x:f>
      </x:c>
      <x:c r="G599" s="530" t="str">
        <x:f>IF(ISBLANK('_SCHEDULE'!G567),"",'_SCHEDULE'!G567)</x:f>
      </x:c>
      <x:c r="H599" s="530" t="str">
        <x:f>IF(ISBLANK('_SCHEDULE'!H567),"",'_SCHEDULE'!H567)</x:f>
      </x:c>
      <x:c r="I599" s="530" t="str">
        <x:f>IF(ISBLANK('_SCHEDULE'!I567),"",'_SCHEDULE'!I567)</x:f>
      </x:c>
      <x:c r="J599" s="530" t="str">
        <x:f>IF(ISBLANK('_SCHEDULE'!J567),"",'_SCHEDULE'!J567)</x:f>
      </x:c>
      <x:c r="K599" s="530" t="str">
        <x:f>IF(ISBLANK('_SCHEDULE'!K567),"",'_SCHEDULE'!K567)</x:f>
      </x:c>
      <x:c r="L599" s="530" t="str">
        <x:f>IF(ISBLANK('_SCHEDULE'!L567),"",'_SCHEDULE'!L567)</x:f>
      </x:c>
      <x:c r="M599" s="530" t="str">
        <x:f>IF(ISBLANK('_SCHEDULE'!M567),"",'_SCHEDULE'!M567)</x:f>
      </x:c>
      <x:c r="N599" s="530" t="str">
        <x:f>IF(ISBLANK('_SCHEDULE'!N567),"",'_SCHEDULE'!N567)</x:f>
      </x:c>
      <x:c r="O599" s="530" t="str">
        <x:f>IF(ISBLANK('_SCHEDULE'!O567),"",'_SCHEDULE'!O567)</x:f>
      </x:c>
      <x:c r="P599" s="530" t="str">
        <x:f>IF(ISBLANK('_SCHEDULE'!P567),"",'_SCHEDULE'!P567)</x:f>
      </x:c>
      <x:c r="Q599" s="530" t="str">
        <x:f>IF(ISBLANK('_SCHEDULE'!Q567),"",'_SCHEDULE'!Q567)</x:f>
      </x:c>
      <x:c r="R599" s="530" t="str">
        <x:f>IF(ISBLANK('_SCHEDULE'!R567),"",'_SCHEDULE'!R567)</x:f>
      </x:c>
      <x:c r="S599" s="523" t="str">
        <x:f>IF(ISBLANK('_SCHEDULE'!S567),"",'_SCHEDULE'!S567)</x:f>
      </x:c>
      <x:c r="T599" s="38"/>
      <x:c r="U599" s="38"/>
      <x:c r="V599" s="38"/>
      <x:c r="W599" s="38"/>
      <x:c r="X599" s="38"/>
      <x:c r="Y599" s="38"/>
      <x:c r="Z599" s="38"/>
      <x:c r="AA599" s="38"/>
      <x:c r="AB599" s="38"/>
      <x:c r="AC599" s="38"/>
      <x:c r="AD599" s="38"/>
      <x:c r="AE599" s="38"/>
      <x:c r="AF599" s="38"/>
      <x:c r="AG599" s="38"/>
      <x:c r="AH599" s="38"/>
      <x:c r="AI599" s="38"/>
      <x:c r="AJ599" s="38"/>
      <x:c r="AK599" s="38"/>
      <x:c r="AL599" s="38"/>
      <x:c r="AM599" s="38"/>
    </x:row>
    <x:row r="600">
      <x:c r="A600" s="523" t="str">
        <x:f>IF(ISBLANK('_SCHEDULE'!A568),"",'_SCHEDULE'!A568)</x:f>
      </x:c>
      <x:c r="B600" s="523" t="str">
        <x:f>IF(ISBLANK('_SCHEDULE'!B568),"",IF('_CONFIG'!$B$2="pt-BR",IF('_SCHEDULE'!B568="scheduled","programado",IF('_SCHEDULE'!B568="rejected","rejeitado",'_SCHEDULE'!B568)),'_SCHEDULE'!B568))</x:f>
      </x:c>
      <x:c r="C600" s="523" t="str">
        <x:f>IF(ISBLANK('_SCHEDULE'!C568),"",'_SCHEDULE'!C568)</x:f>
      </x:c>
      <x:c r="D600" s="523" t="str">
        <x:f>IF(ISBLANK('_SCHEDULE'!D568),"",'_SCHEDULE'!D568)</x:f>
      </x:c>
      <x:c r="E600" s="530" t="str">
        <x:f>IF(ISBLANK('_SCHEDULE'!E568),"",'_SCHEDULE'!E568)</x:f>
      </x:c>
      <x:c r="F600" s="530" t="str">
        <x:f>IF(ISBLANK('_SCHEDULE'!F568),"",'_SCHEDULE'!F568)</x:f>
      </x:c>
      <x:c r="G600" s="530" t="str">
        <x:f>IF(ISBLANK('_SCHEDULE'!G568),"",'_SCHEDULE'!G568)</x:f>
      </x:c>
      <x:c r="H600" s="530" t="str">
        <x:f>IF(ISBLANK('_SCHEDULE'!H568),"",'_SCHEDULE'!H568)</x:f>
      </x:c>
      <x:c r="I600" s="530" t="str">
        <x:f>IF(ISBLANK('_SCHEDULE'!I568),"",'_SCHEDULE'!I568)</x:f>
      </x:c>
      <x:c r="J600" s="530" t="str">
        <x:f>IF(ISBLANK('_SCHEDULE'!J568),"",'_SCHEDULE'!J568)</x:f>
      </x:c>
      <x:c r="K600" s="530" t="str">
        <x:f>IF(ISBLANK('_SCHEDULE'!K568),"",'_SCHEDULE'!K568)</x:f>
      </x:c>
      <x:c r="L600" s="530" t="str">
        <x:f>IF(ISBLANK('_SCHEDULE'!L568),"",'_SCHEDULE'!L568)</x:f>
      </x:c>
      <x:c r="M600" s="530" t="str">
        <x:f>IF(ISBLANK('_SCHEDULE'!M568),"",'_SCHEDULE'!M568)</x:f>
      </x:c>
      <x:c r="N600" s="530" t="str">
        <x:f>IF(ISBLANK('_SCHEDULE'!N568),"",'_SCHEDULE'!N568)</x:f>
      </x:c>
      <x:c r="O600" s="530" t="str">
        <x:f>IF(ISBLANK('_SCHEDULE'!O568),"",'_SCHEDULE'!O568)</x:f>
      </x:c>
      <x:c r="P600" s="530" t="str">
        <x:f>IF(ISBLANK('_SCHEDULE'!P568),"",'_SCHEDULE'!P568)</x:f>
      </x:c>
      <x:c r="Q600" s="530" t="str">
        <x:f>IF(ISBLANK('_SCHEDULE'!Q568),"",'_SCHEDULE'!Q568)</x:f>
      </x:c>
      <x:c r="R600" s="530" t="str">
        <x:f>IF(ISBLANK('_SCHEDULE'!R568),"",'_SCHEDULE'!R568)</x:f>
      </x:c>
      <x:c r="S600" s="523" t="str">
        <x:f>IF(ISBLANK('_SCHEDULE'!S568),"",'_SCHEDULE'!S568)</x:f>
      </x:c>
      <x:c r="T600" s="38"/>
      <x:c r="U600" s="38"/>
      <x:c r="V600" s="38"/>
      <x:c r="W600" s="38"/>
      <x:c r="X600" s="38"/>
      <x:c r="Y600" s="38"/>
      <x:c r="Z600" s="38"/>
      <x:c r="AA600" s="38"/>
      <x:c r="AB600" s="38"/>
      <x:c r="AC600" s="38"/>
      <x:c r="AD600" s="38"/>
      <x:c r="AE600" s="38"/>
      <x:c r="AF600" s="38"/>
      <x:c r="AG600" s="38"/>
      <x:c r="AH600" s="38"/>
      <x:c r="AI600" s="38"/>
      <x:c r="AJ600" s="38"/>
      <x:c r="AK600" s="38"/>
      <x:c r="AL600" s="38"/>
      <x:c r="AM600" s="38"/>
    </x:row>
    <x:row r="601">
      <x:c r="A601" s="523" t="str">
        <x:f>IF(ISBLANK('_SCHEDULE'!A569),"",'_SCHEDULE'!A569)</x:f>
      </x:c>
      <x:c r="B601" s="523" t="str">
        <x:f>IF(ISBLANK('_SCHEDULE'!B569),"",IF('_CONFIG'!$B$2="pt-BR",IF('_SCHEDULE'!B569="scheduled","programado",IF('_SCHEDULE'!B569="rejected","rejeitado",'_SCHEDULE'!B569)),'_SCHEDULE'!B569))</x:f>
      </x:c>
      <x:c r="C601" s="523" t="str">
        <x:f>IF(ISBLANK('_SCHEDULE'!C569),"",'_SCHEDULE'!C569)</x:f>
      </x:c>
      <x:c r="D601" s="523" t="str">
        <x:f>IF(ISBLANK('_SCHEDULE'!D569),"",'_SCHEDULE'!D569)</x:f>
      </x:c>
      <x:c r="E601" s="530" t="str">
        <x:f>IF(ISBLANK('_SCHEDULE'!E569),"",'_SCHEDULE'!E569)</x:f>
      </x:c>
      <x:c r="F601" s="530" t="str">
        <x:f>IF(ISBLANK('_SCHEDULE'!F569),"",'_SCHEDULE'!F569)</x:f>
      </x:c>
      <x:c r="G601" s="530" t="str">
        <x:f>IF(ISBLANK('_SCHEDULE'!G569),"",'_SCHEDULE'!G569)</x:f>
      </x:c>
      <x:c r="H601" s="530" t="str">
        <x:f>IF(ISBLANK('_SCHEDULE'!H569),"",'_SCHEDULE'!H569)</x:f>
      </x:c>
      <x:c r="I601" s="530" t="str">
        <x:f>IF(ISBLANK('_SCHEDULE'!I569),"",'_SCHEDULE'!I569)</x:f>
      </x:c>
      <x:c r="J601" s="530" t="str">
        <x:f>IF(ISBLANK('_SCHEDULE'!J569),"",'_SCHEDULE'!J569)</x:f>
      </x:c>
      <x:c r="K601" s="530" t="str">
        <x:f>IF(ISBLANK('_SCHEDULE'!K569),"",'_SCHEDULE'!K569)</x:f>
      </x:c>
      <x:c r="L601" s="530" t="str">
        <x:f>IF(ISBLANK('_SCHEDULE'!L569),"",'_SCHEDULE'!L569)</x:f>
      </x:c>
      <x:c r="M601" s="530" t="str">
        <x:f>IF(ISBLANK('_SCHEDULE'!M569),"",'_SCHEDULE'!M569)</x:f>
      </x:c>
      <x:c r="N601" s="530" t="str">
        <x:f>IF(ISBLANK('_SCHEDULE'!N569),"",'_SCHEDULE'!N569)</x:f>
      </x:c>
      <x:c r="O601" s="530" t="str">
        <x:f>IF(ISBLANK('_SCHEDULE'!O569),"",'_SCHEDULE'!O569)</x:f>
      </x:c>
      <x:c r="P601" s="530" t="str">
        <x:f>IF(ISBLANK('_SCHEDULE'!P569),"",'_SCHEDULE'!P569)</x:f>
      </x:c>
      <x:c r="Q601" s="530" t="str">
        <x:f>IF(ISBLANK('_SCHEDULE'!Q569),"",'_SCHEDULE'!Q569)</x:f>
      </x:c>
      <x:c r="R601" s="530" t="str">
        <x:f>IF(ISBLANK('_SCHEDULE'!R569),"",'_SCHEDULE'!R569)</x:f>
      </x:c>
      <x:c r="S601" s="523" t="str">
        <x:f>IF(ISBLANK('_SCHEDULE'!S569),"",'_SCHEDULE'!S569)</x:f>
      </x:c>
      <x:c r="T601" s="38"/>
      <x:c r="U601" s="38"/>
      <x:c r="V601" s="38"/>
      <x:c r="W601" s="38"/>
      <x:c r="X601" s="38"/>
      <x:c r="Y601" s="38"/>
      <x:c r="Z601" s="38"/>
      <x:c r="AA601" s="38"/>
      <x:c r="AB601" s="38"/>
      <x:c r="AC601" s="38"/>
      <x:c r="AD601" s="38"/>
      <x:c r="AE601" s="38"/>
      <x:c r="AF601" s="38"/>
      <x:c r="AG601" s="38"/>
      <x:c r="AH601" s="38"/>
      <x:c r="AI601" s="38"/>
      <x:c r="AJ601" s="38"/>
      <x:c r="AK601" s="38"/>
      <x:c r="AL601" s="38"/>
      <x:c r="AM601" s="38"/>
    </x:row>
    <x:row r="602">
      <x:c r="A602" s="523" t="str">
        <x:f>IF(ISBLANK('_SCHEDULE'!A570),"",'_SCHEDULE'!A570)</x:f>
      </x:c>
      <x:c r="B602" s="523" t="str">
        <x:f>IF(ISBLANK('_SCHEDULE'!B570),"",IF('_CONFIG'!$B$2="pt-BR",IF('_SCHEDULE'!B570="scheduled","programado",IF('_SCHEDULE'!B570="rejected","rejeitado",'_SCHEDULE'!B570)),'_SCHEDULE'!B570))</x:f>
      </x:c>
      <x:c r="C602" s="523" t="str">
        <x:f>IF(ISBLANK('_SCHEDULE'!C570),"",'_SCHEDULE'!C570)</x:f>
      </x:c>
      <x:c r="D602" s="523" t="str">
        <x:f>IF(ISBLANK('_SCHEDULE'!D570),"",'_SCHEDULE'!D570)</x:f>
      </x:c>
      <x:c r="E602" s="530" t="str">
        <x:f>IF(ISBLANK('_SCHEDULE'!E570),"",'_SCHEDULE'!E570)</x:f>
      </x:c>
      <x:c r="F602" s="530" t="str">
        <x:f>IF(ISBLANK('_SCHEDULE'!F570),"",'_SCHEDULE'!F570)</x:f>
      </x:c>
      <x:c r="G602" s="530" t="str">
        <x:f>IF(ISBLANK('_SCHEDULE'!G570),"",'_SCHEDULE'!G570)</x:f>
      </x:c>
      <x:c r="H602" s="530" t="str">
        <x:f>IF(ISBLANK('_SCHEDULE'!H570),"",'_SCHEDULE'!H570)</x:f>
      </x:c>
      <x:c r="I602" s="530" t="str">
        <x:f>IF(ISBLANK('_SCHEDULE'!I570),"",'_SCHEDULE'!I570)</x:f>
      </x:c>
      <x:c r="J602" s="530" t="str">
        <x:f>IF(ISBLANK('_SCHEDULE'!J570),"",'_SCHEDULE'!J570)</x:f>
      </x:c>
      <x:c r="K602" s="530" t="str">
        <x:f>IF(ISBLANK('_SCHEDULE'!K570),"",'_SCHEDULE'!K570)</x:f>
      </x:c>
      <x:c r="L602" s="530" t="str">
        <x:f>IF(ISBLANK('_SCHEDULE'!L570),"",'_SCHEDULE'!L570)</x:f>
      </x:c>
      <x:c r="M602" s="530" t="str">
        <x:f>IF(ISBLANK('_SCHEDULE'!M570),"",'_SCHEDULE'!M570)</x:f>
      </x:c>
      <x:c r="N602" s="530" t="str">
        <x:f>IF(ISBLANK('_SCHEDULE'!N570),"",'_SCHEDULE'!N570)</x:f>
      </x:c>
      <x:c r="O602" s="530" t="str">
        <x:f>IF(ISBLANK('_SCHEDULE'!O570),"",'_SCHEDULE'!O570)</x:f>
      </x:c>
      <x:c r="P602" s="530" t="str">
        <x:f>IF(ISBLANK('_SCHEDULE'!P570),"",'_SCHEDULE'!P570)</x:f>
      </x:c>
      <x:c r="Q602" s="530" t="str">
        <x:f>IF(ISBLANK('_SCHEDULE'!Q570),"",'_SCHEDULE'!Q570)</x:f>
      </x:c>
      <x:c r="R602" s="530" t="str">
        <x:f>IF(ISBLANK('_SCHEDULE'!R570),"",'_SCHEDULE'!R570)</x:f>
      </x:c>
      <x:c r="S602" s="523" t="str">
        <x:f>IF(ISBLANK('_SCHEDULE'!S570),"",'_SCHEDULE'!S570)</x:f>
      </x:c>
      <x:c r="T602" s="38"/>
      <x:c r="U602" s="38"/>
      <x:c r="V602" s="38"/>
      <x:c r="W602" s="38"/>
      <x:c r="X602" s="38"/>
      <x:c r="Y602" s="38"/>
      <x:c r="Z602" s="38"/>
      <x:c r="AA602" s="38"/>
      <x:c r="AB602" s="38"/>
      <x:c r="AC602" s="38"/>
      <x:c r="AD602" s="38"/>
      <x:c r="AE602" s="38"/>
      <x:c r="AF602" s="38"/>
      <x:c r="AG602" s="38"/>
      <x:c r="AH602" s="38"/>
      <x:c r="AI602" s="38"/>
      <x:c r="AJ602" s="38"/>
      <x:c r="AK602" s="38"/>
      <x:c r="AL602" s="38"/>
      <x:c r="AM602" s="38"/>
    </x:row>
    <x:row r="603">
      <x:c r="A603" s="523" t="str">
        <x:f>IF(ISBLANK('_SCHEDULE'!A571),"",'_SCHEDULE'!A571)</x:f>
      </x:c>
      <x:c r="B603" s="523" t="str">
        <x:f>IF(ISBLANK('_SCHEDULE'!B571),"",IF('_CONFIG'!$B$2="pt-BR",IF('_SCHEDULE'!B571="scheduled","programado",IF('_SCHEDULE'!B571="rejected","rejeitado",'_SCHEDULE'!B571)),'_SCHEDULE'!B571))</x:f>
      </x:c>
      <x:c r="C603" s="523" t="str">
        <x:f>IF(ISBLANK('_SCHEDULE'!C571),"",'_SCHEDULE'!C571)</x:f>
      </x:c>
      <x:c r="D603" s="523" t="str">
        <x:f>IF(ISBLANK('_SCHEDULE'!D571),"",'_SCHEDULE'!D571)</x:f>
      </x:c>
      <x:c r="E603" s="530" t="str">
        <x:f>IF(ISBLANK('_SCHEDULE'!E571),"",'_SCHEDULE'!E571)</x:f>
      </x:c>
      <x:c r="F603" s="530" t="str">
        <x:f>IF(ISBLANK('_SCHEDULE'!F571),"",'_SCHEDULE'!F571)</x:f>
      </x:c>
      <x:c r="G603" s="530" t="str">
        <x:f>IF(ISBLANK('_SCHEDULE'!G571),"",'_SCHEDULE'!G571)</x:f>
      </x:c>
      <x:c r="H603" s="530" t="str">
        <x:f>IF(ISBLANK('_SCHEDULE'!H571),"",'_SCHEDULE'!H571)</x:f>
      </x:c>
      <x:c r="I603" s="530" t="str">
        <x:f>IF(ISBLANK('_SCHEDULE'!I571),"",'_SCHEDULE'!I571)</x:f>
      </x:c>
      <x:c r="J603" s="530" t="str">
        <x:f>IF(ISBLANK('_SCHEDULE'!J571),"",'_SCHEDULE'!J571)</x:f>
      </x:c>
      <x:c r="K603" s="530" t="str">
        <x:f>IF(ISBLANK('_SCHEDULE'!K571),"",'_SCHEDULE'!K571)</x:f>
      </x:c>
      <x:c r="L603" s="530" t="str">
        <x:f>IF(ISBLANK('_SCHEDULE'!L571),"",'_SCHEDULE'!L571)</x:f>
      </x:c>
      <x:c r="M603" s="530" t="str">
        <x:f>IF(ISBLANK('_SCHEDULE'!M571),"",'_SCHEDULE'!M571)</x:f>
      </x:c>
      <x:c r="N603" s="530" t="str">
        <x:f>IF(ISBLANK('_SCHEDULE'!N571),"",'_SCHEDULE'!N571)</x:f>
      </x:c>
      <x:c r="O603" s="530" t="str">
        <x:f>IF(ISBLANK('_SCHEDULE'!O571),"",'_SCHEDULE'!O571)</x:f>
      </x:c>
      <x:c r="P603" s="530" t="str">
        <x:f>IF(ISBLANK('_SCHEDULE'!P571),"",'_SCHEDULE'!P571)</x:f>
      </x:c>
      <x:c r="Q603" s="530" t="str">
        <x:f>IF(ISBLANK('_SCHEDULE'!Q571),"",'_SCHEDULE'!Q571)</x:f>
      </x:c>
      <x:c r="R603" s="530" t="str">
        <x:f>IF(ISBLANK('_SCHEDULE'!R571),"",'_SCHEDULE'!R571)</x:f>
      </x:c>
      <x:c r="S603" s="523" t="str">
        <x:f>IF(ISBLANK('_SCHEDULE'!S571),"",'_SCHEDULE'!S571)</x:f>
      </x:c>
      <x:c r="T603" s="38"/>
      <x:c r="U603" s="38"/>
      <x:c r="V603" s="38"/>
      <x:c r="W603" s="38"/>
      <x:c r="X603" s="38"/>
      <x:c r="Y603" s="38"/>
      <x:c r="Z603" s="38"/>
      <x:c r="AA603" s="38"/>
      <x:c r="AB603" s="38"/>
      <x:c r="AC603" s="38"/>
      <x:c r="AD603" s="38"/>
      <x:c r="AE603" s="38"/>
      <x:c r="AF603" s="38"/>
      <x:c r="AG603" s="38"/>
      <x:c r="AH603" s="38"/>
      <x:c r="AI603" s="38"/>
      <x:c r="AJ603" s="38"/>
      <x:c r="AK603" s="38"/>
      <x:c r="AL603" s="38"/>
      <x:c r="AM603" s="38"/>
    </x:row>
    <x:row r="604">
      <x:c r="A604" s="523" t="str">
        <x:f>IF(ISBLANK('_SCHEDULE'!A572),"",'_SCHEDULE'!A572)</x:f>
      </x:c>
      <x:c r="B604" s="523" t="str">
        <x:f>IF(ISBLANK('_SCHEDULE'!B572),"",IF('_CONFIG'!$B$2="pt-BR",IF('_SCHEDULE'!B572="scheduled","programado",IF('_SCHEDULE'!B572="rejected","rejeitado",'_SCHEDULE'!B572)),'_SCHEDULE'!B572))</x:f>
      </x:c>
      <x:c r="C604" s="523" t="str">
        <x:f>IF(ISBLANK('_SCHEDULE'!C572),"",'_SCHEDULE'!C572)</x:f>
      </x:c>
      <x:c r="D604" s="523" t="str">
        <x:f>IF(ISBLANK('_SCHEDULE'!D572),"",'_SCHEDULE'!D572)</x:f>
      </x:c>
      <x:c r="E604" s="530" t="str">
        <x:f>IF(ISBLANK('_SCHEDULE'!E572),"",'_SCHEDULE'!E572)</x:f>
      </x:c>
      <x:c r="F604" s="530" t="str">
        <x:f>IF(ISBLANK('_SCHEDULE'!F572),"",'_SCHEDULE'!F572)</x:f>
      </x:c>
      <x:c r="G604" s="530" t="str">
        <x:f>IF(ISBLANK('_SCHEDULE'!G572),"",'_SCHEDULE'!G572)</x:f>
      </x:c>
      <x:c r="H604" s="530" t="str">
        <x:f>IF(ISBLANK('_SCHEDULE'!H572),"",'_SCHEDULE'!H572)</x:f>
      </x:c>
      <x:c r="I604" s="530" t="str">
        <x:f>IF(ISBLANK('_SCHEDULE'!I572),"",'_SCHEDULE'!I572)</x:f>
      </x:c>
      <x:c r="J604" s="530" t="str">
        <x:f>IF(ISBLANK('_SCHEDULE'!J572),"",'_SCHEDULE'!J572)</x:f>
      </x:c>
      <x:c r="K604" s="530" t="str">
        <x:f>IF(ISBLANK('_SCHEDULE'!K572),"",'_SCHEDULE'!K572)</x:f>
      </x:c>
      <x:c r="L604" s="530" t="str">
        <x:f>IF(ISBLANK('_SCHEDULE'!L572),"",'_SCHEDULE'!L572)</x:f>
      </x:c>
      <x:c r="M604" s="530" t="str">
        <x:f>IF(ISBLANK('_SCHEDULE'!M572),"",'_SCHEDULE'!M572)</x:f>
      </x:c>
      <x:c r="N604" s="530" t="str">
        <x:f>IF(ISBLANK('_SCHEDULE'!N572),"",'_SCHEDULE'!N572)</x:f>
      </x:c>
      <x:c r="O604" s="530" t="str">
        <x:f>IF(ISBLANK('_SCHEDULE'!O572),"",'_SCHEDULE'!O572)</x:f>
      </x:c>
      <x:c r="P604" s="530" t="str">
        <x:f>IF(ISBLANK('_SCHEDULE'!P572),"",'_SCHEDULE'!P572)</x:f>
      </x:c>
      <x:c r="Q604" s="530" t="str">
        <x:f>IF(ISBLANK('_SCHEDULE'!Q572),"",'_SCHEDULE'!Q572)</x:f>
      </x:c>
      <x:c r="R604" s="530" t="str">
        <x:f>IF(ISBLANK('_SCHEDULE'!R572),"",'_SCHEDULE'!R572)</x:f>
      </x:c>
      <x:c r="S604" s="523" t="str">
        <x:f>IF(ISBLANK('_SCHEDULE'!S572),"",'_SCHEDULE'!S572)</x:f>
      </x:c>
      <x:c r="T604" s="38"/>
      <x:c r="U604" s="38"/>
      <x:c r="V604" s="38"/>
      <x:c r="W604" s="38"/>
      <x:c r="X604" s="38"/>
      <x:c r="Y604" s="38"/>
      <x:c r="Z604" s="38"/>
      <x:c r="AA604" s="38"/>
      <x:c r="AB604" s="38"/>
      <x:c r="AC604" s="38"/>
      <x:c r="AD604" s="38"/>
      <x:c r="AE604" s="38"/>
      <x:c r="AF604" s="38"/>
      <x:c r="AG604" s="38"/>
      <x:c r="AH604" s="38"/>
      <x:c r="AI604" s="38"/>
      <x:c r="AJ604" s="38"/>
      <x:c r="AK604" s="38"/>
      <x:c r="AL604" s="38"/>
      <x:c r="AM604" s="38"/>
    </x:row>
    <x:row r="605">
      <x:c r="A605" s="523" t="str">
        <x:f>IF(ISBLANK('_SCHEDULE'!A573),"",'_SCHEDULE'!A573)</x:f>
      </x:c>
      <x:c r="B605" s="523" t="str">
        <x:f>IF(ISBLANK('_SCHEDULE'!B573),"",IF('_CONFIG'!$B$2="pt-BR",IF('_SCHEDULE'!B573="scheduled","programado",IF('_SCHEDULE'!B573="rejected","rejeitado",'_SCHEDULE'!B573)),'_SCHEDULE'!B573))</x:f>
      </x:c>
      <x:c r="C605" s="523" t="str">
        <x:f>IF(ISBLANK('_SCHEDULE'!C573),"",'_SCHEDULE'!C573)</x:f>
      </x:c>
      <x:c r="D605" s="523" t="str">
        <x:f>IF(ISBLANK('_SCHEDULE'!D573),"",'_SCHEDULE'!D573)</x:f>
      </x:c>
      <x:c r="E605" s="530" t="str">
        <x:f>IF(ISBLANK('_SCHEDULE'!E573),"",'_SCHEDULE'!E573)</x:f>
      </x:c>
      <x:c r="F605" s="530" t="str">
        <x:f>IF(ISBLANK('_SCHEDULE'!F573),"",'_SCHEDULE'!F573)</x:f>
      </x:c>
      <x:c r="G605" s="530" t="str">
        <x:f>IF(ISBLANK('_SCHEDULE'!G573),"",'_SCHEDULE'!G573)</x:f>
      </x:c>
      <x:c r="H605" s="530" t="str">
        <x:f>IF(ISBLANK('_SCHEDULE'!H573),"",'_SCHEDULE'!H573)</x:f>
      </x:c>
      <x:c r="I605" s="530" t="str">
        <x:f>IF(ISBLANK('_SCHEDULE'!I573),"",'_SCHEDULE'!I573)</x:f>
      </x:c>
      <x:c r="J605" s="530" t="str">
        <x:f>IF(ISBLANK('_SCHEDULE'!J573),"",'_SCHEDULE'!J573)</x:f>
      </x:c>
      <x:c r="K605" s="530" t="str">
        <x:f>IF(ISBLANK('_SCHEDULE'!K573),"",'_SCHEDULE'!K573)</x:f>
      </x:c>
      <x:c r="L605" s="530" t="str">
        <x:f>IF(ISBLANK('_SCHEDULE'!L573),"",'_SCHEDULE'!L573)</x:f>
      </x:c>
      <x:c r="M605" s="530" t="str">
        <x:f>IF(ISBLANK('_SCHEDULE'!M573),"",'_SCHEDULE'!M573)</x:f>
      </x:c>
      <x:c r="N605" s="530" t="str">
        <x:f>IF(ISBLANK('_SCHEDULE'!N573),"",'_SCHEDULE'!N573)</x:f>
      </x:c>
      <x:c r="O605" s="530" t="str">
        <x:f>IF(ISBLANK('_SCHEDULE'!O573),"",'_SCHEDULE'!O573)</x:f>
      </x:c>
      <x:c r="P605" s="530" t="str">
        <x:f>IF(ISBLANK('_SCHEDULE'!P573),"",'_SCHEDULE'!P573)</x:f>
      </x:c>
      <x:c r="Q605" s="530" t="str">
        <x:f>IF(ISBLANK('_SCHEDULE'!Q573),"",'_SCHEDULE'!Q573)</x:f>
      </x:c>
      <x:c r="R605" s="530" t="str">
        <x:f>IF(ISBLANK('_SCHEDULE'!R573),"",'_SCHEDULE'!R573)</x:f>
      </x:c>
      <x:c r="S605" s="523" t="str">
        <x:f>IF(ISBLANK('_SCHEDULE'!S573),"",'_SCHEDULE'!S573)</x:f>
      </x:c>
      <x:c r="T605" s="38"/>
      <x:c r="U605" s="38"/>
      <x:c r="V605" s="38"/>
      <x:c r="W605" s="38"/>
      <x:c r="X605" s="38"/>
      <x:c r="Y605" s="38"/>
      <x:c r="Z605" s="38"/>
      <x:c r="AA605" s="38"/>
      <x:c r="AB605" s="38"/>
      <x:c r="AC605" s="38"/>
      <x:c r="AD605" s="38"/>
      <x:c r="AE605" s="38"/>
      <x:c r="AF605" s="38"/>
      <x:c r="AG605" s="38"/>
      <x:c r="AH605" s="38"/>
      <x:c r="AI605" s="38"/>
      <x:c r="AJ605" s="38"/>
      <x:c r="AK605" s="38"/>
      <x:c r="AL605" s="38"/>
      <x:c r="AM605" s="38"/>
    </x:row>
    <x:row r="606">
      <x:c r="A606" s="523" t="str">
        <x:f>IF(ISBLANK('_SCHEDULE'!A574),"",'_SCHEDULE'!A574)</x:f>
      </x:c>
      <x:c r="B606" s="523" t="str">
        <x:f>IF(ISBLANK('_SCHEDULE'!B574),"",IF('_CONFIG'!$B$2="pt-BR",IF('_SCHEDULE'!B574="scheduled","programado",IF('_SCHEDULE'!B574="rejected","rejeitado",'_SCHEDULE'!B574)),'_SCHEDULE'!B574))</x:f>
      </x:c>
      <x:c r="C606" s="523" t="str">
        <x:f>IF(ISBLANK('_SCHEDULE'!C574),"",'_SCHEDULE'!C574)</x:f>
      </x:c>
      <x:c r="D606" s="523" t="str">
        <x:f>IF(ISBLANK('_SCHEDULE'!D574),"",'_SCHEDULE'!D574)</x:f>
      </x:c>
      <x:c r="E606" s="530" t="str">
        <x:f>IF(ISBLANK('_SCHEDULE'!E574),"",'_SCHEDULE'!E574)</x:f>
      </x:c>
      <x:c r="F606" s="530" t="str">
        <x:f>IF(ISBLANK('_SCHEDULE'!F574),"",'_SCHEDULE'!F574)</x:f>
      </x:c>
      <x:c r="G606" s="530" t="str">
        <x:f>IF(ISBLANK('_SCHEDULE'!G574),"",'_SCHEDULE'!G574)</x:f>
      </x:c>
      <x:c r="H606" s="530" t="str">
        <x:f>IF(ISBLANK('_SCHEDULE'!H574),"",'_SCHEDULE'!H574)</x:f>
      </x:c>
      <x:c r="I606" s="530" t="str">
        <x:f>IF(ISBLANK('_SCHEDULE'!I574),"",'_SCHEDULE'!I574)</x:f>
      </x:c>
      <x:c r="J606" s="530" t="str">
        <x:f>IF(ISBLANK('_SCHEDULE'!J574),"",'_SCHEDULE'!J574)</x:f>
      </x:c>
      <x:c r="K606" s="530" t="str">
        <x:f>IF(ISBLANK('_SCHEDULE'!K574),"",'_SCHEDULE'!K574)</x:f>
      </x:c>
      <x:c r="L606" s="530" t="str">
        <x:f>IF(ISBLANK('_SCHEDULE'!L574),"",'_SCHEDULE'!L574)</x:f>
      </x:c>
      <x:c r="M606" s="530" t="str">
        <x:f>IF(ISBLANK('_SCHEDULE'!M574),"",'_SCHEDULE'!M574)</x:f>
      </x:c>
      <x:c r="N606" s="530" t="str">
        <x:f>IF(ISBLANK('_SCHEDULE'!N574),"",'_SCHEDULE'!N574)</x:f>
      </x:c>
      <x:c r="O606" s="530" t="str">
        <x:f>IF(ISBLANK('_SCHEDULE'!O574),"",'_SCHEDULE'!O574)</x:f>
      </x:c>
      <x:c r="P606" s="530" t="str">
        <x:f>IF(ISBLANK('_SCHEDULE'!P574),"",'_SCHEDULE'!P574)</x:f>
      </x:c>
      <x:c r="Q606" s="530" t="str">
        <x:f>IF(ISBLANK('_SCHEDULE'!Q574),"",'_SCHEDULE'!Q574)</x:f>
      </x:c>
      <x:c r="R606" s="530" t="str">
        <x:f>IF(ISBLANK('_SCHEDULE'!R574),"",'_SCHEDULE'!R574)</x:f>
      </x:c>
      <x:c r="S606" s="523" t="str">
        <x:f>IF(ISBLANK('_SCHEDULE'!S574),"",'_SCHEDULE'!S574)</x:f>
      </x:c>
      <x:c r="T606" s="38"/>
      <x:c r="U606" s="38"/>
      <x:c r="V606" s="38"/>
      <x:c r="W606" s="38"/>
      <x:c r="X606" s="38"/>
      <x:c r="Y606" s="38"/>
      <x:c r="Z606" s="38"/>
      <x:c r="AA606" s="38"/>
      <x:c r="AB606" s="38"/>
      <x:c r="AC606" s="38"/>
      <x:c r="AD606" s="38"/>
      <x:c r="AE606" s="38"/>
      <x:c r="AF606" s="38"/>
      <x:c r="AG606" s="38"/>
      <x:c r="AH606" s="38"/>
      <x:c r="AI606" s="38"/>
      <x:c r="AJ606" s="38"/>
      <x:c r="AK606" s="38"/>
      <x:c r="AL606" s="38"/>
      <x:c r="AM606" s="38"/>
    </x:row>
    <x:row r="607">
      <x:c r="A607" s="523" t="str">
        <x:f>IF(ISBLANK('_SCHEDULE'!A575),"",'_SCHEDULE'!A575)</x:f>
      </x:c>
      <x:c r="B607" s="523" t="str">
        <x:f>IF(ISBLANK('_SCHEDULE'!B575),"",IF('_CONFIG'!$B$2="pt-BR",IF('_SCHEDULE'!B575="scheduled","programado",IF('_SCHEDULE'!B575="rejected","rejeitado",'_SCHEDULE'!B575)),'_SCHEDULE'!B575))</x:f>
      </x:c>
      <x:c r="C607" s="523" t="str">
        <x:f>IF(ISBLANK('_SCHEDULE'!C575),"",'_SCHEDULE'!C575)</x:f>
      </x:c>
      <x:c r="D607" s="523" t="str">
        <x:f>IF(ISBLANK('_SCHEDULE'!D575),"",'_SCHEDULE'!D575)</x:f>
      </x:c>
      <x:c r="E607" s="530" t="str">
        <x:f>IF(ISBLANK('_SCHEDULE'!E575),"",'_SCHEDULE'!E575)</x:f>
      </x:c>
      <x:c r="F607" s="530" t="str">
        <x:f>IF(ISBLANK('_SCHEDULE'!F575),"",'_SCHEDULE'!F575)</x:f>
      </x:c>
      <x:c r="G607" s="530" t="str">
        <x:f>IF(ISBLANK('_SCHEDULE'!G575),"",'_SCHEDULE'!G575)</x:f>
      </x:c>
      <x:c r="H607" s="530" t="str">
        <x:f>IF(ISBLANK('_SCHEDULE'!H575),"",'_SCHEDULE'!H575)</x:f>
      </x:c>
      <x:c r="I607" s="530" t="str">
        <x:f>IF(ISBLANK('_SCHEDULE'!I575),"",'_SCHEDULE'!I575)</x:f>
      </x:c>
      <x:c r="J607" s="530" t="str">
        <x:f>IF(ISBLANK('_SCHEDULE'!J575),"",'_SCHEDULE'!J575)</x:f>
      </x:c>
      <x:c r="K607" s="530" t="str">
        <x:f>IF(ISBLANK('_SCHEDULE'!K575),"",'_SCHEDULE'!K575)</x:f>
      </x:c>
      <x:c r="L607" s="530" t="str">
        <x:f>IF(ISBLANK('_SCHEDULE'!L575),"",'_SCHEDULE'!L575)</x:f>
      </x:c>
      <x:c r="M607" s="530" t="str">
        <x:f>IF(ISBLANK('_SCHEDULE'!M575),"",'_SCHEDULE'!M575)</x:f>
      </x:c>
      <x:c r="N607" s="530" t="str">
        <x:f>IF(ISBLANK('_SCHEDULE'!N575),"",'_SCHEDULE'!N575)</x:f>
      </x:c>
      <x:c r="O607" s="530" t="str">
        <x:f>IF(ISBLANK('_SCHEDULE'!O575),"",'_SCHEDULE'!O575)</x:f>
      </x:c>
      <x:c r="P607" s="530" t="str">
        <x:f>IF(ISBLANK('_SCHEDULE'!P575),"",'_SCHEDULE'!P575)</x:f>
      </x:c>
      <x:c r="Q607" s="530" t="str">
        <x:f>IF(ISBLANK('_SCHEDULE'!Q575),"",'_SCHEDULE'!Q575)</x:f>
      </x:c>
      <x:c r="R607" s="530" t="str">
        <x:f>IF(ISBLANK('_SCHEDULE'!R575),"",'_SCHEDULE'!R575)</x:f>
      </x:c>
      <x:c r="S607" s="523" t="str">
        <x:f>IF(ISBLANK('_SCHEDULE'!S575),"",'_SCHEDULE'!S575)</x:f>
      </x:c>
      <x:c r="T607" s="38"/>
      <x:c r="U607" s="38"/>
      <x:c r="V607" s="38"/>
      <x:c r="W607" s="38"/>
      <x:c r="X607" s="38"/>
      <x:c r="Y607" s="38"/>
      <x:c r="Z607" s="38"/>
      <x:c r="AA607" s="38"/>
      <x:c r="AB607" s="38"/>
      <x:c r="AC607" s="38"/>
      <x:c r="AD607" s="38"/>
      <x:c r="AE607" s="38"/>
      <x:c r="AF607" s="38"/>
      <x:c r="AG607" s="38"/>
      <x:c r="AH607" s="38"/>
      <x:c r="AI607" s="38"/>
      <x:c r="AJ607" s="38"/>
      <x:c r="AK607" s="38"/>
      <x:c r="AL607" s="38"/>
      <x:c r="AM607" s="38"/>
    </x:row>
    <x:row r="608">
      <x:c r="A608" s="523" t="str">
        <x:f>IF(ISBLANK('_SCHEDULE'!A576),"",'_SCHEDULE'!A576)</x:f>
      </x:c>
      <x:c r="B608" s="523" t="str">
        <x:f>IF(ISBLANK('_SCHEDULE'!B576),"",IF('_CONFIG'!$B$2="pt-BR",IF('_SCHEDULE'!B576="scheduled","programado",IF('_SCHEDULE'!B576="rejected","rejeitado",'_SCHEDULE'!B576)),'_SCHEDULE'!B576))</x:f>
      </x:c>
      <x:c r="C608" s="523" t="str">
        <x:f>IF(ISBLANK('_SCHEDULE'!C576),"",'_SCHEDULE'!C576)</x:f>
      </x:c>
      <x:c r="D608" s="523" t="str">
        <x:f>IF(ISBLANK('_SCHEDULE'!D576),"",'_SCHEDULE'!D576)</x:f>
      </x:c>
      <x:c r="E608" s="530" t="str">
        <x:f>IF(ISBLANK('_SCHEDULE'!E576),"",'_SCHEDULE'!E576)</x:f>
      </x:c>
      <x:c r="F608" s="530" t="str">
        <x:f>IF(ISBLANK('_SCHEDULE'!F576),"",'_SCHEDULE'!F576)</x:f>
      </x:c>
      <x:c r="G608" s="530" t="str">
        <x:f>IF(ISBLANK('_SCHEDULE'!G576),"",'_SCHEDULE'!G576)</x:f>
      </x:c>
      <x:c r="H608" s="530" t="str">
        <x:f>IF(ISBLANK('_SCHEDULE'!H576),"",'_SCHEDULE'!H576)</x:f>
      </x:c>
      <x:c r="I608" s="530" t="str">
        <x:f>IF(ISBLANK('_SCHEDULE'!I576),"",'_SCHEDULE'!I576)</x:f>
      </x:c>
      <x:c r="J608" s="530" t="str">
        <x:f>IF(ISBLANK('_SCHEDULE'!J576),"",'_SCHEDULE'!J576)</x:f>
      </x:c>
      <x:c r="K608" s="530" t="str">
        <x:f>IF(ISBLANK('_SCHEDULE'!K576),"",'_SCHEDULE'!K576)</x:f>
      </x:c>
      <x:c r="L608" s="530" t="str">
        <x:f>IF(ISBLANK('_SCHEDULE'!L576),"",'_SCHEDULE'!L576)</x:f>
      </x:c>
      <x:c r="M608" s="530" t="str">
        <x:f>IF(ISBLANK('_SCHEDULE'!M576),"",'_SCHEDULE'!M576)</x:f>
      </x:c>
      <x:c r="N608" s="530" t="str">
        <x:f>IF(ISBLANK('_SCHEDULE'!N576),"",'_SCHEDULE'!N576)</x:f>
      </x:c>
      <x:c r="O608" s="530" t="str">
        <x:f>IF(ISBLANK('_SCHEDULE'!O576),"",'_SCHEDULE'!O576)</x:f>
      </x:c>
      <x:c r="P608" s="530" t="str">
        <x:f>IF(ISBLANK('_SCHEDULE'!P576),"",'_SCHEDULE'!P576)</x:f>
      </x:c>
      <x:c r="Q608" s="530" t="str">
        <x:f>IF(ISBLANK('_SCHEDULE'!Q576),"",'_SCHEDULE'!Q576)</x:f>
      </x:c>
      <x:c r="R608" s="530" t="str">
        <x:f>IF(ISBLANK('_SCHEDULE'!R576),"",'_SCHEDULE'!R576)</x:f>
      </x:c>
      <x:c r="S608" s="523" t="str">
        <x:f>IF(ISBLANK('_SCHEDULE'!S576),"",'_SCHEDULE'!S576)</x:f>
      </x:c>
      <x:c r="T608" s="38"/>
      <x:c r="U608" s="38"/>
      <x:c r="V608" s="38"/>
      <x:c r="W608" s="38"/>
      <x:c r="X608" s="38"/>
      <x:c r="Y608" s="38"/>
      <x:c r="Z608" s="38"/>
      <x:c r="AA608" s="38"/>
      <x:c r="AB608" s="38"/>
      <x:c r="AC608" s="38"/>
      <x:c r="AD608" s="38"/>
      <x:c r="AE608" s="38"/>
      <x:c r="AF608" s="38"/>
      <x:c r="AG608" s="38"/>
      <x:c r="AH608" s="38"/>
      <x:c r="AI608" s="38"/>
      <x:c r="AJ608" s="38"/>
      <x:c r="AK608" s="38"/>
      <x:c r="AL608" s="38"/>
      <x:c r="AM608" s="38"/>
    </x:row>
    <x:row r="609">
      <x:c r="A609" s="523" t="str">
        <x:f>IF(ISBLANK('_SCHEDULE'!A577),"",'_SCHEDULE'!A577)</x:f>
      </x:c>
      <x:c r="B609" s="523" t="str">
        <x:f>IF(ISBLANK('_SCHEDULE'!B577),"",IF('_CONFIG'!$B$2="pt-BR",IF('_SCHEDULE'!B577="scheduled","programado",IF('_SCHEDULE'!B577="rejected","rejeitado",'_SCHEDULE'!B577)),'_SCHEDULE'!B577))</x:f>
      </x:c>
      <x:c r="C609" s="523" t="str">
        <x:f>IF(ISBLANK('_SCHEDULE'!C577),"",'_SCHEDULE'!C577)</x:f>
      </x:c>
      <x:c r="D609" s="523" t="str">
        <x:f>IF(ISBLANK('_SCHEDULE'!D577),"",'_SCHEDULE'!D577)</x:f>
      </x:c>
      <x:c r="E609" s="530" t="str">
        <x:f>IF(ISBLANK('_SCHEDULE'!E577),"",'_SCHEDULE'!E577)</x:f>
      </x:c>
      <x:c r="F609" s="530" t="str">
        <x:f>IF(ISBLANK('_SCHEDULE'!F577),"",'_SCHEDULE'!F577)</x:f>
      </x:c>
      <x:c r="G609" s="530" t="str">
        <x:f>IF(ISBLANK('_SCHEDULE'!G577),"",'_SCHEDULE'!G577)</x:f>
      </x:c>
      <x:c r="H609" s="530" t="str">
        <x:f>IF(ISBLANK('_SCHEDULE'!H577),"",'_SCHEDULE'!H577)</x:f>
      </x:c>
      <x:c r="I609" s="530" t="str">
        <x:f>IF(ISBLANK('_SCHEDULE'!I577),"",'_SCHEDULE'!I577)</x:f>
      </x:c>
      <x:c r="J609" s="530" t="str">
        <x:f>IF(ISBLANK('_SCHEDULE'!J577),"",'_SCHEDULE'!J577)</x:f>
      </x:c>
      <x:c r="K609" s="530" t="str">
        <x:f>IF(ISBLANK('_SCHEDULE'!K577),"",'_SCHEDULE'!K577)</x:f>
      </x:c>
      <x:c r="L609" s="530" t="str">
        <x:f>IF(ISBLANK('_SCHEDULE'!L577),"",'_SCHEDULE'!L577)</x:f>
      </x:c>
      <x:c r="M609" s="530" t="str">
        <x:f>IF(ISBLANK('_SCHEDULE'!M577),"",'_SCHEDULE'!M577)</x:f>
      </x:c>
      <x:c r="N609" s="530" t="str">
        <x:f>IF(ISBLANK('_SCHEDULE'!N577),"",'_SCHEDULE'!N577)</x:f>
      </x:c>
      <x:c r="O609" s="530" t="str">
        <x:f>IF(ISBLANK('_SCHEDULE'!O577),"",'_SCHEDULE'!O577)</x:f>
      </x:c>
      <x:c r="P609" s="530" t="str">
        <x:f>IF(ISBLANK('_SCHEDULE'!P577),"",'_SCHEDULE'!P577)</x:f>
      </x:c>
      <x:c r="Q609" s="530" t="str">
        <x:f>IF(ISBLANK('_SCHEDULE'!Q577),"",'_SCHEDULE'!Q577)</x:f>
      </x:c>
      <x:c r="R609" s="530" t="str">
        <x:f>IF(ISBLANK('_SCHEDULE'!R577),"",'_SCHEDULE'!R577)</x:f>
      </x:c>
      <x:c r="S609" s="523" t="str">
        <x:f>IF(ISBLANK('_SCHEDULE'!S577),"",'_SCHEDULE'!S577)</x:f>
      </x:c>
      <x:c r="T609" s="38"/>
      <x:c r="U609" s="38"/>
      <x:c r="V609" s="38"/>
      <x:c r="W609" s="38"/>
      <x:c r="X609" s="38"/>
      <x:c r="Y609" s="38"/>
      <x:c r="Z609" s="38"/>
      <x:c r="AA609" s="38"/>
      <x:c r="AB609" s="38"/>
      <x:c r="AC609" s="38"/>
      <x:c r="AD609" s="38"/>
      <x:c r="AE609" s="38"/>
      <x:c r="AF609" s="38"/>
      <x:c r="AG609" s="38"/>
      <x:c r="AH609" s="38"/>
      <x:c r="AI609" s="38"/>
      <x:c r="AJ609" s="38"/>
      <x:c r="AK609" s="38"/>
      <x:c r="AL609" s="38"/>
      <x:c r="AM609" s="38"/>
    </x:row>
    <x:row r="610">
      <x:c r="A610" s="523" t="str">
        <x:f>IF(ISBLANK('_SCHEDULE'!A578),"",'_SCHEDULE'!A578)</x:f>
      </x:c>
      <x:c r="B610" s="523" t="str">
        <x:f>IF(ISBLANK('_SCHEDULE'!B578),"",IF('_CONFIG'!$B$2="pt-BR",IF('_SCHEDULE'!B578="scheduled","programado",IF('_SCHEDULE'!B578="rejected","rejeitado",'_SCHEDULE'!B578)),'_SCHEDULE'!B578))</x:f>
      </x:c>
      <x:c r="C610" s="523" t="str">
        <x:f>IF(ISBLANK('_SCHEDULE'!C578),"",'_SCHEDULE'!C578)</x:f>
      </x:c>
      <x:c r="D610" s="523" t="str">
        <x:f>IF(ISBLANK('_SCHEDULE'!D578),"",'_SCHEDULE'!D578)</x:f>
      </x:c>
      <x:c r="E610" s="530" t="str">
        <x:f>IF(ISBLANK('_SCHEDULE'!E578),"",'_SCHEDULE'!E578)</x:f>
      </x:c>
      <x:c r="F610" s="530" t="str">
        <x:f>IF(ISBLANK('_SCHEDULE'!F578),"",'_SCHEDULE'!F578)</x:f>
      </x:c>
      <x:c r="G610" s="530" t="str">
        <x:f>IF(ISBLANK('_SCHEDULE'!G578),"",'_SCHEDULE'!G578)</x:f>
      </x:c>
      <x:c r="H610" s="530" t="str">
        <x:f>IF(ISBLANK('_SCHEDULE'!H578),"",'_SCHEDULE'!H578)</x:f>
      </x:c>
      <x:c r="I610" s="530" t="str">
        <x:f>IF(ISBLANK('_SCHEDULE'!I578),"",'_SCHEDULE'!I578)</x:f>
      </x:c>
      <x:c r="J610" s="530" t="str">
        <x:f>IF(ISBLANK('_SCHEDULE'!J578),"",'_SCHEDULE'!J578)</x:f>
      </x:c>
      <x:c r="K610" s="530" t="str">
        <x:f>IF(ISBLANK('_SCHEDULE'!K578),"",'_SCHEDULE'!K578)</x:f>
      </x:c>
      <x:c r="L610" s="530" t="str">
        <x:f>IF(ISBLANK('_SCHEDULE'!L578),"",'_SCHEDULE'!L578)</x:f>
      </x:c>
      <x:c r="M610" s="530" t="str">
        <x:f>IF(ISBLANK('_SCHEDULE'!M578),"",'_SCHEDULE'!M578)</x:f>
      </x:c>
      <x:c r="N610" s="530" t="str">
        <x:f>IF(ISBLANK('_SCHEDULE'!N578),"",'_SCHEDULE'!N578)</x:f>
      </x:c>
      <x:c r="O610" s="530" t="str">
        <x:f>IF(ISBLANK('_SCHEDULE'!O578),"",'_SCHEDULE'!O578)</x:f>
      </x:c>
      <x:c r="P610" s="530" t="str">
        <x:f>IF(ISBLANK('_SCHEDULE'!P578),"",'_SCHEDULE'!P578)</x:f>
      </x:c>
      <x:c r="Q610" s="530" t="str">
        <x:f>IF(ISBLANK('_SCHEDULE'!Q578),"",'_SCHEDULE'!Q578)</x:f>
      </x:c>
      <x:c r="R610" s="530" t="str">
        <x:f>IF(ISBLANK('_SCHEDULE'!R578),"",'_SCHEDULE'!R578)</x:f>
      </x:c>
      <x:c r="S610" s="523" t="str">
        <x:f>IF(ISBLANK('_SCHEDULE'!S578),"",'_SCHEDULE'!S578)</x:f>
      </x:c>
      <x:c r="T610" s="38"/>
      <x:c r="U610" s="38"/>
      <x:c r="V610" s="38"/>
      <x:c r="W610" s="38"/>
      <x:c r="X610" s="38"/>
      <x:c r="Y610" s="38"/>
      <x:c r="Z610" s="38"/>
      <x:c r="AA610" s="38"/>
      <x:c r="AB610" s="38"/>
      <x:c r="AC610" s="38"/>
      <x:c r="AD610" s="38"/>
      <x:c r="AE610" s="38"/>
      <x:c r="AF610" s="38"/>
      <x:c r="AG610" s="38"/>
      <x:c r="AH610" s="38"/>
      <x:c r="AI610" s="38"/>
      <x:c r="AJ610" s="38"/>
      <x:c r="AK610" s="38"/>
      <x:c r="AL610" s="38"/>
      <x:c r="AM610" s="38"/>
    </x:row>
    <x:row r="611">
      <x:c r="A611" s="523" t="str">
        <x:f>IF(ISBLANK('_SCHEDULE'!A579),"",'_SCHEDULE'!A579)</x:f>
      </x:c>
      <x:c r="B611" s="523" t="str">
        <x:f>IF(ISBLANK('_SCHEDULE'!B579),"",IF('_CONFIG'!$B$2="pt-BR",IF('_SCHEDULE'!B579="scheduled","programado",IF('_SCHEDULE'!B579="rejected","rejeitado",'_SCHEDULE'!B579)),'_SCHEDULE'!B579))</x:f>
      </x:c>
      <x:c r="C611" s="523" t="str">
        <x:f>IF(ISBLANK('_SCHEDULE'!C579),"",'_SCHEDULE'!C579)</x:f>
      </x:c>
      <x:c r="D611" s="523" t="str">
        <x:f>IF(ISBLANK('_SCHEDULE'!D579),"",'_SCHEDULE'!D579)</x:f>
      </x:c>
      <x:c r="E611" s="530" t="str">
        <x:f>IF(ISBLANK('_SCHEDULE'!E579),"",'_SCHEDULE'!E579)</x:f>
      </x:c>
      <x:c r="F611" s="530" t="str">
        <x:f>IF(ISBLANK('_SCHEDULE'!F579),"",'_SCHEDULE'!F579)</x:f>
      </x:c>
      <x:c r="G611" s="530" t="str">
        <x:f>IF(ISBLANK('_SCHEDULE'!G579),"",'_SCHEDULE'!G579)</x:f>
      </x:c>
      <x:c r="H611" s="530" t="str">
        <x:f>IF(ISBLANK('_SCHEDULE'!H579),"",'_SCHEDULE'!H579)</x:f>
      </x:c>
      <x:c r="I611" s="530" t="str">
        <x:f>IF(ISBLANK('_SCHEDULE'!I579),"",'_SCHEDULE'!I579)</x:f>
      </x:c>
      <x:c r="J611" s="530" t="str">
        <x:f>IF(ISBLANK('_SCHEDULE'!J579),"",'_SCHEDULE'!J579)</x:f>
      </x:c>
      <x:c r="K611" s="530" t="str">
        <x:f>IF(ISBLANK('_SCHEDULE'!K579),"",'_SCHEDULE'!K579)</x:f>
      </x:c>
      <x:c r="L611" s="530" t="str">
        <x:f>IF(ISBLANK('_SCHEDULE'!L579),"",'_SCHEDULE'!L579)</x:f>
      </x:c>
      <x:c r="M611" s="530" t="str">
        <x:f>IF(ISBLANK('_SCHEDULE'!M579),"",'_SCHEDULE'!M579)</x:f>
      </x:c>
      <x:c r="N611" s="530" t="str">
        <x:f>IF(ISBLANK('_SCHEDULE'!N579),"",'_SCHEDULE'!N579)</x:f>
      </x:c>
      <x:c r="O611" s="530" t="str">
        <x:f>IF(ISBLANK('_SCHEDULE'!O579),"",'_SCHEDULE'!O579)</x:f>
      </x:c>
      <x:c r="P611" s="530" t="str">
        <x:f>IF(ISBLANK('_SCHEDULE'!P579),"",'_SCHEDULE'!P579)</x:f>
      </x:c>
      <x:c r="Q611" s="530" t="str">
        <x:f>IF(ISBLANK('_SCHEDULE'!Q579),"",'_SCHEDULE'!Q579)</x:f>
      </x:c>
      <x:c r="R611" s="530" t="str">
        <x:f>IF(ISBLANK('_SCHEDULE'!R579),"",'_SCHEDULE'!R579)</x:f>
      </x:c>
      <x:c r="S611" s="523" t="str">
        <x:f>IF(ISBLANK('_SCHEDULE'!S579),"",'_SCHEDULE'!S579)</x:f>
      </x:c>
      <x:c r="T611" s="38"/>
      <x:c r="U611" s="38"/>
      <x:c r="V611" s="38"/>
      <x:c r="W611" s="38"/>
      <x:c r="X611" s="38"/>
      <x:c r="Y611" s="38"/>
      <x:c r="Z611" s="38"/>
      <x:c r="AA611" s="38"/>
      <x:c r="AB611" s="38"/>
      <x:c r="AC611" s="38"/>
      <x:c r="AD611" s="38"/>
      <x:c r="AE611" s="38"/>
      <x:c r="AF611" s="38"/>
      <x:c r="AG611" s="38"/>
      <x:c r="AH611" s="38"/>
      <x:c r="AI611" s="38"/>
      <x:c r="AJ611" s="38"/>
      <x:c r="AK611" s="38"/>
      <x:c r="AL611" s="38"/>
      <x:c r="AM611" s="38"/>
    </x:row>
    <x:row r="612">
      <x:c r="A612" s="523" t="str">
        <x:f>IF(ISBLANK('_SCHEDULE'!A580),"",'_SCHEDULE'!A580)</x:f>
      </x:c>
      <x:c r="B612" s="523" t="str">
        <x:f>IF(ISBLANK('_SCHEDULE'!B580),"",IF('_CONFIG'!$B$2="pt-BR",IF('_SCHEDULE'!B580="scheduled","programado",IF('_SCHEDULE'!B580="rejected","rejeitado",'_SCHEDULE'!B580)),'_SCHEDULE'!B580))</x:f>
      </x:c>
      <x:c r="C612" s="523" t="str">
        <x:f>IF(ISBLANK('_SCHEDULE'!C580),"",'_SCHEDULE'!C580)</x:f>
      </x:c>
      <x:c r="D612" s="523" t="str">
        <x:f>IF(ISBLANK('_SCHEDULE'!D580),"",'_SCHEDULE'!D580)</x:f>
      </x:c>
      <x:c r="E612" s="530" t="str">
        <x:f>IF(ISBLANK('_SCHEDULE'!E580),"",'_SCHEDULE'!E580)</x:f>
      </x:c>
      <x:c r="F612" s="530" t="str">
        <x:f>IF(ISBLANK('_SCHEDULE'!F580),"",'_SCHEDULE'!F580)</x:f>
      </x:c>
      <x:c r="G612" s="530" t="str">
        <x:f>IF(ISBLANK('_SCHEDULE'!G580),"",'_SCHEDULE'!G580)</x:f>
      </x:c>
      <x:c r="H612" s="530" t="str">
        <x:f>IF(ISBLANK('_SCHEDULE'!H580),"",'_SCHEDULE'!H580)</x:f>
      </x:c>
      <x:c r="I612" s="530" t="str">
        <x:f>IF(ISBLANK('_SCHEDULE'!I580),"",'_SCHEDULE'!I580)</x:f>
      </x:c>
      <x:c r="J612" s="530" t="str">
        <x:f>IF(ISBLANK('_SCHEDULE'!J580),"",'_SCHEDULE'!J580)</x:f>
      </x:c>
      <x:c r="K612" s="530" t="str">
        <x:f>IF(ISBLANK('_SCHEDULE'!K580),"",'_SCHEDULE'!K580)</x:f>
      </x:c>
      <x:c r="L612" s="530" t="str">
        <x:f>IF(ISBLANK('_SCHEDULE'!L580),"",'_SCHEDULE'!L580)</x:f>
      </x:c>
      <x:c r="M612" s="530" t="str">
        <x:f>IF(ISBLANK('_SCHEDULE'!M580),"",'_SCHEDULE'!M580)</x:f>
      </x:c>
      <x:c r="N612" s="530" t="str">
        <x:f>IF(ISBLANK('_SCHEDULE'!N580),"",'_SCHEDULE'!N580)</x:f>
      </x:c>
      <x:c r="O612" s="530" t="str">
        <x:f>IF(ISBLANK('_SCHEDULE'!O580),"",'_SCHEDULE'!O580)</x:f>
      </x:c>
      <x:c r="P612" s="530" t="str">
        <x:f>IF(ISBLANK('_SCHEDULE'!P580),"",'_SCHEDULE'!P580)</x:f>
      </x:c>
      <x:c r="Q612" s="530" t="str">
        <x:f>IF(ISBLANK('_SCHEDULE'!Q580),"",'_SCHEDULE'!Q580)</x:f>
      </x:c>
      <x:c r="R612" s="530" t="str">
        <x:f>IF(ISBLANK('_SCHEDULE'!R580),"",'_SCHEDULE'!R580)</x:f>
      </x:c>
      <x:c r="S612" s="523" t="str">
        <x:f>IF(ISBLANK('_SCHEDULE'!S580),"",'_SCHEDULE'!S580)</x:f>
      </x:c>
      <x:c r="T612" s="38"/>
      <x:c r="U612" s="38"/>
      <x:c r="V612" s="38"/>
      <x:c r="W612" s="38"/>
      <x:c r="X612" s="38"/>
      <x:c r="Y612" s="38"/>
      <x:c r="Z612" s="38"/>
      <x:c r="AA612" s="38"/>
      <x:c r="AB612" s="38"/>
      <x:c r="AC612" s="38"/>
      <x:c r="AD612" s="38"/>
      <x:c r="AE612" s="38"/>
      <x:c r="AF612" s="38"/>
      <x:c r="AG612" s="38"/>
      <x:c r="AH612" s="38"/>
      <x:c r="AI612" s="38"/>
      <x:c r="AJ612" s="38"/>
      <x:c r="AK612" s="38"/>
      <x:c r="AL612" s="38"/>
      <x:c r="AM612" s="38"/>
    </x:row>
    <x:row r="613">
      <x:c r="A613" s="523" t="str">
        <x:f>IF(ISBLANK('_SCHEDULE'!A581),"",'_SCHEDULE'!A581)</x:f>
      </x:c>
      <x:c r="B613" s="523" t="str">
        <x:f>IF(ISBLANK('_SCHEDULE'!B581),"",IF('_CONFIG'!$B$2="pt-BR",IF('_SCHEDULE'!B581="scheduled","programado",IF('_SCHEDULE'!B581="rejected","rejeitado",'_SCHEDULE'!B581)),'_SCHEDULE'!B581))</x:f>
      </x:c>
      <x:c r="C613" s="523" t="str">
        <x:f>IF(ISBLANK('_SCHEDULE'!C581),"",'_SCHEDULE'!C581)</x:f>
      </x:c>
      <x:c r="D613" s="523" t="str">
        <x:f>IF(ISBLANK('_SCHEDULE'!D581),"",'_SCHEDULE'!D581)</x:f>
      </x:c>
      <x:c r="E613" s="530" t="str">
        <x:f>IF(ISBLANK('_SCHEDULE'!E581),"",'_SCHEDULE'!E581)</x:f>
      </x:c>
      <x:c r="F613" s="530" t="str">
        <x:f>IF(ISBLANK('_SCHEDULE'!F581),"",'_SCHEDULE'!F581)</x:f>
      </x:c>
      <x:c r="G613" s="530" t="str">
        <x:f>IF(ISBLANK('_SCHEDULE'!G581),"",'_SCHEDULE'!G581)</x:f>
      </x:c>
      <x:c r="H613" s="530" t="str">
        <x:f>IF(ISBLANK('_SCHEDULE'!H581),"",'_SCHEDULE'!H581)</x:f>
      </x:c>
      <x:c r="I613" s="530" t="str">
        <x:f>IF(ISBLANK('_SCHEDULE'!I581),"",'_SCHEDULE'!I581)</x:f>
      </x:c>
      <x:c r="J613" s="530" t="str">
        <x:f>IF(ISBLANK('_SCHEDULE'!J581),"",'_SCHEDULE'!J581)</x:f>
      </x:c>
      <x:c r="K613" s="530" t="str">
        <x:f>IF(ISBLANK('_SCHEDULE'!K581),"",'_SCHEDULE'!K581)</x:f>
      </x:c>
      <x:c r="L613" s="530" t="str">
        <x:f>IF(ISBLANK('_SCHEDULE'!L581),"",'_SCHEDULE'!L581)</x:f>
      </x:c>
      <x:c r="M613" s="530" t="str">
        <x:f>IF(ISBLANK('_SCHEDULE'!M581),"",'_SCHEDULE'!M581)</x:f>
      </x:c>
      <x:c r="N613" s="530" t="str">
        <x:f>IF(ISBLANK('_SCHEDULE'!N581),"",'_SCHEDULE'!N581)</x:f>
      </x:c>
      <x:c r="O613" s="530" t="str">
        <x:f>IF(ISBLANK('_SCHEDULE'!O581),"",'_SCHEDULE'!O581)</x:f>
      </x:c>
      <x:c r="P613" s="530" t="str">
        <x:f>IF(ISBLANK('_SCHEDULE'!P581),"",'_SCHEDULE'!P581)</x:f>
      </x:c>
      <x:c r="Q613" s="530" t="str">
        <x:f>IF(ISBLANK('_SCHEDULE'!Q581),"",'_SCHEDULE'!Q581)</x:f>
      </x:c>
      <x:c r="R613" s="530" t="str">
        <x:f>IF(ISBLANK('_SCHEDULE'!R581),"",'_SCHEDULE'!R581)</x:f>
      </x:c>
      <x:c r="S613" s="523" t="str">
        <x:f>IF(ISBLANK('_SCHEDULE'!S581),"",'_SCHEDULE'!S581)</x:f>
      </x:c>
      <x:c r="T613" s="38"/>
      <x:c r="U613" s="38"/>
      <x:c r="V613" s="38"/>
      <x:c r="W613" s="38"/>
      <x:c r="X613" s="38"/>
      <x:c r="Y613" s="38"/>
      <x:c r="Z613" s="38"/>
      <x:c r="AA613" s="38"/>
      <x:c r="AB613" s="38"/>
      <x:c r="AC613" s="38"/>
      <x:c r="AD613" s="38"/>
      <x:c r="AE613" s="38"/>
      <x:c r="AF613" s="38"/>
      <x:c r="AG613" s="38"/>
      <x:c r="AH613" s="38"/>
      <x:c r="AI613" s="38"/>
      <x:c r="AJ613" s="38"/>
      <x:c r="AK613" s="38"/>
      <x:c r="AL613" s="38"/>
      <x:c r="AM613" s="38"/>
    </x:row>
    <x:row r="614">
      <x:c r="A614" s="523" t="str">
        <x:f>IF(ISBLANK('_SCHEDULE'!A582),"",'_SCHEDULE'!A582)</x:f>
      </x:c>
      <x:c r="B614" s="523" t="str">
        <x:f>IF(ISBLANK('_SCHEDULE'!B582),"",IF('_CONFIG'!$B$2="pt-BR",IF('_SCHEDULE'!B582="scheduled","programado",IF('_SCHEDULE'!B582="rejected","rejeitado",'_SCHEDULE'!B582)),'_SCHEDULE'!B582))</x:f>
      </x:c>
      <x:c r="C614" s="523" t="str">
        <x:f>IF(ISBLANK('_SCHEDULE'!C582),"",'_SCHEDULE'!C582)</x:f>
      </x:c>
      <x:c r="D614" s="523" t="str">
        <x:f>IF(ISBLANK('_SCHEDULE'!D582),"",'_SCHEDULE'!D582)</x:f>
      </x:c>
      <x:c r="E614" s="530" t="str">
        <x:f>IF(ISBLANK('_SCHEDULE'!E582),"",'_SCHEDULE'!E582)</x:f>
      </x:c>
      <x:c r="F614" s="530" t="str">
        <x:f>IF(ISBLANK('_SCHEDULE'!F582),"",'_SCHEDULE'!F582)</x:f>
      </x:c>
      <x:c r="G614" s="530" t="str">
        <x:f>IF(ISBLANK('_SCHEDULE'!G582),"",'_SCHEDULE'!G582)</x:f>
      </x:c>
      <x:c r="H614" s="530" t="str">
        <x:f>IF(ISBLANK('_SCHEDULE'!H582),"",'_SCHEDULE'!H582)</x:f>
      </x:c>
      <x:c r="I614" s="530" t="str">
        <x:f>IF(ISBLANK('_SCHEDULE'!I582),"",'_SCHEDULE'!I582)</x:f>
      </x:c>
      <x:c r="J614" s="530" t="str">
        <x:f>IF(ISBLANK('_SCHEDULE'!J582),"",'_SCHEDULE'!J582)</x:f>
      </x:c>
      <x:c r="K614" s="530" t="str">
        <x:f>IF(ISBLANK('_SCHEDULE'!K582),"",'_SCHEDULE'!K582)</x:f>
      </x:c>
      <x:c r="L614" s="530" t="str">
        <x:f>IF(ISBLANK('_SCHEDULE'!L582),"",'_SCHEDULE'!L582)</x:f>
      </x:c>
      <x:c r="M614" s="530" t="str">
        <x:f>IF(ISBLANK('_SCHEDULE'!M582),"",'_SCHEDULE'!M582)</x:f>
      </x:c>
      <x:c r="N614" s="530" t="str">
        <x:f>IF(ISBLANK('_SCHEDULE'!N582),"",'_SCHEDULE'!N582)</x:f>
      </x:c>
      <x:c r="O614" s="530" t="str">
        <x:f>IF(ISBLANK('_SCHEDULE'!O582),"",'_SCHEDULE'!O582)</x:f>
      </x:c>
      <x:c r="P614" s="530" t="str">
        <x:f>IF(ISBLANK('_SCHEDULE'!P582),"",'_SCHEDULE'!P582)</x:f>
      </x:c>
      <x:c r="Q614" s="530" t="str">
        <x:f>IF(ISBLANK('_SCHEDULE'!Q582),"",'_SCHEDULE'!Q582)</x:f>
      </x:c>
      <x:c r="R614" s="530" t="str">
        <x:f>IF(ISBLANK('_SCHEDULE'!R582),"",'_SCHEDULE'!R582)</x:f>
      </x:c>
      <x:c r="S614" s="523" t="str">
        <x:f>IF(ISBLANK('_SCHEDULE'!S582),"",'_SCHEDULE'!S582)</x:f>
      </x:c>
      <x:c r="T614" s="38"/>
      <x:c r="U614" s="38"/>
      <x:c r="V614" s="38"/>
      <x:c r="W614" s="38"/>
      <x:c r="X614" s="38"/>
      <x:c r="Y614" s="38"/>
      <x:c r="Z614" s="38"/>
      <x:c r="AA614" s="38"/>
      <x:c r="AB614" s="38"/>
      <x:c r="AC614" s="38"/>
      <x:c r="AD614" s="38"/>
      <x:c r="AE614" s="38"/>
      <x:c r="AF614" s="38"/>
      <x:c r="AG614" s="38"/>
      <x:c r="AH614" s="38"/>
      <x:c r="AI614" s="38"/>
      <x:c r="AJ614" s="38"/>
      <x:c r="AK614" s="38"/>
      <x:c r="AL614" s="38"/>
      <x:c r="AM614" s="38"/>
    </x:row>
    <x:row r="615">
      <x:c r="A615" s="523" t="str">
        <x:f>IF(ISBLANK('_SCHEDULE'!A583),"",'_SCHEDULE'!A583)</x:f>
      </x:c>
      <x:c r="B615" s="523" t="str">
        <x:f>IF(ISBLANK('_SCHEDULE'!B583),"",IF('_CONFIG'!$B$2="pt-BR",IF('_SCHEDULE'!B583="scheduled","programado",IF('_SCHEDULE'!B583="rejected","rejeitado",'_SCHEDULE'!B583)),'_SCHEDULE'!B583))</x:f>
      </x:c>
      <x:c r="C615" s="523" t="str">
        <x:f>IF(ISBLANK('_SCHEDULE'!C583),"",'_SCHEDULE'!C583)</x:f>
      </x:c>
      <x:c r="D615" s="523" t="str">
        <x:f>IF(ISBLANK('_SCHEDULE'!D583),"",'_SCHEDULE'!D583)</x:f>
      </x:c>
      <x:c r="E615" s="530" t="str">
        <x:f>IF(ISBLANK('_SCHEDULE'!E583),"",'_SCHEDULE'!E583)</x:f>
      </x:c>
      <x:c r="F615" s="530" t="str">
        <x:f>IF(ISBLANK('_SCHEDULE'!F583),"",'_SCHEDULE'!F583)</x:f>
      </x:c>
      <x:c r="G615" s="530" t="str">
        <x:f>IF(ISBLANK('_SCHEDULE'!G583),"",'_SCHEDULE'!G583)</x:f>
      </x:c>
      <x:c r="H615" s="530" t="str">
        <x:f>IF(ISBLANK('_SCHEDULE'!H583),"",'_SCHEDULE'!H583)</x:f>
      </x:c>
      <x:c r="I615" s="530" t="str">
        <x:f>IF(ISBLANK('_SCHEDULE'!I583),"",'_SCHEDULE'!I583)</x:f>
      </x:c>
      <x:c r="J615" s="530" t="str">
        <x:f>IF(ISBLANK('_SCHEDULE'!J583),"",'_SCHEDULE'!J583)</x:f>
      </x:c>
      <x:c r="K615" s="530" t="str">
        <x:f>IF(ISBLANK('_SCHEDULE'!K583),"",'_SCHEDULE'!K583)</x:f>
      </x:c>
      <x:c r="L615" s="530" t="str">
        <x:f>IF(ISBLANK('_SCHEDULE'!L583),"",'_SCHEDULE'!L583)</x:f>
      </x:c>
      <x:c r="M615" s="530" t="str">
        <x:f>IF(ISBLANK('_SCHEDULE'!M583),"",'_SCHEDULE'!M583)</x:f>
      </x:c>
      <x:c r="N615" s="530" t="str">
        <x:f>IF(ISBLANK('_SCHEDULE'!N583),"",'_SCHEDULE'!N583)</x:f>
      </x:c>
      <x:c r="O615" s="530" t="str">
        <x:f>IF(ISBLANK('_SCHEDULE'!O583),"",'_SCHEDULE'!O583)</x:f>
      </x:c>
      <x:c r="P615" s="530" t="str">
        <x:f>IF(ISBLANK('_SCHEDULE'!P583),"",'_SCHEDULE'!P583)</x:f>
      </x:c>
      <x:c r="Q615" s="530" t="str">
        <x:f>IF(ISBLANK('_SCHEDULE'!Q583),"",'_SCHEDULE'!Q583)</x:f>
      </x:c>
      <x:c r="R615" s="530" t="str">
        <x:f>IF(ISBLANK('_SCHEDULE'!R583),"",'_SCHEDULE'!R583)</x:f>
      </x:c>
      <x:c r="S615" s="523" t="str">
        <x:f>IF(ISBLANK('_SCHEDULE'!S583),"",'_SCHEDULE'!S583)</x:f>
      </x:c>
      <x:c r="T615" s="38"/>
      <x:c r="U615" s="38"/>
      <x:c r="V615" s="38"/>
      <x:c r="W615" s="38"/>
      <x:c r="X615" s="38"/>
      <x:c r="Y615" s="38"/>
      <x:c r="Z615" s="38"/>
      <x:c r="AA615" s="38"/>
      <x:c r="AB615" s="38"/>
      <x:c r="AC615" s="38"/>
      <x:c r="AD615" s="38"/>
      <x:c r="AE615" s="38"/>
      <x:c r="AF615" s="38"/>
      <x:c r="AG615" s="38"/>
      <x:c r="AH615" s="38"/>
      <x:c r="AI615" s="38"/>
      <x:c r="AJ615" s="38"/>
      <x:c r="AK615" s="38"/>
      <x:c r="AL615" s="38"/>
      <x:c r="AM615" s="38"/>
    </x:row>
    <x:row r="616">
      <x:c r="A616" s="523" t="str">
        <x:f>IF(ISBLANK('_SCHEDULE'!A584),"",'_SCHEDULE'!A584)</x:f>
      </x:c>
      <x:c r="B616" s="523" t="str">
        <x:f>IF(ISBLANK('_SCHEDULE'!B584),"",IF('_CONFIG'!$B$2="pt-BR",IF('_SCHEDULE'!B584="scheduled","programado",IF('_SCHEDULE'!B584="rejected","rejeitado",'_SCHEDULE'!B584)),'_SCHEDULE'!B584))</x:f>
      </x:c>
      <x:c r="C616" s="523" t="str">
        <x:f>IF(ISBLANK('_SCHEDULE'!C584),"",'_SCHEDULE'!C584)</x:f>
      </x:c>
      <x:c r="D616" s="523" t="str">
        <x:f>IF(ISBLANK('_SCHEDULE'!D584),"",'_SCHEDULE'!D584)</x:f>
      </x:c>
      <x:c r="E616" s="530" t="str">
        <x:f>IF(ISBLANK('_SCHEDULE'!E584),"",'_SCHEDULE'!E584)</x:f>
      </x:c>
      <x:c r="F616" s="530" t="str">
        <x:f>IF(ISBLANK('_SCHEDULE'!F584),"",'_SCHEDULE'!F584)</x:f>
      </x:c>
      <x:c r="G616" s="530" t="str">
        <x:f>IF(ISBLANK('_SCHEDULE'!G584),"",'_SCHEDULE'!G584)</x:f>
      </x:c>
      <x:c r="H616" s="530" t="str">
        <x:f>IF(ISBLANK('_SCHEDULE'!H584),"",'_SCHEDULE'!H584)</x:f>
      </x:c>
      <x:c r="I616" s="530" t="str">
        <x:f>IF(ISBLANK('_SCHEDULE'!I584),"",'_SCHEDULE'!I584)</x:f>
      </x:c>
      <x:c r="J616" s="530" t="str">
        <x:f>IF(ISBLANK('_SCHEDULE'!J584),"",'_SCHEDULE'!J584)</x:f>
      </x:c>
      <x:c r="K616" s="530" t="str">
        <x:f>IF(ISBLANK('_SCHEDULE'!K584),"",'_SCHEDULE'!K584)</x:f>
      </x:c>
      <x:c r="L616" s="530" t="str">
        <x:f>IF(ISBLANK('_SCHEDULE'!L584),"",'_SCHEDULE'!L584)</x:f>
      </x:c>
      <x:c r="M616" s="530" t="str">
        <x:f>IF(ISBLANK('_SCHEDULE'!M584),"",'_SCHEDULE'!M584)</x:f>
      </x:c>
      <x:c r="N616" s="530" t="str">
        <x:f>IF(ISBLANK('_SCHEDULE'!N584),"",'_SCHEDULE'!N584)</x:f>
      </x:c>
      <x:c r="O616" s="530" t="str">
        <x:f>IF(ISBLANK('_SCHEDULE'!O584),"",'_SCHEDULE'!O584)</x:f>
      </x:c>
      <x:c r="P616" s="530" t="str">
        <x:f>IF(ISBLANK('_SCHEDULE'!P584),"",'_SCHEDULE'!P584)</x:f>
      </x:c>
      <x:c r="Q616" s="530" t="str">
        <x:f>IF(ISBLANK('_SCHEDULE'!Q584),"",'_SCHEDULE'!Q584)</x:f>
      </x:c>
      <x:c r="R616" s="530" t="str">
        <x:f>IF(ISBLANK('_SCHEDULE'!R584),"",'_SCHEDULE'!R584)</x:f>
      </x:c>
      <x:c r="S616" s="523" t="str">
        <x:f>IF(ISBLANK('_SCHEDULE'!S584),"",'_SCHEDULE'!S584)</x:f>
      </x:c>
      <x:c r="T616" s="38"/>
      <x:c r="U616" s="38"/>
      <x:c r="V616" s="38"/>
      <x:c r="W616" s="38"/>
      <x:c r="X616" s="38"/>
      <x:c r="Y616" s="38"/>
      <x:c r="Z616" s="38"/>
      <x:c r="AA616" s="38"/>
      <x:c r="AB616" s="38"/>
      <x:c r="AC616" s="38"/>
      <x:c r="AD616" s="38"/>
      <x:c r="AE616" s="38"/>
      <x:c r="AF616" s="38"/>
      <x:c r="AG616" s="38"/>
      <x:c r="AH616" s="38"/>
      <x:c r="AI616" s="38"/>
      <x:c r="AJ616" s="38"/>
      <x:c r="AK616" s="38"/>
      <x:c r="AL616" s="38"/>
      <x:c r="AM616" s="38"/>
    </x:row>
    <x:row r="617">
      <x:c r="A617" s="523" t="str">
        <x:f>IF(ISBLANK('_SCHEDULE'!A585),"",'_SCHEDULE'!A585)</x:f>
      </x:c>
      <x:c r="B617" s="523" t="str">
        <x:f>IF(ISBLANK('_SCHEDULE'!B585),"",IF('_CONFIG'!$B$2="pt-BR",IF('_SCHEDULE'!B585="scheduled","programado",IF('_SCHEDULE'!B585="rejected","rejeitado",'_SCHEDULE'!B585)),'_SCHEDULE'!B585))</x:f>
      </x:c>
      <x:c r="C617" s="523" t="str">
        <x:f>IF(ISBLANK('_SCHEDULE'!C585),"",'_SCHEDULE'!C585)</x:f>
      </x:c>
      <x:c r="D617" s="523" t="str">
        <x:f>IF(ISBLANK('_SCHEDULE'!D585),"",'_SCHEDULE'!D585)</x:f>
      </x:c>
      <x:c r="E617" s="530" t="str">
        <x:f>IF(ISBLANK('_SCHEDULE'!E585),"",'_SCHEDULE'!E585)</x:f>
      </x:c>
      <x:c r="F617" s="530" t="str">
        <x:f>IF(ISBLANK('_SCHEDULE'!F585),"",'_SCHEDULE'!F585)</x:f>
      </x:c>
      <x:c r="G617" s="530" t="str">
        <x:f>IF(ISBLANK('_SCHEDULE'!G585),"",'_SCHEDULE'!G585)</x:f>
      </x:c>
      <x:c r="H617" s="530" t="str">
        <x:f>IF(ISBLANK('_SCHEDULE'!H585),"",'_SCHEDULE'!H585)</x:f>
      </x:c>
      <x:c r="I617" s="530" t="str">
        <x:f>IF(ISBLANK('_SCHEDULE'!I585),"",'_SCHEDULE'!I585)</x:f>
      </x:c>
      <x:c r="J617" s="530" t="str">
        <x:f>IF(ISBLANK('_SCHEDULE'!J585),"",'_SCHEDULE'!J585)</x:f>
      </x:c>
      <x:c r="K617" s="530" t="str">
        <x:f>IF(ISBLANK('_SCHEDULE'!K585),"",'_SCHEDULE'!K585)</x:f>
      </x:c>
      <x:c r="L617" s="530" t="str">
        <x:f>IF(ISBLANK('_SCHEDULE'!L585),"",'_SCHEDULE'!L585)</x:f>
      </x:c>
      <x:c r="M617" s="530" t="str">
        <x:f>IF(ISBLANK('_SCHEDULE'!M585),"",'_SCHEDULE'!M585)</x:f>
      </x:c>
      <x:c r="N617" s="530" t="str">
        <x:f>IF(ISBLANK('_SCHEDULE'!N585),"",'_SCHEDULE'!N585)</x:f>
      </x:c>
      <x:c r="O617" s="530" t="str">
        <x:f>IF(ISBLANK('_SCHEDULE'!O585),"",'_SCHEDULE'!O585)</x:f>
      </x:c>
      <x:c r="P617" s="530" t="str">
        <x:f>IF(ISBLANK('_SCHEDULE'!P585),"",'_SCHEDULE'!P585)</x:f>
      </x:c>
      <x:c r="Q617" s="530" t="str">
        <x:f>IF(ISBLANK('_SCHEDULE'!Q585),"",'_SCHEDULE'!Q585)</x:f>
      </x:c>
      <x:c r="R617" s="530" t="str">
        <x:f>IF(ISBLANK('_SCHEDULE'!R585),"",'_SCHEDULE'!R585)</x:f>
      </x:c>
      <x:c r="S617" s="523" t="str">
        <x:f>IF(ISBLANK('_SCHEDULE'!S585),"",'_SCHEDULE'!S585)</x:f>
      </x:c>
      <x:c r="T617" s="38"/>
      <x:c r="U617" s="38"/>
      <x:c r="V617" s="38"/>
      <x:c r="W617" s="38"/>
      <x:c r="X617" s="38"/>
      <x:c r="Y617" s="38"/>
      <x:c r="Z617" s="38"/>
      <x:c r="AA617" s="38"/>
      <x:c r="AB617" s="38"/>
      <x:c r="AC617" s="38"/>
      <x:c r="AD617" s="38"/>
      <x:c r="AE617" s="38"/>
      <x:c r="AF617" s="38"/>
      <x:c r="AG617" s="38"/>
      <x:c r="AH617" s="38"/>
      <x:c r="AI617" s="38"/>
      <x:c r="AJ617" s="38"/>
      <x:c r="AK617" s="38"/>
      <x:c r="AL617" s="38"/>
      <x:c r="AM617" s="38"/>
    </x:row>
    <x:row r="618">
      <x:c r="A618" s="523" t="str">
        <x:f>IF(ISBLANK('_SCHEDULE'!A586),"",'_SCHEDULE'!A586)</x:f>
      </x:c>
      <x:c r="B618" s="523" t="str">
        <x:f>IF(ISBLANK('_SCHEDULE'!B586),"",IF('_CONFIG'!$B$2="pt-BR",IF('_SCHEDULE'!B586="scheduled","programado",IF('_SCHEDULE'!B586="rejected","rejeitado",'_SCHEDULE'!B586)),'_SCHEDULE'!B586))</x:f>
      </x:c>
      <x:c r="C618" s="523" t="str">
        <x:f>IF(ISBLANK('_SCHEDULE'!C586),"",'_SCHEDULE'!C586)</x:f>
      </x:c>
      <x:c r="D618" s="523" t="str">
        <x:f>IF(ISBLANK('_SCHEDULE'!D586),"",'_SCHEDULE'!D586)</x:f>
      </x:c>
      <x:c r="E618" s="530" t="str">
        <x:f>IF(ISBLANK('_SCHEDULE'!E586),"",'_SCHEDULE'!E586)</x:f>
      </x:c>
      <x:c r="F618" s="530" t="str">
        <x:f>IF(ISBLANK('_SCHEDULE'!F586),"",'_SCHEDULE'!F586)</x:f>
      </x:c>
      <x:c r="G618" s="530" t="str">
        <x:f>IF(ISBLANK('_SCHEDULE'!G586),"",'_SCHEDULE'!G586)</x:f>
      </x:c>
      <x:c r="H618" s="530" t="str">
        <x:f>IF(ISBLANK('_SCHEDULE'!H586),"",'_SCHEDULE'!H586)</x:f>
      </x:c>
      <x:c r="I618" s="530" t="str">
        <x:f>IF(ISBLANK('_SCHEDULE'!I586),"",'_SCHEDULE'!I586)</x:f>
      </x:c>
      <x:c r="J618" s="530" t="str">
        <x:f>IF(ISBLANK('_SCHEDULE'!J586),"",'_SCHEDULE'!J586)</x:f>
      </x:c>
      <x:c r="K618" s="530" t="str">
        <x:f>IF(ISBLANK('_SCHEDULE'!K586),"",'_SCHEDULE'!K586)</x:f>
      </x:c>
      <x:c r="L618" s="530" t="str">
        <x:f>IF(ISBLANK('_SCHEDULE'!L586),"",'_SCHEDULE'!L586)</x:f>
      </x:c>
      <x:c r="M618" s="530" t="str">
        <x:f>IF(ISBLANK('_SCHEDULE'!M586),"",'_SCHEDULE'!M586)</x:f>
      </x:c>
      <x:c r="N618" s="530" t="str">
        <x:f>IF(ISBLANK('_SCHEDULE'!N586),"",'_SCHEDULE'!N586)</x:f>
      </x:c>
      <x:c r="O618" s="530" t="str">
        <x:f>IF(ISBLANK('_SCHEDULE'!O586),"",'_SCHEDULE'!O586)</x:f>
      </x:c>
      <x:c r="P618" s="530" t="str">
        <x:f>IF(ISBLANK('_SCHEDULE'!P586),"",'_SCHEDULE'!P586)</x:f>
      </x:c>
      <x:c r="Q618" s="530" t="str">
        <x:f>IF(ISBLANK('_SCHEDULE'!Q586),"",'_SCHEDULE'!Q586)</x:f>
      </x:c>
      <x:c r="R618" s="530" t="str">
        <x:f>IF(ISBLANK('_SCHEDULE'!R586),"",'_SCHEDULE'!R586)</x:f>
      </x:c>
      <x:c r="S618" s="523" t="str">
        <x:f>IF(ISBLANK('_SCHEDULE'!S586),"",'_SCHEDULE'!S586)</x:f>
      </x:c>
      <x:c r="T618" s="38"/>
      <x:c r="U618" s="38"/>
      <x:c r="V618" s="38"/>
      <x:c r="W618" s="38"/>
      <x:c r="X618" s="38"/>
      <x:c r="Y618" s="38"/>
      <x:c r="Z618" s="38"/>
      <x:c r="AA618" s="38"/>
      <x:c r="AB618" s="38"/>
      <x:c r="AC618" s="38"/>
      <x:c r="AD618" s="38"/>
      <x:c r="AE618" s="38"/>
      <x:c r="AF618" s="38"/>
      <x:c r="AG618" s="38"/>
      <x:c r="AH618" s="38"/>
      <x:c r="AI618" s="38"/>
      <x:c r="AJ618" s="38"/>
      <x:c r="AK618" s="38"/>
      <x:c r="AL618" s="38"/>
      <x:c r="AM618" s="38"/>
    </x:row>
    <x:row r="619">
      <x:c r="A619" s="523" t="str">
        <x:f>IF(ISBLANK('_SCHEDULE'!A587),"",'_SCHEDULE'!A587)</x:f>
      </x:c>
      <x:c r="B619" s="523" t="str">
        <x:f>IF(ISBLANK('_SCHEDULE'!B587),"",IF('_CONFIG'!$B$2="pt-BR",IF('_SCHEDULE'!B587="scheduled","programado",IF('_SCHEDULE'!B587="rejected","rejeitado",'_SCHEDULE'!B587)),'_SCHEDULE'!B587))</x:f>
      </x:c>
      <x:c r="C619" s="523" t="str">
        <x:f>IF(ISBLANK('_SCHEDULE'!C587),"",'_SCHEDULE'!C587)</x:f>
      </x:c>
      <x:c r="D619" s="523" t="str">
        <x:f>IF(ISBLANK('_SCHEDULE'!D587),"",'_SCHEDULE'!D587)</x:f>
      </x:c>
      <x:c r="E619" s="530" t="str">
        <x:f>IF(ISBLANK('_SCHEDULE'!E587),"",'_SCHEDULE'!E587)</x:f>
      </x:c>
      <x:c r="F619" s="530" t="str">
        <x:f>IF(ISBLANK('_SCHEDULE'!F587),"",'_SCHEDULE'!F587)</x:f>
      </x:c>
      <x:c r="G619" s="530" t="str">
        <x:f>IF(ISBLANK('_SCHEDULE'!G587),"",'_SCHEDULE'!G587)</x:f>
      </x:c>
      <x:c r="H619" s="530" t="str">
        <x:f>IF(ISBLANK('_SCHEDULE'!H587),"",'_SCHEDULE'!H587)</x:f>
      </x:c>
      <x:c r="I619" s="530" t="str">
        <x:f>IF(ISBLANK('_SCHEDULE'!I587),"",'_SCHEDULE'!I587)</x:f>
      </x:c>
      <x:c r="J619" s="530" t="str">
        <x:f>IF(ISBLANK('_SCHEDULE'!J587),"",'_SCHEDULE'!J587)</x:f>
      </x:c>
      <x:c r="K619" s="530" t="str">
        <x:f>IF(ISBLANK('_SCHEDULE'!K587),"",'_SCHEDULE'!K587)</x:f>
      </x:c>
      <x:c r="L619" s="530" t="str">
        <x:f>IF(ISBLANK('_SCHEDULE'!L587),"",'_SCHEDULE'!L587)</x:f>
      </x:c>
      <x:c r="M619" s="530" t="str">
        <x:f>IF(ISBLANK('_SCHEDULE'!M587),"",'_SCHEDULE'!M587)</x:f>
      </x:c>
      <x:c r="N619" s="530" t="str">
        <x:f>IF(ISBLANK('_SCHEDULE'!N587),"",'_SCHEDULE'!N587)</x:f>
      </x:c>
      <x:c r="O619" s="530" t="str">
        <x:f>IF(ISBLANK('_SCHEDULE'!O587),"",'_SCHEDULE'!O587)</x:f>
      </x:c>
      <x:c r="P619" s="530" t="str">
        <x:f>IF(ISBLANK('_SCHEDULE'!P587),"",'_SCHEDULE'!P587)</x:f>
      </x:c>
      <x:c r="Q619" s="530" t="str">
        <x:f>IF(ISBLANK('_SCHEDULE'!Q587),"",'_SCHEDULE'!Q587)</x:f>
      </x:c>
      <x:c r="R619" s="530" t="str">
        <x:f>IF(ISBLANK('_SCHEDULE'!R587),"",'_SCHEDULE'!R587)</x:f>
      </x:c>
      <x:c r="S619" s="523" t="str">
        <x:f>IF(ISBLANK('_SCHEDULE'!S587),"",'_SCHEDULE'!S587)</x:f>
      </x:c>
      <x:c r="T619" s="38"/>
      <x:c r="U619" s="38"/>
      <x:c r="V619" s="38"/>
      <x:c r="W619" s="38"/>
      <x:c r="X619" s="38"/>
      <x:c r="Y619" s="38"/>
      <x:c r="Z619" s="38"/>
      <x:c r="AA619" s="38"/>
      <x:c r="AB619" s="38"/>
      <x:c r="AC619" s="38"/>
      <x:c r="AD619" s="38"/>
      <x:c r="AE619" s="38"/>
      <x:c r="AF619" s="38"/>
      <x:c r="AG619" s="38"/>
      <x:c r="AH619" s="38"/>
      <x:c r="AI619" s="38"/>
      <x:c r="AJ619" s="38"/>
      <x:c r="AK619" s="38"/>
      <x:c r="AL619" s="38"/>
      <x:c r="AM619" s="38"/>
    </x:row>
    <x:row r="620">
      <x:c r="A620" s="523" t="str">
        <x:f>IF(ISBLANK('_SCHEDULE'!A588),"",'_SCHEDULE'!A588)</x:f>
      </x:c>
      <x:c r="B620" s="523" t="str">
        <x:f>IF(ISBLANK('_SCHEDULE'!B588),"",IF('_CONFIG'!$B$2="pt-BR",IF('_SCHEDULE'!B588="scheduled","programado",IF('_SCHEDULE'!B588="rejected","rejeitado",'_SCHEDULE'!B588)),'_SCHEDULE'!B588))</x:f>
      </x:c>
      <x:c r="C620" s="523" t="str">
        <x:f>IF(ISBLANK('_SCHEDULE'!C588),"",'_SCHEDULE'!C588)</x:f>
      </x:c>
      <x:c r="D620" s="523" t="str">
        <x:f>IF(ISBLANK('_SCHEDULE'!D588),"",'_SCHEDULE'!D588)</x:f>
      </x:c>
      <x:c r="E620" s="530" t="str">
        <x:f>IF(ISBLANK('_SCHEDULE'!E588),"",'_SCHEDULE'!E588)</x:f>
      </x:c>
      <x:c r="F620" s="530" t="str">
        <x:f>IF(ISBLANK('_SCHEDULE'!F588),"",'_SCHEDULE'!F588)</x:f>
      </x:c>
      <x:c r="G620" s="530" t="str">
        <x:f>IF(ISBLANK('_SCHEDULE'!G588),"",'_SCHEDULE'!G588)</x:f>
      </x:c>
      <x:c r="H620" s="530" t="str">
        <x:f>IF(ISBLANK('_SCHEDULE'!H588),"",'_SCHEDULE'!H588)</x:f>
      </x:c>
      <x:c r="I620" s="530" t="str">
        <x:f>IF(ISBLANK('_SCHEDULE'!I588),"",'_SCHEDULE'!I588)</x:f>
      </x:c>
      <x:c r="J620" s="530" t="str">
        <x:f>IF(ISBLANK('_SCHEDULE'!J588),"",'_SCHEDULE'!J588)</x:f>
      </x:c>
      <x:c r="K620" s="530" t="str">
        <x:f>IF(ISBLANK('_SCHEDULE'!K588),"",'_SCHEDULE'!K588)</x:f>
      </x:c>
      <x:c r="L620" s="530" t="str">
        <x:f>IF(ISBLANK('_SCHEDULE'!L588),"",'_SCHEDULE'!L588)</x:f>
      </x:c>
      <x:c r="M620" s="530" t="str">
        <x:f>IF(ISBLANK('_SCHEDULE'!M588),"",'_SCHEDULE'!M588)</x:f>
      </x:c>
      <x:c r="N620" s="530" t="str">
        <x:f>IF(ISBLANK('_SCHEDULE'!N588),"",'_SCHEDULE'!N588)</x:f>
      </x:c>
      <x:c r="O620" s="530" t="str">
        <x:f>IF(ISBLANK('_SCHEDULE'!O588),"",'_SCHEDULE'!O588)</x:f>
      </x:c>
      <x:c r="P620" s="530" t="str">
        <x:f>IF(ISBLANK('_SCHEDULE'!P588),"",'_SCHEDULE'!P588)</x:f>
      </x:c>
      <x:c r="Q620" s="530" t="str">
        <x:f>IF(ISBLANK('_SCHEDULE'!Q588),"",'_SCHEDULE'!Q588)</x:f>
      </x:c>
      <x:c r="R620" s="530" t="str">
        <x:f>IF(ISBLANK('_SCHEDULE'!R588),"",'_SCHEDULE'!R588)</x:f>
      </x:c>
      <x:c r="S620" s="523" t="str">
        <x:f>IF(ISBLANK('_SCHEDULE'!S588),"",'_SCHEDULE'!S588)</x:f>
      </x:c>
      <x:c r="T620" s="38"/>
      <x:c r="U620" s="38"/>
      <x:c r="V620" s="38"/>
      <x:c r="W620" s="38"/>
      <x:c r="X620" s="38"/>
      <x:c r="Y620" s="38"/>
      <x:c r="Z620" s="38"/>
      <x:c r="AA620" s="38"/>
      <x:c r="AB620" s="38"/>
      <x:c r="AC620" s="38"/>
      <x:c r="AD620" s="38"/>
      <x:c r="AE620" s="38"/>
      <x:c r="AF620" s="38"/>
      <x:c r="AG620" s="38"/>
      <x:c r="AH620" s="38"/>
      <x:c r="AI620" s="38"/>
      <x:c r="AJ620" s="38"/>
      <x:c r="AK620" s="38"/>
      <x:c r="AL620" s="38"/>
      <x:c r="AM620" s="38"/>
    </x:row>
    <x:row r="621">
      <x:c r="A621" s="523" t="str">
        <x:f>IF(ISBLANK('_SCHEDULE'!A589),"",'_SCHEDULE'!A589)</x:f>
      </x:c>
      <x:c r="B621" s="523" t="str">
        <x:f>IF(ISBLANK('_SCHEDULE'!B589),"",IF('_CONFIG'!$B$2="pt-BR",IF('_SCHEDULE'!B589="scheduled","programado",IF('_SCHEDULE'!B589="rejected","rejeitado",'_SCHEDULE'!B589)),'_SCHEDULE'!B589))</x:f>
      </x:c>
      <x:c r="C621" s="523" t="str">
        <x:f>IF(ISBLANK('_SCHEDULE'!C589),"",'_SCHEDULE'!C589)</x:f>
      </x:c>
      <x:c r="D621" s="523" t="str">
        <x:f>IF(ISBLANK('_SCHEDULE'!D589),"",'_SCHEDULE'!D589)</x:f>
      </x:c>
      <x:c r="E621" s="530" t="str">
        <x:f>IF(ISBLANK('_SCHEDULE'!E589),"",'_SCHEDULE'!E589)</x:f>
      </x:c>
      <x:c r="F621" s="530" t="str">
        <x:f>IF(ISBLANK('_SCHEDULE'!F589),"",'_SCHEDULE'!F589)</x:f>
      </x:c>
      <x:c r="G621" s="530" t="str">
        <x:f>IF(ISBLANK('_SCHEDULE'!G589),"",'_SCHEDULE'!G589)</x:f>
      </x:c>
      <x:c r="H621" s="530" t="str">
        <x:f>IF(ISBLANK('_SCHEDULE'!H589),"",'_SCHEDULE'!H589)</x:f>
      </x:c>
      <x:c r="I621" s="530" t="str">
        <x:f>IF(ISBLANK('_SCHEDULE'!I589),"",'_SCHEDULE'!I589)</x:f>
      </x:c>
      <x:c r="J621" s="530" t="str">
        <x:f>IF(ISBLANK('_SCHEDULE'!J589),"",'_SCHEDULE'!J589)</x:f>
      </x:c>
      <x:c r="K621" s="530" t="str">
        <x:f>IF(ISBLANK('_SCHEDULE'!K589),"",'_SCHEDULE'!K589)</x:f>
      </x:c>
      <x:c r="L621" s="530" t="str">
        <x:f>IF(ISBLANK('_SCHEDULE'!L589),"",'_SCHEDULE'!L589)</x:f>
      </x:c>
      <x:c r="M621" s="530" t="str">
        <x:f>IF(ISBLANK('_SCHEDULE'!M589),"",'_SCHEDULE'!M589)</x:f>
      </x:c>
      <x:c r="N621" s="530" t="str">
        <x:f>IF(ISBLANK('_SCHEDULE'!N589),"",'_SCHEDULE'!N589)</x:f>
      </x:c>
      <x:c r="O621" s="530" t="str">
        <x:f>IF(ISBLANK('_SCHEDULE'!O589),"",'_SCHEDULE'!O589)</x:f>
      </x:c>
      <x:c r="P621" s="530" t="str">
        <x:f>IF(ISBLANK('_SCHEDULE'!P589),"",'_SCHEDULE'!P589)</x:f>
      </x:c>
      <x:c r="Q621" s="530" t="str">
        <x:f>IF(ISBLANK('_SCHEDULE'!Q589),"",'_SCHEDULE'!Q589)</x:f>
      </x:c>
      <x:c r="R621" s="530" t="str">
        <x:f>IF(ISBLANK('_SCHEDULE'!R589),"",'_SCHEDULE'!R589)</x:f>
      </x:c>
      <x:c r="S621" s="523" t="str">
        <x:f>IF(ISBLANK('_SCHEDULE'!S589),"",'_SCHEDULE'!S589)</x:f>
      </x:c>
      <x:c r="T621" s="38"/>
      <x:c r="U621" s="38"/>
      <x:c r="V621" s="38"/>
      <x:c r="W621" s="38"/>
      <x:c r="X621" s="38"/>
      <x:c r="Y621" s="38"/>
      <x:c r="Z621" s="38"/>
      <x:c r="AA621" s="38"/>
      <x:c r="AB621" s="38"/>
      <x:c r="AC621" s="38"/>
      <x:c r="AD621" s="38"/>
      <x:c r="AE621" s="38"/>
      <x:c r="AF621" s="38"/>
      <x:c r="AG621" s="38"/>
      <x:c r="AH621" s="38"/>
      <x:c r="AI621" s="38"/>
      <x:c r="AJ621" s="38"/>
      <x:c r="AK621" s="38"/>
      <x:c r="AL621" s="38"/>
      <x:c r="AM621" s="38"/>
    </x:row>
    <x:row r="622">
      <x:c r="A622" s="523" t="str">
        <x:f>IF(ISBLANK('_SCHEDULE'!A590),"",'_SCHEDULE'!A590)</x:f>
      </x:c>
      <x:c r="B622" s="523" t="str">
        <x:f>IF(ISBLANK('_SCHEDULE'!B590),"",IF('_CONFIG'!$B$2="pt-BR",IF('_SCHEDULE'!B590="scheduled","programado",IF('_SCHEDULE'!B590="rejected","rejeitado",'_SCHEDULE'!B590)),'_SCHEDULE'!B590))</x:f>
      </x:c>
      <x:c r="C622" s="523" t="str">
        <x:f>IF(ISBLANK('_SCHEDULE'!C590),"",'_SCHEDULE'!C590)</x:f>
      </x:c>
      <x:c r="D622" s="523" t="str">
        <x:f>IF(ISBLANK('_SCHEDULE'!D590),"",'_SCHEDULE'!D590)</x:f>
      </x:c>
      <x:c r="E622" s="530" t="str">
        <x:f>IF(ISBLANK('_SCHEDULE'!E590),"",'_SCHEDULE'!E590)</x:f>
      </x:c>
      <x:c r="F622" s="530" t="str">
        <x:f>IF(ISBLANK('_SCHEDULE'!F590),"",'_SCHEDULE'!F590)</x:f>
      </x:c>
      <x:c r="G622" s="530" t="str">
        <x:f>IF(ISBLANK('_SCHEDULE'!G590),"",'_SCHEDULE'!G590)</x:f>
      </x:c>
      <x:c r="H622" s="530" t="str">
        <x:f>IF(ISBLANK('_SCHEDULE'!H590),"",'_SCHEDULE'!H590)</x:f>
      </x:c>
      <x:c r="I622" s="530" t="str">
        <x:f>IF(ISBLANK('_SCHEDULE'!I590),"",'_SCHEDULE'!I590)</x:f>
      </x:c>
      <x:c r="J622" s="530" t="str">
        <x:f>IF(ISBLANK('_SCHEDULE'!J590),"",'_SCHEDULE'!J590)</x:f>
      </x:c>
      <x:c r="K622" s="530" t="str">
        <x:f>IF(ISBLANK('_SCHEDULE'!K590),"",'_SCHEDULE'!K590)</x:f>
      </x:c>
      <x:c r="L622" s="530" t="str">
        <x:f>IF(ISBLANK('_SCHEDULE'!L590),"",'_SCHEDULE'!L590)</x:f>
      </x:c>
      <x:c r="M622" s="530" t="str">
        <x:f>IF(ISBLANK('_SCHEDULE'!M590),"",'_SCHEDULE'!M590)</x:f>
      </x:c>
      <x:c r="N622" s="530" t="str">
        <x:f>IF(ISBLANK('_SCHEDULE'!N590),"",'_SCHEDULE'!N590)</x:f>
      </x:c>
      <x:c r="O622" s="530" t="str">
        <x:f>IF(ISBLANK('_SCHEDULE'!O590),"",'_SCHEDULE'!O590)</x:f>
      </x:c>
      <x:c r="P622" s="530" t="str">
        <x:f>IF(ISBLANK('_SCHEDULE'!P590),"",'_SCHEDULE'!P590)</x:f>
      </x:c>
      <x:c r="Q622" s="530" t="str">
        <x:f>IF(ISBLANK('_SCHEDULE'!Q590),"",'_SCHEDULE'!Q590)</x:f>
      </x:c>
      <x:c r="R622" s="530" t="str">
        <x:f>IF(ISBLANK('_SCHEDULE'!R590),"",'_SCHEDULE'!R590)</x:f>
      </x:c>
      <x:c r="S622" s="523" t="str">
        <x:f>IF(ISBLANK('_SCHEDULE'!S590),"",'_SCHEDULE'!S590)</x:f>
      </x:c>
      <x:c r="T622" s="38"/>
      <x:c r="U622" s="38"/>
      <x:c r="V622" s="38"/>
      <x:c r="W622" s="38"/>
      <x:c r="X622" s="38"/>
      <x:c r="Y622" s="38"/>
      <x:c r="Z622" s="38"/>
      <x:c r="AA622" s="38"/>
      <x:c r="AB622" s="38"/>
      <x:c r="AC622" s="38"/>
      <x:c r="AD622" s="38"/>
      <x:c r="AE622" s="38"/>
      <x:c r="AF622" s="38"/>
      <x:c r="AG622" s="38"/>
      <x:c r="AH622" s="38"/>
      <x:c r="AI622" s="38"/>
      <x:c r="AJ622" s="38"/>
      <x:c r="AK622" s="38"/>
      <x:c r="AL622" s="38"/>
      <x:c r="AM622" s="38"/>
    </x:row>
    <x:row r="623">
      <x:c r="A623" s="523" t="str">
        <x:f>IF(ISBLANK('_SCHEDULE'!A591),"",'_SCHEDULE'!A591)</x:f>
      </x:c>
      <x:c r="B623" s="523" t="str">
        <x:f>IF(ISBLANK('_SCHEDULE'!B591),"",IF('_CONFIG'!$B$2="pt-BR",IF('_SCHEDULE'!B591="scheduled","programado",IF('_SCHEDULE'!B591="rejected","rejeitado",'_SCHEDULE'!B591)),'_SCHEDULE'!B591))</x:f>
      </x:c>
      <x:c r="C623" s="523" t="str">
        <x:f>IF(ISBLANK('_SCHEDULE'!C591),"",'_SCHEDULE'!C591)</x:f>
      </x:c>
      <x:c r="D623" s="523" t="str">
        <x:f>IF(ISBLANK('_SCHEDULE'!D591),"",'_SCHEDULE'!D591)</x:f>
      </x:c>
      <x:c r="E623" s="530" t="str">
        <x:f>IF(ISBLANK('_SCHEDULE'!E591),"",'_SCHEDULE'!E591)</x:f>
      </x:c>
      <x:c r="F623" s="530" t="str">
        <x:f>IF(ISBLANK('_SCHEDULE'!F591),"",'_SCHEDULE'!F591)</x:f>
      </x:c>
      <x:c r="G623" s="530" t="str">
        <x:f>IF(ISBLANK('_SCHEDULE'!G591),"",'_SCHEDULE'!G591)</x:f>
      </x:c>
      <x:c r="H623" s="530" t="str">
        <x:f>IF(ISBLANK('_SCHEDULE'!H591),"",'_SCHEDULE'!H591)</x:f>
      </x:c>
      <x:c r="I623" s="530" t="str">
        <x:f>IF(ISBLANK('_SCHEDULE'!I591),"",'_SCHEDULE'!I591)</x:f>
      </x:c>
      <x:c r="J623" s="530" t="str">
        <x:f>IF(ISBLANK('_SCHEDULE'!J591),"",'_SCHEDULE'!J591)</x:f>
      </x:c>
      <x:c r="K623" s="530" t="str">
        <x:f>IF(ISBLANK('_SCHEDULE'!K591),"",'_SCHEDULE'!K591)</x:f>
      </x:c>
      <x:c r="L623" s="530" t="str">
        <x:f>IF(ISBLANK('_SCHEDULE'!L591),"",'_SCHEDULE'!L591)</x:f>
      </x:c>
      <x:c r="M623" s="530" t="str">
        <x:f>IF(ISBLANK('_SCHEDULE'!M591),"",'_SCHEDULE'!M591)</x:f>
      </x:c>
      <x:c r="N623" s="530" t="str">
        <x:f>IF(ISBLANK('_SCHEDULE'!N591),"",'_SCHEDULE'!N591)</x:f>
      </x:c>
      <x:c r="O623" s="530" t="str">
        <x:f>IF(ISBLANK('_SCHEDULE'!O591),"",'_SCHEDULE'!O591)</x:f>
      </x:c>
      <x:c r="P623" s="530" t="str">
        <x:f>IF(ISBLANK('_SCHEDULE'!P591),"",'_SCHEDULE'!P591)</x:f>
      </x:c>
      <x:c r="Q623" s="530" t="str">
        <x:f>IF(ISBLANK('_SCHEDULE'!Q591),"",'_SCHEDULE'!Q591)</x:f>
      </x:c>
      <x:c r="R623" s="530" t="str">
        <x:f>IF(ISBLANK('_SCHEDULE'!R591),"",'_SCHEDULE'!R591)</x:f>
      </x:c>
      <x:c r="S623" s="523" t="str">
        <x:f>IF(ISBLANK('_SCHEDULE'!S591),"",'_SCHEDULE'!S591)</x:f>
      </x:c>
      <x:c r="T623" s="38"/>
      <x:c r="U623" s="38"/>
      <x:c r="V623" s="38"/>
      <x:c r="W623" s="38"/>
      <x:c r="X623" s="38"/>
      <x:c r="Y623" s="38"/>
      <x:c r="Z623" s="38"/>
      <x:c r="AA623" s="38"/>
      <x:c r="AB623" s="38"/>
      <x:c r="AC623" s="38"/>
      <x:c r="AD623" s="38"/>
      <x:c r="AE623" s="38"/>
      <x:c r="AF623" s="38"/>
      <x:c r="AG623" s="38"/>
      <x:c r="AH623" s="38"/>
      <x:c r="AI623" s="38"/>
      <x:c r="AJ623" s="38"/>
      <x:c r="AK623" s="38"/>
      <x:c r="AL623" s="38"/>
      <x:c r="AM623" s="38"/>
    </x:row>
    <x:row r="624">
      <x:c r="A624" s="523" t="str">
        <x:f>IF(ISBLANK('_SCHEDULE'!A592),"",'_SCHEDULE'!A592)</x:f>
      </x:c>
      <x:c r="B624" s="523" t="str">
        <x:f>IF(ISBLANK('_SCHEDULE'!B592),"",IF('_CONFIG'!$B$2="pt-BR",IF('_SCHEDULE'!B592="scheduled","programado",IF('_SCHEDULE'!B592="rejected","rejeitado",'_SCHEDULE'!B592)),'_SCHEDULE'!B592))</x:f>
      </x:c>
      <x:c r="C624" s="523" t="str">
        <x:f>IF(ISBLANK('_SCHEDULE'!C592),"",'_SCHEDULE'!C592)</x:f>
      </x:c>
      <x:c r="D624" s="523" t="str">
        <x:f>IF(ISBLANK('_SCHEDULE'!D592),"",'_SCHEDULE'!D592)</x:f>
      </x:c>
      <x:c r="E624" s="530" t="str">
        <x:f>IF(ISBLANK('_SCHEDULE'!E592),"",'_SCHEDULE'!E592)</x:f>
      </x:c>
      <x:c r="F624" s="530" t="str">
        <x:f>IF(ISBLANK('_SCHEDULE'!F592),"",'_SCHEDULE'!F592)</x:f>
      </x:c>
      <x:c r="G624" s="530" t="str">
        <x:f>IF(ISBLANK('_SCHEDULE'!G592),"",'_SCHEDULE'!G592)</x:f>
      </x:c>
      <x:c r="H624" s="530" t="str">
        <x:f>IF(ISBLANK('_SCHEDULE'!H592),"",'_SCHEDULE'!H592)</x:f>
      </x:c>
      <x:c r="I624" s="530" t="str">
        <x:f>IF(ISBLANK('_SCHEDULE'!I592),"",'_SCHEDULE'!I592)</x:f>
      </x:c>
      <x:c r="J624" s="530" t="str">
        <x:f>IF(ISBLANK('_SCHEDULE'!J592),"",'_SCHEDULE'!J592)</x:f>
      </x:c>
      <x:c r="K624" s="530" t="str">
        <x:f>IF(ISBLANK('_SCHEDULE'!K592),"",'_SCHEDULE'!K592)</x:f>
      </x:c>
      <x:c r="L624" s="530" t="str">
        <x:f>IF(ISBLANK('_SCHEDULE'!L592),"",'_SCHEDULE'!L592)</x:f>
      </x:c>
      <x:c r="M624" s="530" t="str">
        <x:f>IF(ISBLANK('_SCHEDULE'!M592),"",'_SCHEDULE'!M592)</x:f>
      </x:c>
      <x:c r="N624" s="530" t="str">
        <x:f>IF(ISBLANK('_SCHEDULE'!N592),"",'_SCHEDULE'!N592)</x:f>
      </x:c>
      <x:c r="O624" s="530" t="str">
        <x:f>IF(ISBLANK('_SCHEDULE'!O592),"",'_SCHEDULE'!O592)</x:f>
      </x:c>
      <x:c r="P624" s="530" t="str">
        <x:f>IF(ISBLANK('_SCHEDULE'!P592),"",'_SCHEDULE'!P592)</x:f>
      </x:c>
      <x:c r="Q624" s="530" t="str">
        <x:f>IF(ISBLANK('_SCHEDULE'!Q592),"",'_SCHEDULE'!Q592)</x:f>
      </x:c>
      <x:c r="R624" s="530" t="str">
        <x:f>IF(ISBLANK('_SCHEDULE'!R592),"",'_SCHEDULE'!R592)</x:f>
      </x:c>
      <x:c r="S624" s="523" t="str">
        <x:f>IF(ISBLANK('_SCHEDULE'!S592),"",'_SCHEDULE'!S592)</x:f>
      </x:c>
      <x:c r="T624" s="38"/>
      <x:c r="U624" s="38"/>
      <x:c r="V624" s="38"/>
      <x:c r="W624" s="38"/>
      <x:c r="X624" s="38"/>
      <x:c r="Y624" s="38"/>
      <x:c r="Z624" s="38"/>
      <x:c r="AA624" s="38"/>
      <x:c r="AB624" s="38"/>
      <x:c r="AC624" s="38"/>
      <x:c r="AD624" s="38"/>
      <x:c r="AE624" s="38"/>
      <x:c r="AF624" s="38"/>
      <x:c r="AG624" s="38"/>
      <x:c r="AH624" s="38"/>
      <x:c r="AI624" s="38"/>
      <x:c r="AJ624" s="38"/>
      <x:c r="AK624" s="38"/>
      <x:c r="AL624" s="38"/>
      <x:c r="AM624" s="38"/>
    </x:row>
    <x:row r="625">
      <x:c r="A625" s="523" t="str">
        <x:f>IF(ISBLANK('_SCHEDULE'!A593),"",'_SCHEDULE'!A593)</x:f>
      </x:c>
      <x:c r="B625" s="523" t="str">
        <x:f>IF(ISBLANK('_SCHEDULE'!B593),"",IF('_CONFIG'!$B$2="pt-BR",IF('_SCHEDULE'!B593="scheduled","programado",IF('_SCHEDULE'!B593="rejected","rejeitado",'_SCHEDULE'!B593)),'_SCHEDULE'!B593))</x:f>
      </x:c>
      <x:c r="C625" s="523" t="str">
        <x:f>IF(ISBLANK('_SCHEDULE'!C593),"",'_SCHEDULE'!C593)</x:f>
      </x:c>
      <x:c r="D625" s="523" t="str">
        <x:f>IF(ISBLANK('_SCHEDULE'!D593),"",'_SCHEDULE'!D593)</x:f>
      </x:c>
      <x:c r="E625" s="530" t="str">
        <x:f>IF(ISBLANK('_SCHEDULE'!E593),"",'_SCHEDULE'!E593)</x:f>
      </x:c>
      <x:c r="F625" s="530" t="str">
        <x:f>IF(ISBLANK('_SCHEDULE'!F593),"",'_SCHEDULE'!F593)</x:f>
      </x:c>
      <x:c r="G625" s="530" t="str">
        <x:f>IF(ISBLANK('_SCHEDULE'!G593),"",'_SCHEDULE'!G593)</x:f>
      </x:c>
      <x:c r="H625" s="530" t="str">
        <x:f>IF(ISBLANK('_SCHEDULE'!H593),"",'_SCHEDULE'!H593)</x:f>
      </x:c>
      <x:c r="I625" s="530" t="str">
        <x:f>IF(ISBLANK('_SCHEDULE'!I593),"",'_SCHEDULE'!I593)</x:f>
      </x:c>
      <x:c r="J625" s="530" t="str">
        <x:f>IF(ISBLANK('_SCHEDULE'!J593),"",'_SCHEDULE'!J593)</x:f>
      </x:c>
      <x:c r="K625" s="530" t="str">
        <x:f>IF(ISBLANK('_SCHEDULE'!K593),"",'_SCHEDULE'!K593)</x:f>
      </x:c>
      <x:c r="L625" s="530" t="str">
        <x:f>IF(ISBLANK('_SCHEDULE'!L593),"",'_SCHEDULE'!L593)</x:f>
      </x:c>
      <x:c r="M625" s="530" t="str">
        <x:f>IF(ISBLANK('_SCHEDULE'!M593),"",'_SCHEDULE'!M593)</x:f>
      </x:c>
      <x:c r="N625" s="530" t="str">
        <x:f>IF(ISBLANK('_SCHEDULE'!N593),"",'_SCHEDULE'!N593)</x:f>
      </x:c>
      <x:c r="O625" s="530" t="str">
        <x:f>IF(ISBLANK('_SCHEDULE'!O593),"",'_SCHEDULE'!O593)</x:f>
      </x:c>
      <x:c r="P625" s="530" t="str">
        <x:f>IF(ISBLANK('_SCHEDULE'!P593),"",'_SCHEDULE'!P593)</x:f>
      </x:c>
      <x:c r="Q625" s="530" t="str">
        <x:f>IF(ISBLANK('_SCHEDULE'!Q593),"",'_SCHEDULE'!Q593)</x:f>
      </x:c>
      <x:c r="R625" s="530" t="str">
        <x:f>IF(ISBLANK('_SCHEDULE'!R593),"",'_SCHEDULE'!R593)</x:f>
      </x:c>
      <x:c r="S625" s="523" t="str">
        <x:f>IF(ISBLANK('_SCHEDULE'!S593),"",'_SCHEDULE'!S593)</x:f>
      </x:c>
      <x:c r="T625" s="38"/>
      <x:c r="U625" s="38"/>
      <x:c r="V625" s="38"/>
      <x:c r="W625" s="38"/>
      <x:c r="X625" s="38"/>
      <x:c r="Y625" s="38"/>
      <x:c r="Z625" s="38"/>
      <x:c r="AA625" s="38"/>
      <x:c r="AB625" s="38"/>
      <x:c r="AC625" s="38"/>
      <x:c r="AD625" s="38"/>
      <x:c r="AE625" s="38"/>
      <x:c r="AF625" s="38"/>
      <x:c r="AG625" s="38"/>
      <x:c r="AH625" s="38"/>
      <x:c r="AI625" s="38"/>
      <x:c r="AJ625" s="38"/>
      <x:c r="AK625" s="38"/>
      <x:c r="AL625" s="38"/>
      <x:c r="AM625" s="38"/>
    </x:row>
    <x:row r="626">
      <x:c r="A626" s="523" t="str">
        <x:f>IF(ISBLANK('_SCHEDULE'!A594),"",'_SCHEDULE'!A594)</x:f>
      </x:c>
      <x:c r="B626" s="523" t="str">
        <x:f>IF(ISBLANK('_SCHEDULE'!B594),"",IF('_CONFIG'!$B$2="pt-BR",IF('_SCHEDULE'!B594="scheduled","programado",IF('_SCHEDULE'!B594="rejected","rejeitado",'_SCHEDULE'!B594)),'_SCHEDULE'!B594))</x:f>
      </x:c>
      <x:c r="C626" s="523" t="str">
        <x:f>IF(ISBLANK('_SCHEDULE'!C594),"",'_SCHEDULE'!C594)</x:f>
      </x:c>
      <x:c r="D626" s="523" t="str">
        <x:f>IF(ISBLANK('_SCHEDULE'!D594),"",'_SCHEDULE'!D594)</x:f>
      </x:c>
      <x:c r="E626" s="530" t="str">
        <x:f>IF(ISBLANK('_SCHEDULE'!E594),"",'_SCHEDULE'!E594)</x:f>
      </x:c>
      <x:c r="F626" s="530" t="str">
        <x:f>IF(ISBLANK('_SCHEDULE'!F594),"",'_SCHEDULE'!F594)</x:f>
      </x:c>
      <x:c r="G626" s="530" t="str">
        <x:f>IF(ISBLANK('_SCHEDULE'!G594),"",'_SCHEDULE'!G594)</x:f>
      </x:c>
      <x:c r="H626" s="530" t="str">
        <x:f>IF(ISBLANK('_SCHEDULE'!H594),"",'_SCHEDULE'!H594)</x:f>
      </x:c>
      <x:c r="I626" s="530" t="str">
        <x:f>IF(ISBLANK('_SCHEDULE'!I594),"",'_SCHEDULE'!I594)</x:f>
      </x:c>
      <x:c r="J626" s="530" t="str">
        <x:f>IF(ISBLANK('_SCHEDULE'!J594),"",'_SCHEDULE'!J594)</x:f>
      </x:c>
      <x:c r="K626" s="530" t="str">
        <x:f>IF(ISBLANK('_SCHEDULE'!K594),"",'_SCHEDULE'!K594)</x:f>
      </x:c>
      <x:c r="L626" s="530" t="str">
        <x:f>IF(ISBLANK('_SCHEDULE'!L594),"",'_SCHEDULE'!L594)</x:f>
      </x:c>
      <x:c r="M626" s="530" t="str">
        <x:f>IF(ISBLANK('_SCHEDULE'!M594),"",'_SCHEDULE'!M594)</x:f>
      </x:c>
      <x:c r="N626" s="530" t="str">
        <x:f>IF(ISBLANK('_SCHEDULE'!N594),"",'_SCHEDULE'!N594)</x:f>
      </x:c>
      <x:c r="O626" s="530" t="str">
        <x:f>IF(ISBLANK('_SCHEDULE'!O594),"",'_SCHEDULE'!O594)</x:f>
      </x:c>
      <x:c r="P626" s="530" t="str">
        <x:f>IF(ISBLANK('_SCHEDULE'!P594),"",'_SCHEDULE'!P594)</x:f>
      </x:c>
      <x:c r="Q626" s="530" t="str">
        <x:f>IF(ISBLANK('_SCHEDULE'!Q594),"",'_SCHEDULE'!Q594)</x:f>
      </x:c>
      <x:c r="R626" s="530" t="str">
        <x:f>IF(ISBLANK('_SCHEDULE'!R594),"",'_SCHEDULE'!R594)</x:f>
      </x:c>
      <x:c r="S626" s="523" t="str">
        <x:f>IF(ISBLANK('_SCHEDULE'!S594),"",'_SCHEDULE'!S594)</x:f>
      </x:c>
      <x:c r="T626" s="38"/>
      <x:c r="U626" s="38"/>
      <x:c r="V626" s="38"/>
      <x:c r="W626" s="38"/>
      <x:c r="X626" s="38"/>
      <x:c r="Y626" s="38"/>
      <x:c r="Z626" s="38"/>
      <x:c r="AA626" s="38"/>
      <x:c r="AB626" s="38"/>
      <x:c r="AC626" s="38"/>
      <x:c r="AD626" s="38"/>
      <x:c r="AE626" s="38"/>
      <x:c r="AF626" s="38"/>
      <x:c r="AG626" s="38"/>
      <x:c r="AH626" s="38"/>
      <x:c r="AI626" s="38"/>
      <x:c r="AJ626" s="38"/>
      <x:c r="AK626" s="38"/>
      <x:c r="AL626" s="38"/>
      <x:c r="AM626" s="38"/>
    </x:row>
    <x:row r="627">
      <x:c r="A627" s="523" t="str">
        <x:f>IF(ISBLANK('_SCHEDULE'!A595),"",'_SCHEDULE'!A595)</x:f>
      </x:c>
      <x:c r="B627" s="523" t="str">
        <x:f>IF(ISBLANK('_SCHEDULE'!B595),"",IF('_CONFIG'!$B$2="pt-BR",IF('_SCHEDULE'!B595="scheduled","programado",IF('_SCHEDULE'!B595="rejected","rejeitado",'_SCHEDULE'!B595)),'_SCHEDULE'!B595))</x:f>
      </x:c>
      <x:c r="C627" s="523" t="str">
        <x:f>IF(ISBLANK('_SCHEDULE'!C595),"",'_SCHEDULE'!C595)</x:f>
      </x:c>
      <x:c r="D627" s="523" t="str">
        <x:f>IF(ISBLANK('_SCHEDULE'!D595),"",'_SCHEDULE'!D595)</x:f>
      </x:c>
      <x:c r="E627" s="530" t="str">
        <x:f>IF(ISBLANK('_SCHEDULE'!E595),"",'_SCHEDULE'!E595)</x:f>
      </x:c>
      <x:c r="F627" s="530" t="str">
        <x:f>IF(ISBLANK('_SCHEDULE'!F595),"",'_SCHEDULE'!F595)</x:f>
      </x:c>
      <x:c r="G627" s="530" t="str">
        <x:f>IF(ISBLANK('_SCHEDULE'!G595),"",'_SCHEDULE'!G595)</x:f>
      </x:c>
      <x:c r="H627" s="530" t="str">
        <x:f>IF(ISBLANK('_SCHEDULE'!H595),"",'_SCHEDULE'!H595)</x:f>
      </x:c>
      <x:c r="I627" s="530" t="str">
        <x:f>IF(ISBLANK('_SCHEDULE'!I595),"",'_SCHEDULE'!I595)</x:f>
      </x:c>
      <x:c r="J627" s="530" t="str">
        <x:f>IF(ISBLANK('_SCHEDULE'!J595),"",'_SCHEDULE'!J595)</x:f>
      </x:c>
      <x:c r="K627" s="530" t="str">
        <x:f>IF(ISBLANK('_SCHEDULE'!K595),"",'_SCHEDULE'!K595)</x:f>
      </x:c>
      <x:c r="L627" s="530" t="str">
        <x:f>IF(ISBLANK('_SCHEDULE'!L595),"",'_SCHEDULE'!L595)</x:f>
      </x:c>
      <x:c r="M627" s="530" t="str">
        <x:f>IF(ISBLANK('_SCHEDULE'!M595),"",'_SCHEDULE'!M595)</x:f>
      </x:c>
      <x:c r="N627" s="530" t="str">
        <x:f>IF(ISBLANK('_SCHEDULE'!N595),"",'_SCHEDULE'!N595)</x:f>
      </x:c>
      <x:c r="O627" s="530" t="str">
        <x:f>IF(ISBLANK('_SCHEDULE'!O595),"",'_SCHEDULE'!O595)</x:f>
      </x:c>
      <x:c r="P627" s="530" t="str">
        <x:f>IF(ISBLANK('_SCHEDULE'!P595),"",'_SCHEDULE'!P595)</x:f>
      </x:c>
      <x:c r="Q627" s="530" t="str">
        <x:f>IF(ISBLANK('_SCHEDULE'!Q595),"",'_SCHEDULE'!Q595)</x:f>
      </x:c>
      <x:c r="R627" s="530" t="str">
        <x:f>IF(ISBLANK('_SCHEDULE'!R595),"",'_SCHEDULE'!R595)</x:f>
      </x:c>
      <x:c r="S627" s="523" t="str">
        <x:f>IF(ISBLANK('_SCHEDULE'!S595),"",'_SCHEDULE'!S595)</x:f>
      </x:c>
      <x:c r="T627" s="38"/>
      <x:c r="U627" s="38"/>
      <x:c r="V627" s="38"/>
      <x:c r="W627" s="38"/>
      <x:c r="X627" s="38"/>
      <x:c r="Y627" s="38"/>
      <x:c r="Z627" s="38"/>
      <x:c r="AA627" s="38"/>
      <x:c r="AB627" s="38"/>
      <x:c r="AC627" s="38"/>
      <x:c r="AD627" s="38"/>
      <x:c r="AE627" s="38"/>
      <x:c r="AF627" s="38"/>
      <x:c r="AG627" s="38"/>
      <x:c r="AH627" s="38"/>
      <x:c r="AI627" s="38"/>
      <x:c r="AJ627" s="38"/>
      <x:c r="AK627" s="38"/>
      <x:c r="AL627" s="38"/>
      <x:c r="AM627" s="38"/>
    </x:row>
    <x:row r="628">
      <x:c r="A628" s="523" t="str">
        <x:f>IF(ISBLANK('_SCHEDULE'!A596),"",'_SCHEDULE'!A596)</x:f>
      </x:c>
      <x:c r="B628" s="523" t="str">
        <x:f>IF(ISBLANK('_SCHEDULE'!B596),"",IF('_CONFIG'!$B$2="pt-BR",IF('_SCHEDULE'!B596="scheduled","programado",IF('_SCHEDULE'!B596="rejected","rejeitado",'_SCHEDULE'!B596)),'_SCHEDULE'!B596))</x:f>
      </x:c>
      <x:c r="C628" s="523" t="str">
        <x:f>IF(ISBLANK('_SCHEDULE'!C596),"",'_SCHEDULE'!C596)</x:f>
      </x:c>
      <x:c r="D628" s="523" t="str">
        <x:f>IF(ISBLANK('_SCHEDULE'!D596),"",'_SCHEDULE'!D596)</x:f>
      </x:c>
      <x:c r="E628" s="530" t="str">
        <x:f>IF(ISBLANK('_SCHEDULE'!E596),"",'_SCHEDULE'!E596)</x:f>
      </x:c>
      <x:c r="F628" s="530" t="str">
        <x:f>IF(ISBLANK('_SCHEDULE'!F596),"",'_SCHEDULE'!F596)</x:f>
      </x:c>
      <x:c r="G628" s="530" t="str">
        <x:f>IF(ISBLANK('_SCHEDULE'!G596),"",'_SCHEDULE'!G596)</x:f>
      </x:c>
      <x:c r="H628" s="530" t="str">
        <x:f>IF(ISBLANK('_SCHEDULE'!H596),"",'_SCHEDULE'!H596)</x:f>
      </x:c>
      <x:c r="I628" s="530" t="str">
        <x:f>IF(ISBLANK('_SCHEDULE'!I596),"",'_SCHEDULE'!I596)</x:f>
      </x:c>
      <x:c r="J628" s="530" t="str">
        <x:f>IF(ISBLANK('_SCHEDULE'!J596),"",'_SCHEDULE'!J596)</x:f>
      </x:c>
      <x:c r="K628" s="530" t="str">
        <x:f>IF(ISBLANK('_SCHEDULE'!K596),"",'_SCHEDULE'!K596)</x:f>
      </x:c>
      <x:c r="L628" s="530" t="str">
        <x:f>IF(ISBLANK('_SCHEDULE'!L596),"",'_SCHEDULE'!L596)</x:f>
      </x:c>
      <x:c r="M628" s="530" t="str">
        <x:f>IF(ISBLANK('_SCHEDULE'!M596),"",'_SCHEDULE'!M596)</x:f>
      </x:c>
      <x:c r="N628" s="530" t="str">
        <x:f>IF(ISBLANK('_SCHEDULE'!N596),"",'_SCHEDULE'!N596)</x:f>
      </x:c>
      <x:c r="O628" s="530" t="str">
        <x:f>IF(ISBLANK('_SCHEDULE'!O596),"",'_SCHEDULE'!O596)</x:f>
      </x:c>
      <x:c r="P628" s="530" t="str">
        <x:f>IF(ISBLANK('_SCHEDULE'!P596),"",'_SCHEDULE'!P596)</x:f>
      </x:c>
      <x:c r="Q628" s="530" t="str">
        <x:f>IF(ISBLANK('_SCHEDULE'!Q596),"",'_SCHEDULE'!Q596)</x:f>
      </x:c>
      <x:c r="R628" s="530" t="str">
        <x:f>IF(ISBLANK('_SCHEDULE'!R596),"",'_SCHEDULE'!R596)</x:f>
      </x:c>
      <x:c r="S628" s="523" t="str">
        <x:f>IF(ISBLANK('_SCHEDULE'!S596),"",'_SCHEDULE'!S596)</x:f>
      </x:c>
      <x:c r="T628" s="38"/>
      <x:c r="U628" s="38"/>
      <x:c r="V628" s="38"/>
      <x:c r="W628" s="38"/>
      <x:c r="X628" s="38"/>
      <x:c r="Y628" s="38"/>
      <x:c r="Z628" s="38"/>
      <x:c r="AA628" s="38"/>
      <x:c r="AB628" s="38"/>
      <x:c r="AC628" s="38"/>
      <x:c r="AD628" s="38"/>
      <x:c r="AE628" s="38"/>
      <x:c r="AF628" s="38"/>
      <x:c r="AG628" s="38"/>
      <x:c r="AH628" s="38"/>
      <x:c r="AI628" s="38"/>
      <x:c r="AJ628" s="38"/>
      <x:c r="AK628" s="38"/>
      <x:c r="AL628" s="38"/>
      <x:c r="AM628" s="38"/>
    </x:row>
    <x:row r="629">
      <x:c r="A629" s="523" t="str">
        <x:f>IF(ISBLANK('_SCHEDULE'!A597),"",'_SCHEDULE'!A597)</x:f>
      </x:c>
      <x:c r="B629" s="523" t="str">
        <x:f>IF(ISBLANK('_SCHEDULE'!B597),"",IF('_CONFIG'!$B$2="pt-BR",IF('_SCHEDULE'!B597="scheduled","programado",IF('_SCHEDULE'!B597="rejected","rejeitado",'_SCHEDULE'!B597)),'_SCHEDULE'!B597))</x:f>
      </x:c>
      <x:c r="C629" s="523" t="str">
        <x:f>IF(ISBLANK('_SCHEDULE'!C597),"",'_SCHEDULE'!C597)</x:f>
      </x:c>
      <x:c r="D629" s="523" t="str">
        <x:f>IF(ISBLANK('_SCHEDULE'!D597),"",'_SCHEDULE'!D597)</x:f>
      </x:c>
      <x:c r="E629" s="530" t="str">
        <x:f>IF(ISBLANK('_SCHEDULE'!E597),"",'_SCHEDULE'!E597)</x:f>
      </x:c>
      <x:c r="F629" s="530" t="str">
        <x:f>IF(ISBLANK('_SCHEDULE'!F597),"",'_SCHEDULE'!F597)</x:f>
      </x:c>
      <x:c r="G629" s="530" t="str">
        <x:f>IF(ISBLANK('_SCHEDULE'!G597),"",'_SCHEDULE'!G597)</x:f>
      </x:c>
      <x:c r="H629" s="530" t="str">
        <x:f>IF(ISBLANK('_SCHEDULE'!H597),"",'_SCHEDULE'!H597)</x:f>
      </x:c>
      <x:c r="I629" s="530" t="str">
        <x:f>IF(ISBLANK('_SCHEDULE'!I597),"",'_SCHEDULE'!I597)</x:f>
      </x:c>
      <x:c r="J629" s="530" t="str">
        <x:f>IF(ISBLANK('_SCHEDULE'!J597),"",'_SCHEDULE'!J597)</x:f>
      </x:c>
      <x:c r="K629" s="530" t="str">
        <x:f>IF(ISBLANK('_SCHEDULE'!K597),"",'_SCHEDULE'!K597)</x:f>
      </x:c>
      <x:c r="L629" s="530" t="str">
        <x:f>IF(ISBLANK('_SCHEDULE'!L597),"",'_SCHEDULE'!L597)</x:f>
      </x:c>
      <x:c r="M629" s="530" t="str">
        <x:f>IF(ISBLANK('_SCHEDULE'!M597),"",'_SCHEDULE'!M597)</x:f>
      </x:c>
      <x:c r="N629" s="530" t="str">
        <x:f>IF(ISBLANK('_SCHEDULE'!N597),"",'_SCHEDULE'!N597)</x:f>
      </x:c>
      <x:c r="O629" s="530" t="str">
        <x:f>IF(ISBLANK('_SCHEDULE'!O597),"",'_SCHEDULE'!O597)</x:f>
      </x:c>
      <x:c r="P629" s="530" t="str">
        <x:f>IF(ISBLANK('_SCHEDULE'!P597),"",'_SCHEDULE'!P597)</x:f>
      </x:c>
      <x:c r="Q629" s="530" t="str">
        <x:f>IF(ISBLANK('_SCHEDULE'!Q597),"",'_SCHEDULE'!Q597)</x:f>
      </x:c>
      <x:c r="R629" s="530" t="str">
        <x:f>IF(ISBLANK('_SCHEDULE'!R597),"",'_SCHEDULE'!R597)</x:f>
      </x:c>
      <x:c r="S629" s="523" t="str">
        <x:f>IF(ISBLANK('_SCHEDULE'!S597),"",'_SCHEDULE'!S597)</x:f>
      </x:c>
      <x:c r="T629" s="38"/>
      <x:c r="U629" s="38"/>
      <x:c r="V629" s="38"/>
      <x:c r="W629" s="38"/>
      <x:c r="X629" s="38"/>
      <x:c r="Y629" s="38"/>
      <x:c r="Z629" s="38"/>
      <x:c r="AA629" s="38"/>
      <x:c r="AB629" s="38"/>
      <x:c r="AC629" s="38"/>
      <x:c r="AD629" s="38"/>
      <x:c r="AE629" s="38"/>
      <x:c r="AF629" s="38"/>
      <x:c r="AG629" s="38"/>
      <x:c r="AH629" s="38"/>
      <x:c r="AI629" s="38"/>
      <x:c r="AJ629" s="38"/>
      <x:c r="AK629" s="38"/>
      <x:c r="AL629" s="38"/>
      <x:c r="AM629" s="38"/>
    </x:row>
    <x:row r="630">
      <x:c r="A630" s="523" t="str">
        <x:f>IF(ISBLANK('_SCHEDULE'!A598),"",'_SCHEDULE'!A598)</x:f>
      </x:c>
      <x:c r="B630" s="523" t="str">
        <x:f>IF(ISBLANK('_SCHEDULE'!B598),"",IF('_CONFIG'!$B$2="pt-BR",IF('_SCHEDULE'!B598="scheduled","programado",IF('_SCHEDULE'!B598="rejected","rejeitado",'_SCHEDULE'!B598)),'_SCHEDULE'!B598))</x:f>
      </x:c>
      <x:c r="C630" s="523" t="str">
        <x:f>IF(ISBLANK('_SCHEDULE'!C598),"",'_SCHEDULE'!C598)</x:f>
      </x:c>
      <x:c r="D630" s="523" t="str">
        <x:f>IF(ISBLANK('_SCHEDULE'!D598),"",'_SCHEDULE'!D598)</x:f>
      </x:c>
      <x:c r="E630" s="530" t="str">
        <x:f>IF(ISBLANK('_SCHEDULE'!E598),"",'_SCHEDULE'!E598)</x:f>
      </x:c>
      <x:c r="F630" s="530" t="str">
        <x:f>IF(ISBLANK('_SCHEDULE'!F598),"",'_SCHEDULE'!F598)</x:f>
      </x:c>
      <x:c r="G630" s="530" t="str">
        <x:f>IF(ISBLANK('_SCHEDULE'!G598),"",'_SCHEDULE'!G598)</x:f>
      </x:c>
      <x:c r="H630" s="530" t="str">
        <x:f>IF(ISBLANK('_SCHEDULE'!H598),"",'_SCHEDULE'!H598)</x:f>
      </x:c>
      <x:c r="I630" s="530" t="str">
        <x:f>IF(ISBLANK('_SCHEDULE'!I598),"",'_SCHEDULE'!I598)</x:f>
      </x:c>
      <x:c r="J630" s="530" t="str">
        <x:f>IF(ISBLANK('_SCHEDULE'!J598),"",'_SCHEDULE'!J598)</x:f>
      </x:c>
      <x:c r="K630" s="530" t="str">
        <x:f>IF(ISBLANK('_SCHEDULE'!K598),"",'_SCHEDULE'!K598)</x:f>
      </x:c>
      <x:c r="L630" s="530" t="str">
        <x:f>IF(ISBLANK('_SCHEDULE'!L598),"",'_SCHEDULE'!L598)</x:f>
      </x:c>
      <x:c r="M630" s="530" t="str">
        <x:f>IF(ISBLANK('_SCHEDULE'!M598),"",'_SCHEDULE'!M598)</x:f>
      </x:c>
      <x:c r="N630" s="530" t="str">
        <x:f>IF(ISBLANK('_SCHEDULE'!N598),"",'_SCHEDULE'!N598)</x:f>
      </x:c>
      <x:c r="O630" s="530" t="str">
        <x:f>IF(ISBLANK('_SCHEDULE'!O598),"",'_SCHEDULE'!O598)</x:f>
      </x:c>
      <x:c r="P630" s="530" t="str">
        <x:f>IF(ISBLANK('_SCHEDULE'!P598),"",'_SCHEDULE'!P598)</x:f>
      </x:c>
      <x:c r="Q630" s="530" t="str">
        <x:f>IF(ISBLANK('_SCHEDULE'!Q598),"",'_SCHEDULE'!Q598)</x:f>
      </x:c>
      <x:c r="R630" s="530" t="str">
        <x:f>IF(ISBLANK('_SCHEDULE'!R598),"",'_SCHEDULE'!R598)</x:f>
      </x:c>
      <x:c r="S630" s="523" t="str">
        <x:f>IF(ISBLANK('_SCHEDULE'!S598),"",'_SCHEDULE'!S598)</x:f>
      </x:c>
      <x:c r="T630" s="38"/>
      <x:c r="U630" s="38"/>
      <x:c r="V630" s="38"/>
      <x:c r="W630" s="38"/>
      <x:c r="X630" s="38"/>
      <x:c r="Y630" s="38"/>
      <x:c r="Z630" s="38"/>
      <x:c r="AA630" s="38"/>
      <x:c r="AB630" s="38"/>
      <x:c r="AC630" s="38"/>
      <x:c r="AD630" s="38"/>
      <x:c r="AE630" s="38"/>
      <x:c r="AF630" s="38"/>
      <x:c r="AG630" s="38"/>
      <x:c r="AH630" s="38"/>
      <x:c r="AI630" s="38"/>
      <x:c r="AJ630" s="38"/>
      <x:c r="AK630" s="38"/>
      <x:c r="AL630" s="38"/>
      <x:c r="AM630" s="38"/>
    </x:row>
    <x:row r="631">
      <x:c r="A631" s="523" t="str">
        <x:f>IF(ISBLANK('_SCHEDULE'!A599),"",'_SCHEDULE'!A599)</x:f>
      </x:c>
      <x:c r="B631" s="523" t="str">
        <x:f>IF(ISBLANK('_SCHEDULE'!B599),"",IF('_CONFIG'!$B$2="pt-BR",IF('_SCHEDULE'!B599="scheduled","programado",IF('_SCHEDULE'!B599="rejected","rejeitado",'_SCHEDULE'!B599)),'_SCHEDULE'!B599))</x:f>
      </x:c>
      <x:c r="C631" s="523" t="str">
        <x:f>IF(ISBLANK('_SCHEDULE'!C599),"",'_SCHEDULE'!C599)</x:f>
      </x:c>
      <x:c r="D631" s="523" t="str">
        <x:f>IF(ISBLANK('_SCHEDULE'!D599),"",'_SCHEDULE'!D599)</x:f>
      </x:c>
      <x:c r="E631" s="530" t="str">
        <x:f>IF(ISBLANK('_SCHEDULE'!E599),"",'_SCHEDULE'!E599)</x:f>
      </x:c>
      <x:c r="F631" s="530" t="str">
        <x:f>IF(ISBLANK('_SCHEDULE'!F599),"",'_SCHEDULE'!F599)</x:f>
      </x:c>
      <x:c r="G631" s="530" t="str">
        <x:f>IF(ISBLANK('_SCHEDULE'!G599),"",'_SCHEDULE'!G599)</x:f>
      </x:c>
      <x:c r="H631" s="530" t="str">
        <x:f>IF(ISBLANK('_SCHEDULE'!H599),"",'_SCHEDULE'!H599)</x:f>
      </x:c>
      <x:c r="I631" s="530" t="str">
        <x:f>IF(ISBLANK('_SCHEDULE'!I599),"",'_SCHEDULE'!I599)</x:f>
      </x:c>
      <x:c r="J631" s="530" t="str">
        <x:f>IF(ISBLANK('_SCHEDULE'!J599),"",'_SCHEDULE'!J599)</x:f>
      </x:c>
      <x:c r="K631" s="530" t="str">
        <x:f>IF(ISBLANK('_SCHEDULE'!K599),"",'_SCHEDULE'!K599)</x:f>
      </x:c>
      <x:c r="L631" s="530" t="str">
        <x:f>IF(ISBLANK('_SCHEDULE'!L599),"",'_SCHEDULE'!L599)</x:f>
      </x:c>
      <x:c r="M631" s="530" t="str">
        <x:f>IF(ISBLANK('_SCHEDULE'!M599),"",'_SCHEDULE'!M599)</x:f>
      </x:c>
      <x:c r="N631" s="530" t="str">
        <x:f>IF(ISBLANK('_SCHEDULE'!N599),"",'_SCHEDULE'!N599)</x:f>
      </x:c>
      <x:c r="O631" s="530" t="str">
        <x:f>IF(ISBLANK('_SCHEDULE'!O599),"",'_SCHEDULE'!O599)</x:f>
      </x:c>
      <x:c r="P631" s="530" t="str">
        <x:f>IF(ISBLANK('_SCHEDULE'!P599),"",'_SCHEDULE'!P599)</x:f>
      </x:c>
      <x:c r="Q631" s="530" t="str">
        <x:f>IF(ISBLANK('_SCHEDULE'!Q599),"",'_SCHEDULE'!Q599)</x:f>
      </x:c>
      <x:c r="R631" s="530" t="str">
        <x:f>IF(ISBLANK('_SCHEDULE'!R599),"",'_SCHEDULE'!R599)</x:f>
      </x:c>
      <x:c r="S631" s="523" t="str">
        <x:f>IF(ISBLANK('_SCHEDULE'!S599),"",'_SCHEDULE'!S599)</x:f>
      </x:c>
      <x:c r="T631" s="38"/>
      <x:c r="U631" s="38"/>
      <x:c r="V631" s="38"/>
      <x:c r="W631" s="38"/>
      <x:c r="X631" s="38"/>
      <x:c r="Y631" s="38"/>
      <x:c r="Z631" s="38"/>
      <x:c r="AA631" s="38"/>
      <x:c r="AB631" s="38"/>
      <x:c r="AC631" s="38"/>
      <x:c r="AD631" s="38"/>
      <x:c r="AE631" s="38"/>
      <x:c r="AF631" s="38"/>
      <x:c r="AG631" s="38"/>
      <x:c r="AH631" s="38"/>
      <x:c r="AI631" s="38"/>
      <x:c r="AJ631" s="38"/>
      <x:c r="AK631" s="38"/>
      <x:c r="AL631" s="38"/>
      <x:c r="AM631" s="38"/>
    </x:row>
    <x:row r="632">
      <x:c r="A632" s="523" t="str">
        <x:f>IF(ISBLANK('_SCHEDULE'!A600),"",'_SCHEDULE'!A600)</x:f>
      </x:c>
      <x:c r="B632" s="523" t="str">
        <x:f>IF(ISBLANK('_SCHEDULE'!B600),"",IF('_CONFIG'!$B$2="pt-BR",IF('_SCHEDULE'!B600="scheduled","programado",IF('_SCHEDULE'!B600="rejected","rejeitado",'_SCHEDULE'!B600)),'_SCHEDULE'!B600))</x:f>
      </x:c>
      <x:c r="C632" s="523" t="str">
        <x:f>IF(ISBLANK('_SCHEDULE'!C600),"",'_SCHEDULE'!C600)</x:f>
      </x:c>
      <x:c r="D632" s="523" t="str">
        <x:f>IF(ISBLANK('_SCHEDULE'!D600),"",'_SCHEDULE'!D600)</x:f>
      </x:c>
      <x:c r="E632" s="530" t="str">
        <x:f>IF(ISBLANK('_SCHEDULE'!E600),"",'_SCHEDULE'!E600)</x:f>
      </x:c>
      <x:c r="F632" s="530" t="str">
        <x:f>IF(ISBLANK('_SCHEDULE'!F600),"",'_SCHEDULE'!F600)</x:f>
      </x:c>
      <x:c r="G632" s="530" t="str">
        <x:f>IF(ISBLANK('_SCHEDULE'!G600),"",'_SCHEDULE'!G600)</x:f>
      </x:c>
      <x:c r="H632" s="530" t="str">
        <x:f>IF(ISBLANK('_SCHEDULE'!H600),"",'_SCHEDULE'!H600)</x:f>
      </x:c>
      <x:c r="I632" s="530" t="str">
        <x:f>IF(ISBLANK('_SCHEDULE'!I600),"",'_SCHEDULE'!I600)</x:f>
      </x:c>
      <x:c r="J632" s="530" t="str">
        <x:f>IF(ISBLANK('_SCHEDULE'!J600),"",'_SCHEDULE'!J600)</x:f>
      </x:c>
      <x:c r="K632" s="530" t="str">
        <x:f>IF(ISBLANK('_SCHEDULE'!K600),"",'_SCHEDULE'!K600)</x:f>
      </x:c>
      <x:c r="L632" s="530" t="str">
        <x:f>IF(ISBLANK('_SCHEDULE'!L600),"",'_SCHEDULE'!L600)</x:f>
      </x:c>
      <x:c r="M632" s="530" t="str">
        <x:f>IF(ISBLANK('_SCHEDULE'!M600),"",'_SCHEDULE'!M600)</x:f>
      </x:c>
      <x:c r="N632" s="530" t="str">
        <x:f>IF(ISBLANK('_SCHEDULE'!N600),"",'_SCHEDULE'!N600)</x:f>
      </x:c>
      <x:c r="O632" s="530" t="str">
        <x:f>IF(ISBLANK('_SCHEDULE'!O600),"",'_SCHEDULE'!O600)</x:f>
      </x:c>
      <x:c r="P632" s="530" t="str">
        <x:f>IF(ISBLANK('_SCHEDULE'!P600),"",'_SCHEDULE'!P600)</x:f>
      </x:c>
      <x:c r="Q632" s="530" t="str">
        <x:f>IF(ISBLANK('_SCHEDULE'!Q600),"",'_SCHEDULE'!Q600)</x:f>
      </x:c>
      <x:c r="R632" s="530" t="str">
        <x:f>IF(ISBLANK('_SCHEDULE'!R600),"",'_SCHEDULE'!R600)</x:f>
      </x:c>
      <x:c r="S632" s="523" t="str">
        <x:f>IF(ISBLANK('_SCHEDULE'!S600),"",'_SCHEDULE'!S600)</x:f>
      </x:c>
      <x:c r="T632" s="38"/>
      <x:c r="U632" s="38"/>
      <x:c r="V632" s="38"/>
      <x:c r="W632" s="38"/>
      <x:c r="X632" s="38"/>
      <x:c r="Y632" s="38"/>
      <x:c r="Z632" s="38"/>
      <x:c r="AA632" s="38"/>
      <x:c r="AB632" s="38"/>
      <x:c r="AC632" s="38"/>
      <x:c r="AD632" s="38"/>
      <x:c r="AE632" s="38"/>
      <x:c r="AF632" s="38"/>
      <x:c r="AG632" s="38"/>
      <x:c r="AH632" s="38"/>
      <x:c r="AI632" s="38"/>
      <x:c r="AJ632" s="38"/>
      <x:c r="AK632" s="38"/>
      <x:c r="AL632" s="38"/>
      <x:c r="AM632" s="38"/>
    </x:row>
    <x:row r="633">
      <x:c r="A633" s="523" t="str">
        <x:f>IF(ISBLANK('_SCHEDULE'!A601),"",'_SCHEDULE'!A601)</x:f>
      </x:c>
      <x:c r="B633" s="523" t="str">
        <x:f>IF(ISBLANK('_SCHEDULE'!B601),"",IF('_CONFIG'!$B$2="pt-BR",IF('_SCHEDULE'!B601="scheduled","programado",IF('_SCHEDULE'!B601="rejected","rejeitado",'_SCHEDULE'!B601)),'_SCHEDULE'!B601))</x:f>
      </x:c>
      <x:c r="C633" s="523" t="str">
        <x:f>IF(ISBLANK('_SCHEDULE'!C601),"",'_SCHEDULE'!C601)</x:f>
      </x:c>
      <x:c r="D633" s="523" t="str">
        <x:f>IF(ISBLANK('_SCHEDULE'!D601),"",'_SCHEDULE'!D601)</x:f>
      </x:c>
      <x:c r="E633" s="530" t="str">
        <x:f>IF(ISBLANK('_SCHEDULE'!E601),"",'_SCHEDULE'!E601)</x:f>
      </x:c>
      <x:c r="F633" s="530" t="str">
        <x:f>IF(ISBLANK('_SCHEDULE'!F601),"",'_SCHEDULE'!F601)</x:f>
      </x:c>
      <x:c r="G633" s="530" t="str">
        <x:f>IF(ISBLANK('_SCHEDULE'!G601),"",'_SCHEDULE'!G601)</x:f>
      </x:c>
      <x:c r="H633" s="530" t="str">
        <x:f>IF(ISBLANK('_SCHEDULE'!H601),"",'_SCHEDULE'!H601)</x:f>
      </x:c>
      <x:c r="I633" s="530" t="str">
        <x:f>IF(ISBLANK('_SCHEDULE'!I601),"",'_SCHEDULE'!I601)</x:f>
      </x:c>
      <x:c r="J633" s="530" t="str">
        <x:f>IF(ISBLANK('_SCHEDULE'!J601),"",'_SCHEDULE'!J601)</x:f>
      </x:c>
      <x:c r="K633" s="530" t="str">
        <x:f>IF(ISBLANK('_SCHEDULE'!K601),"",'_SCHEDULE'!K601)</x:f>
      </x:c>
      <x:c r="L633" s="530" t="str">
        <x:f>IF(ISBLANK('_SCHEDULE'!L601),"",'_SCHEDULE'!L601)</x:f>
      </x:c>
      <x:c r="M633" s="530" t="str">
        <x:f>IF(ISBLANK('_SCHEDULE'!M601),"",'_SCHEDULE'!M601)</x:f>
      </x:c>
      <x:c r="N633" s="530" t="str">
        <x:f>IF(ISBLANK('_SCHEDULE'!N601),"",'_SCHEDULE'!N601)</x:f>
      </x:c>
      <x:c r="O633" s="530" t="str">
        <x:f>IF(ISBLANK('_SCHEDULE'!O601),"",'_SCHEDULE'!O601)</x:f>
      </x:c>
      <x:c r="P633" s="530" t="str">
        <x:f>IF(ISBLANK('_SCHEDULE'!P601),"",'_SCHEDULE'!P601)</x:f>
      </x:c>
      <x:c r="Q633" s="530" t="str">
        <x:f>IF(ISBLANK('_SCHEDULE'!Q601),"",'_SCHEDULE'!Q601)</x:f>
      </x:c>
      <x:c r="R633" s="530" t="str">
        <x:f>IF(ISBLANK('_SCHEDULE'!R601),"",'_SCHEDULE'!R601)</x:f>
      </x:c>
      <x:c r="S633" s="523" t="str">
        <x:f>IF(ISBLANK('_SCHEDULE'!S601),"",'_SCHEDULE'!S601)</x:f>
      </x:c>
      <x:c r="T633" s="38"/>
      <x:c r="U633" s="38"/>
      <x:c r="V633" s="38"/>
      <x:c r="W633" s="38"/>
      <x:c r="X633" s="38"/>
      <x:c r="Y633" s="38"/>
      <x:c r="Z633" s="38"/>
      <x:c r="AA633" s="38"/>
      <x:c r="AB633" s="38"/>
      <x:c r="AC633" s="38"/>
      <x:c r="AD633" s="38"/>
      <x:c r="AE633" s="38"/>
      <x:c r="AF633" s="38"/>
      <x:c r="AG633" s="38"/>
      <x:c r="AH633" s="38"/>
      <x:c r="AI633" s="38"/>
      <x:c r="AJ633" s="38"/>
      <x:c r="AK633" s="38"/>
      <x:c r="AL633" s="38"/>
      <x:c r="AM633" s="38"/>
    </x:row>
    <x:row r="634">
      <x:c r="A634" s="38"/>
      <x:c r="B634" s="38"/>
      <x:c r="C634" s="38"/>
      <x:c r="D634" s="38"/>
      <x:c r="E634" s="38"/>
      <x:c r="F634" s="38"/>
      <x:c r="G634" s="38"/>
      <x:c r="H634" s="38"/>
      <x:c r="I634" s="38"/>
      <x:c r="J634" s="38"/>
      <x:c r="K634" s="38"/>
      <x:c r="L634" s="38"/>
      <x:c r="M634" s="38"/>
      <x:c r="N634" s="38"/>
      <x:c r="O634" s="38"/>
      <x:c r="P634" s="38"/>
      <x:c r="Q634" s="38"/>
      <x:c r="R634" s="38"/>
      <x:c r="S634" s="38"/>
      <x:c r="T634" s="38"/>
      <x:c r="U634" s="38"/>
      <x:c r="V634" s="38"/>
      <x:c r="W634" s="38"/>
      <x:c r="X634" s="38"/>
      <x:c r="Y634" s="38"/>
      <x:c r="Z634" s="38"/>
      <x:c r="AA634" s="38"/>
      <x:c r="AB634" s="38"/>
      <x:c r="AC634" s="38"/>
      <x:c r="AD634" s="38"/>
      <x:c r="AE634" s="38"/>
      <x:c r="AF634" s="38"/>
      <x:c r="AG634" s="38"/>
      <x:c r="AH634" s="38"/>
      <x:c r="AI634" s="38"/>
      <x:c r="AJ634" s="38"/>
      <x:c r="AK634" s="38"/>
      <x:c r="AL634" s="38"/>
      <x:c r="AM634" s="38"/>
    </x:row>
    <x:row r="635">
      <x:c r="A635" s="38"/>
      <x:c r="B635" s="38"/>
      <x:c r="C635" s="38"/>
      <x:c r="D635" s="38"/>
      <x:c r="E635" s="38"/>
      <x:c r="F635" s="38"/>
      <x:c r="G635" s="38"/>
      <x:c r="H635" s="38"/>
      <x:c r="I635" s="38"/>
      <x:c r="J635" s="38"/>
      <x:c r="K635" s="38"/>
      <x:c r="L635" s="38"/>
      <x:c r="M635" s="38"/>
      <x:c r="N635" s="38"/>
      <x:c r="O635" s="38"/>
      <x:c r="P635" s="38"/>
      <x:c r="Q635" s="38"/>
      <x:c r="R635" s="38"/>
      <x:c r="S635" s="38"/>
      <x:c r="T635" s="38"/>
      <x:c r="U635" s="38"/>
      <x:c r="V635" s="38"/>
      <x:c r="W635" s="38"/>
      <x:c r="X635" s="38"/>
      <x:c r="Y635" s="38"/>
      <x:c r="Z635" s="38"/>
      <x:c r="AA635" s="38"/>
      <x:c r="AB635" s="38"/>
      <x:c r="AC635" s="38"/>
      <x:c r="AD635" s="38"/>
      <x:c r="AE635" s="38"/>
      <x:c r="AF635" s="38"/>
      <x:c r="AG635" s="38"/>
      <x:c r="AH635" s="38"/>
      <x:c r="AI635" s="38"/>
      <x:c r="AJ635" s="38"/>
      <x:c r="AK635" s="38"/>
      <x:c r="AL635" s="38"/>
      <x:c r="AM635" s="38"/>
    </x:row>
    <x:row r="636">
      <x:c r="A636" s="38"/>
      <x:c r="B636" s="38"/>
      <x:c r="C636" s="38"/>
      <x:c r="D636" s="38"/>
      <x:c r="E636" s="38"/>
      <x:c r="F636" s="38"/>
      <x:c r="G636" s="38"/>
      <x:c r="H636" s="38"/>
      <x:c r="I636" s="38"/>
      <x:c r="J636" s="38"/>
      <x:c r="K636" s="38"/>
      <x:c r="L636" s="38"/>
      <x:c r="M636" s="38"/>
      <x:c r="N636" s="38"/>
      <x:c r="O636" s="38"/>
      <x:c r="P636" s="38"/>
      <x:c r="Q636" s="38"/>
      <x:c r="R636" s="38"/>
      <x:c r="S636" s="38"/>
      <x:c r="T636" s="38"/>
      <x:c r="U636" s="38"/>
      <x:c r="V636" s="38"/>
      <x:c r="W636" s="38"/>
      <x:c r="X636" s="38"/>
      <x:c r="Y636" s="38"/>
      <x:c r="Z636" s="38"/>
      <x:c r="AA636" s="38"/>
      <x:c r="AB636" s="38"/>
      <x:c r="AC636" s="38"/>
      <x:c r="AD636" s="38"/>
      <x:c r="AE636" s="38"/>
      <x:c r="AF636" s="38"/>
      <x:c r="AG636" s="38"/>
      <x:c r="AH636" s="38"/>
      <x:c r="AI636" s="38"/>
      <x:c r="AJ636" s="38"/>
      <x:c r="AK636" s="38"/>
      <x:c r="AL636" s="38"/>
      <x:c r="AM636" s="38"/>
    </x:row>
    <x:row r="637">
      <x:c r="A637" s="38"/>
      <x:c r="B637" s="38"/>
      <x:c r="C637" s="38"/>
      <x:c r="D637" s="38"/>
      <x:c r="E637" s="38"/>
      <x:c r="F637" s="38"/>
      <x:c r="G637" s="38"/>
      <x:c r="H637" s="38"/>
      <x:c r="I637" s="38"/>
      <x:c r="J637" s="38"/>
      <x:c r="K637" s="38"/>
      <x:c r="L637" s="38"/>
      <x:c r="M637" s="38"/>
      <x:c r="N637" s="38"/>
      <x:c r="O637" s="38"/>
      <x:c r="P637" s="38"/>
      <x:c r="Q637" s="38"/>
      <x:c r="R637" s="38"/>
      <x:c r="S637" s="38"/>
      <x:c r="T637" s="38"/>
      <x:c r="U637" s="38"/>
      <x:c r="V637" s="38"/>
      <x:c r="W637" s="38"/>
      <x:c r="X637" s="38"/>
      <x:c r="Y637" s="38"/>
      <x:c r="Z637" s="38"/>
      <x:c r="AA637" s="38"/>
      <x:c r="AB637" s="38"/>
      <x:c r="AC637" s="38"/>
      <x:c r="AD637" s="38"/>
      <x:c r="AE637" s="38"/>
      <x:c r="AF637" s="38"/>
      <x:c r="AG637" s="38"/>
      <x:c r="AH637" s="38"/>
      <x:c r="AI637" s="38"/>
      <x:c r="AJ637" s="38"/>
      <x:c r="AK637" s="38"/>
      <x:c r="AL637" s="38"/>
      <x:c r="AM637" s="38"/>
    </x:row>
    <x:row r="638">
      <x:c r="A638" s="38"/>
      <x:c r="B638" s="38"/>
      <x:c r="C638" s="38"/>
      <x:c r="D638" s="38"/>
      <x:c r="E638" s="38"/>
      <x:c r="F638" s="38"/>
      <x:c r="G638" s="38"/>
      <x:c r="H638" s="38"/>
      <x:c r="I638" s="38"/>
      <x:c r="J638" s="38"/>
      <x:c r="K638" s="38"/>
      <x:c r="L638" s="38"/>
      <x:c r="M638" s="38"/>
      <x:c r="N638" s="38"/>
      <x:c r="O638" s="38"/>
      <x:c r="P638" s="38"/>
      <x:c r="Q638" s="38"/>
      <x:c r="R638" s="38"/>
      <x:c r="S638" s="38"/>
      <x:c r="T638" s="38"/>
      <x:c r="U638" s="38"/>
      <x:c r="V638" s="38"/>
      <x:c r="W638" s="38"/>
      <x:c r="X638" s="38"/>
      <x:c r="Y638" s="38"/>
      <x:c r="Z638" s="38"/>
      <x:c r="AA638" s="38"/>
      <x:c r="AB638" s="38"/>
      <x:c r="AC638" s="38"/>
      <x:c r="AD638" s="38"/>
      <x:c r="AE638" s="38"/>
      <x:c r="AF638" s="38"/>
      <x:c r="AG638" s="38"/>
      <x:c r="AH638" s="38"/>
      <x:c r="AI638" s="38"/>
      <x:c r="AJ638" s="38"/>
      <x:c r="AK638" s="38"/>
      <x:c r="AL638" s="38"/>
      <x:c r="AM638" s="38"/>
    </x:row>
    <x:row r="639">
      <x:c r="A639" s="38"/>
      <x:c r="B639" s="38"/>
      <x:c r="C639" s="38"/>
      <x:c r="D639" s="38"/>
      <x:c r="E639" s="38"/>
      <x:c r="F639" s="38"/>
      <x:c r="G639" s="38"/>
      <x:c r="H639" s="38"/>
      <x:c r="I639" s="38"/>
      <x:c r="J639" s="38"/>
      <x:c r="K639" s="38"/>
      <x:c r="L639" s="38"/>
      <x:c r="M639" s="38"/>
      <x:c r="N639" s="38"/>
      <x:c r="O639" s="38"/>
      <x:c r="P639" s="38"/>
      <x:c r="Q639" s="38"/>
      <x:c r="R639" s="38"/>
      <x:c r="S639" s="38"/>
      <x:c r="T639" s="38"/>
      <x:c r="U639" s="38"/>
      <x:c r="V639" s="38"/>
      <x:c r="W639" s="38"/>
      <x:c r="X639" s="38"/>
      <x:c r="Y639" s="38"/>
      <x:c r="Z639" s="38"/>
      <x:c r="AA639" s="38"/>
      <x:c r="AB639" s="38"/>
      <x:c r="AC639" s="38"/>
      <x:c r="AD639" s="38"/>
      <x:c r="AE639" s="38"/>
      <x:c r="AF639" s="38"/>
      <x:c r="AG639" s="38"/>
      <x:c r="AH639" s="38"/>
      <x:c r="AI639" s="38"/>
      <x:c r="AJ639" s="38"/>
      <x:c r="AK639" s="38"/>
      <x:c r="AL639" s="38"/>
      <x:c r="AM639" s="38"/>
    </x:row>
    <x:row r="640">
      <x:c r="A640" s="38"/>
      <x:c r="B640" s="38"/>
      <x:c r="C640" s="38"/>
      <x:c r="D640" s="38"/>
      <x:c r="E640" s="38"/>
      <x:c r="F640" s="38"/>
      <x:c r="G640" s="38"/>
      <x:c r="H640" s="38"/>
      <x:c r="I640" s="38"/>
      <x:c r="J640" s="38"/>
      <x:c r="K640" s="38"/>
      <x:c r="L640" s="38"/>
      <x:c r="M640" s="38"/>
      <x:c r="N640" s="38"/>
      <x:c r="O640" s="38"/>
      <x:c r="P640" s="38"/>
      <x:c r="Q640" s="38"/>
      <x:c r="R640" s="38"/>
      <x:c r="S640" s="38"/>
      <x:c r="T640" s="38"/>
      <x:c r="U640" s="38"/>
      <x:c r="V640" s="38"/>
      <x:c r="W640" s="38"/>
      <x:c r="X640" s="38"/>
      <x:c r="Y640" s="38"/>
      <x:c r="Z640" s="38"/>
      <x:c r="AA640" s="38"/>
      <x:c r="AB640" s="38"/>
      <x:c r="AC640" s="38"/>
      <x:c r="AD640" s="38"/>
      <x:c r="AE640" s="38"/>
      <x:c r="AF640" s="38"/>
      <x:c r="AG640" s="38"/>
      <x:c r="AH640" s="38"/>
      <x:c r="AI640" s="38"/>
      <x:c r="AJ640" s="38"/>
      <x:c r="AK640" s="38"/>
      <x:c r="AL640" s="38"/>
      <x:c r="AM640" s="38"/>
    </x:row>
  </x:sheetData>
  <x:mergeCells>
    <x:mergeCell ref="A1:C2"/>
    <x:mergeCell ref="D1:AM1"/>
    <x:mergeCell ref="D2:AM2"/>
    <x:mergeCell ref="A4:AM5"/>
    <x:mergeCell ref="A30:AM31"/>
  </x:mergeCells>
  <x:conditionalFormatting sqref="H8:AM27">
    <x:cfRule type="expression" dxfId="2" priority="1">
      <x:formula>H8="S"</x:formula>
    </x:cfRule>
    <x:cfRule type="expression" dxfId="3" priority="2">
      <x:formula>H8="F0"</x:formula>
    </x:cfRule>
    <x:cfRule type="expression" dxfId="4" priority="3">
      <x:formula>H8="F1"</x:formula>
    </x:cfRule>
    <x:cfRule type="expression" dxfId="5" priority="4">
      <x:formula>H8="F2"</x:formula>
    </x:cfRule>
    <x:cfRule type="expression" dxfId="6" priority="5">
      <x:formula>H8="F3"</x:formula>
    </x:cfRule>
    <x:cfRule type="expression" dxfId="7" priority="6">
      <x:formula>H8="F4"</x:formula>
    </x:cfRule>
    <x:cfRule type="expression" dxfId="8" priority="7">
      <x:formula>H8="F5"</x:formula>
    </x:cfRule>
    <x:cfRule type="expression" dxfId="9" priority="8">
      <x:formula>H8="F6"</x:formula>
    </x:cfRule>
    <x:cfRule type="expression" dxfId="10" priority="9">
      <x:formula>H8="F7"</x:formula>
    </x:cfRule>
    <x:cfRule type="expression" dxfId="11" priority="10">
      <x:formula>H8="F8"</x:formula>
    </x:cfRule>
    <x:cfRule type="expression" dxfId="12" priority="11">
      <x:formula>H8="F9"</x:formula>
    </x:cfRule>
    <x:cfRule type="expression" dxfId="13" priority="12">
      <x:formula>H8="F10"</x:formula>
    </x:cfRule>
  </x:conditionalFormatting>
  <x:conditionalFormatting sqref="S34:S633">
    <x:cfRule type="expression" dxfId="14" priority="13">
      <x:formula>$S34=TRUE</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s>
  <x:sheetData>
    <x:row r="1" ht="24" customHeight="1">
      <x:c r="A1" s="42" t="str">
        <x:f>IF('_CONFIG'!$B$2="pt-BR","EXPERIMENTOS","EXPERIMENTS")</x:f>
        <x:v>EXPERIMENTS</x:v>
      </x:c>
      <x:c r="B1" s="42"/>
      <x:c r="C1" s="42"/>
      <x:c r="D1" s="44" t="str">
        <x:f>IF('_CONFIG'!$B$2="pt-BR","Um resultado é uma rodada. Confiabilidade é uma distribuição.","One result is a run. Reliability is a distribution.")</x:f>
        <x:v>One result is a run. Reliability is a distribution.</x:v>
      </x:c>
      <x:c r="E1" s="44"/>
      <x:c r="F1" s="44"/>
      <x:c r="G1" s="44"/>
      <x:c r="H1" s="44"/>
      <x:c r="I1" s="44"/>
      <x:c r="J1" s="44"/>
      <x:c r="K1" s="44"/>
      <x:c r="L1" s="44"/>
      <x:c r="M1" s="44"/>
      <x:c r="N1" s="44"/>
      <x:c r="O1" s="44"/>
      <x:c r="P1" s="44"/>
      <x:c r="Q1" s="44"/>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IF('_CONFIG'!$B$2="pt-BR","Repetições com o mesmo orçamento separam qualidade da solução de sorte na semente","Equal-budget replications separate solution quality from seed luck")</x:f>
        <x:v>Equal-budget replications separate solution quality from seed luck</x:v>
      </x:c>
      <x:c r="E2" s="45"/>
      <x:c r="F2" s="45"/>
      <x:c r="G2" s="45"/>
      <x:c r="H2" s="45"/>
      <x:c r="I2" s="45"/>
      <x:c r="J2" s="45"/>
      <x:c r="K2" s="45"/>
      <x:c r="L2" s="45"/>
      <x:c r="M2" s="45"/>
      <x:c r="N2" s="45"/>
      <x:c r="O2" s="45"/>
      <x:c r="P2" s="45"/>
      <x:c r="Q2" s="4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38"/>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x:c r="A4" s="405" t="str">
        <x:f>IF('_CONFIG'!$B$2="pt-BR","RODADAS","RUNS")</x:f>
        <x:v>RUNS</x:v>
      </x:c>
      <x:c r="B4" s="405"/>
      <x:c r="C4" s="405"/>
      <x:c r="D4" s="445" t="str">
        <x:f>IF('_CONFIG'!$B$2="pt-BR","TAXA DE ACERTO","HIT RATE")</x:f>
        <x:v>HIT RATE</x:v>
      </x:c>
      <x:c r="E4" s="445"/>
      <x:c r="F4" s="445"/>
      <x:c r="G4" s="445"/>
      <x:c r="H4" s="466" t="str">
        <x:f>IF('_CONFIG'!$B$2="pt-BR","MEDIANA","MEDIAN")</x:f>
        <x:v>MEDIAN</x:v>
      </x:c>
      <x:c r="I4" s="466"/>
      <x:c r="J4" s="466"/>
      <x:c r="K4" s="466"/>
      <x:c r="L4" s="467" t="str">
        <x:f>IF('_CONFIG'!$B$2="pt-BR","IQR","IQR")</x:f>
        <x:v>IQR</x:v>
      </x:c>
      <x:c r="M4" s="467"/>
      <x:c r="N4" s="467"/>
      <x:c r="O4" s="551" t="str">
        <x:f>IF('_CONFIG'!$B$2="pt-BR","DESVIO PADRÃO","SAMPLE SD")</x:f>
        <x:v>SAMPLE SD</x:v>
      </x:c>
      <x:c r="P4" s="551"/>
      <x:c r="Q4" s="551"/>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x:c r="A5" s="424" t="n">
        <x:f>'_STATS'!$B$2</x:f>
        <x:v>10</x:v>
      </x:c>
      <x:c r="B5" s="425"/>
      <x:c r="C5" s="426"/>
      <x:c r="D5" s="540" t="n">
        <x:f>IF('_STATS'!$B$2&lt;2,"",'_STATS'!$B$9)</x:f>
        <x:v>0.7</x:v>
      </x:c>
      <x:c r="E5" s="541"/>
      <x:c r="F5" s="541"/>
      <x:c r="G5" s="542"/>
      <x:c r="H5" s="424" t="n">
        <x:f>'_STATS'!$B$4</x:f>
        <x:v>24051</x:v>
      </x:c>
      <x:c r="I5" s="425"/>
      <x:c r="J5" s="425"/>
      <x:c r="K5" s="426"/>
      <x:c r="L5" s="424" t="n">
        <x:f>IF('_STATS'!$B$2&lt;2,"",'_STATS'!$B$7)</x:f>
        <x:v>111</x:v>
      </x:c>
      <x:c r="M5" s="425"/>
      <x:c r="N5" s="426"/>
      <x:c r="O5" s="561" t="n">
        <x:f>IF('_STATS'!$B$2&lt;2,"",'_STATS'!$B$8)</x:f>
        <x:v>79.79306569704747</x:v>
      </x:c>
      <x:c r="P5" s="562"/>
      <x:c r="Q5" s="563"/>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x:c r="A6" s="427"/>
      <x:c r="B6" s="428"/>
      <x:c r="C6" s="429"/>
      <x:c r="D6" s="543"/>
      <x:c r="E6" s="544"/>
      <x:c r="F6" s="544"/>
      <x:c r="G6" s="545"/>
      <x:c r="H6" s="427"/>
      <x:c r="I6" s="428"/>
      <x:c r="J6" s="428"/>
      <x:c r="K6" s="429"/>
      <x:c r="L6" s="427"/>
      <x:c r="M6" s="428"/>
      <x:c r="N6" s="429"/>
      <x:c r="O6" s="564"/>
      <x:c r="P6" s="565"/>
      <x:c r="Q6" s="566"/>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x:c r="A7" s="430"/>
      <x:c r="B7" s="431"/>
      <x:c r="C7" s="432"/>
      <x:c r="D7" s="546"/>
      <x:c r="E7" s="547"/>
      <x:c r="F7" s="547"/>
      <x:c r="G7" s="548"/>
      <x:c r="H7" s="430"/>
      <x:c r="I7" s="431"/>
      <x:c r="J7" s="431"/>
      <x:c r="K7" s="432"/>
      <x:c r="L7" s="430"/>
      <x:c r="M7" s="431"/>
      <x:c r="N7" s="432"/>
      <x:c r="O7" s="567"/>
      <x:c r="P7" s="568"/>
      <x:c r="Q7" s="569"/>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x:c r="A8" s="440" t="str">
        <x:f>IF('_CONFIG'!$B$2="pt-BR","mesma configuração","same configuration")</x:f>
        <x:v>same configuration</x:v>
      </x:c>
      <x:c r="B8" s="441"/>
      <x:c r="C8" s="442"/>
      <x:c r="D8" s="440" t="str">
        <x:f>IF('_CONFIG'!$B$2="pt-BR","requer ≥2 rodadas","needs ≥2 runs")</x:f>
        <x:v>needs ≥2 runs</x:v>
      </x:c>
      <x:c r="E8" s="441"/>
      <x:c r="F8" s="441"/>
      <x:c r="G8" s="442"/>
      <x:c r="H8" s="440" t="str">
        <x:f>IF('_CONFIG'!$B$2="pt-BR","resultado típico observado","typical observed outcome")</x:f>
        <x:v>typical observed outcome</x:v>
      </x:c>
      <x:c r="I8" s="441"/>
      <x:c r="J8" s="441"/>
      <x:c r="K8" s="442"/>
      <x:c r="L8" s="440" t="str">
        <x:f>IF('_CONFIG'!$B$2="pt-BR","requer ≥2 rodadas","needs ≥2 runs")</x:f>
        <x:v>needs ≥2 runs</x:v>
      </x:c>
      <x:c r="M8" s="441"/>
      <x:c r="N8" s="442"/>
      <x:c r="O8" s="440" t="str">
        <x:f>IF('_CONFIG'!$B$2="pt-BR","requer ≥2 rodadas","needs ≥2 runs")</x:f>
        <x:v>needs ≥2 runs</x:v>
      </x:c>
      <x:c r="P8" s="441"/>
      <x:c r="Q8" s="442"/>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x:c r="A9" s="38"/>
      <x:c r="B9" s="38"/>
      <x:c r="C9" s="38"/>
      <x:c r="D9" s="38"/>
      <x:c r="E9" s="38"/>
      <x:c r="F9" s="38"/>
      <x:c r="G9" s="38"/>
      <x:c r="H9" s="38"/>
      <x:c r="I9" s="38"/>
      <x:c r="J9" s="38"/>
      <x:c r="K9" s="38"/>
      <x:c r="L9" s="38"/>
      <x:c r="M9" s="38"/>
      <x:c r="N9" s="38"/>
      <x:c r="O9" s="38"/>
      <x:c r="P9" s="38"/>
      <x:c r="Q9" s="38"/>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294" t="str">
        <x:f>IF('_CONFIG'!$B$2="pt-BR","RESULTADO POR SEMENTE","OUTCOME BY SEED")</x:f>
        <x:v>OUTCOME BY SEED</x:v>
      </x:c>
      <x:c r="B10" s="294"/>
      <x:c r="C10" s="294"/>
      <x:c r="D10" s="294"/>
      <x:c r="E10" s="294"/>
      <x:c r="F10" s="294"/>
      <x:c r="G10" s="294"/>
      <x:c r="H10" s="294"/>
      <x:c r="I10" s="38"/>
      <x:c r="J10" s="294" t="str">
        <x:f>IF('_CONFIG'!$B$2="pt-BR","ENVELOPE DA BUSCA","SEARCH ENVELOPE")</x:f>
        <x:v>SEARCH ENVELOPE</x:v>
      </x:c>
      <x:c r="K10" s="294"/>
      <x:c r="L10" s="294"/>
      <x:c r="M10" s="294"/>
      <x:c r="N10" s="294"/>
      <x:c r="O10" s="294"/>
      <x:c r="P10" s="294"/>
      <x:c r="Q10" s="294"/>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294"/>
      <x:c r="B11" s="294"/>
      <x:c r="C11" s="294"/>
      <x:c r="D11" s="294"/>
      <x:c r="E11" s="294"/>
      <x:c r="F11" s="294"/>
      <x:c r="G11" s="294"/>
      <x:c r="H11" s="294"/>
      <x:c r="I11" s="38"/>
      <x:c r="J11" s="294"/>
      <x:c r="K11" s="294"/>
      <x:c r="L11" s="294"/>
      <x:c r="M11" s="294"/>
      <x:c r="N11" s="294"/>
      <x:c r="O11" s="294"/>
      <x:c r="P11" s="294"/>
      <x:c r="Q11" s="294"/>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38"/>
      <x:c r="B12" s="38"/>
      <x:c r="C12" s="38"/>
      <x:c r="D12" s="38"/>
      <x:c r="E12" s="38"/>
      <x:c r="F12" s="38"/>
      <x:c r="G12" s="38"/>
      <x:c r="H12" s="38"/>
      <x:c r="I12" s="38"/>
      <x:c r="J12" s="38"/>
      <x:c r="K12" s="38"/>
      <x:c r="L12" s="38"/>
      <x:c r="M12" s="38"/>
      <x:c r="N12" s="38"/>
      <x:c r="O12" s="38"/>
      <x:c r="P12" s="38"/>
      <x:c r="Q12" s="38"/>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x:c r="A13" s="38"/>
      <x:c r="B13" s="38"/>
      <x:c r="C13" s="38"/>
      <x:c r="D13" s="38"/>
      <x:c r="E13" s="38"/>
      <x:c r="F13" s="38"/>
      <x:c r="G13" s="38"/>
      <x:c r="H13" s="38"/>
      <x:c r="I13" s="38"/>
      <x:c r="J13" s="38"/>
      <x:c r="K13" s="38"/>
      <x:c r="L13" s="38"/>
      <x:c r="M13" s="38"/>
      <x:c r="N13" s="38"/>
      <x:c r="O13" s="38"/>
      <x:c r="P13" s="38"/>
      <x:c r="Q13" s="38"/>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x:c r="A14" s="38"/>
      <x:c r="B14" s="38"/>
      <x:c r="C14" s="38"/>
      <x:c r="D14" s="38"/>
      <x:c r="E14" s="38"/>
      <x:c r="F14" s="38"/>
      <x:c r="G14" s="38"/>
      <x:c r="H14" s="38"/>
      <x:c r="I14" s="38"/>
      <x:c r="J14" s="38"/>
      <x:c r="K14" s="38"/>
      <x:c r="L14" s="38"/>
      <x:c r="M14" s="38"/>
      <x:c r="N14" s="38"/>
      <x:c r="O14" s="38"/>
      <x:c r="P14" s="38"/>
      <x:c r="Q14" s="38"/>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x:c r="A15" s="38"/>
      <x:c r="B15" s="38"/>
      <x:c r="C15" s="38"/>
      <x:c r="D15" s="38"/>
      <x:c r="E15" s="38"/>
      <x:c r="F15" s="38"/>
      <x:c r="G15" s="38"/>
      <x:c r="H15" s="38"/>
      <x:c r="I15" s="38"/>
      <x:c r="J15" s="38"/>
      <x:c r="K15" s="38"/>
      <x:c r="L15" s="38"/>
      <x:c r="M15" s="38"/>
      <x:c r="N15" s="38"/>
      <x:c r="O15" s="38"/>
      <x:c r="P15" s="38"/>
      <x:c r="Q15" s="38"/>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x:c r="A16" s="38"/>
      <x:c r="B16" s="38"/>
      <x:c r="C16" s="38"/>
      <x:c r="D16" s="38"/>
      <x:c r="E16" s="38"/>
      <x:c r="F16" s="38"/>
      <x:c r="G16" s="38"/>
      <x:c r="H16" s="38"/>
      <x:c r="I16" s="38"/>
      <x:c r="J16" s="38"/>
      <x:c r="K16" s="38"/>
      <x:c r="L16" s="38"/>
      <x:c r="M16" s="38"/>
      <x:c r="N16" s="38"/>
      <x:c r="O16" s="38"/>
      <x:c r="P16" s="38"/>
      <x:c r="Q16" s="38"/>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x:c r="A17" s="38"/>
      <x:c r="B17" s="38"/>
      <x:c r="C17" s="38"/>
      <x:c r="D17" s="38"/>
      <x:c r="E17" s="38"/>
      <x:c r="F17" s="38"/>
      <x:c r="G17" s="38"/>
      <x:c r="H17" s="38"/>
      <x:c r="I17" s="38"/>
      <x:c r="J17" s="38"/>
      <x:c r="K17" s="38"/>
      <x:c r="L17" s="38"/>
      <x:c r="M17" s="38"/>
      <x:c r="N17" s="38"/>
      <x:c r="O17" s="38"/>
      <x:c r="P17" s="38"/>
      <x:c r="Q17" s="38"/>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x:c r="A18" s="38"/>
      <x:c r="B18" s="38"/>
      <x:c r="C18" s="38"/>
      <x:c r="D18" s="38"/>
      <x:c r="E18" s="38"/>
      <x:c r="F18" s="38"/>
      <x:c r="G18" s="38"/>
      <x:c r="H18" s="38"/>
      <x:c r="I18" s="38"/>
      <x:c r="J18" s="38"/>
      <x:c r="K18" s="38"/>
      <x:c r="L18" s="38"/>
      <x:c r="M18" s="38"/>
      <x:c r="N18" s="38"/>
      <x:c r="O18" s="38"/>
      <x:c r="P18" s="38"/>
      <x:c r="Q18" s="38"/>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38"/>
      <x:c r="B19" s="38"/>
      <x:c r="C19" s="38"/>
      <x:c r="D19" s="38"/>
      <x:c r="E19" s="38"/>
      <x:c r="F19" s="38"/>
      <x:c r="G19" s="38"/>
      <x:c r="H19" s="38"/>
      <x:c r="I19" s="38"/>
      <x:c r="J19" s="38"/>
      <x:c r="K19" s="38"/>
      <x:c r="L19" s="38"/>
      <x:c r="M19" s="38"/>
      <x:c r="N19" s="38"/>
      <x:c r="O19" s="38"/>
      <x:c r="P19" s="38"/>
      <x:c r="Q19" s="38"/>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x:c r="A20" s="38"/>
      <x:c r="B20" s="38"/>
      <x:c r="C20" s="38"/>
      <x:c r="D20" s="38"/>
      <x:c r="E20" s="38"/>
      <x:c r="F20" s="38"/>
      <x:c r="G20" s="38"/>
      <x:c r="H20" s="38"/>
      <x:c r="I20" s="38"/>
      <x:c r="J20" s="38"/>
      <x:c r="K20" s="38"/>
      <x:c r="L20" s="38"/>
      <x:c r="M20" s="38"/>
      <x:c r="N20" s="38"/>
      <x:c r="O20" s="38"/>
      <x:c r="P20" s="38"/>
      <x:c r="Q20" s="38"/>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x:c r="A21" s="38"/>
      <x:c r="B21" s="38"/>
      <x:c r="C21" s="38"/>
      <x:c r="D21" s="38"/>
      <x:c r="E21" s="38"/>
      <x:c r="F21" s="38"/>
      <x:c r="G21" s="38"/>
      <x:c r="H21" s="38"/>
      <x:c r="I21" s="38"/>
      <x:c r="J21" s="38"/>
      <x:c r="K21" s="38"/>
      <x:c r="L21" s="38"/>
      <x:c r="M21" s="38"/>
      <x:c r="N21" s="38"/>
      <x:c r="O21" s="38"/>
      <x:c r="P21" s="38"/>
      <x:c r="Q21" s="38"/>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x:c r="A22" s="38"/>
      <x:c r="B22" s="38"/>
      <x:c r="C22" s="38"/>
      <x:c r="D22" s="38"/>
      <x:c r="E22" s="38"/>
      <x:c r="F22" s="38"/>
      <x:c r="G22" s="38"/>
      <x:c r="H22" s="38"/>
      <x:c r="I22" s="38"/>
      <x:c r="J22" s="38"/>
      <x:c r="K22" s="38"/>
      <x:c r="L22" s="38"/>
      <x:c r="M22" s="38"/>
      <x:c r="N22" s="38"/>
      <x:c r="O22" s="38"/>
      <x:c r="P22" s="38"/>
      <x:c r="Q22" s="38"/>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x:c r="A23" s="38"/>
      <x:c r="B23" s="38"/>
      <x:c r="C23" s="38"/>
      <x:c r="D23" s="38"/>
      <x:c r="E23" s="38"/>
      <x:c r="F23" s="38"/>
      <x:c r="G23" s="38"/>
      <x:c r="H23" s="38"/>
      <x:c r="I23" s="38"/>
      <x:c r="J23" s="38"/>
      <x:c r="K23" s="38"/>
      <x:c r="L23" s="38"/>
      <x:c r="M23" s="38"/>
      <x:c r="N23" s="38"/>
      <x:c r="O23" s="38"/>
      <x:c r="P23" s="38"/>
      <x:c r="Q23" s="38"/>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x:c r="A24" s="38"/>
      <x:c r="B24" s="38"/>
      <x:c r="C24" s="38"/>
      <x:c r="D24" s="38"/>
      <x:c r="E24" s="38"/>
      <x:c r="F24" s="38"/>
      <x:c r="G24" s="38"/>
      <x:c r="H24" s="38"/>
      <x:c r="I24" s="38"/>
      <x:c r="J24" s="38"/>
      <x:c r="K24" s="38"/>
      <x:c r="L24" s="38"/>
      <x:c r="M24" s="38"/>
      <x:c r="N24" s="38"/>
      <x:c r="O24" s="38"/>
      <x:c r="P24" s="38"/>
      <x:c r="Q24" s="38"/>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x:c r="A25" s="38"/>
      <x:c r="B25" s="38"/>
      <x:c r="C25" s="38"/>
      <x:c r="D25" s="38"/>
      <x:c r="E25" s="38"/>
      <x:c r="F25" s="38"/>
      <x:c r="G25" s="38"/>
      <x:c r="H25" s="38"/>
      <x:c r="I25" s="38"/>
      <x:c r="J25" s="38"/>
      <x:c r="K25" s="38"/>
      <x:c r="L25" s="38"/>
      <x:c r="M25" s="38"/>
      <x:c r="N25" s="38"/>
      <x:c r="O25" s="38"/>
      <x:c r="P25" s="38"/>
      <x:c r="Q25" s="38"/>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x:c r="A26" s="38"/>
      <x:c r="B26" s="38"/>
      <x:c r="C26" s="38"/>
      <x:c r="D26" s="38"/>
      <x:c r="E26" s="38"/>
      <x:c r="F26" s="38"/>
      <x:c r="G26" s="38"/>
      <x:c r="H26" s="38"/>
      <x:c r="I26" s="38"/>
      <x:c r="J26" s="38"/>
      <x:c r="K26" s="38"/>
      <x:c r="L26" s="38"/>
      <x:c r="M26" s="38"/>
      <x:c r="N26" s="38"/>
      <x:c r="O26" s="38"/>
      <x:c r="P26" s="38"/>
      <x:c r="Q26" s="38"/>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x:c r="A27" s="38"/>
      <x:c r="B27" s="38"/>
      <x:c r="C27" s="38"/>
      <x:c r="D27" s="38"/>
      <x:c r="E27" s="38"/>
      <x:c r="F27" s="38"/>
      <x:c r="G27" s="38"/>
      <x:c r="H27" s="38"/>
      <x:c r="I27" s="38"/>
      <x:c r="J27" s="38"/>
      <x:c r="K27" s="38"/>
      <x:c r="L27" s="38"/>
      <x:c r="M27" s="38"/>
      <x:c r="N27" s="38"/>
      <x:c r="O27" s="38"/>
      <x:c r="P27" s="38"/>
      <x:c r="Q27" s="38"/>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x:c r="A28" s="38"/>
      <x:c r="B28" s="38"/>
      <x:c r="C28" s="38"/>
      <x:c r="D28" s="38"/>
      <x:c r="E28" s="38"/>
      <x:c r="F28" s="38"/>
      <x:c r="G28" s="38"/>
      <x:c r="H28" s="38"/>
      <x:c r="I28" s="38"/>
      <x:c r="J28" s="38"/>
      <x:c r="K28" s="38"/>
      <x:c r="L28" s="38"/>
      <x:c r="M28" s="38"/>
      <x:c r="N28" s="38"/>
      <x:c r="O28" s="38"/>
      <x:c r="P28" s="38"/>
      <x:c r="Q28" s="38"/>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x:c r="A29" s="38"/>
      <x:c r="B29" s="38"/>
      <x:c r="C29" s="38"/>
      <x:c r="D29" s="38"/>
      <x:c r="E29" s="38"/>
      <x:c r="F29" s="38"/>
      <x:c r="G29" s="38"/>
      <x:c r="H29" s="38"/>
      <x:c r="I29" s="38"/>
      <x:c r="J29" s="38"/>
      <x:c r="K29" s="38"/>
      <x:c r="L29" s="38"/>
      <x:c r="M29" s="38"/>
      <x:c r="N29" s="38"/>
      <x:c r="O29" s="38"/>
      <x:c r="P29" s="38"/>
      <x:c r="Q29" s="38"/>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x:c r="A30" s="38"/>
      <x:c r="B30" s="38"/>
      <x:c r="C30" s="38"/>
      <x:c r="D30" s="38"/>
      <x:c r="E30" s="38"/>
      <x:c r="F30" s="38"/>
      <x:c r="G30" s="38"/>
      <x:c r="H30" s="38"/>
      <x:c r="I30" s="38"/>
      <x:c r="J30" s="38"/>
      <x:c r="K30" s="38"/>
      <x:c r="L30" s="38"/>
      <x:c r="M30" s="38"/>
      <x:c r="N30" s="38"/>
      <x:c r="O30" s="38"/>
      <x:c r="P30" s="38"/>
      <x:c r="Q30" s="38"/>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x:c r="A31" s="129" t="str">
        <x:f>IF('_CONFIG'!$B$2="pt-BR","REGISTRO DE REPETIÇÕES","REPLICATION REGISTER")</x:f>
        <x:v>REPLICATION REGISTER</x:v>
      </x:c>
      <x:c r="B31" s="129"/>
      <x:c r="C31" s="129"/>
      <x:c r="D31" s="129"/>
      <x:c r="E31" s="129"/>
      <x:c r="F31" s="129"/>
      <x:c r="G31" s="129"/>
      <x:c r="H31" s="129"/>
      <x:c r="I31" s="129"/>
      <x:c r="J31" s="129"/>
      <x:c r="K31" s="129"/>
      <x:c r="L31" s="129"/>
      <x:c r="M31" s="129"/>
      <x:c r="N31" s="129"/>
      <x:c r="O31" s="129"/>
      <x:c r="P31" s="129"/>
      <x:c r="Q31" s="129"/>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x:c r="A32" s="129"/>
      <x:c r="B32" s="129"/>
      <x:c r="C32" s="129"/>
      <x:c r="D32" s="129"/>
      <x:c r="E32" s="129"/>
      <x:c r="F32" s="129"/>
      <x:c r="G32" s="129"/>
      <x:c r="H32" s="129"/>
      <x:c r="I32" s="129"/>
      <x:c r="J32" s="129"/>
      <x:c r="K32" s="129"/>
      <x:c r="L32" s="129"/>
      <x:c r="M32" s="129"/>
      <x:c r="N32" s="129"/>
      <x:c r="O32" s="129"/>
      <x:c r="P32" s="129"/>
      <x:c r="Q32" s="129"/>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x:c r="A33" s="38"/>
      <x:c r="B33" s="38"/>
      <x:c r="C33" s="38"/>
      <x:c r="D33" s="38"/>
      <x:c r="E33" s="38"/>
      <x:c r="F33" s="38"/>
      <x:c r="G33" s="38"/>
      <x:c r="H33" s="38"/>
      <x:c r="I33" s="38"/>
      <x:c r="J33" s="38"/>
      <x:c r="K33" s="38"/>
      <x:c r="L33" s="38"/>
      <x:c r="M33" s="38"/>
      <x:c r="N33" s="38"/>
      <x:c r="O33" s="38"/>
      <x:c r="P33" s="38"/>
      <x:c r="Q33" s="38"/>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x:c r="A34" s="478" t="str">
        <x:f>IF('_CONFIG'!$B$2="pt-BR","Rodada","Run")</x:f>
        <x:v>Run</x:v>
      </x:c>
      <x:c r="B34" s="479" t="str">
        <x:f>IF('_CONFIG'!$B$2="pt-BR","Semente","Seed")</x:f>
        <x:v>Seed</x:v>
      </x:c>
      <x:c r="C34" s="479" t="str">
        <x:f>IF('_CONFIG'!$B$2="pt-BR","Objetivo","Objective")</x:f>
        <x:v>Objective</x:v>
      </x:c>
      <x:c r="D34" s="479" t="str">
        <x:f>IF('_CONFIG'!$B$2="pt-BR","Delta %","Gap %")</x:f>
        <x:v>Gap %</x:v>
      </x:c>
      <x:c r="E34" s="479" t="str">
        <x:f>IF('_CONFIG'!$B$2="pt-BR","Iterações","Iterations")</x:f>
        <x:v>Iterations</x:v>
      </x:c>
      <x:c r="F34" s="479" t="str">
        <x:f>IF('_CONFIG'!$B$2="pt-BR","Avaliações","Evaluations")</x:f>
        <x:v>Evaluations</x:v>
      </x:c>
      <x:c r="G34" s="479" t="str">
        <x:f>IF('_CONFIG'!$B$2="pt-BR","Tempo ms*","Runtime ms*")</x:f>
        <x:v>Runtime ms*</x:v>
      </x:c>
      <x:c r="H34" s="479" t="str">
        <x:f>IF('_CONFIG'!$B$2="pt-BR","Aval./s*","Eval/s*")</x:f>
        <x:v>Eval/s*</x:v>
      </x:c>
      <x:c r="I34" s="479" t="str">
        <x:f>IF('_CONFIG'!$B$2="pt-BR","Programados","Scheduled")</x:f>
        <x:v>Scheduled</x:v>
      </x:c>
      <x:c r="J34" s="479" t="str">
        <x:f>IF('_CONFIG'!$B$2="pt-BR","Rejeitados","Rejected")</x:f>
        <x:v>Rejected</x:v>
      </x:c>
      <x:c r="K34" s="480" t="str">
        <x:f>IF('_CONFIG'!$B$2="pt-BR","Melhor","Best")</x:f>
        <x:v>Best</x:v>
      </x:c>
      <x:c r="L34" s="38"/>
      <x:c r="M34" s="593" t="str">
        <x:f>IF('_CONFIG'!$B$2="pt-BR","INTERPRETAÇÃO
Use a taxa de acerto para ver com que frequência uma rodada com o mesmo orçamento alcança ou melhora o ponto de comparação histórico. Mediana e IQR descrevem o resultado típico e sua dispersão central; o desvio-padrão amostral revela sensibilidade à semente aleatória. Mantenha o orçamento e a configuração fixos antes de comparar.","INTERPRETATION
Use the hit rate to see how often an equal-budget run reaches or improves on the historical comparison point. Median and IQR describe the typical result and its central spread; sample SD exposes sensitivity to the random seed. Keep the budget and configuration fixed before comparing.")</x:f>
        <x:v>INTERPRETATION
Use the hit rate to see how often an equal-budget run reaches or improves on the historical comparison point. Median and IQR describe the typical result and its central spread; sample SD exposes sensitivity to the random seed. Keep the budget and configuration fixed before comparing.</x:v>
      </x:c>
      <x:c r="N34" s="594"/>
      <x:c r="O34" s="594"/>
      <x:c r="P34" s="594"/>
      <x:c r="Q34" s="595"/>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x:c r="A35" s="522" t="n">
        <x:f>IF(ISBLANK('_RUNS'!A2),"",'_RUNS'!A2)</x:f>
        <x:v>1</x:v>
      </x:c>
      <x:c r="B35" s="522" t="n">
        <x:f>IF(ISBLANK('_RUNS'!B2),"",'_RUNS'!B2)</x:f>
        <x:v>1</x:v>
      </x:c>
      <x:c r="C35" s="529" t="n">
        <x:f>IF(ISBLANK('_RUNS'!C2),"",'_RUNS'!C2)</x:f>
        <x:v>24048</x:v>
      </x:c>
      <x:c r="D35" s="572" t="n">
        <x:f>IF('_RUNS'!D2="","",'_RUNS'!D2/100)</x:f>
        <x:v>-0.0008309788931361143</x:v>
      </x:c>
      <x:c r="E35" s="522" t="n">
        <x:f>IF(ISBLANK('_RUNS'!E2),"",'_RUNS'!E2)</x:f>
        <x:v>2500</x:v>
      </x:c>
      <x:c r="F35" s="522" t="n">
        <x:f>IF(ISBLANK('_RUNS'!F2),"",'_RUNS'!F2)</x:f>
        <x:v>3049134</x:v>
      </x:c>
      <x:c r="G35" s="574" t="n">
        <x:f>IF(ISBLANK('_RUNS'!G2),"",'_RUNS'!G2)</x:f>
        <x:v>224.93400000000003</x:v>
      </x:c>
      <x:c r="H35" s="529" t="n">
        <x:f>IF(ISBLANK('_RUNS'!H2),"",'_RUNS'!H2)</x:f>
        <x:v>13555683.000346767</x:v>
      </x:c>
      <x:c r="I35" s="522" t="n">
        <x:f>IF(ISBLANK('_RUNS'!I2),"",'_RUNS'!I2)</x:f>
        <x:v>67</x:v>
      </x:c>
      <x:c r="J35" s="522" t="n">
        <x:f>IF(ISBLANK('_RUNS'!J2),"",'_RUNS'!J2)</x:f>
        <x:v>8</x:v>
      </x:c>
      <x:c r="K35" s="522" t="b">
        <x:f>IF(ISBLANK('_RUNS'!K2),"",'_RUNS'!K2)</x:f>
        <x:v>1</x:v>
      </x:c>
      <x:c r="L35" s="38"/>
      <x:c r="M35" s="596"/>
      <x:c r="N35" s="597"/>
      <x:c r="O35" s="597"/>
      <x:c r="P35" s="597"/>
      <x:c r="Q35" s="598"/>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x:c r="A36" s="523" t="n">
        <x:f>IF(ISBLANK('_RUNS'!A3),"",'_RUNS'!A3)</x:f>
        <x:v>2</x:v>
      </x:c>
      <x:c r="B36" s="523" t="n">
        <x:f>IF(ISBLANK('_RUNS'!B3),"",'_RUNS'!B3)</x:f>
        <x:v>2</x:v>
      </x:c>
      <x:c r="C36" s="530" t="n">
        <x:f>IF(ISBLANK('_RUNS'!C3),"",'_RUNS'!C3)</x:f>
        <x:v>24048</x:v>
      </x:c>
      <x:c r="D36" s="573" t="n">
        <x:f>IF('_RUNS'!D3="","",'_RUNS'!D3/100)</x:f>
        <x:v>-0.0008309788931361143</x:v>
      </x:c>
      <x:c r="E36" s="523" t="n">
        <x:f>IF(ISBLANK('_RUNS'!E3),"",'_RUNS'!E3)</x:f>
        <x:v>2500</x:v>
      </x:c>
      <x:c r="F36" s="523" t="n">
        <x:f>IF(ISBLANK('_RUNS'!F3),"",'_RUNS'!F3)</x:f>
        <x:v>3045450</x:v>
      </x:c>
      <x:c r="G36" s="575" t="n">
        <x:f>IF(ISBLANK('_RUNS'!G3),"",'_RUNS'!G3)</x:f>
        <x:v>217.21979199999998</x:v>
      </x:c>
      <x:c r="H36" s="530" t="n">
        <x:f>IF(ISBLANK('_RUNS'!H3),"",'_RUNS'!H3)</x:f>
        <x:v>14020131.277908599</x:v>
      </x:c>
      <x:c r="I36" s="523" t="n">
        <x:f>IF(ISBLANK('_RUNS'!I3),"",'_RUNS'!I3)</x:f>
        <x:v>67</x:v>
      </x:c>
      <x:c r="J36" s="523" t="n">
        <x:f>IF(ISBLANK('_RUNS'!J3),"",'_RUNS'!J3)</x:f>
        <x:v>8</x:v>
      </x:c>
      <x:c r="K36" s="523" t="b">
        <x:f>IF(ISBLANK('_RUNS'!K3),"",'_RUNS'!K3)</x:f>
        <x:v>0</x:v>
      </x:c>
      <x:c r="L36" s="38"/>
      <x:c r="M36" s="596"/>
      <x:c r="N36" s="597"/>
      <x:c r="O36" s="597"/>
      <x:c r="P36" s="597"/>
      <x:c r="Q36" s="598"/>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x:c r="A37" s="523" t="n">
        <x:f>IF(ISBLANK('_RUNS'!A4),"",'_RUNS'!A4)</x:f>
        <x:v>3</x:v>
      </x:c>
      <x:c r="B37" s="523" t="n">
        <x:f>IF(ISBLANK('_RUNS'!B4),"",'_RUNS'!B4)</x:f>
        <x:v>3</x:v>
      </x:c>
      <x:c r="C37" s="530" t="n">
        <x:f>IF(ISBLANK('_RUNS'!C4),"",'_RUNS'!C4)</x:f>
        <x:v>24048</x:v>
      </x:c>
      <x:c r="D37" s="573" t="n">
        <x:f>IF('_RUNS'!D4="","",'_RUNS'!D4/100)</x:f>
        <x:v>-0.0008309788931361143</x:v>
      </x:c>
      <x:c r="E37" s="523" t="n">
        <x:f>IF(ISBLANK('_RUNS'!E4),"",'_RUNS'!E4)</x:f>
        <x:v>2500</x:v>
      </x:c>
      <x:c r="F37" s="523" t="n">
        <x:f>IF(ISBLANK('_RUNS'!F4),"",'_RUNS'!F4)</x:f>
        <x:v>3053386</x:v>
      </x:c>
      <x:c r="G37" s="575" t="n">
        <x:f>IF(ISBLANK('_RUNS'!G4),"",'_RUNS'!G4)</x:f>
        <x:v>213.844</x:v>
      </x:c>
      <x:c r="H37" s="530" t="n">
        <x:f>IF(ISBLANK('_RUNS'!H4),"",'_RUNS'!H4)</x:f>
        <x:v>14278567.553917808</x:v>
      </x:c>
      <x:c r="I37" s="523" t="n">
        <x:f>IF(ISBLANK('_RUNS'!I4),"",'_RUNS'!I4)</x:f>
        <x:v>67</x:v>
      </x:c>
      <x:c r="J37" s="523" t="n">
        <x:f>IF(ISBLANK('_RUNS'!J4),"",'_RUNS'!J4)</x:f>
        <x:v>8</x:v>
      </x:c>
      <x:c r="K37" s="523" t="b">
        <x:f>IF(ISBLANK('_RUNS'!K4),"",'_RUNS'!K4)</x:f>
        <x:v>0</x:v>
      </x:c>
      <x:c r="L37" s="38"/>
      <x:c r="M37" s="596"/>
      <x:c r="N37" s="597"/>
      <x:c r="O37" s="597"/>
      <x:c r="P37" s="597"/>
      <x:c r="Q37" s="598"/>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x:c r="A38" s="523" t="n">
        <x:f>IF(ISBLANK('_RUNS'!A5),"",'_RUNS'!A5)</x:f>
        <x:v>4</x:v>
      </x:c>
      <x:c r="B38" s="523" t="n">
        <x:f>IF(ISBLANK('_RUNS'!B5),"",'_RUNS'!B5)</x:f>
        <x:v>4</x:v>
      </x:c>
      <x:c r="C38" s="530" t="n">
        <x:f>IF(ISBLANK('_RUNS'!C5),"",'_RUNS'!C5)</x:f>
        <x:v>24054</x:v>
      </x:c>
      <x:c r="D38" s="573" t="n">
        <x:f>IF('_RUNS'!D5="","",'_RUNS'!D5/100)</x:f>
        <x:v>-0.00058168522519528</x:v>
      </x:c>
      <x:c r="E38" s="523" t="n">
        <x:f>IF(ISBLANK('_RUNS'!E5),"",'_RUNS'!E5)</x:f>
        <x:v>2500</x:v>
      </x:c>
      <x:c r="F38" s="523" t="n">
        <x:f>IF(ISBLANK('_RUNS'!F5),"",'_RUNS'!F5)</x:f>
        <x:v>3053763</x:v>
      </x:c>
      <x:c r="G38" s="575" t="n">
        <x:f>IF(ISBLANK('_RUNS'!G5),"",'_RUNS'!G5)</x:f>
        <x:v>218.50424999999996</x:v>
      </x:c>
      <x:c r="H38" s="530" t="n">
        <x:f>IF(ISBLANK('_RUNS'!H5),"",'_RUNS'!H5)</x:f>
        <x:v>13975760.196884045</x:v>
      </x:c>
      <x:c r="I38" s="523" t="n">
        <x:f>IF(ISBLANK('_RUNS'!I5),"",'_RUNS'!I5)</x:f>
        <x:v>67</x:v>
      </x:c>
      <x:c r="J38" s="523" t="n">
        <x:f>IF(ISBLANK('_RUNS'!J5),"",'_RUNS'!J5)</x:f>
        <x:v>8</x:v>
      </x:c>
      <x:c r="K38" s="523" t="b">
        <x:f>IF(ISBLANK('_RUNS'!K5),"",'_RUNS'!K5)</x:f>
        <x:v>0</x:v>
      </x:c>
      <x:c r="L38" s="38"/>
      <x:c r="M38" s="596"/>
      <x:c r="N38" s="597"/>
      <x:c r="O38" s="597"/>
      <x:c r="P38" s="597"/>
      <x:c r="Q38" s="598"/>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x:c r="A39" s="523" t="n">
        <x:f>IF(ISBLANK('_RUNS'!A6),"",'_RUNS'!A6)</x:f>
        <x:v>5</x:v>
      </x:c>
      <x:c r="B39" s="523" t="n">
        <x:f>IF(ISBLANK('_RUNS'!B6),"",'_RUNS'!B6)</x:f>
        <x:v>5</x:v>
      </x:c>
      <x:c r="C39" s="530" t="n">
        <x:f>IF(ISBLANK('_RUNS'!C6),"",'_RUNS'!C6)</x:f>
        <x:v>24054</x:v>
      </x:c>
      <x:c r="D39" s="573" t="n">
        <x:f>IF('_RUNS'!D6="","",'_RUNS'!D6/100)</x:f>
        <x:v>-0.00058168522519528</x:v>
      </x:c>
      <x:c r="E39" s="523" t="n">
        <x:f>IF(ISBLANK('_RUNS'!E6),"",'_RUNS'!E6)</x:f>
        <x:v>2500</x:v>
      </x:c>
      <x:c r="F39" s="523" t="n">
        <x:f>IF(ISBLANK('_RUNS'!F6),"",'_RUNS'!F6)</x:f>
        <x:v>3043116</x:v>
      </x:c>
      <x:c r="G39" s="575" t="n">
        <x:f>IF(ISBLANK('_RUNS'!G6),"",'_RUNS'!G6)</x:f>
        <x:v>215.38270899999998</x:v>
      </x:c>
      <x:c r="H39" s="530" t="n">
        <x:f>IF(ISBLANK('_RUNS'!H6),"",'_RUNS'!H6)</x:f>
        <x:v>14128877.912850471</x:v>
      </x:c>
      <x:c r="I39" s="523" t="n">
        <x:f>IF(ISBLANK('_RUNS'!I6),"",'_RUNS'!I6)</x:f>
        <x:v>67</x:v>
      </x:c>
      <x:c r="J39" s="523" t="n">
        <x:f>IF(ISBLANK('_RUNS'!J6),"",'_RUNS'!J6)</x:f>
        <x:v>8</x:v>
      </x:c>
      <x:c r="K39" s="523" t="b">
        <x:f>IF(ISBLANK('_RUNS'!K6),"",'_RUNS'!K6)</x:f>
        <x:v>0</x:v>
      </x:c>
      <x:c r="L39" s="38"/>
      <x:c r="M39" s="596"/>
      <x:c r="N39" s="597"/>
      <x:c r="O39" s="597"/>
      <x:c r="P39" s="597"/>
      <x:c r="Q39" s="598"/>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523" t="n">
        <x:f>IF(ISBLANK('_RUNS'!A7),"",'_RUNS'!A7)</x:f>
        <x:v>6</x:v>
      </x:c>
      <x:c r="B40" s="523" t="n">
        <x:f>IF(ISBLANK('_RUNS'!B7),"",'_RUNS'!B7)</x:f>
        <x:v>6</x:v>
      </x:c>
      <x:c r="C40" s="530" t="n">
        <x:f>IF(ISBLANK('_RUNS'!C7),"",'_RUNS'!C7)</x:f>
        <x:v>24194</x:v>
      </x:c>
      <x:c r="D40" s="573" t="n">
        <x:f>IF('_RUNS'!D7="","",'_RUNS'!D7/100)</x:f>
        <x:v>0.0052351670267575205</x:v>
      </x:c>
      <x:c r="E40" s="523" t="n">
        <x:f>IF(ISBLANK('_RUNS'!E7),"",'_RUNS'!E7)</x:f>
        <x:v>2500</x:v>
      </x:c>
      <x:c r="F40" s="523" t="n">
        <x:f>IF(ISBLANK('_RUNS'!F7),"",'_RUNS'!F7)</x:f>
        <x:v>3050618</x:v>
      </x:c>
      <x:c r="G40" s="575" t="n">
        <x:f>IF(ISBLANK('_RUNS'!G7),"",'_RUNS'!G7)</x:f>
        <x:v>215.02975000000015</x:v>
      </x:c>
      <x:c r="H40" s="530" t="n">
        <x:f>IF(ISBLANK('_RUNS'!H7),"",'_RUNS'!H7)</x:f>
        <x:v>14186957.851181047</x:v>
      </x:c>
      <x:c r="I40" s="523" t="n">
        <x:f>IF(ISBLANK('_RUNS'!I7),"",'_RUNS'!I7)</x:f>
        <x:v>67</x:v>
      </x:c>
      <x:c r="J40" s="523" t="n">
        <x:f>IF(ISBLANK('_RUNS'!J7),"",'_RUNS'!J7)</x:f>
        <x:v>8</x:v>
      </x:c>
      <x:c r="K40" s="523" t="b">
        <x:f>IF(ISBLANK('_RUNS'!K7),"",'_RUNS'!K7)</x:f>
        <x:v>0</x:v>
      </x:c>
      <x:c r="L40" s="38"/>
      <x:c r="M40" s="596"/>
      <x:c r="N40" s="597"/>
      <x:c r="O40" s="597"/>
      <x:c r="P40" s="597"/>
      <x:c r="Q40" s="598"/>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523" t="n">
        <x:f>IF(ISBLANK('_RUNS'!A8),"",'_RUNS'!A8)</x:f>
        <x:v>7</x:v>
      </x:c>
      <x:c r="B41" s="523" t="n">
        <x:f>IF(ISBLANK('_RUNS'!B8),"",'_RUNS'!B8)</x:f>
        <x:v>7</x:v>
      </x:c>
      <x:c r="C41" s="530" t="n">
        <x:f>IF(ISBLANK('_RUNS'!C8),"",'_RUNS'!C8)</x:f>
        <x:v>24194</x:v>
      </x:c>
      <x:c r="D41" s="573" t="n">
        <x:f>IF('_RUNS'!D8="","",'_RUNS'!D8/100)</x:f>
        <x:v>0.0052351670267575205</x:v>
      </x:c>
      <x:c r="E41" s="523" t="n">
        <x:f>IF(ISBLANK('_RUNS'!E8),"",'_RUNS'!E8)</x:f>
        <x:v>2500</x:v>
      </x:c>
      <x:c r="F41" s="523" t="n">
        <x:f>IF(ISBLANK('_RUNS'!F8),"",'_RUNS'!F8)</x:f>
        <x:v>3038705</x:v>
      </x:c>
      <x:c r="G41" s="575" t="n">
        <x:f>IF(ISBLANK('_RUNS'!G8),"",'_RUNS'!G8)</x:f>
        <x:v>225.78870800000004</x:v>
      </x:c>
      <x:c r="H41" s="530" t="n">
        <x:f>IF(ISBLANK('_RUNS'!H8),"",'_RUNS'!H8)</x:f>
        <x:v>13458179.67123493</x:v>
      </x:c>
      <x:c r="I41" s="523" t="n">
        <x:f>IF(ISBLANK('_RUNS'!I8),"",'_RUNS'!I8)</x:f>
        <x:v>67</x:v>
      </x:c>
      <x:c r="J41" s="523" t="n">
        <x:f>IF(ISBLANK('_RUNS'!J8),"",'_RUNS'!J8)</x:f>
        <x:v>8</x:v>
      </x:c>
      <x:c r="K41" s="523" t="b">
        <x:f>IF(ISBLANK('_RUNS'!K8),"",'_RUNS'!K8)</x:f>
        <x:v>0</x:v>
      </x:c>
      <x:c r="L41" s="38"/>
      <x:c r="M41" s="596"/>
      <x:c r="N41" s="597"/>
      <x:c r="O41" s="597"/>
      <x:c r="P41" s="597"/>
      <x:c r="Q41" s="598"/>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x:c r="A42" s="523" t="n">
        <x:f>IF(ISBLANK('_RUNS'!A9),"",'_RUNS'!A9)</x:f>
        <x:v>8</x:v>
      </x:c>
      <x:c r="B42" s="523" t="n">
        <x:f>IF(ISBLANK('_RUNS'!B9),"",'_RUNS'!B9)</x:f>
        <x:v>8</x:v>
      </x:c>
      <x:c r="C42" s="530" t="n">
        <x:f>IF(ISBLANK('_RUNS'!C9),"",'_RUNS'!C9)</x:f>
        <x:v>24048</x:v>
      </x:c>
      <x:c r="D42" s="573" t="n">
        <x:f>IF('_RUNS'!D9="","",'_RUNS'!D9/100)</x:f>
        <x:v>-0.0008309788931361143</x:v>
      </x:c>
      <x:c r="E42" s="523" t="n">
        <x:f>IF(ISBLANK('_RUNS'!E9),"",'_RUNS'!E9)</x:f>
        <x:v>2500</x:v>
      </x:c>
      <x:c r="F42" s="523" t="n">
        <x:f>IF(ISBLANK('_RUNS'!F9),"",'_RUNS'!F9)</x:f>
        <x:v>3063259</x:v>
      </x:c>
      <x:c r="G42" s="575" t="n">
        <x:f>IF(ISBLANK('_RUNS'!G9),"",'_RUNS'!G9)</x:f>
        <x:v>219.62204199999996</x:v>
      </x:c>
      <x:c r="H42" s="530" t="n">
        <x:f>IF(ISBLANK('_RUNS'!H9),"",'_RUNS'!H9)</x:f>
        <x:v>13947866.853910778</x:v>
      </x:c>
      <x:c r="I42" s="523" t="n">
        <x:f>IF(ISBLANK('_RUNS'!I9),"",'_RUNS'!I9)</x:f>
        <x:v>67</x:v>
      </x:c>
      <x:c r="J42" s="523" t="n">
        <x:f>IF(ISBLANK('_RUNS'!J9),"",'_RUNS'!J9)</x:f>
        <x:v>8</x:v>
      </x:c>
      <x:c r="K42" s="523" t="b">
        <x:f>IF(ISBLANK('_RUNS'!K9),"",'_RUNS'!K9)</x:f>
        <x:v>0</x:v>
      </x:c>
      <x:c r="L42" s="38"/>
      <x:c r="M42" s="596"/>
      <x:c r="N42" s="597"/>
      <x:c r="O42" s="597"/>
      <x:c r="P42" s="597"/>
      <x:c r="Q42" s="598"/>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x:c r="A43" s="523" t="n">
        <x:f>IF(ISBLANK('_RUNS'!A10),"",'_RUNS'!A10)</x:f>
        <x:v>9</x:v>
      </x:c>
      <x:c r="B43" s="523" t="n">
        <x:f>IF(ISBLANK('_RUNS'!B10),"",'_RUNS'!B10)</x:f>
        <x:v>9</x:v>
      </x:c>
      <x:c r="C43" s="530" t="n">
        <x:f>IF(ISBLANK('_RUNS'!C10),"",'_RUNS'!C10)</x:f>
        <x:v>24048</x:v>
      </x:c>
      <x:c r="D43" s="573" t="n">
        <x:f>IF('_RUNS'!D10="","",'_RUNS'!D10/100)</x:f>
        <x:v>-0.0008309788931361143</x:v>
      </x:c>
      <x:c r="E43" s="523" t="n">
        <x:f>IF(ISBLANK('_RUNS'!E10),"",'_RUNS'!E10)</x:f>
        <x:v>2500</x:v>
      </x:c>
      <x:c r="F43" s="523" t="n">
        <x:f>IF(ISBLANK('_RUNS'!F10),"",'_RUNS'!F10)</x:f>
        <x:v>3064642</x:v>
      </x:c>
      <x:c r="G43" s="575" t="n">
        <x:f>IF(ISBLANK('_RUNS'!G10),"",'_RUNS'!G10)</x:f>
        <x:v>215.4392499999999</x:v>
      </x:c>
      <x:c r="H43" s="530" t="n">
        <x:f>IF(ISBLANK('_RUNS'!H10),"",'_RUNS'!H10)</x:f>
        <x:v>14225086.654358486</x:v>
      </x:c>
      <x:c r="I43" s="523" t="n">
        <x:f>IF(ISBLANK('_RUNS'!I10),"",'_RUNS'!I10)</x:f>
        <x:v>67</x:v>
      </x:c>
      <x:c r="J43" s="523" t="n">
        <x:f>IF(ISBLANK('_RUNS'!J10),"",'_RUNS'!J10)</x:f>
        <x:v>8</x:v>
      </x:c>
      <x:c r="K43" s="523" t="b">
        <x:f>IF(ISBLANK('_RUNS'!K10),"",'_RUNS'!K10)</x:f>
        <x:v>0</x:v>
      </x:c>
      <x:c r="L43" s="38"/>
      <x:c r="M43" s="596"/>
      <x:c r="N43" s="597"/>
      <x:c r="O43" s="597"/>
      <x:c r="P43" s="597"/>
      <x:c r="Q43" s="598"/>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x:c r="A44" s="523" t="n">
        <x:f>IF(ISBLANK('_RUNS'!A11),"",'_RUNS'!A11)</x:f>
        <x:v>10</x:v>
      </x:c>
      <x:c r="B44" s="523" t="n">
        <x:f>IF(ISBLANK('_RUNS'!B11),"",'_RUNS'!B11)</x:f>
        <x:v>10</x:v>
      </x:c>
      <x:c r="C44" s="530" t="n">
        <x:f>IF(ISBLANK('_RUNS'!C11),"",'_RUNS'!C11)</x:f>
        <x:v>24248</x:v>
      </x:c>
      <x:c r="D44" s="573" t="n">
        <x:f>IF('_RUNS'!D11="","",'_RUNS'!D11/100)</x:f>
        <x:v>0.007478810038225029</x:v>
      </x:c>
      <x:c r="E44" s="523" t="n">
        <x:f>IF(ISBLANK('_RUNS'!E11),"",'_RUNS'!E11)</x:f>
        <x:v>2500</x:v>
      </x:c>
      <x:c r="F44" s="523" t="n">
        <x:f>IF(ISBLANK('_RUNS'!F11),"",'_RUNS'!F11)</x:f>
        <x:v>3044851</x:v>
      </x:c>
      <x:c r="G44" s="575" t="n">
        <x:f>IF(ISBLANK('_RUNS'!G11),"",'_RUNS'!G11)</x:f>
        <x:v>220.10029200000008</x:v>
      </x:c>
      <x:c r="H44" s="530" t="n">
        <x:f>IF(ISBLANK('_RUNS'!H11),"",'_RUNS'!H11)</x:f>
        <x:v>13833925.308922347</x:v>
      </x:c>
      <x:c r="I44" s="523" t="n">
        <x:f>IF(ISBLANK('_RUNS'!I11),"",'_RUNS'!I11)</x:f>
        <x:v>67</x:v>
      </x:c>
      <x:c r="J44" s="523" t="n">
        <x:f>IF(ISBLANK('_RUNS'!J11),"",'_RUNS'!J11)</x:f>
        <x:v>8</x:v>
      </x:c>
      <x:c r="K44" s="523" t="b">
        <x:f>IF(ISBLANK('_RUNS'!K11),"",'_RUNS'!K11)</x:f>
        <x:v>0</x:v>
      </x:c>
      <x:c r="L44" s="38"/>
      <x:c r="M44" s="599"/>
      <x:c r="N44" s="600"/>
      <x:c r="O44" s="600"/>
      <x:c r="P44" s="600"/>
      <x:c r="Q44" s="601"/>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523" t="str">
        <x:f>IF(ISBLANK('_RUNS'!A12),"",'_RUNS'!A12)</x:f>
      </x:c>
      <x:c r="B45" s="523" t="str">
        <x:f>IF(ISBLANK('_RUNS'!B12),"",'_RUNS'!B12)</x:f>
      </x:c>
      <x:c r="C45" s="530" t="str">
        <x:f>IF(ISBLANK('_RUNS'!C12),"",'_RUNS'!C12)</x:f>
      </x:c>
      <x:c r="D45" s="573" t="str">
        <x:f>IF('_RUNS'!D12="","",'_RUNS'!D12/100)</x:f>
      </x:c>
      <x:c r="E45" s="523" t="str">
        <x:f>IF(ISBLANK('_RUNS'!E12),"",'_RUNS'!E12)</x:f>
      </x:c>
      <x:c r="F45" s="523" t="str">
        <x:f>IF(ISBLANK('_RUNS'!F12),"",'_RUNS'!F12)</x:f>
      </x:c>
      <x:c r="G45" s="575" t="str">
        <x:f>IF(ISBLANK('_RUNS'!G12),"",'_RUNS'!G12)</x:f>
      </x:c>
      <x:c r="H45" s="530" t="str">
        <x:f>IF(ISBLANK('_RUNS'!H12),"",'_RUNS'!H12)</x:f>
      </x:c>
      <x:c r="I45" s="523" t="str">
        <x:f>IF(ISBLANK('_RUNS'!I12),"",'_RUNS'!I12)</x:f>
      </x:c>
      <x:c r="J45" s="523" t="str">
        <x:f>IF(ISBLANK('_RUNS'!J12),"",'_RUNS'!J12)</x:f>
      </x:c>
      <x:c r="K45" s="523" t="str">
        <x:f>IF(ISBLANK('_RUNS'!K12),"",'_RUNS'!K12)</x:f>
      </x:c>
      <x:c r="L45" s="38"/>
      <x:c r="M45" s="38"/>
      <x:c r="N45" s="38"/>
      <x:c r="O45" s="38"/>
      <x:c r="P45" s="38"/>
      <x:c r="Q45" s="38"/>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523" t="str">
        <x:f>IF(ISBLANK('_RUNS'!A13),"",'_RUNS'!A13)</x:f>
      </x:c>
      <x:c r="B46" s="523" t="str">
        <x:f>IF(ISBLANK('_RUNS'!B13),"",'_RUNS'!B13)</x:f>
      </x:c>
      <x:c r="C46" s="530" t="str">
        <x:f>IF(ISBLANK('_RUNS'!C13),"",'_RUNS'!C13)</x:f>
      </x:c>
      <x:c r="D46" s="573" t="str">
        <x:f>IF('_RUNS'!D13="","",'_RUNS'!D13/100)</x:f>
      </x:c>
      <x:c r="E46" s="523" t="str">
        <x:f>IF(ISBLANK('_RUNS'!E13),"",'_RUNS'!E13)</x:f>
      </x:c>
      <x:c r="F46" s="523" t="str">
        <x:f>IF(ISBLANK('_RUNS'!F13),"",'_RUNS'!F13)</x:f>
      </x:c>
      <x:c r="G46" s="575" t="str">
        <x:f>IF(ISBLANK('_RUNS'!G13),"",'_RUNS'!G13)</x:f>
      </x:c>
      <x:c r="H46" s="530" t="str">
        <x:f>IF(ISBLANK('_RUNS'!H13),"",'_RUNS'!H13)</x:f>
      </x:c>
      <x:c r="I46" s="523" t="str">
        <x:f>IF(ISBLANK('_RUNS'!I13),"",'_RUNS'!I13)</x:f>
      </x:c>
      <x:c r="J46" s="523" t="str">
        <x:f>IF(ISBLANK('_RUNS'!J13),"",'_RUNS'!J13)</x:f>
      </x:c>
      <x:c r="K46" s="523" t="str">
        <x:f>IF(ISBLANK('_RUNS'!K13),"",'_RUNS'!K13)</x:f>
      </x:c>
      <x:c r="L46" s="38"/>
      <x:c r="M46" s="38"/>
      <x:c r="N46" s="38"/>
      <x:c r="O46" s="38"/>
      <x:c r="P46" s="38"/>
      <x:c r="Q46" s="38"/>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625" t="str">
        <x:f>IF('_CONFIG'!$B$2="pt-BR","* Tempo de execução e avaliações por segundo são diagnósticos, não benchmarks universais. Compare-os apenas no mesmo ambiente, hardware e contexto de cota do Apps Script.","* Runtime and evaluations/second are diagnostic, not universal benchmarks. Compare them only under the same runtime, hardware, and Apps Script quota context.")</x:f>
        <x:v>* Runtime and evaluations/second are diagnostic, not universal benchmarks. Compare them only under the same runtime, hardware, and Apps Script quota context.</x:v>
      </x:c>
      <x:c r="B47" s="626" t="str">
        <x:f>IF(ISBLANK('_RUNS'!B14),"",'_RUNS'!B14)</x:f>
      </x:c>
      <x:c r="C47" s="627" t="str">
        <x:f>IF(ISBLANK('_RUNS'!C14),"",'_RUNS'!C14)</x:f>
      </x:c>
      <x:c r="D47" s="628" t="str">
        <x:f>IF('_RUNS'!D14="","",'_RUNS'!D14/100)</x:f>
      </x:c>
      <x:c r="E47" s="626" t="str">
        <x:f>IF(ISBLANK('_RUNS'!E14),"",'_RUNS'!E14)</x:f>
      </x:c>
      <x:c r="F47" s="626" t="str">
        <x:f>IF(ISBLANK('_RUNS'!F14),"",'_RUNS'!F14)</x:f>
      </x:c>
      <x:c r="G47" s="629" t="str">
        <x:f>IF(ISBLANK('_RUNS'!G14),"",'_RUNS'!G14)</x:f>
      </x:c>
      <x:c r="H47" s="627" t="str">
        <x:f>IF(ISBLANK('_RUNS'!H14),"",'_RUNS'!H14)</x:f>
      </x:c>
      <x:c r="I47" s="626" t="str">
        <x:f>IF(ISBLANK('_RUNS'!I14),"",'_RUNS'!I14)</x:f>
      </x:c>
      <x:c r="J47" s="626" t="str">
        <x:f>IF(ISBLANK('_RUNS'!J14),"",'_RUNS'!J14)</x:f>
      </x:c>
      <x:c r="K47" s="626" t="str">
        <x:f>IF(ISBLANK('_RUNS'!K14),"",'_RUNS'!K14)</x:f>
      </x:c>
      <x:c r="L47" s="388"/>
      <x:c r="M47" s="388"/>
      <x:c r="N47" s="388"/>
      <x:c r="O47" s="388"/>
      <x:c r="P47" s="388"/>
      <x:c r="Q47" s="389"/>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625" t="str">
        <x:f>IF(ISBLANK('_RUNS'!A15),"",'_RUNS'!A15)</x:f>
      </x:c>
      <x:c r="B48" s="626" t="str">
        <x:f>IF(ISBLANK('_RUNS'!B15),"",'_RUNS'!B15)</x:f>
      </x:c>
      <x:c r="C48" s="627" t="str">
        <x:f>IF(ISBLANK('_RUNS'!C15),"",'_RUNS'!C15)</x:f>
      </x:c>
      <x:c r="D48" s="628" t="str">
        <x:f>IF('_RUNS'!D15="","",'_RUNS'!D15/100)</x:f>
      </x:c>
      <x:c r="E48" s="626" t="str">
        <x:f>IF(ISBLANK('_RUNS'!E15),"",'_RUNS'!E15)</x:f>
      </x:c>
      <x:c r="F48" s="626" t="str">
        <x:f>IF(ISBLANK('_RUNS'!F15),"",'_RUNS'!F15)</x:f>
      </x:c>
      <x:c r="G48" s="629" t="str">
        <x:f>IF(ISBLANK('_RUNS'!G15),"",'_RUNS'!G15)</x:f>
      </x:c>
      <x:c r="H48" s="627" t="str">
        <x:f>IF(ISBLANK('_RUNS'!H15),"",'_RUNS'!H15)</x:f>
      </x:c>
      <x:c r="I48" s="626" t="str">
        <x:f>IF(ISBLANK('_RUNS'!I15),"",'_RUNS'!I15)</x:f>
      </x:c>
      <x:c r="J48" s="626" t="str">
        <x:f>IF(ISBLANK('_RUNS'!J15),"",'_RUNS'!J15)</x:f>
      </x:c>
      <x:c r="K48" s="626" t="str">
        <x:f>IF(ISBLANK('_RUNS'!K15),"",'_RUNS'!K15)</x:f>
      </x:c>
      <x:c r="L48" s="391"/>
      <x:c r="M48" s="391"/>
      <x:c r="N48" s="391"/>
      <x:c r="O48" s="391"/>
      <x:c r="P48" s="391"/>
      <x:c r="Q48" s="392"/>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x:c r="A49" s="625" t="str">
        <x:f>IF(ISBLANK('_RUNS'!A16),"",'_RUNS'!A16)</x:f>
      </x:c>
      <x:c r="B49" s="626" t="str">
        <x:f>IF(ISBLANK('_RUNS'!B16),"",'_RUNS'!B16)</x:f>
      </x:c>
      <x:c r="C49" s="627" t="str">
        <x:f>IF(ISBLANK('_RUNS'!C16),"",'_RUNS'!C16)</x:f>
      </x:c>
      <x:c r="D49" s="628" t="str">
        <x:f>IF('_RUNS'!D16="","",'_RUNS'!D16/100)</x:f>
      </x:c>
      <x:c r="E49" s="626" t="str">
        <x:f>IF(ISBLANK('_RUNS'!E16),"",'_RUNS'!E16)</x:f>
      </x:c>
      <x:c r="F49" s="626" t="str">
        <x:f>IF(ISBLANK('_RUNS'!F16),"",'_RUNS'!F16)</x:f>
      </x:c>
      <x:c r="G49" s="629" t="str">
        <x:f>IF(ISBLANK('_RUNS'!G16),"",'_RUNS'!G16)</x:f>
      </x:c>
      <x:c r="H49" s="627" t="str">
        <x:f>IF(ISBLANK('_RUNS'!H16),"",'_RUNS'!H16)</x:f>
      </x:c>
      <x:c r="I49" s="626" t="str">
        <x:f>IF(ISBLANK('_RUNS'!I16),"",'_RUNS'!I16)</x:f>
      </x:c>
      <x:c r="J49" s="626" t="str">
        <x:f>IF(ISBLANK('_RUNS'!J16),"",'_RUNS'!J16)</x:f>
      </x:c>
      <x:c r="K49" s="626" t="str">
        <x:f>IF(ISBLANK('_RUNS'!K16),"",'_RUNS'!K16)</x:f>
      </x:c>
      <x:c r="L49" s="394"/>
      <x:c r="M49" s="394"/>
      <x:c r="N49" s="394"/>
      <x:c r="O49" s="394"/>
      <x:c r="P49" s="394"/>
      <x:c r="Q49" s="395"/>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x:c r="A50" s="523" t="str">
        <x:f>IF(ISBLANK('_RUNS'!A17),"",'_RUNS'!A17)</x:f>
      </x:c>
      <x:c r="B50" s="523" t="str">
        <x:f>IF(ISBLANK('_RUNS'!B17),"",'_RUNS'!B17)</x:f>
      </x:c>
      <x:c r="C50" s="530" t="str">
        <x:f>IF(ISBLANK('_RUNS'!C17),"",'_RUNS'!C17)</x:f>
      </x:c>
      <x:c r="D50" s="573" t="str">
        <x:f>IF('_RUNS'!D17="","",'_RUNS'!D17/100)</x:f>
      </x:c>
      <x:c r="E50" s="523" t="str">
        <x:f>IF(ISBLANK('_RUNS'!E17),"",'_RUNS'!E17)</x:f>
      </x:c>
      <x:c r="F50" s="523" t="str">
        <x:f>IF(ISBLANK('_RUNS'!F17),"",'_RUNS'!F17)</x:f>
      </x:c>
      <x:c r="G50" s="575" t="str">
        <x:f>IF(ISBLANK('_RUNS'!G17),"",'_RUNS'!G17)</x:f>
      </x:c>
      <x:c r="H50" s="530" t="str">
        <x:f>IF(ISBLANK('_RUNS'!H17),"",'_RUNS'!H17)</x:f>
      </x:c>
      <x:c r="I50" s="523" t="str">
        <x:f>IF(ISBLANK('_RUNS'!I17),"",'_RUNS'!I17)</x:f>
      </x:c>
      <x:c r="J50" s="523" t="str">
        <x:f>IF(ISBLANK('_RUNS'!J17),"",'_RUNS'!J17)</x:f>
      </x:c>
      <x:c r="K50" s="523" t="str">
        <x:f>IF(ISBLANK('_RUNS'!K17),"",'_RUNS'!K17)</x:f>
      </x:c>
      <x:c r="L50" s="38"/>
      <x:c r="M50" s="38"/>
      <x:c r="N50" s="38"/>
      <x:c r="O50" s="38"/>
      <x:c r="P50" s="38"/>
      <x:c r="Q50" s="38"/>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x:c r="A51" s="523" t="str">
        <x:f>IF(ISBLANK('_RUNS'!A18),"",'_RUNS'!A18)</x:f>
      </x:c>
      <x:c r="B51" s="523" t="str">
        <x:f>IF(ISBLANK('_RUNS'!B18),"",'_RUNS'!B18)</x:f>
      </x:c>
      <x:c r="C51" s="530" t="str">
        <x:f>IF(ISBLANK('_RUNS'!C18),"",'_RUNS'!C18)</x:f>
      </x:c>
      <x:c r="D51" s="573" t="str">
        <x:f>IF('_RUNS'!D18="","",'_RUNS'!D18/100)</x:f>
      </x:c>
      <x:c r="E51" s="523" t="str">
        <x:f>IF(ISBLANK('_RUNS'!E18),"",'_RUNS'!E18)</x:f>
      </x:c>
      <x:c r="F51" s="523" t="str">
        <x:f>IF(ISBLANK('_RUNS'!F18),"",'_RUNS'!F18)</x:f>
      </x:c>
      <x:c r="G51" s="575" t="str">
        <x:f>IF(ISBLANK('_RUNS'!G18),"",'_RUNS'!G18)</x:f>
      </x:c>
      <x:c r="H51" s="530" t="str">
        <x:f>IF(ISBLANK('_RUNS'!H18),"",'_RUNS'!H18)</x:f>
      </x:c>
      <x:c r="I51" s="523" t="str">
        <x:f>IF(ISBLANK('_RUNS'!I18),"",'_RUNS'!I18)</x:f>
      </x:c>
      <x:c r="J51" s="523" t="str">
        <x:f>IF(ISBLANK('_RUNS'!J18),"",'_RUNS'!J18)</x:f>
      </x:c>
      <x:c r="K51" s="523" t="str">
        <x:f>IF(ISBLANK('_RUNS'!K18),"",'_RUNS'!K18)</x:f>
      </x:c>
      <x:c r="L51" s="38"/>
      <x:c r="M51" s="38"/>
      <x:c r="N51" s="38"/>
      <x:c r="O51" s="38"/>
      <x:c r="P51" s="38"/>
      <x:c r="Q51" s="38"/>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x:c r="A52" s="523" t="str">
        <x:f>IF(ISBLANK('_RUNS'!A19),"",'_RUNS'!A19)</x:f>
      </x:c>
      <x:c r="B52" s="523" t="str">
        <x:f>IF(ISBLANK('_RUNS'!B19),"",'_RUNS'!B19)</x:f>
      </x:c>
      <x:c r="C52" s="530" t="str">
        <x:f>IF(ISBLANK('_RUNS'!C19),"",'_RUNS'!C19)</x:f>
      </x:c>
      <x:c r="D52" s="573" t="str">
        <x:f>IF('_RUNS'!D19="","",'_RUNS'!D19/100)</x:f>
      </x:c>
      <x:c r="E52" s="523" t="str">
        <x:f>IF(ISBLANK('_RUNS'!E19),"",'_RUNS'!E19)</x:f>
      </x:c>
      <x:c r="F52" s="523" t="str">
        <x:f>IF(ISBLANK('_RUNS'!F19),"",'_RUNS'!F19)</x:f>
      </x:c>
      <x:c r="G52" s="575" t="str">
        <x:f>IF(ISBLANK('_RUNS'!G19),"",'_RUNS'!G19)</x:f>
      </x:c>
      <x:c r="H52" s="530" t="str">
        <x:f>IF(ISBLANK('_RUNS'!H19),"",'_RUNS'!H19)</x:f>
      </x:c>
      <x:c r="I52" s="523" t="str">
        <x:f>IF(ISBLANK('_RUNS'!I19),"",'_RUNS'!I19)</x:f>
      </x:c>
      <x:c r="J52" s="523" t="str">
        <x:f>IF(ISBLANK('_RUNS'!J19),"",'_RUNS'!J19)</x:f>
      </x:c>
      <x:c r="K52" s="523" t="str">
        <x:f>IF(ISBLANK('_RUNS'!K19),"",'_RUNS'!K19)</x:f>
      </x:c>
      <x:c r="L52" s="38"/>
      <x:c r="M52" s="38"/>
      <x:c r="N52" s="38"/>
      <x:c r="O52" s="38"/>
      <x:c r="P52" s="38"/>
      <x:c r="Q52" s="38"/>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x:c r="A53" s="523" t="str">
        <x:f>IF(ISBLANK('_RUNS'!A20),"",'_RUNS'!A20)</x:f>
      </x:c>
      <x:c r="B53" s="523" t="str">
        <x:f>IF(ISBLANK('_RUNS'!B20),"",'_RUNS'!B20)</x:f>
      </x:c>
      <x:c r="C53" s="530" t="str">
        <x:f>IF(ISBLANK('_RUNS'!C20),"",'_RUNS'!C20)</x:f>
      </x:c>
      <x:c r="D53" s="573" t="str">
        <x:f>IF('_RUNS'!D20="","",'_RUNS'!D20/100)</x:f>
      </x:c>
      <x:c r="E53" s="523" t="str">
        <x:f>IF(ISBLANK('_RUNS'!E20),"",'_RUNS'!E20)</x:f>
      </x:c>
      <x:c r="F53" s="523" t="str">
        <x:f>IF(ISBLANK('_RUNS'!F20),"",'_RUNS'!F20)</x:f>
      </x:c>
      <x:c r="G53" s="575" t="str">
        <x:f>IF(ISBLANK('_RUNS'!G20),"",'_RUNS'!G20)</x:f>
      </x:c>
      <x:c r="H53" s="530" t="str">
        <x:f>IF(ISBLANK('_RUNS'!H20),"",'_RUNS'!H20)</x:f>
      </x:c>
      <x:c r="I53" s="523" t="str">
        <x:f>IF(ISBLANK('_RUNS'!I20),"",'_RUNS'!I20)</x:f>
      </x:c>
      <x:c r="J53" s="523" t="str">
        <x:f>IF(ISBLANK('_RUNS'!J20),"",'_RUNS'!J20)</x:f>
      </x:c>
      <x:c r="K53" s="523" t="str">
        <x:f>IF(ISBLANK('_RUNS'!K20),"",'_RUNS'!K20)</x:f>
      </x:c>
      <x:c r="L53" s="38"/>
      <x:c r="M53" s="38"/>
      <x:c r="N53" s="38"/>
      <x:c r="O53" s="38"/>
      <x:c r="P53" s="38"/>
      <x:c r="Q53" s="38"/>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x:c r="A54" s="523" t="str">
        <x:f>IF(ISBLANK('_RUNS'!A21),"",'_RUNS'!A21)</x:f>
      </x:c>
      <x:c r="B54" s="523" t="str">
        <x:f>IF(ISBLANK('_RUNS'!B21),"",'_RUNS'!B21)</x:f>
      </x:c>
      <x:c r="C54" s="530" t="str">
        <x:f>IF(ISBLANK('_RUNS'!C21),"",'_RUNS'!C21)</x:f>
      </x:c>
      <x:c r="D54" s="573" t="str">
        <x:f>IF('_RUNS'!D21="","",'_RUNS'!D21/100)</x:f>
      </x:c>
      <x:c r="E54" s="523" t="str">
        <x:f>IF(ISBLANK('_RUNS'!E21),"",'_RUNS'!E21)</x:f>
      </x:c>
      <x:c r="F54" s="523" t="str">
        <x:f>IF(ISBLANK('_RUNS'!F21),"",'_RUNS'!F21)</x:f>
      </x:c>
      <x:c r="G54" s="575" t="str">
        <x:f>IF(ISBLANK('_RUNS'!G21),"",'_RUNS'!G21)</x:f>
      </x:c>
      <x:c r="H54" s="530" t="str">
        <x:f>IF(ISBLANK('_RUNS'!H21),"",'_RUNS'!H21)</x:f>
      </x:c>
      <x:c r="I54" s="523" t="str">
        <x:f>IF(ISBLANK('_RUNS'!I21),"",'_RUNS'!I21)</x:f>
      </x:c>
      <x:c r="J54" s="523" t="str">
        <x:f>IF(ISBLANK('_RUNS'!J21),"",'_RUNS'!J21)</x:f>
      </x:c>
      <x:c r="K54" s="523" t="str">
        <x:f>IF(ISBLANK('_RUNS'!K21),"",'_RUNS'!K21)</x:f>
      </x:c>
      <x:c r="L54" s="38"/>
      <x:c r="M54" s="38"/>
      <x:c r="N54" s="38"/>
      <x:c r="O54" s="38"/>
      <x:c r="P54" s="38"/>
      <x:c r="Q54" s="38"/>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x:c r="A55" s="523" t="str">
        <x:f>IF(ISBLANK('_RUNS'!A22),"",'_RUNS'!A22)</x:f>
      </x:c>
      <x:c r="B55" s="523" t="str">
        <x:f>IF(ISBLANK('_RUNS'!B22),"",'_RUNS'!B22)</x:f>
      </x:c>
      <x:c r="C55" s="530" t="str">
        <x:f>IF(ISBLANK('_RUNS'!C22),"",'_RUNS'!C22)</x:f>
      </x:c>
      <x:c r="D55" s="573" t="str">
        <x:f>IF('_RUNS'!D22="","",'_RUNS'!D22/100)</x:f>
      </x:c>
      <x:c r="E55" s="523" t="str">
        <x:f>IF(ISBLANK('_RUNS'!E22),"",'_RUNS'!E22)</x:f>
      </x:c>
      <x:c r="F55" s="523" t="str">
        <x:f>IF(ISBLANK('_RUNS'!F22),"",'_RUNS'!F22)</x:f>
      </x:c>
      <x:c r="G55" s="575" t="str">
        <x:f>IF(ISBLANK('_RUNS'!G22),"",'_RUNS'!G22)</x:f>
      </x:c>
      <x:c r="H55" s="530" t="str">
        <x:f>IF(ISBLANK('_RUNS'!H22),"",'_RUNS'!H22)</x:f>
      </x:c>
      <x:c r="I55" s="523" t="str">
        <x:f>IF(ISBLANK('_RUNS'!I22),"",'_RUNS'!I22)</x:f>
      </x:c>
      <x:c r="J55" s="523" t="str">
        <x:f>IF(ISBLANK('_RUNS'!J22),"",'_RUNS'!J22)</x:f>
      </x:c>
      <x:c r="K55" s="523" t="str">
        <x:f>IF(ISBLANK('_RUNS'!K22),"",'_RUNS'!K22)</x:f>
      </x:c>
      <x:c r="L55" s="38"/>
      <x:c r="M55" s="38"/>
      <x:c r="N55" s="38"/>
      <x:c r="O55" s="38"/>
      <x:c r="P55" s="38"/>
      <x:c r="Q55" s="38"/>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523" t="str">
        <x:f>IF(ISBLANK('_RUNS'!A23),"",'_RUNS'!A23)</x:f>
      </x:c>
      <x:c r="B56" s="523" t="str">
        <x:f>IF(ISBLANK('_RUNS'!B23),"",'_RUNS'!B23)</x:f>
      </x:c>
      <x:c r="C56" s="530" t="str">
        <x:f>IF(ISBLANK('_RUNS'!C23),"",'_RUNS'!C23)</x:f>
      </x:c>
      <x:c r="D56" s="573" t="str">
        <x:f>IF('_RUNS'!D23="","",'_RUNS'!D23/100)</x:f>
      </x:c>
      <x:c r="E56" s="523" t="str">
        <x:f>IF(ISBLANK('_RUNS'!E23),"",'_RUNS'!E23)</x:f>
      </x:c>
      <x:c r="F56" s="523" t="str">
        <x:f>IF(ISBLANK('_RUNS'!F23),"",'_RUNS'!F23)</x:f>
      </x:c>
      <x:c r="G56" s="575" t="str">
        <x:f>IF(ISBLANK('_RUNS'!G23),"",'_RUNS'!G23)</x:f>
      </x:c>
      <x:c r="H56" s="530" t="str">
        <x:f>IF(ISBLANK('_RUNS'!H23),"",'_RUNS'!H23)</x:f>
      </x:c>
      <x:c r="I56" s="523" t="str">
        <x:f>IF(ISBLANK('_RUNS'!I23),"",'_RUNS'!I23)</x:f>
      </x:c>
      <x:c r="J56" s="523" t="str">
        <x:f>IF(ISBLANK('_RUNS'!J23),"",'_RUNS'!J23)</x:f>
      </x:c>
      <x:c r="K56" s="523" t="str">
        <x:f>IF(ISBLANK('_RUNS'!K23),"",'_RUNS'!K23)</x:f>
      </x:c>
      <x:c r="L56" s="875"/>
      <x:c r="M56" s="875"/>
      <x:c r="N56" s="875"/>
      <x:c r="O56" s="875"/>
      <x:c r="P56" s="875"/>
      <x:c r="Q56" s="875"/>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523" t="str">
        <x:f>IF(ISBLANK('_RUNS'!A24),"",'_RUNS'!A24)</x:f>
      </x:c>
      <x:c r="B57" s="523" t="str">
        <x:f>IF(ISBLANK('_RUNS'!B24),"",'_RUNS'!B24)</x:f>
      </x:c>
      <x:c r="C57" s="530" t="str">
        <x:f>IF(ISBLANK('_RUNS'!C24),"",'_RUNS'!C24)</x:f>
      </x:c>
      <x:c r="D57" s="573" t="str">
        <x:f>IF('_RUNS'!D24="","",'_RUNS'!D24/100)</x:f>
      </x:c>
      <x:c r="E57" s="523" t="str">
        <x:f>IF(ISBLANK('_RUNS'!E24),"",'_RUNS'!E24)</x:f>
      </x:c>
      <x:c r="F57" s="523" t="str">
        <x:f>IF(ISBLANK('_RUNS'!F24),"",'_RUNS'!F24)</x:f>
      </x:c>
      <x:c r="G57" s="575" t="str">
        <x:f>IF(ISBLANK('_RUNS'!G24),"",'_RUNS'!G24)</x:f>
      </x:c>
      <x:c r="H57" s="530" t="str">
        <x:f>IF(ISBLANK('_RUNS'!H24),"",'_RUNS'!H24)</x:f>
      </x:c>
      <x:c r="I57" s="523" t="str">
        <x:f>IF(ISBLANK('_RUNS'!I24),"",'_RUNS'!I24)</x:f>
      </x:c>
      <x:c r="J57" s="523" t="str">
        <x:f>IF(ISBLANK('_RUNS'!J24),"",'_RUNS'!J24)</x:f>
      </x:c>
      <x:c r="K57" s="523" t="str">
        <x:f>IF(ISBLANK('_RUNS'!K24),"",'_RUNS'!K24)</x:f>
      </x:c>
      <x:c r="L57" s="875"/>
      <x:c r="M57" s="875"/>
      <x:c r="N57" s="875"/>
      <x:c r="O57" s="875"/>
      <x:c r="P57" s="875"/>
      <x:c r="Q57" s="875"/>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523" t="str">
        <x:f>IF(ISBLANK('_RUNS'!A25),"",'_RUNS'!A25)</x:f>
      </x:c>
      <x:c r="B58" s="523" t="str">
        <x:f>IF(ISBLANK('_RUNS'!B25),"",'_RUNS'!B25)</x:f>
      </x:c>
      <x:c r="C58" s="530" t="str">
        <x:f>IF(ISBLANK('_RUNS'!C25),"",'_RUNS'!C25)</x:f>
      </x:c>
      <x:c r="D58" s="573" t="str">
        <x:f>IF('_RUNS'!D25="","",'_RUNS'!D25/100)</x:f>
      </x:c>
      <x:c r="E58" s="523" t="str">
        <x:f>IF(ISBLANK('_RUNS'!E25),"",'_RUNS'!E25)</x:f>
      </x:c>
      <x:c r="F58" s="523" t="str">
        <x:f>IF(ISBLANK('_RUNS'!F25),"",'_RUNS'!F25)</x:f>
      </x:c>
      <x:c r="G58" s="575" t="str">
        <x:f>IF(ISBLANK('_RUNS'!G25),"",'_RUNS'!G25)</x:f>
      </x:c>
      <x:c r="H58" s="530" t="str">
        <x:f>IF(ISBLANK('_RUNS'!H25),"",'_RUNS'!H25)</x:f>
      </x:c>
      <x:c r="I58" s="523" t="str">
        <x:f>IF(ISBLANK('_RUNS'!I25),"",'_RUNS'!I25)</x:f>
      </x:c>
      <x:c r="J58" s="523" t="str">
        <x:f>IF(ISBLANK('_RUNS'!J25),"",'_RUNS'!J25)</x:f>
      </x:c>
      <x:c r="K58" s="523" t="str">
        <x:f>IF(ISBLANK('_RUNS'!K25),"",'_RUNS'!K25)</x:f>
      </x:c>
      <x:c r="L58" s="875"/>
      <x:c r="M58" s="875"/>
      <x:c r="N58" s="875"/>
      <x:c r="O58" s="875"/>
      <x:c r="P58" s="875"/>
      <x:c r="Q58" s="875"/>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523" t="str">
        <x:f>IF(ISBLANK('_RUNS'!A26),"",'_RUNS'!A26)</x:f>
      </x:c>
      <x:c r="B59" s="523" t="str">
        <x:f>IF(ISBLANK('_RUNS'!B26),"",'_RUNS'!B26)</x:f>
      </x:c>
      <x:c r="C59" s="530" t="str">
        <x:f>IF(ISBLANK('_RUNS'!C26),"",'_RUNS'!C26)</x:f>
      </x:c>
      <x:c r="D59" s="573" t="str">
        <x:f>IF('_RUNS'!D26="","",'_RUNS'!D26/100)</x:f>
      </x:c>
      <x:c r="E59" s="523" t="str">
        <x:f>IF(ISBLANK('_RUNS'!E26),"",'_RUNS'!E26)</x:f>
      </x:c>
      <x:c r="F59" s="523" t="str">
        <x:f>IF(ISBLANK('_RUNS'!F26),"",'_RUNS'!F26)</x:f>
      </x:c>
      <x:c r="G59" s="575" t="str">
        <x:f>IF(ISBLANK('_RUNS'!G26),"",'_RUNS'!G26)</x:f>
      </x:c>
      <x:c r="H59" s="530" t="str">
        <x:f>IF(ISBLANK('_RUNS'!H26),"",'_RUNS'!H26)</x:f>
      </x:c>
      <x:c r="I59" s="523" t="str">
        <x:f>IF(ISBLANK('_RUNS'!I26),"",'_RUNS'!I26)</x:f>
      </x:c>
      <x:c r="J59" s="523" t="str">
        <x:f>IF(ISBLANK('_RUNS'!J26),"",'_RUNS'!J26)</x:f>
      </x:c>
      <x:c r="K59" s="523" t="str">
        <x:f>IF(ISBLANK('_RUNS'!K26),"",'_RUNS'!K26)</x:f>
      </x:c>
      <x:c r="L59" s="875"/>
      <x:c r="M59" s="875"/>
      <x:c r="N59" s="875"/>
      <x:c r="O59" s="875"/>
      <x:c r="P59" s="875"/>
      <x:c r="Q59" s="875"/>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523" t="str">
        <x:f>IF(ISBLANK('_RUNS'!A27),"",'_RUNS'!A27)</x:f>
      </x:c>
      <x:c r="B60" s="523" t="str">
        <x:f>IF(ISBLANK('_RUNS'!B27),"",'_RUNS'!B27)</x:f>
      </x:c>
      <x:c r="C60" s="530" t="str">
        <x:f>IF(ISBLANK('_RUNS'!C27),"",'_RUNS'!C27)</x:f>
      </x:c>
      <x:c r="D60" s="573" t="str">
        <x:f>IF('_RUNS'!D27="","",'_RUNS'!D27/100)</x:f>
      </x:c>
      <x:c r="E60" s="523" t="str">
        <x:f>IF(ISBLANK('_RUNS'!E27),"",'_RUNS'!E27)</x:f>
      </x:c>
      <x:c r="F60" s="523" t="str">
        <x:f>IF(ISBLANK('_RUNS'!F27),"",'_RUNS'!F27)</x:f>
      </x:c>
      <x:c r="G60" s="575" t="str">
        <x:f>IF(ISBLANK('_RUNS'!G27),"",'_RUNS'!G27)</x:f>
      </x:c>
      <x:c r="H60" s="530" t="str">
        <x:f>IF(ISBLANK('_RUNS'!H27),"",'_RUNS'!H27)</x:f>
      </x:c>
      <x:c r="I60" s="523" t="str">
        <x:f>IF(ISBLANK('_RUNS'!I27),"",'_RUNS'!I27)</x:f>
      </x:c>
      <x:c r="J60" s="523" t="str">
        <x:f>IF(ISBLANK('_RUNS'!J27),"",'_RUNS'!J27)</x:f>
      </x:c>
      <x:c r="K60" s="523" t="str">
        <x:f>IF(ISBLANK('_RUNS'!K27),"",'_RUNS'!K27)</x:f>
      </x:c>
      <x:c r="L60" s="875"/>
      <x:c r="M60" s="875"/>
      <x:c r="N60" s="875"/>
      <x:c r="O60" s="875"/>
      <x:c r="P60" s="875"/>
      <x:c r="Q60" s="875"/>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523" t="str">
        <x:f>IF(ISBLANK('_RUNS'!A28),"",'_RUNS'!A28)</x:f>
      </x:c>
      <x:c r="B61" s="523" t="str">
        <x:f>IF(ISBLANK('_RUNS'!B28),"",'_RUNS'!B28)</x:f>
      </x:c>
      <x:c r="C61" s="530" t="str">
        <x:f>IF(ISBLANK('_RUNS'!C28),"",'_RUNS'!C28)</x:f>
      </x:c>
      <x:c r="D61" s="573" t="str">
        <x:f>IF('_RUNS'!D28="","",'_RUNS'!D28/100)</x:f>
      </x:c>
      <x:c r="E61" s="523" t="str">
        <x:f>IF(ISBLANK('_RUNS'!E28),"",'_RUNS'!E28)</x:f>
      </x:c>
      <x:c r="F61" s="523" t="str">
        <x:f>IF(ISBLANK('_RUNS'!F28),"",'_RUNS'!F28)</x:f>
      </x:c>
      <x:c r="G61" s="575" t="str">
        <x:f>IF(ISBLANK('_RUNS'!G28),"",'_RUNS'!G28)</x:f>
      </x:c>
      <x:c r="H61" s="530" t="str">
        <x:f>IF(ISBLANK('_RUNS'!H28),"",'_RUNS'!H28)</x:f>
      </x:c>
      <x:c r="I61" s="523" t="str">
        <x:f>IF(ISBLANK('_RUNS'!I28),"",'_RUNS'!I28)</x:f>
      </x:c>
      <x:c r="J61" s="523" t="str">
        <x:f>IF(ISBLANK('_RUNS'!J28),"",'_RUNS'!J28)</x:f>
      </x:c>
      <x:c r="K61" s="523" t="str">
        <x:f>IF(ISBLANK('_RUNS'!K28),"",'_RUNS'!K28)</x:f>
      </x:c>
      <x:c r="L61" s="875"/>
      <x:c r="M61" s="875"/>
      <x:c r="N61" s="875"/>
      <x:c r="O61" s="875"/>
      <x:c r="P61" s="875"/>
      <x:c r="Q61" s="875"/>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523" t="str">
        <x:f>IF(ISBLANK('_RUNS'!A29),"",'_RUNS'!A29)</x:f>
      </x:c>
      <x:c r="B62" s="523" t="str">
        <x:f>IF(ISBLANK('_RUNS'!B29),"",'_RUNS'!B29)</x:f>
      </x:c>
      <x:c r="C62" s="530" t="str">
        <x:f>IF(ISBLANK('_RUNS'!C29),"",'_RUNS'!C29)</x:f>
      </x:c>
      <x:c r="D62" s="573" t="str">
        <x:f>IF('_RUNS'!D29="","",'_RUNS'!D29/100)</x:f>
      </x:c>
      <x:c r="E62" s="523" t="str">
        <x:f>IF(ISBLANK('_RUNS'!E29),"",'_RUNS'!E29)</x:f>
      </x:c>
      <x:c r="F62" s="523" t="str">
        <x:f>IF(ISBLANK('_RUNS'!F29),"",'_RUNS'!F29)</x:f>
      </x:c>
      <x:c r="G62" s="575" t="str">
        <x:f>IF(ISBLANK('_RUNS'!G29),"",'_RUNS'!G29)</x:f>
      </x:c>
      <x:c r="H62" s="530" t="str">
        <x:f>IF(ISBLANK('_RUNS'!H29),"",'_RUNS'!H29)</x:f>
      </x:c>
      <x:c r="I62" s="523" t="str">
        <x:f>IF(ISBLANK('_RUNS'!I29),"",'_RUNS'!I29)</x:f>
      </x:c>
      <x:c r="J62" s="523" t="str">
        <x:f>IF(ISBLANK('_RUNS'!J29),"",'_RUNS'!J29)</x:f>
      </x:c>
      <x:c r="K62" s="523" t="str">
        <x:f>IF(ISBLANK('_RUNS'!K29),"",'_RUNS'!K29)</x:f>
      </x:c>
      <x:c r="L62" s="875"/>
      <x:c r="M62" s="875"/>
      <x:c r="N62" s="875"/>
      <x:c r="O62" s="875"/>
      <x:c r="P62" s="875"/>
      <x:c r="Q62" s="875"/>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523" t="str">
        <x:f>IF(ISBLANK('_RUNS'!A30),"",'_RUNS'!A30)</x:f>
      </x:c>
      <x:c r="B63" s="523" t="str">
        <x:f>IF(ISBLANK('_RUNS'!B30),"",'_RUNS'!B30)</x:f>
      </x:c>
      <x:c r="C63" s="530" t="str">
        <x:f>IF(ISBLANK('_RUNS'!C30),"",'_RUNS'!C30)</x:f>
      </x:c>
      <x:c r="D63" s="573" t="str">
        <x:f>IF('_RUNS'!D30="","",'_RUNS'!D30/100)</x:f>
      </x:c>
      <x:c r="E63" s="523" t="str">
        <x:f>IF(ISBLANK('_RUNS'!E30),"",'_RUNS'!E30)</x:f>
      </x:c>
      <x:c r="F63" s="523" t="str">
        <x:f>IF(ISBLANK('_RUNS'!F30),"",'_RUNS'!F30)</x:f>
      </x:c>
      <x:c r="G63" s="575" t="str">
        <x:f>IF(ISBLANK('_RUNS'!G30),"",'_RUNS'!G30)</x:f>
      </x:c>
      <x:c r="H63" s="530" t="str">
        <x:f>IF(ISBLANK('_RUNS'!H30),"",'_RUNS'!H30)</x:f>
      </x:c>
      <x:c r="I63" s="523" t="str">
        <x:f>IF(ISBLANK('_RUNS'!I30),"",'_RUNS'!I30)</x:f>
      </x:c>
      <x:c r="J63" s="523" t="str">
        <x:f>IF(ISBLANK('_RUNS'!J30),"",'_RUNS'!J30)</x:f>
      </x:c>
      <x:c r="K63" s="523" t="str">
        <x:f>IF(ISBLANK('_RUNS'!K30),"",'_RUNS'!K30)</x:f>
      </x:c>
      <x:c r="L63" s="875"/>
      <x:c r="M63" s="875"/>
      <x:c r="N63" s="875"/>
      <x:c r="O63" s="875"/>
      <x:c r="P63" s="875"/>
      <x:c r="Q63" s="875"/>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523" t="str">
        <x:f>IF(ISBLANK('_RUNS'!A31),"",'_RUNS'!A31)</x:f>
      </x:c>
      <x:c r="B64" s="523" t="str">
        <x:f>IF(ISBLANK('_RUNS'!B31),"",'_RUNS'!B31)</x:f>
      </x:c>
      <x:c r="C64" s="530" t="str">
        <x:f>IF(ISBLANK('_RUNS'!C31),"",'_RUNS'!C31)</x:f>
      </x:c>
      <x:c r="D64" s="573" t="str">
        <x:f>IF('_RUNS'!D31="","",'_RUNS'!D31/100)</x:f>
      </x:c>
      <x:c r="E64" s="523" t="str">
        <x:f>IF(ISBLANK('_RUNS'!E31),"",'_RUNS'!E31)</x:f>
      </x:c>
      <x:c r="F64" s="523" t="str">
        <x:f>IF(ISBLANK('_RUNS'!F31),"",'_RUNS'!F31)</x:f>
      </x:c>
      <x:c r="G64" s="575" t="str">
        <x:f>IF(ISBLANK('_RUNS'!G31),"",'_RUNS'!G31)</x:f>
      </x:c>
      <x:c r="H64" s="530" t="str">
        <x:f>IF(ISBLANK('_RUNS'!H31),"",'_RUNS'!H31)</x:f>
      </x:c>
      <x:c r="I64" s="523" t="str">
        <x:f>IF(ISBLANK('_RUNS'!I31),"",'_RUNS'!I31)</x:f>
      </x:c>
      <x:c r="J64" s="523" t="str">
        <x:f>IF(ISBLANK('_RUNS'!J31),"",'_RUNS'!J31)</x:f>
      </x:c>
      <x:c r="K64" s="523" t="str">
        <x:f>IF(ISBLANK('_RUNS'!K31),"",'_RUNS'!K31)</x:f>
      </x:c>
      <x:c r="L64" s="875"/>
      <x:c r="M64" s="875"/>
      <x:c r="N64" s="875"/>
      <x:c r="O64" s="875"/>
      <x:c r="P64" s="875"/>
      <x:c r="Q64" s="875"/>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523" t="str">
        <x:f>IF(ISBLANK('_RUNS'!A32),"",'_RUNS'!A32)</x:f>
      </x:c>
      <x:c r="B65" s="523" t="str">
        <x:f>IF(ISBLANK('_RUNS'!B32),"",'_RUNS'!B32)</x:f>
      </x:c>
      <x:c r="C65" s="530" t="str">
        <x:f>IF(ISBLANK('_RUNS'!C32),"",'_RUNS'!C32)</x:f>
      </x:c>
      <x:c r="D65" s="573" t="str">
        <x:f>IF('_RUNS'!D32="","",'_RUNS'!D32/100)</x:f>
      </x:c>
      <x:c r="E65" s="523" t="str">
        <x:f>IF(ISBLANK('_RUNS'!E32),"",'_RUNS'!E32)</x:f>
      </x:c>
      <x:c r="F65" s="523" t="str">
        <x:f>IF(ISBLANK('_RUNS'!F32),"",'_RUNS'!F32)</x:f>
      </x:c>
      <x:c r="G65" s="575" t="str">
        <x:f>IF(ISBLANK('_RUNS'!G32),"",'_RUNS'!G32)</x:f>
      </x:c>
      <x:c r="H65" s="530" t="str">
        <x:f>IF(ISBLANK('_RUNS'!H32),"",'_RUNS'!H32)</x:f>
      </x:c>
      <x:c r="I65" s="523" t="str">
        <x:f>IF(ISBLANK('_RUNS'!I32),"",'_RUNS'!I32)</x:f>
      </x:c>
      <x:c r="J65" s="523" t="str">
        <x:f>IF(ISBLANK('_RUNS'!J32),"",'_RUNS'!J32)</x:f>
      </x:c>
      <x:c r="K65" s="523" t="str">
        <x:f>IF(ISBLANK('_RUNS'!K32),"",'_RUNS'!K32)</x:f>
      </x:c>
      <x:c r="L65" s="875"/>
      <x:c r="M65" s="875"/>
      <x:c r="N65" s="875"/>
      <x:c r="O65" s="875"/>
      <x:c r="P65" s="875"/>
      <x:c r="Q65" s="875"/>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523" t="str">
        <x:f>IF(ISBLANK('_RUNS'!A33),"",'_RUNS'!A33)</x:f>
      </x:c>
      <x:c r="B66" s="523" t="str">
        <x:f>IF(ISBLANK('_RUNS'!B33),"",'_RUNS'!B33)</x:f>
      </x:c>
      <x:c r="C66" s="530" t="str">
        <x:f>IF(ISBLANK('_RUNS'!C33),"",'_RUNS'!C33)</x:f>
      </x:c>
      <x:c r="D66" s="573" t="str">
        <x:f>IF('_RUNS'!D33="","",'_RUNS'!D33/100)</x:f>
      </x:c>
      <x:c r="E66" s="523" t="str">
        <x:f>IF(ISBLANK('_RUNS'!E33),"",'_RUNS'!E33)</x:f>
      </x:c>
      <x:c r="F66" s="523" t="str">
        <x:f>IF(ISBLANK('_RUNS'!F33),"",'_RUNS'!F33)</x:f>
      </x:c>
      <x:c r="G66" s="575" t="str">
        <x:f>IF(ISBLANK('_RUNS'!G33),"",'_RUNS'!G33)</x:f>
      </x:c>
      <x:c r="H66" s="530" t="str">
        <x:f>IF(ISBLANK('_RUNS'!H33),"",'_RUNS'!H33)</x:f>
      </x:c>
      <x:c r="I66" s="523" t="str">
        <x:f>IF(ISBLANK('_RUNS'!I33),"",'_RUNS'!I33)</x:f>
      </x:c>
      <x:c r="J66" s="523" t="str">
        <x:f>IF(ISBLANK('_RUNS'!J33),"",'_RUNS'!J33)</x:f>
      </x:c>
      <x:c r="K66" s="523" t="str">
        <x:f>IF(ISBLANK('_RUNS'!K33),"",'_RUNS'!K33)</x:f>
      </x:c>
      <x:c r="L66" s="875"/>
      <x:c r="M66" s="875"/>
      <x:c r="N66" s="875"/>
      <x:c r="O66" s="875"/>
      <x:c r="P66" s="875"/>
      <x:c r="Q66" s="875"/>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523" t="str">
        <x:f>IF(ISBLANK('_RUNS'!A34),"",'_RUNS'!A34)</x:f>
      </x:c>
      <x:c r="B67" s="523" t="str">
        <x:f>IF(ISBLANK('_RUNS'!B34),"",'_RUNS'!B34)</x:f>
      </x:c>
      <x:c r="C67" s="530" t="str">
        <x:f>IF(ISBLANK('_RUNS'!C34),"",'_RUNS'!C34)</x:f>
      </x:c>
      <x:c r="D67" s="573" t="str">
        <x:f>IF('_RUNS'!D34="","",'_RUNS'!D34/100)</x:f>
      </x:c>
      <x:c r="E67" s="523" t="str">
        <x:f>IF(ISBLANK('_RUNS'!E34),"",'_RUNS'!E34)</x:f>
      </x:c>
      <x:c r="F67" s="523" t="str">
        <x:f>IF(ISBLANK('_RUNS'!F34),"",'_RUNS'!F34)</x:f>
      </x:c>
      <x:c r="G67" s="575" t="str">
        <x:f>IF(ISBLANK('_RUNS'!G34),"",'_RUNS'!G34)</x:f>
      </x:c>
      <x:c r="H67" s="530" t="str">
        <x:f>IF(ISBLANK('_RUNS'!H34),"",'_RUNS'!H34)</x:f>
      </x:c>
      <x:c r="I67" s="523" t="str">
        <x:f>IF(ISBLANK('_RUNS'!I34),"",'_RUNS'!I34)</x:f>
      </x:c>
      <x:c r="J67" s="523" t="str">
        <x:f>IF(ISBLANK('_RUNS'!J34),"",'_RUNS'!J34)</x:f>
      </x:c>
      <x:c r="K67" s="523" t="str">
        <x:f>IF(ISBLANK('_RUNS'!K34),"",'_RUNS'!K34)</x:f>
      </x:c>
      <x:c r="L67" s="875"/>
      <x:c r="M67" s="875"/>
      <x:c r="N67" s="875"/>
      <x:c r="O67" s="875"/>
      <x:c r="P67" s="875"/>
      <x:c r="Q67" s="875"/>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523" t="str">
        <x:f>IF(ISBLANK('_RUNS'!A35),"",'_RUNS'!A35)</x:f>
      </x:c>
      <x:c r="B68" s="523" t="str">
        <x:f>IF(ISBLANK('_RUNS'!B35),"",'_RUNS'!B35)</x:f>
      </x:c>
      <x:c r="C68" s="530" t="str">
        <x:f>IF(ISBLANK('_RUNS'!C35),"",'_RUNS'!C35)</x:f>
      </x:c>
      <x:c r="D68" s="573" t="str">
        <x:f>IF('_RUNS'!D35="","",'_RUNS'!D35/100)</x:f>
      </x:c>
      <x:c r="E68" s="523" t="str">
        <x:f>IF(ISBLANK('_RUNS'!E35),"",'_RUNS'!E35)</x:f>
      </x:c>
      <x:c r="F68" s="523" t="str">
        <x:f>IF(ISBLANK('_RUNS'!F35),"",'_RUNS'!F35)</x:f>
      </x:c>
      <x:c r="G68" s="575" t="str">
        <x:f>IF(ISBLANK('_RUNS'!G35),"",'_RUNS'!G35)</x:f>
      </x:c>
      <x:c r="H68" s="530" t="str">
        <x:f>IF(ISBLANK('_RUNS'!H35),"",'_RUNS'!H35)</x:f>
      </x:c>
      <x:c r="I68" s="523" t="str">
        <x:f>IF(ISBLANK('_RUNS'!I35),"",'_RUNS'!I35)</x:f>
      </x:c>
      <x:c r="J68" s="523" t="str">
        <x:f>IF(ISBLANK('_RUNS'!J35),"",'_RUNS'!J35)</x:f>
      </x:c>
      <x:c r="K68" s="523" t="str">
        <x:f>IF(ISBLANK('_RUNS'!K35),"",'_RUNS'!K35)</x:f>
      </x:c>
      <x:c r="L68" s="875"/>
      <x:c r="M68" s="875"/>
      <x:c r="N68" s="875"/>
      <x:c r="O68" s="875"/>
      <x:c r="P68" s="875"/>
      <x:c r="Q68" s="875"/>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523" t="str">
        <x:f>IF(ISBLANK('_RUNS'!A36),"",'_RUNS'!A36)</x:f>
      </x:c>
      <x:c r="B69" s="523" t="str">
        <x:f>IF(ISBLANK('_RUNS'!B36),"",'_RUNS'!B36)</x:f>
      </x:c>
      <x:c r="C69" s="530" t="str">
        <x:f>IF(ISBLANK('_RUNS'!C36),"",'_RUNS'!C36)</x:f>
      </x:c>
      <x:c r="D69" s="573" t="str">
        <x:f>IF('_RUNS'!D36="","",'_RUNS'!D36/100)</x:f>
      </x:c>
      <x:c r="E69" s="523" t="str">
        <x:f>IF(ISBLANK('_RUNS'!E36),"",'_RUNS'!E36)</x:f>
      </x:c>
      <x:c r="F69" s="523" t="str">
        <x:f>IF(ISBLANK('_RUNS'!F36),"",'_RUNS'!F36)</x:f>
      </x:c>
      <x:c r="G69" s="575" t="str">
        <x:f>IF(ISBLANK('_RUNS'!G36),"",'_RUNS'!G36)</x:f>
      </x:c>
      <x:c r="H69" s="530" t="str">
        <x:f>IF(ISBLANK('_RUNS'!H36),"",'_RUNS'!H36)</x:f>
      </x:c>
      <x:c r="I69" s="523" t="str">
        <x:f>IF(ISBLANK('_RUNS'!I36),"",'_RUNS'!I36)</x:f>
      </x:c>
      <x:c r="J69" s="523" t="str">
        <x:f>IF(ISBLANK('_RUNS'!J36),"",'_RUNS'!J36)</x:f>
      </x:c>
      <x:c r="K69" s="523" t="str">
        <x:f>IF(ISBLANK('_RUNS'!K36),"",'_RUNS'!K36)</x:f>
      </x:c>
      <x:c r="L69" s="875"/>
      <x:c r="M69" s="875"/>
      <x:c r="N69" s="875"/>
      <x:c r="O69" s="875"/>
      <x:c r="P69" s="875"/>
      <x:c r="Q69" s="875"/>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523" t="str">
        <x:f>IF(ISBLANK('_RUNS'!A37),"",'_RUNS'!A37)</x:f>
      </x:c>
      <x:c r="B70" s="523" t="str">
        <x:f>IF(ISBLANK('_RUNS'!B37),"",'_RUNS'!B37)</x:f>
      </x:c>
      <x:c r="C70" s="530" t="str">
        <x:f>IF(ISBLANK('_RUNS'!C37),"",'_RUNS'!C37)</x:f>
      </x:c>
      <x:c r="D70" s="573" t="str">
        <x:f>IF('_RUNS'!D37="","",'_RUNS'!D37/100)</x:f>
      </x:c>
      <x:c r="E70" s="523" t="str">
        <x:f>IF(ISBLANK('_RUNS'!E37),"",'_RUNS'!E37)</x:f>
      </x:c>
      <x:c r="F70" s="523" t="str">
        <x:f>IF(ISBLANK('_RUNS'!F37),"",'_RUNS'!F37)</x:f>
      </x:c>
      <x:c r="G70" s="575" t="str">
        <x:f>IF(ISBLANK('_RUNS'!G37),"",'_RUNS'!G37)</x:f>
      </x:c>
      <x:c r="H70" s="530" t="str">
        <x:f>IF(ISBLANK('_RUNS'!H37),"",'_RUNS'!H37)</x:f>
      </x:c>
      <x:c r="I70" s="523" t="str">
        <x:f>IF(ISBLANK('_RUNS'!I37),"",'_RUNS'!I37)</x:f>
      </x:c>
      <x:c r="J70" s="523" t="str">
        <x:f>IF(ISBLANK('_RUNS'!J37),"",'_RUNS'!J37)</x:f>
      </x:c>
      <x:c r="K70" s="523" t="str">
        <x:f>IF(ISBLANK('_RUNS'!K37),"",'_RUNS'!K37)</x:f>
      </x:c>
      <x:c r="L70" s="875"/>
      <x:c r="M70" s="875"/>
      <x:c r="N70" s="875"/>
      <x:c r="O70" s="875"/>
      <x:c r="P70" s="875"/>
      <x:c r="Q70" s="875"/>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523" t="str">
        <x:f>IF(ISBLANK('_RUNS'!A38),"",'_RUNS'!A38)</x:f>
      </x:c>
      <x:c r="B71" s="523" t="str">
        <x:f>IF(ISBLANK('_RUNS'!B38),"",'_RUNS'!B38)</x:f>
      </x:c>
      <x:c r="C71" s="530" t="str">
        <x:f>IF(ISBLANK('_RUNS'!C38),"",'_RUNS'!C38)</x:f>
      </x:c>
      <x:c r="D71" s="573" t="str">
        <x:f>IF('_RUNS'!D38="","",'_RUNS'!D38/100)</x:f>
      </x:c>
      <x:c r="E71" s="523" t="str">
        <x:f>IF(ISBLANK('_RUNS'!E38),"",'_RUNS'!E38)</x:f>
      </x:c>
      <x:c r="F71" s="523" t="str">
        <x:f>IF(ISBLANK('_RUNS'!F38),"",'_RUNS'!F38)</x:f>
      </x:c>
      <x:c r="G71" s="575" t="str">
        <x:f>IF(ISBLANK('_RUNS'!G38),"",'_RUNS'!G38)</x:f>
      </x:c>
      <x:c r="H71" s="530" t="str">
        <x:f>IF(ISBLANK('_RUNS'!H38),"",'_RUNS'!H38)</x:f>
      </x:c>
      <x:c r="I71" s="523" t="str">
        <x:f>IF(ISBLANK('_RUNS'!I38),"",'_RUNS'!I38)</x:f>
      </x:c>
      <x:c r="J71" s="523" t="str">
        <x:f>IF(ISBLANK('_RUNS'!J38),"",'_RUNS'!J38)</x:f>
      </x:c>
      <x:c r="K71" s="523" t="str">
        <x:f>IF(ISBLANK('_RUNS'!K38),"",'_RUNS'!K38)</x:f>
      </x:c>
      <x:c r="L71" s="875"/>
      <x:c r="M71" s="875"/>
      <x:c r="N71" s="875"/>
      <x:c r="O71" s="875"/>
      <x:c r="P71" s="875"/>
      <x:c r="Q71" s="875"/>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523" t="str">
        <x:f>IF(ISBLANK('_RUNS'!A39),"",'_RUNS'!A39)</x:f>
      </x:c>
      <x:c r="B72" s="523" t="str">
        <x:f>IF(ISBLANK('_RUNS'!B39),"",'_RUNS'!B39)</x:f>
      </x:c>
      <x:c r="C72" s="530" t="str">
        <x:f>IF(ISBLANK('_RUNS'!C39),"",'_RUNS'!C39)</x:f>
      </x:c>
      <x:c r="D72" s="573" t="str">
        <x:f>IF('_RUNS'!D39="","",'_RUNS'!D39/100)</x:f>
      </x:c>
      <x:c r="E72" s="523" t="str">
        <x:f>IF(ISBLANK('_RUNS'!E39),"",'_RUNS'!E39)</x:f>
      </x:c>
      <x:c r="F72" s="523" t="str">
        <x:f>IF(ISBLANK('_RUNS'!F39),"",'_RUNS'!F39)</x:f>
      </x:c>
      <x:c r="G72" s="575" t="str">
        <x:f>IF(ISBLANK('_RUNS'!G39),"",'_RUNS'!G39)</x:f>
      </x:c>
      <x:c r="H72" s="530" t="str">
        <x:f>IF(ISBLANK('_RUNS'!H39),"",'_RUNS'!H39)</x:f>
      </x:c>
      <x:c r="I72" s="523" t="str">
        <x:f>IF(ISBLANK('_RUNS'!I39),"",'_RUNS'!I39)</x:f>
      </x:c>
      <x:c r="J72" s="523" t="str">
        <x:f>IF(ISBLANK('_RUNS'!J39),"",'_RUNS'!J39)</x:f>
      </x:c>
      <x:c r="K72" s="523" t="str">
        <x:f>IF(ISBLANK('_RUNS'!K39),"",'_RUNS'!K39)</x:f>
      </x:c>
      <x:c r="L72" s="875"/>
      <x:c r="M72" s="875"/>
      <x:c r="N72" s="875"/>
      <x:c r="O72" s="875"/>
      <x:c r="P72" s="875"/>
      <x:c r="Q72" s="875"/>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523" t="str">
        <x:f>IF(ISBLANK('_RUNS'!A40),"",'_RUNS'!A40)</x:f>
      </x:c>
      <x:c r="B73" s="523" t="str">
        <x:f>IF(ISBLANK('_RUNS'!B40),"",'_RUNS'!B40)</x:f>
      </x:c>
      <x:c r="C73" s="530" t="str">
        <x:f>IF(ISBLANK('_RUNS'!C40),"",'_RUNS'!C40)</x:f>
      </x:c>
      <x:c r="D73" s="573" t="str">
        <x:f>IF('_RUNS'!D40="","",'_RUNS'!D40/100)</x:f>
      </x:c>
      <x:c r="E73" s="523" t="str">
        <x:f>IF(ISBLANK('_RUNS'!E40),"",'_RUNS'!E40)</x:f>
      </x:c>
      <x:c r="F73" s="523" t="str">
        <x:f>IF(ISBLANK('_RUNS'!F40),"",'_RUNS'!F40)</x:f>
      </x:c>
      <x:c r="G73" s="575" t="str">
        <x:f>IF(ISBLANK('_RUNS'!G40),"",'_RUNS'!G40)</x:f>
      </x:c>
      <x:c r="H73" s="530" t="str">
        <x:f>IF(ISBLANK('_RUNS'!H40),"",'_RUNS'!H40)</x:f>
      </x:c>
      <x:c r="I73" s="523" t="str">
        <x:f>IF(ISBLANK('_RUNS'!I40),"",'_RUNS'!I40)</x:f>
      </x:c>
      <x:c r="J73" s="523" t="str">
        <x:f>IF(ISBLANK('_RUNS'!J40),"",'_RUNS'!J40)</x:f>
      </x:c>
      <x:c r="K73" s="523" t="str">
        <x:f>IF(ISBLANK('_RUNS'!K40),"",'_RUNS'!K40)</x:f>
      </x:c>
      <x:c r="L73" s="875"/>
      <x:c r="M73" s="875"/>
      <x:c r="N73" s="875"/>
      <x:c r="O73" s="875"/>
      <x:c r="P73" s="875"/>
      <x:c r="Q73" s="875"/>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523" t="str">
        <x:f>IF(ISBLANK('_RUNS'!A41),"",'_RUNS'!A41)</x:f>
      </x:c>
      <x:c r="B74" s="523" t="str">
        <x:f>IF(ISBLANK('_RUNS'!B41),"",'_RUNS'!B41)</x:f>
      </x:c>
      <x:c r="C74" s="530" t="str">
        <x:f>IF(ISBLANK('_RUNS'!C41),"",'_RUNS'!C41)</x:f>
      </x:c>
      <x:c r="D74" s="573" t="str">
        <x:f>IF('_RUNS'!D41="","",'_RUNS'!D41/100)</x:f>
      </x:c>
      <x:c r="E74" s="523" t="str">
        <x:f>IF(ISBLANK('_RUNS'!E41),"",'_RUNS'!E41)</x:f>
      </x:c>
      <x:c r="F74" s="523" t="str">
        <x:f>IF(ISBLANK('_RUNS'!F41),"",'_RUNS'!F41)</x:f>
      </x:c>
      <x:c r="G74" s="575" t="str">
        <x:f>IF(ISBLANK('_RUNS'!G41),"",'_RUNS'!G41)</x:f>
      </x:c>
      <x:c r="H74" s="530" t="str">
        <x:f>IF(ISBLANK('_RUNS'!H41),"",'_RUNS'!H41)</x:f>
      </x:c>
      <x:c r="I74" s="523" t="str">
        <x:f>IF(ISBLANK('_RUNS'!I41),"",'_RUNS'!I41)</x:f>
      </x:c>
      <x:c r="J74" s="523" t="str">
        <x:f>IF(ISBLANK('_RUNS'!J41),"",'_RUNS'!J41)</x:f>
      </x:c>
      <x:c r="K74" s="523" t="str">
        <x:f>IF(ISBLANK('_RUNS'!K41),"",'_RUNS'!K41)</x:f>
      </x:c>
      <x:c r="L74" s="875"/>
      <x:c r="M74" s="875"/>
      <x:c r="N74" s="875"/>
      <x:c r="O74" s="875"/>
      <x:c r="P74" s="875"/>
      <x:c r="Q74" s="875"/>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523" t="str">
        <x:f>IF(ISBLANK('_RUNS'!A42),"",'_RUNS'!A42)</x:f>
      </x:c>
      <x:c r="B75" s="523" t="str">
        <x:f>IF(ISBLANK('_RUNS'!B42),"",'_RUNS'!B42)</x:f>
      </x:c>
      <x:c r="C75" s="530" t="str">
        <x:f>IF(ISBLANK('_RUNS'!C42),"",'_RUNS'!C42)</x:f>
      </x:c>
      <x:c r="D75" s="573" t="str">
        <x:f>IF('_RUNS'!D42="","",'_RUNS'!D42/100)</x:f>
      </x:c>
      <x:c r="E75" s="523" t="str">
        <x:f>IF(ISBLANK('_RUNS'!E42),"",'_RUNS'!E42)</x:f>
      </x:c>
      <x:c r="F75" s="523" t="str">
        <x:f>IF(ISBLANK('_RUNS'!F42),"",'_RUNS'!F42)</x:f>
      </x:c>
      <x:c r="G75" s="575" t="str">
        <x:f>IF(ISBLANK('_RUNS'!G42),"",'_RUNS'!G42)</x:f>
      </x:c>
      <x:c r="H75" s="530" t="str">
        <x:f>IF(ISBLANK('_RUNS'!H42),"",'_RUNS'!H42)</x:f>
      </x:c>
      <x:c r="I75" s="523" t="str">
        <x:f>IF(ISBLANK('_RUNS'!I42),"",'_RUNS'!I42)</x:f>
      </x:c>
      <x:c r="J75" s="523" t="str">
        <x:f>IF(ISBLANK('_RUNS'!J42),"",'_RUNS'!J42)</x:f>
      </x:c>
      <x:c r="K75" s="523" t="str">
        <x:f>IF(ISBLANK('_RUNS'!K42),"",'_RUNS'!K42)</x:f>
      </x:c>
      <x:c r="L75" s="875"/>
      <x:c r="M75" s="875"/>
      <x:c r="N75" s="875"/>
      <x:c r="O75" s="875"/>
      <x:c r="P75" s="875"/>
      <x:c r="Q75" s="875"/>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523" t="str">
        <x:f>IF(ISBLANK('_RUNS'!A43),"",'_RUNS'!A43)</x:f>
      </x:c>
      <x:c r="B76" s="523" t="str">
        <x:f>IF(ISBLANK('_RUNS'!B43),"",'_RUNS'!B43)</x:f>
      </x:c>
      <x:c r="C76" s="530" t="str">
        <x:f>IF(ISBLANK('_RUNS'!C43),"",'_RUNS'!C43)</x:f>
      </x:c>
      <x:c r="D76" s="573" t="str">
        <x:f>IF('_RUNS'!D43="","",'_RUNS'!D43/100)</x:f>
      </x:c>
      <x:c r="E76" s="523" t="str">
        <x:f>IF(ISBLANK('_RUNS'!E43),"",'_RUNS'!E43)</x:f>
      </x:c>
      <x:c r="F76" s="523" t="str">
        <x:f>IF(ISBLANK('_RUNS'!F43),"",'_RUNS'!F43)</x:f>
      </x:c>
      <x:c r="G76" s="575" t="str">
        <x:f>IF(ISBLANK('_RUNS'!G43),"",'_RUNS'!G43)</x:f>
      </x:c>
      <x:c r="H76" s="530" t="str">
        <x:f>IF(ISBLANK('_RUNS'!H43),"",'_RUNS'!H43)</x:f>
      </x:c>
      <x:c r="I76" s="523" t="str">
        <x:f>IF(ISBLANK('_RUNS'!I43),"",'_RUNS'!I43)</x:f>
      </x:c>
      <x:c r="J76" s="523" t="str">
        <x:f>IF(ISBLANK('_RUNS'!J43),"",'_RUNS'!J43)</x:f>
      </x:c>
      <x:c r="K76" s="523" t="str">
        <x:f>IF(ISBLANK('_RUNS'!K43),"",'_RUNS'!K43)</x:f>
      </x:c>
      <x:c r="L76" s="875"/>
      <x:c r="M76" s="875"/>
      <x:c r="N76" s="875"/>
      <x:c r="O76" s="875"/>
      <x:c r="P76" s="875"/>
      <x:c r="Q76" s="875"/>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523" t="str">
        <x:f>IF(ISBLANK('_RUNS'!A44),"",'_RUNS'!A44)</x:f>
      </x:c>
      <x:c r="B77" s="523" t="str">
        <x:f>IF(ISBLANK('_RUNS'!B44),"",'_RUNS'!B44)</x:f>
      </x:c>
      <x:c r="C77" s="530" t="str">
        <x:f>IF(ISBLANK('_RUNS'!C44),"",'_RUNS'!C44)</x:f>
      </x:c>
      <x:c r="D77" s="573" t="str">
        <x:f>IF('_RUNS'!D44="","",'_RUNS'!D44/100)</x:f>
      </x:c>
      <x:c r="E77" s="523" t="str">
        <x:f>IF(ISBLANK('_RUNS'!E44),"",'_RUNS'!E44)</x:f>
      </x:c>
      <x:c r="F77" s="523" t="str">
        <x:f>IF(ISBLANK('_RUNS'!F44),"",'_RUNS'!F44)</x:f>
      </x:c>
      <x:c r="G77" s="575" t="str">
        <x:f>IF(ISBLANK('_RUNS'!G44),"",'_RUNS'!G44)</x:f>
      </x:c>
      <x:c r="H77" s="530" t="str">
        <x:f>IF(ISBLANK('_RUNS'!H44),"",'_RUNS'!H44)</x:f>
      </x:c>
      <x:c r="I77" s="523" t="str">
        <x:f>IF(ISBLANK('_RUNS'!I44),"",'_RUNS'!I44)</x:f>
      </x:c>
      <x:c r="J77" s="523" t="str">
        <x:f>IF(ISBLANK('_RUNS'!J44),"",'_RUNS'!J44)</x:f>
      </x:c>
      <x:c r="K77" s="523" t="str">
        <x:f>IF(ISBLANK('_RUNS'!K44),"",'_RUNS'!K44)</x:f>
      </x:c>
      <x:c r="L77" s="875"/>
      <x:c r="M77" s="875"/>
      <x:c r="N77" s="875"/>
      <x:c r="O77" s="875"/>
      <x:c r="P77" s="875"/>
      <x:c r="Q77" s="875"/>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523" t="str">
        <x:f>IF(ISBLANK('_RUNS'!A45),"",'_RUNS'!A45)</x:f>
      </x:c>
      <x:c r="B78" s="523" t="str">
        <x:f>IF(ISBLANK('_RUNS'!B45),"",'_RUNS'!B45)</x:f>
      </x:c>
      <x:c r="C78" s="530" t="str">
        <x:f>IF(ISBLANK('_RUNS'!C45),"",'_RUNS'!C45)</x:f>
      </x:c>
      <x:c r="D78" s="573" t="str">
        <x:f>IF('_RUNS'!D45="","",'_RUNS'!D45/100)</x:f>
      </x:c>
      <x:c r="E78" s="523" t="str">
        <x:f>IF(ISBLANK('_RUNS'!E45),"",'_RUNS'!E45)</x:f>
      </x:c>
      <x:c r="F78" s="523" t="str">
        <x:f>IF(ISBLANK('_RUNS'!F45),"",'_RUNS'!F45)</x:f>
      </x:c>
      <x:c r="G78" s="575" t="str">
        <x:f>IF(ISBLANK('_RUNS'!G45),"",'_RUNS'!G45)</x:f>
      </x:c>
      <x:c r="H78" s="530" t="str">
        <x:f>IF(ISBLANK('_RUNS'!H45),"",'_RUNS'!H45)</x:f>
      </x:c>
      <x:c r="I78" s="523" t="str">
        <x:f>IF(ISBLANK('_RUNS'!I45),"",'_RUNS'!I45)</x:f>
      </x:c>
      <x:c r="J78" s="523" t="str">
        <x:f>IF(ISBLANK('_RUNS'!J45),"",'_RUNS'!J45)</x:f>
      </x:c>
      <x:c r="K78" s="523" t="str">
        <x:f>IF(ISBLANK('_RUNS'!K45),"",'_RUNS'!K45)</x:f>
      </x:c>
      <x:c r="L78" s="875"/>
      <x:c r="M78" s="875"/>
      <x:c r="N78" s="875"/>
      <x:c r="O78" s="875"/>
      <x:c r="P78" s="875"/>
      <x:c r="Q78" s="875"/>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523" t="str">
        <x:f>IF(ISBLANK('_RUNS'!A46),"",'_RUNS'!A46)</x:f>
      </x:c>
      <x:c r="B79" s="523" t="str">
        <x:f>IF(ISBLANK('_RUNS'!B46),"",'_RUNS'!B46)</x:f>
      </x:c>
      <x:c r="C79" s="530" t="str">
        <x:f>IF(ISBLANK('_RUNS'!C46),"",'_RUNS'!C46)</x:f>
      </x:c>
      <x:c r="D79" s="573" t="str">
        <x:f>IF('_RUNS'!D46="","",'_RUNS'!D46/100)</x:f>
      </x:c>
      <x:c r="E79" s="523" t="str">
        <x:f>IF(ISBLANK('_RUNS'!E46),"",'_RUNS'!E46)</x:f>
      </x:c>
      <x:c r="F79" s="523" t="str">
        <x:f>IF(ISBLANK('_RUNS'!F46),"",'_RUNS'!F46)</x:f>
      </x:c>
      <x:c r="G79" s="575" t="str">
        <x:f>IF(ISBLANK('_RUNS'!G46),"",'_RUNS'!G46)</x:f>
      </x:c>
      <x:c r="H79" s="530" t="str">
        <x:f>IF(ISBLANK('_RUNS'!H46),"",'_RUNS'!H46)</x:f>
      </x:c>
      <x:c r="I79" s="523" t="str">
        <x:f>IF(ISBLANK('_RUNS'!I46),"",'_RUNS'!I46)</x:f>
      </x:c>
      <x:c r="J79" s="523" t="str">
        <x:f>IF(ISBLANK('_RUNS'!J46),"",'_RUNS'!J46)</x:f>
      </x:c>
      <x:c r="K79" s="523" t="str">
        <x:f>IF(ISBLANK('_RUNS'!K46),"",'_RUNS'!K46)</x:f>
      </x:c>
      <x:c r="L79" s="875"/>
      <x:c r="M79" s="875"/>
      <x:c r="N79" s="875"/>
      <x:c r="O79" s="875"/>
      <x:c r="P79" s="875"/>
      <x:c r="Q79" s="875"/>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523" t="str">
        <x:f>IF(ISBLANK('_RUNS'!A47),"",'_RUNS'!A47)</x:f>
      </x:c>
      <x:c r="B80" s="523" t="str">
        <x:f>IF(ISBLANK('_RUNS'!B47),"",'_RUNS'!B47)</x:f>
      </x:c>
      <x:c r="C80" s="530" t="str">
        <x:f>IF(ISBLANK('_RUNS'!C47),"",'_RUNS'!C47)</x:f>
      </x:c>
      <x:c r="D80" s="573" t="str">
        <x:f>IF('_RUNS'!D47="","",'_RUNS'!D47/100)</x:f>
      </x:c>
      <x:c r="E80" s="523" t="str">
        <x:f>IF(ISBLANK('_RUNS'!E47),"",'_RUNS'!E47)</x:f>
      </x:c>
      <x:c r="F80" s="523" t="str">
        <x:f>IF(ISBLANK('_RUNS'!F47),"",'_RUNS'!F47)</x:f>
      </x:c>
      <x:c r="G80" s="575" t="str">
        <x:f>IF(ISBLANK('_RUNS'!G47),"",'_RUNS'!G47)</x:f>
      </x:c>
      <x:c r="H80" s="530" t="str">
        <x:f>IF(ISBLANK('_RUNS'!H47),"",'_RUNS'!H47)</x:f>
      </x:c>
      <x:c r="I80" s="523" t="str">
        <x:f>IF(ISBLANK('_RUNS'!I47),"",'_RUNS'!I47)</x:f>
      </x:c>
      <x:c r="J80" s="523" t="str">
        <x:f>IF(ISBLANK('_RUNS'!J47),"",'_RUNS'!J47)</x:f>
      </x:c>
      <x:c r="K80" s="523" t="str">
        <x:f>IF(ISBLANK('_RUNS'!K47),"",'_RUNS'!K47)</x:f>
      </x:c>
      <x:c r="L80" s="875"/>
      <x:c r="M80" s="875"/>
      <x:c r="N80" s="875"/>
      <x:c r="O80" s="875"/>
      <x:c r="P80" s="875"/>
      <x:c r="Q80" s="875"/>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523" t="str">
        <x:f>IF(ISBLANK('_RUNS'!A48),"",'_RUNS'!A48)</x:f>
      </x:c>
      <x:c r="B81" s="523" t="str">
        <x:f>IF(ISBLANK('_RUNS'!B48),"",'_RUNS'!B48)</x:f>
      </x:c>
      <x:c r="C81" s="530" t="str">
        <x:f>IF(ISBLANK('_RUNS'!C48),"",'_RUNS'!C48)</x:f>
      </x:c>
      <x:c r="D81" s="573" t="str">
        <x:f>IF('_RUNS'!D48="","",'_RUNS'!D48/100)</x:f>
      </x:c>
      <x:c r="E81" s="523" t="str">
        <x:f>IF(ISBLANK('_RUNS'!E48),"",'_RUNS'!E48)</x:f>
      </x:c>
      <x:c r="F81" s="523" t="str">
        <x:f>IF(ISBLANK('_RUNS'!F48),"",'_RUNS'!F48)</x:f>
      </x:c>
      <x:c r="G81" s="575" t="str">
        <x:f>IF(ISBLANK('_RUNS'!G48),"",'_RUNS'!G48)</x:f>
      </x:c>
      <x:c r="H81" s="530" t="str">
        <x:f>IF(ISBLANK('_RUNS'!H48),"",'_RUNS'!H48)</x:f>
      </x:c>
      <x:c r="I81" s="523" t="str">
        <x:f>IF(ISBLANK('_RUNS'!I48),"",'_RUNS'!I48)</x:f>
      </x:c>
      <x:c r="J81" s="523" t="str">
        <x:f>IF(ISBLANK('_RUNS'!J48),"",'_RUNS'!J48)</x:f>
      </x:c>
      <x:c r="K81" s="523" t="str">
        <x:f>IF(ISBLANK('_RUNS'!K48),"",'_RUNS'!K48)</x:f>
      </x:c>
      <x:c r="L81" s="875"/>
      <x:c r="M81" s="875"/>
      <x:c r="N81" s="875"/>
      <x:c r="O81" s="875"/>
      <x:c r="P81" s="875"/>
      <x:c r="Q81" s="875"/>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523" t="str">
        <x:f>IF(ISBLANK('_RUNS'!A49),"",'_RUNS'!A49)</x:f>
      </x:c>
      <x:c r="B82" s="523" t="str">
        <x:f>IF(ISBLANK('_RUNS'!B49),"",'_RUNS'!B49)</x:f>
      </x:c>
      <x:c r="C82" s="530" t="str">
        <x:f>IF(ISBLANK('_RUNS'!C49),"",'_RUNS'!C49)</x:f>
      </x:c>
      <x:c r="D82" s="573" t="str">
        <x:f>IF('_RUNS'!D49="","",'_RUNS'!D49/100)</x:f>
      </x:c>
      <x:c r="E82" s="523" t="str">
        <x:f>IF(ISBLANK('_RUNS'!E49),"",'_RUNS'!E49)</x:f>
      </x:c>
      <x:c r="F82" s="523" t="str">
        <x:f>IF(ISBLANK('_RUNS'!F49),"",'_RUNS'!F49)</x:f>
      </x:c>
      <x:c r="G82" s="575" t="str">
        <x:f>IF(ISBLANK('_RUNS'!G49),"",'_RUNS'!G49)</x:f>
      </x:c>
      <x:c r="H82" s="530" t="str">
        <x:f>IF(ISBLANK('_RUNS'!H49),"",'_RUNS'!H49)</x:f>
      </x:c>
      <x:c r="I82" s="523" t="str">
        <x:f>IF(ISBLANK('_RUNS'!I49),"",'_RUNS'!I49)</x:f>
      </x:c>
      <x:c r="J82" s="523" t="str">
        <x:f>IF(ISBLANK('_RUNS'!J49),"",'_RUNS'!J49)</x:f>
      </x:c>
      <x:c r="K82" s="523" t="str">
        <x:f>IF(ISBLANK('_RUNS'!K49),"",'_RUNS'!K49)</x:f>
      </x:c>
      <x:c r="L82" s="875"/>
      <x:c r="M82" s="875"/>
      <x:c r="N82" s="875"/>
      <x:c r="O82" s="875"/>
      <x:c r="P82" s="875"/>
      <x:c r="Q82" s="875"/>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523" t="str">
        <x:f>IF(ISBLANK('_RUNS'!A50),"",'_RUNS'!A50)</x:f>
      </x:c>
      <x:c r="B83" s="523" t="str">
        <x:f>IF(ISBLANK('_RUNS'!B50),"",'_RUNS'!B50)</x:f>
      </x:c>
      <x:c r="C83" s="530" t="str">
        <x:f>IF(ISBLANK('_RUNS'!C50),"",'_RUNS'!C50)</x:f>
      </x:c>
      <x:c r="D83" s="573" t="str">
        <x:f>IF('_RUNS'!D50="","",'_RUNS'!D50/100)</x:f>
      </x:c>
      <x:c r="E83" s="523" t="str">
        <x:f>IF(ISBLANK('_RUNS'!E50),"",'_RUNS'!E50)</x:f>
      </x:c>
      <x:c r="F83" s="523" t="str">
        <x:f>IF(ISBLANK('_RUNS'!F50),"",'_RUNS'!F50)</x:f>
      </x:c>
      <x:c r="G83" s="575" t="str">
        <x:f>IF(ISBLANK('_RUNS'!G50),"",'_RUNS'!G50)</x:f>
      </x:c>
      <x:c r="H83" s="530" t="str">
        <x:f>IF(ISBLANK('_RUNS'!H50),"",'_RUNS'!H50)</x:f>
      </x:c>
      <x:c r="I83" s="523" t="str">
        <x:f>IF(ISBLANK('_RUNS'!I50),"",'_RUNS'!I50)</x:f>
      </x:c>
      <x:c r="J83" s="523" t="str">
        <x:f>IF(ISBLANK('_RUNS'!J50),"",'_RUNS'!J50)</x:f>
      </x:c>
      <x:c r="K83" s="523" t="str">
        <x:f>IF(ISBLANK('_RUNS'!K50),"",'_RUNS'!K50)</x:f>
      </x:c>
      <x:c r="L83" s="875"/>
      <x:c r="M83" s="875"/>
      <x:c r="N83" s="875"/>
      <x:c r="O83" s="875"/>
      <x:c r="P83" s="875"/>
      <x:c r="Q83" s="875"/>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523" t="str">
        <x:f>IF(ISBLANK('_RUNS'!A51),"",'_RUNS'!A51)</x:f>
      </x:c>
      <x:c r="B84" s="523" t="str">
        <x:f>IF(ISBLANK('_RUNS'!B51),"",'_RUNS'!B51)</x:f>
      </x:c>
      <x:c r="C84" s="530" t="str">
        <x:f>IF(ISBLANK('_RUNS'!C51),"",'_RUNS'!C51)</x:f>
      </x:c>
      <x:c r="D84" s="573" t="str">
        <x:f>IF('_RUNS'!D51="","",'_RUNS'!D51/100)</x:f>
      </x:c>
      <x:c r="E84" s="523" t="str">
        <x:f>IF(ISBLANK('_RUNS'!E51),"",'_RUNS'!E51)</x:f>
      </x:c>
      <x:c r="F84" s="523" t="str">
        <x:f>IF(ISBLANK('_RUNS'!F51),"",'_RUNS'!F51)</x:f>
      </x:c>
      <x:c r="G84" s="575" t="str">
        <x:f>IF(ISBLANK('_RUNS'!G51),"",'_RUNS'!G51)</x:f>
      </x:c>
      <x:c r="H84" s="530" t="str">
        <x:f>IF(ISBLANK('_RUNS'!H51),"",'_RUNS'!H51)</x:f>
      </x:c>
      <x:c r="I84" s="523" t="str">
        <x:f>IF(ISBLANK('_RUNS'!I51),"",'_RUNS'!I51)</x:f>
      </x:c>
      <x:c r="J84" s="523" t="str">
        <x:f>IF(ISBLANK('_RUNS'!J51),"",'_RUNS'!J51)</x:f>
      </x:c>
      <x:c r="K84" s="523" t="str">
        <x:f>IF(ISBLANK('_RUNS'!K51),"",'_RUNS'!K51)</x:f>
      </x:c>
      <x:c r="L84" s="875"/>
      <x:c r="M84" s="875"/>
      <x:c r="N84" s="875"/>
      <x:c r="O84" s="875"/>
      <x:c r="P84" s="875"/>
      <x:c r="Q84" s="875"/>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523" t="str">
        <x:f>IF(ISBLANK('_RUNS'!A52),"",'_RUNS'!A52)</x:f>
      </x:c>
      <x:c r="B85" s="523" t="str">
        <x:f>IF(ISBLANK('_RUNS'!B52),"",'_RUNS'!B52)</x:f>
      </x:c>
      <x:c r="C85" s="530" t="str">
        <x:f>IF(ISBLANK('_RUNS'!C52),"",'_RUNS'!C52)</x:f>
      </x:c>
      <x:c r="D85" s="573" t="str">
        <x:f>IF('_RUNS'!D52="","",'_RUNS'!D52/100)</x:f>
      </x:c>
      <x:c r="E85" s="523" t="str">
        <x:f>IF(ISBLANK('_RUNS'!E52),"",'_RUNS'!E52)</x:f>
      </x:c>
      <x:c r="F85" s="523" t="str">
        <x:f>IF(ISBLANK('_RUNS'!F52),"",'_RUNS'!F52)</x:f>
      </x:c>
      <x:c r="G85" s="575" t="str">
        <x:f>IF(ISBLANK('_RUNS'!G52),"",'_RUNS'!G52)</x:f>
      </x:c>
      <x:c r="H85" s="530" t="str">
        <x:f>IF(ISBLANK('_RUNS'!H52),"",'_RUNS'!H52)</x:f>
      </x:c>
      <x:c r="I85" s="523" t="str">
        <x:f>IF(ISBLANK('_RUNS'!I52),"",'_RUNS'!I52)</x:f>
      </x:c>
      <x:c r="J85" s="523" t="str">
        <x:f>IF(ISBLANK('_RUNS'!J52),"",'_RUNS'!J52)</x:f>
      </x:c>
      <x:c r="K85" s="523" t="str">
        <x:f>IF(ISBLANK('_RUNS'!K52),"",'_RUNS'!K52)</x:f>
      </x:c>
      <x:c r="L85" s="875"/>
      <x:c r="M85" s="875"/>
      <x:c r="N85" s="875"/>
      <x:c r="O85" s="875"/>
      <x:c r="P85" s="875"/>
      <x:c r="Q85" s="875"/>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523" t="str">
        <x:f>IF(ISBLANK('_RUNS'!A53),"",'_RUNS'!A53)</x:f>
      </x:c>
      <x:c r="B86" s="523" t="str">
        <x:f>IF(ISBLANK('_RUNS'!B53),"",'_RUNS'!B53)</x:f>
      </x:c>
      <x:c r="C86" s="530" t="str">
        <x:f>IF(ISBLANK('_RUNS'!C53),"",'_RUNS'!C53)</x:f>
      </x:c>
      <x:c r="D86" s="573" t="str">
        <x:f>IF('_RUNS'!D53="","",'_RUNS'!D53/100)</x:f>
      </x:c>
      <x:c r="E86" s="523" t="str">
        <x:f>IF(ISBLANK('_RUNS'!E53),"",'_RUNS'!E53)</x:f>
      </x:c>
      <x:c r="F86" s="523" t="str">
        <x:f>IF(ISBLANK('_RUNS'!F53),"",'_RUNS'!F53)</x:f>
      </x:c>
      <x:c r="G86" s="575" t="str">
        <x:f>IF(ISBLANK('_RUNS'!G53),"",'_RUNS'!G53)</x:f>
      </x:c>
      <x:c r="H86" s="530" t="str">
        <x:f>IF(ISBLANK('_RUNS'!H53),"",'_RUNS'!H53)</x:f>
      </x:c>
      <x:c r="I86" s="523" t="str">
        <x:f>IF(ISBLANK('_RUNS'!I53),"",'_RUNS'!I53)</x:f>
      </x:c>
      <x:c r="J86" s="523" t="str">
        <x:f>IF(ISBLANK('_RUNS'!J53),"",'_RUNS'!J53)</x:f>
      </x:c>
      <x:c r="K86" s="523" t="str">
        <x:f>IF(ISBLANK('_RUNS'!K53),"",'_RUNS'!K53)</x:f>
      </x:c>
      <x:c r="L86" s="875"/>
      <x:c r="M86" s="875"/>
      <x:c r="N86" s="875"/>
      <x:c r="O86" s="875"/>
      <x:c r="P86" s="875"/>
      <x:c r="Q86" s="875"/>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523" t="str">
        <x:f>IF(ISBLANK('_RUNS'!A54),"",'_RUNS'!A54)</x:f>
      </x:c>
      <x:c r="B87" s="523" t="str">
        <x:f>IF(ISBLANK('_RUNS'!B54),"",'_RUNS'!B54)</x:f>
      </x:c>
      <x:c r="C87" s="530" t="str">
        <x:f>IF(ISBLANK('_RUNS'!C54),"",'_RUNS'!C54)</x:f>
      </x:c>
      <x:c r="D87" s="573" t="str">
        <x:f>IF('_RUNS'!D54="","",'_RUNS'!D54/100)</x:f>
      </x:c>
      <x:c r="E87" s="523" t="str">
        <x:f>IF(ISBLANK('_RUNS'!E54),"",'_RUNS'!E54)</x:f>
      </x:c>
      <x:c r="F87" s="523" t="str">
        <x:f>IF(ISBLANK('_RUNS'!F54),"",'_RUNS'!F54)</x:f>
      </x:c>
      <x:c r="G87" s="575" t="str">
        <x:f>IF(ISBLANK('_RUNS'!G54),"",'_RUNS'!G54)</x:f>
      </x:c>
      <x:c r="H87" s="530" t="str">
        <x:f>IF(ISBLANK('_RUNS'!H54),"",'_RUNS'!H54)</x:f>
      </x:c>
      <x:c r="I87" s="523" t="str">
        <x:f>IF(ISBLANK('_RUNS'!I54),"",'_RUNS'!I54)</x:f>
      </x:c>
      <x:c r="J87" s="523" t="str">
        <x:f>IF(ISBLANK('_RUNS'!J54),"",'_RUNS'!J54)</x:f>
      </x:c>
      <x:c r="K87" s="523" t="str">
        <x:f>IF(ISBLANK('_RUNS'!K54),"",'_RUNS'!K54)</x:f>
      </x:c>
      <x:c r="L87" s="875"/>
      <x:c r="M87" s="875"/>
      <x:c r="N87" s="875"/>
      <x:c r="O87" s="875"/>
      <x:c r="P87" s="875"/>
      <x:c r="Q87" s="875"/>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523" t="str">
        <x:f>IF(ISBLANK('_RUNS'!A55),"",'_RUNS'!A55)</x:f>
      </x:c>
      <x:c r="B88" s="523" t="str">
        <x:f>IF(ISBLANK('_RUNS'!B55),"",'_RUNS'!B55)</x:f>
      </x:c>
      <x:c r="C88" s="530" t="str">
        <x:f>IF(ISBLANK('_RUNS'!C55),"",'_RUNS'!C55)</x:f>
      </x:c>
      <x:c r="D88" s="573" t="str">
        <x:f>IF('_RUNS'!D55="","",'_RUNS'!D55/100)</x:f>
      </x:c>
      <x:c r="E88" s="523" t="str">
        <x:f>IF(ISBLANK('_RUNS'!E55),"",'_RUNS'!E55)</x:f>
      </x:c>
      <x:c r="F88" s="523" t="str">
        <x:f>IF(ISBLANK('_RUNS'!F55),"",'_RUNS'!F55)</x:f>
      </x:c>
      <x:c r="G88" s="575" t="str">
        <x:f>IF(ISBLANK('_RUNS'!G55),"",'_RUNS'!G55)</x:f>
      </x:c>
      <x:c r="H88" s="530" t="str">
        <x:f>IF(ISBLANK('_RUNS'!H55),"",'_RUNS'!H55)</x:f>
      </x:c>
      <x:c r="I88" s="523" t="str">
        <x:f>IF(ISBLANK('_RUNS'!I55),"",'_RUNS'!I55)</x:f>
      </x:c>
      <x:c r="J88" s="523" t="str">
        <x:f>IF(ISBLANK('_RUNS'!J55),"",'_RUNS'!J55)</x:f>
      </x:c>
      <x:c r="K88" s="523" t="str">
        <x:f>IF(ISBLANK('_RUNS'!K55),"",'_RUNS'!K55)</x:f>
      </x:c>
      <x:c r="L88" s="875"/>
      <x:c r="M88" s="875"/>
      <x:c r="N88" s="875"/>
      <x:c r="O88" s="875"/>
      <x:c r="P88" s="875"/>
      <x:c r="Q88" s="875"/>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523" t="str">
        <x:f>IF(ISBLANK('_RUNS'!A56),"",'_RUNS'!A56)</x:f>
      </x:c>
      <x:c r="B89" s="523" t="str">
        <x:f>IF(ISBLANK('_RUNS'!B56),"",'_RUNS'!B56)</x:f>
      </x:c>
      <x:c r="C89" s="530" t="str">
        <x:f>IF(ISBLANK('_RUNS'!C56),"",'_RUNS'!C56)</x:f>
      </x:c>
      <x:c r="D89" s="573" t="str">
        <x:f>IF('_RUNS'!D56="","",'_RUNS'!D56/100)</x:f>
      </x:c>
      <x:c r="E89" s="523" t="str">
        <x:f>IF(ISBLANK('_RUNS'!E56),"",'_RUNS'!E56)</x:f>
      </x:c>
      <x:c r="F89" s="523" t="str">
        <x:f>IF(ISBLANK('_RUNS'!F56),"",'_RUNS'!F56)</x:f>
      </x:c>
      <x:c r="G89" s="575" t="str">
        <x:f>IF(ISBLANK('_RUNS'!G56),"",'_RUNS'!G56)</x:f>
      </x:c>
      <x:c r="H89" s="530" t="str">
        <x:f>IF(ISBLANK('_RUNS'!H56),"",'_RUNS'!H56)</x:f>
      </x:c>
      <x:c r="I89" s="523" t="str">
        <x:f>IF(ISBLANK('_RUNS'!I56),"",'_RUNS'!I56)</x:f>
      </x:c>
      <x:c r="J89" s="523" t="str">
        <x:f>IF(ISBLANK('_RUNS'!J56),"",'_RUNS'!J56)</x:f>
      </x:c>
      <x:c r="K89" s="523" t="str">
        <x:f>IF(ISBLANK('_RUNS'!K56),"",'_RUNS'!K56)</x:f>
      </x:c>
      <x:c r="L89" s="875"/>
      <x:c r="M89" s="875"/>
      <x:c r="N89" s="875"/>
      <x:c r="O89" s="875"/>
      <x:c r="P89" s="875"/>
      <x:c r="Q89" s="875"/>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523" t="str">
        <x:f>IF(ISBLANK('_RUNS'!A57),"",'_RUNS'!A57)</x:f>
      </x:c>
      <x:c r="B90" s="523" t="str">
        <x:f>IF(ISBLANK('_RUNS'!B57),"",'_RUNS'!B57)</x:f>
      </x:c>
      <x:c r="C90" s="530" t="str">
        <x:f>IF(ISBLANK('_RUNS'!C57),"",'_RUNS'!C57)</x:f>
      </x:c>
      <x:c r="D90" s="573" t="str">
        <x:f>IF('_RUNS'!D57="","",'_RUNS'!D57/100)</x:f>
      </x:c>
      <x:c r="E90" s="523" t="str">
        <x:f>IF(ISBLANK('_RUNS'!E57),"",'_RUNS'!E57)</x:f>
      </x:c>
      <x:c r="F90" s="523" t="str">
        <x:f>IF(ISBLANK('_RUNS'!F57),"",'_RUNS'!F57)</x:f>
      </x:c>
      <x:c r="G90" s="575" t="str">
        <x:f>IF(ISBLANK('_RUNS'!G57),"",'_RUNS'!G57)</x:f>
      </x:c>
      <x:c r="H90" s="530" t="str">
        <x:f>IF(ISBLANK('_RUNS'!H57),"",'_RUNS'!H57)</x:f>
      </x:c>
      <x:c r="I90" s="523" t="str">
        <x:f>IF(ISBLANK('_RUNS'!I57),"",'_RUNS'!I57)</x:f>
      </x:c>
      <x:c r="J90" s="523" t="str">
        <x:f>IF(ISBLANK('_RUNS'!J57),"",'_RUNS'!J57)</x:f>
      </x:c>
      <x:c r="K90" s="523" t="str">
        <x:f>IF(ISBLANK('_RUNS'!K57),"",'_RUNS'!K57)</x:f>
      </x:c>
      <x:c r="L90" s="875"/>
      <x:c r="M90" s="875"/>
      <x:c r="N90" s="875"/>
      <x:c r="O90" s="875"/>
      <x:c r="P90" s="875"/>
      <x:c r="Q90" s="875"/>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523" t="str">
        <x:f>IF(ISBLANK('_RUNS'!A58),"",'_RUNS'!A58)</x:f>
      </x:c>
      <x:c r="B91" s="523" t="str">
        <x:f>IF(ISBLANK('_RUNS'!B58),"",'_RUNS'!B58)</x:f>
      </x:c>
      <x:c r="C91" s="530" t="str">
        <x:f>IF(ISBLANK('_RUNS'!C58),"",'_RUNS'!C58)</x:f>
      </x:c>
      <x:c r="D91" s="573" t="str">
        <x:f>IF('_RUNS'!D58="","",'_RUNS'!D58/100)</x:f>
      </x:c>
      <x:c r="E91" s="523" t="str">
        <x:f>IF(ISBLANK('_RUNS'!E58),"",'_RUNS'!E58)</x:f>
      </x:c>
      <x:c r="F91" s="523" t="str">
        <x:f>IF(ISBLANK('_RUNS'!F58),"",'_RUNS'!F58)</x:f>
      </x:c>
      <x:c r="G91" s="575" t="str">
        <x:f>IF(ISBLANK('_RUNS'!G58),"",'_RUNS'!G58)</x:f>
      </x:c>
      <x:c r="H91" s="530" t="str">
        <x:f>IF(ISBLANK('_RUNS'!H58),"",'_RUNS'!H58)</x:f>
      </x:c>
      <x:c r="I91" s="523" t="str">
        <x:f>IF(ISBLANK('_RUNS'!I58),"",'_RUNS'!I58)</x:f>
      </x:c>
      <x:c r="J91" s="523" t="str">
        <x:f>IF(ISBLANK('_RUNS'!J58),"",'_RUNS'!J58)</x:f>
      </x:c>
      <x:c r="K91" s="523" t="str">
        <x:f>IF(ISBLANK('_RUNS'!K58),"",'_RUNS'!K58)</x:f>
      </x:c>
      <x:c r="L91" s="875"/>
      <x:c r="M91" s="875"/>
      <x:c r="N91" s="875"/>
      <x:c r="O91" s="875"/>
      <x:c r="P91" s="875"/>
      <x:c r="Q91" s="875"/>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523" t="str">
        <x:f>IF(ISBLANK('_RUNS'!A59),"",'_RUNS'!A59)</x:f>
      </x:c>
      <x:c r="B92" s="523" t="str">
        <x:f>IF(ISBLANK('_RUNS'!B59),"",'_RUNS'!B59)</x:f>
      </x:c>
      <x:c r="C92" s="530" t="str">
        <x:f>IF(ISBLANK('_RUNS'!C59),"",'_RUNS'!C59)</x:f>
      </x:c>
      <x:c r="D92" s="573" t="str">
        <x:f>IF('_RUNS'!D59="","",'_RUNS'!D59/100)</x:f>
      </x:c>
      <x:c r="E92" s="523" t="str">
        <x:f>IF(ISBLANK('_RUNS'!E59),"",'_RUNS'!E59)</x:f>
      </x:c>
      <x:c r="F92" s="523" t="str">
        <x:f>IF(ISBLANK('_RUNS'!F59),"",'_RUNS'!F59)</x:f>
      </x:c>
      <x:c r="G92" s="575" t="str">
        <x:f>IF(ISBLANK('_RUNS'!G59),"",'_RUNS'!G59)</x:f>
      </x:c>
      <x:c r="H92" s="530" t="str">
        <x:f>IF(ISBLANK('_RUNS'!H59),"",'_RUNS'!H59)</x:f>
      </x:c>
      <x:c r="I92" s="523" t="str">
        <x:f>IF(ISBLANK('_RUNS'!I59),"",'_RUNS'!I59)</x:f>
      </x:c>
      <x:c r="J92" s="523" t="str">
        <x:f>IF(ISBLANK('_RUNS'!J59),"",'_RUNS'!J59)</x:f>
      </x:c>
      <x:c r="K92" s="523" t="str">
        <x:f>IF(ISBLANK('_RUNS'!K59),"",'_RUNS'!K59)</x:f>
      </x:c>
      <x:c r="L92" s="875"/>
      <x:c r="M92" s="875"/>
      <x:c r="N92" s="875"/>
      <x:c r="O92" s="875"/>
      <x:c r="P92" s="875"/>
      <x:c r="Q92" s="875"/>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523" t="str">
        <x:f>IF(ISBLANK('_RUNS'!A60),"",'_RUNS'!A60)</x:f>
      </x:c>
      <x:c r="B93" s="523" t="str">
        <x:f>IF(ISBLANK('_RUNS'!B60),"",'_RUNS'!B60)</x:f>
      </x:c>
      <x:c r="C93" s="530" t="str">
        <x:f>IF(ISBLANK('_RUNS'!C60),"",'_RUNS'!C60)</x:f>
      </x:c>
      <x:c r="D93" s="573" t="str">
        <x:f>IF('_RUNS'!D60="","",'_RUNS'!D60/100)</x:f>
      </x:c>
      <x:c r="E93" s="523" t="str">
        <x:f>IF(ISBLANK('_RUNS'!E60),"",'_RUNS'!E60)</x:f>
      </x:c>
      <x:c r="F93" s="523" t="str">
        <x:f>IF(ISBLANK('_RUNS'!F60),"",'_RUNS'!F60)</x:f>
      </x:c>
      <x:c r="G93" s="575" t="str">
        <x:f>IF(ISBLANK('_RUNS'!G60),"",'_RUNS'!G60)</x:f>
      </x:c>
      <x:c r="H93" s="530" t="str">
        <x:f>IF(ISBLANK('_RUNS'!H60),"",'_RUNS'!H60)</x:f>
      </x:c>
      <x:c r="I93" s="523" t="str">
        <x:f>IF(ISBLANK('_RUNS'!I60),"",'_RUNS'!I60)</x:f>
      </x:c>
      <x:c r="J93" s="523" t="str">
        <x:f>IF(ISBLANK('_RUNS'!J60),"",'_RUNS'!J60)</x:f>
      </x:c>
      <x:c r="K93" s="523" t="str">
        <x:f>IF(ISBLANK('_RUNS'!K60),"",'_RUNS'!K60)</x:f>
      </x:c>
      <x:c r="L93" s="875"/>
      <x:c r="M93" s="875"/>
      <x:c r="N93" s="875"/>
      <x:c r="O93" s="875"/>
      <x:c r="P93" s="875"/>
      <x:c r="Q93" s="875"/>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523" t="str">
        <x:f>IF(ISBLANK('_RUNS'!A61),"",'_RUNS'!A61)</x:f>
      </x:c>
      <x:c r="B94" s="523" t="str">
        <x:f>IF(ISBLANK('_RUNS'!B61),"",'_RUNS'!B61)</x:f>
      </x:c>
      <x:c r="C94" s="530" t="str">
        <x:f>IF(ISBLANK('_RUNS'!C61),"",'_RUNS'!C61)</x:f>
      </x:c>
      <x:c r="D94" s="573" t="str">
        <x:f>IF('_RUNS'!D61="","",'_RUNS'!D61/100)</x:f>
      </x:c>
      <x:c r="E94" s="523" t="str">
        <x:f>IF(ISBLANK('_RUNS'!E61),"",'_RUNS'!E61)</x:f>
      </x:c>
      <x:c r="F94" s="523" t="str">
        <x:f>IF(ISBLANK('_RUNS'!F61),"",'_RUNS'!F61)</x:f>
      </x:c>
      <x:c r="G94" s="575" t="str">
        <x:f>IF(ISBLANK('_RUNS'!G61),"",'_RUNS'!G61)</x:f>
      </x:c>
      <x:c r="H94" s="530" t="str">
        <x:f>IF(ISBLANK('_RUNS'!H61),"",'_RUNS'!H61)</x:f>
      </x:c>
      <x:c r="I94" s="523" t="str">
        <x:f>IF(ISBLANK('_RUNS'!I61),"",'_RUNS'!I61)</x:f>
      </x:c>
      <x:c r="J94" s="523" t="str">
        <x:f>IF(ISBLANK('_RUNS'!J61),"",'_RUNS'!J61)</x:f>
      </x:c>
      <x:c r="K94" s="523" t="str">
        <x:f>IF(ISBLANK('_RUNS'!K61),"",'_RUNS'!K61)</x:f>
      </x:c>
      <x:c r="L94" s="875"/>
      <x:c r="M94" s="875"/>
      <x:c r="N94" s="875"/>
      <x:c r="O94" s="875"/>
      <x:c r="P94" s="875"/>
      <x:c r="Q94" s="875"/>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523" t="str">
        <x:f>IF(ISBLANK('_RUNS'!A62),"",'_RUNS'!A62)</x:f>
      </x:c>
      <x:c r="B95" s="523" t="str">
        <x:f>IF(ISBLANK('_RUNS'!B62),"",'_RUNS'!B62)</x:f>
      </x:c>
      <x:c r="C95" s="530" t="str">
        <x:f>IF(ISBLANK('_RUNS'!C62),"",'_RUNS'!C62)</x:f>
      </x:c>
      <x:c r="D95" s="573" t="str">
        <x:f>IF('_RUNS'!D62="","",'_RUNS'!D62/100)</x:f>
      </x:c>
      <x:c r="E95" s="523" t="str">
        <x:f>IF(ISBLANK('_RUNS'!E62),"",'_RUNS'!E62)</x:f>
      </x:c>
      <x:c r="F95" s="523" t="str">
        <x:f>IF(ISBLANK('_RUNS'!F62),"",'_RUNS'!F62)</x:f>
      </x:c>
      <x:c r="G95" s="575" t="str">
        <x:f>IF(ISBLANK('_RUNS'!G62),"",'_RUNS'!G62)</x:f>
      </x:c>
      <x:c r="H95" s="530" t="str">
        <x:f>IF(ISBLANK('_RUNS'!H62),"",'_RUNS'!H62)</x:f>
      </x:c>
      <x:c r="I95" s="523" t="str">
        <x:f>IF(ISBLANK('_RUNS'!I62),"",'_RUNS'!I62)</x:f>
      </x:c>
      <x:c r="J95" s="523" t="str">
        <x:f>IF(ISBLANK('_RUNS'!J62),"",'_RUNS'!J62)</x:f>
      </x:c>
      <x:c r="K95" s="523" t="str">
        <x:f>IF(ISBLANK('_RUNS'!K62),"",'_RUNS'!K62)</x:f>
      </x:c>
      <x:c r="L95" s="875"/>
      <x:c r="M95" s="875"/>
      <x:c r="N95" s="875"/>
      <x:c r="O95" s="875"/>
      <x:c r="P95" s="875"/>
      <x:c r="Q95" s="875"/>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523" t="str">
        <x:f>IF(ISBLANK('_RUNS'!A63),"",'_RUNS'!A63)</x:f>
      </x:c>
      <x:c r="B96" s="523" t="str">
        <x:f>IF(ISBLANK('_RUNS'!B63),"",'_RUNS'!B63)</x:f>
      </x:c>
      <x:c r="C96" s="530" t="str">
        <x:f>IF(ISBLANK('_RUNS'!C63),"",'_RUNS'!C63)</x:f>
      </x:c>
      <x:c r="D96" s="573" t="str">
        <x:f>IF('_RUNS'!D63="","",'_RUNS'!D63/100)</x:f>
      </x:c>
      <x:c r="E96" s="523" t="str">
        <x:f>IF(ISBLANK('_RUNS'!E63),"",'_RUNS'!E63)</x:f>
      </x:c>
      <x:c r="F96" s="523" t="str">
        <x:f>IF(ISBLANK('_RUNS'!F63),"",'_RUNS'!F63)</x:f>
      </x:c>
      <x:c r="G96" s="575" t="str">
        <x:f>IF(ISBLANK('_RUNS'!G63),"",'_RUNS'!G63)</x:f>
      </x:c>
      <x:c r="H96" s="530" t="str">
        <x:f>IF(ISBLANK('_RUNS'!H63),"",'_RUNS'!H63)</x:f>
      </x:c>
      <x:c r="I96" s="523" t="str">
        <x:f>IF(ISBLANK('_RUNS'!I63),"",'_RUNS'!I63)</x:f>
      </x:c>
      <x:c r="J96" s="523" t="str">
        <x:f>IF(ISBLANK('_RUNS'!J63),"",'_RUNS'!J63)</x:f>
      </x:c>
      <x:c r="K96" s="523" t="str">
        <x:f>IF(ISBLANK('_RUNS'!K63),"",'_RUNS'!K63)</x:f>
      </x:c>
      <x:c r="L96" s="875"/>
      <x:c r="M96" s="875"/>
      <x:c r="N96" s="875"/>
      <x:c r="O96" s="875"/>
      <x:c r="P96" s="875"/>
      <x:c r="Q96" s="875"/>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523" t="str">
        <x:f>IF(ISBLANK('_RUNS'!A64),"",'_RUNS'!A64)</x:f>
      </x:c>
      <x:c r="B97" s="523" t="str">
        <x:f>IF(ISBLANK('_RUNS'!B64),"",'_RUNS'!B64)</x:f>
      </x:c>
      <x:c r="C97" s="530" t="str">
        <x:f>IF(ISBLANK('_RUNS'!C64),"",'_RUNS'!C64)</x:f>
      </x:c>
      <x:c r="D97" s="573" t="str">
        <x:f>IF('_RUNS'!D64="","",'_RUNS'!D64/100)</x:f>
      </x:c>
      <x:c r="E97" s="523" t="str">
        <x:f>IF(ISBLANK('_RUNS'!E64),"",'_RUNS'!E64)</x:f>
      </x:c>
      <x:c r="F97" s="523" t="str">
        <x:f>IF(ISBLANK('_RUNS'!F64),"",'_RUNS'!F64)</x:f>
      </x:c>
      <x:c r="G97" s="575" t="str">
        <x:f>IF(ISBLANK('_RUNS'!G64),"",'_RUNS'!G64)</x:f>
      </x:c>
      <x:c r="H97" s="530" t="str">
        <x:f>IF(ISBLANK('_RUNS'!H64),"",'_RUNS'!H64)</x:f>
      </x:c>
      <x:c r="I97" s="523" t="str">
        <x:f>IF(ISBLANK('_RUNS'!I64),"",'_RUNS'!I64)</x:f>
      </x:c>
      <x:c r="J97" s="523" t="str">
        <x:f>IF(ISBLANK('_RUNS'!J64),"",'_RUNS'!J64)</x:f>
      </x:c>
      <x:c r="K97" s="523" t="str">
        <x:f>IF(ISBLANK('_RUNS'!K64),"",'_RUNS'!K64)</x:f>
      </x:c>
      <x:c r="L97" s="875"/>
      <x:c r="M97" s="875"/>
      <x:c r="N97" s="875"/>
      <x:c r="O97" s="875"/>
      <x:c r="P97" s="875"/>
      <x:c r="Q97" s="875"/>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523" t="str">
        <x:f>IF(ISBLANK('_RUNS'!A65),"",'_RUNS'!A65)</x:f>
      </x:c>
      <x:c r="B98" s="523" t="str">
        <x:f>IF(ISBLANK('_RUNS'!B65),"",'_RUNS'!B65)</x:f>
      </x:c>
      <x:c r="C98" s="530" t="str">
        <x:f>IF(ISBLANK('_RUNS'!C65),"",'_RUNS'!C65)</x:f>
      </x:c>
      <x:c r="D98" s="573" t="str">
        <x:f>IF('_RUNS'!D65="","",'_RUNS'!D65/100)</x:f>
      </x:c>
      <x:c r="E98" s="523" t="str">
        <x:f>IF(ISBLANK('_RUNS'!E65),"",'_RUNS'!E65)</x:f>
      </x:c>
      <x:c r="F98" s="523" t="str">
        <x:f>IF(ISBLANK('_RUNS'!F65),"",'_RUNS'!F65)</x:f>
      </x:c>
      <x:c r="G98" s="575" t="str">
        <x:f>IF(ISBLANK('_RUNS'!G65),"",'_RUNS'!G65)</x:f>
      </x:c>
      <x:c r="H98" s="530" t="str">
        <x:f>IF(ISBLANK('_RUNS'!H65),"",'_RUNS'!H65)</x:f>
      </x:c>
      <x:c r="I98" s="523" t="str">
        <x:f>IF(ISBLANK('_RUNS'!I65),"",'_RUNS'!I65)</x:f>
      </x:c>
      <x:c r="J98" s="523" t="str">
        <x:f>IF(ISBLANK('_RUNS'!J65),"",'_RUNS'!J65)</x:f>
      </x:c>
      <x:c r="K98" s="523" t="str">
        <x:f>IF(ISBLANK('_RUNS'!K65),"",'_RUNS'!K65)</x:f>
      </x:c>
      <x:c r="L98" s="875"/>
      <x:c r="M98" s="875"/>
      <x:c r="N98" s="875"/>
      <x:c r="O98" s="875"/>
      <x:c r="P98" s="875"/>
      <x:c r="Q98" s="875"/>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523" t="str">
        <x:f>IF(ISBLANK('_RUNS'!A66),"",'_RUNS'!A66)</x:f>
      </x:c>
      <x:c r="B99" s="523" t="str">
        <x:f>IF(ISBLANK('_RUNS'!B66),"",'_RUNS'!B66)</x:f>
      </x:c>
      <x:c r="C99" s="530" t="str">
        <x:f>IF(ISBLANK('_RUNS'!C66),"",'_RUNS'!C66)</x:f>
      </x:c>
      <x:c r="D99" s="573" t="str">
        <x:f>IF('_RUNS'!D66="","",'_RUNS'!D66/100)</x:f>
      </x:c>
      <x:c r="E99" s="523" t="str">
        <x:f>IF(ISBLANK('_RUNS'!E66),"",'_RUNS'!E66)</x:f>
      </x:c>
      <x:c r="F99" s="523" t="str">
        <x:f>IF(ISBLANK('_RUNS'!F66),"",'_RUNS'!F66)</x:f>
      </x:c>
      <x:c r="G99" s="575" t="str">
        <x:f>IF(ISBLANK('_RUNS'!G66),"",'_RUNS'!G66)</x:f>
      </x:c>
      <x:c r="H99" s="530" t="str">
        <x:f>IF(ISBLANK('_RUNS'!H66),"",'_RUNS'!H66)</x:f>
      </x:c>
      <x:c r="I99" s="523" t="str">
        <x:f>IF(ISBLANK('_RUNS'!I66),"",'_RUNS'!I66)</x:f>
      </x:c>
      <x:c r="J99" s="523" t="str">
        <x:f>IF(ISBLANK('_RUNS'!J66),"",'_RUNS'!J66)</x:f>
      </x:c>
      <x:c r="K99" s="523" t="str">
        <x:f>IF(ISBLANK('_RUNS'!K66),"",'_RUNS'!K66)</x:f>
      </x:c>
      <x:c r="L99" s="875"/>
      <x:c r="M99" s="875"/>
      <x:c r="N99" s="875"/>
      <x:c r="O99" s="875"/>
      <x:c r="P99" s="875"/>
      <x:c r="Q99" s="875"/>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523" t="str">
        <x:f>IF(ISBLANK('_RUNS'!A67),"",'_RUNS'!A67)</x:f>
      </x:c>
      <x:c r="B100" s="523" t="str">
        <x:f>IF(ISBLANK('_RUNS'!B67),"",'_RUNS'!B67)</x:f>
      </x:c>
      <x:c r="C100" s="530" t="str">
        <x:f>IF(ISBLANK('_RUNS'!C67),"",'_RUNS'!C67)</x:f>
      </x:c>
      <x:c r="D100" s="573" t="str">
        <x:f>IF('_RUNS'!D67="","",'_RUNS'!D67/100)</x:f>
      </x:c>
      <x:c r="E100" s="523" t="str">
        <x:f>IF(ISBLANK('_RUNS'!E67),"",'_RUNS'!E67)</x:f>
      </x:c>
      <x:c r="F100" s="523" t="str">
        <x:f>IF(ISBLANK('_RUNS'!F67),"",'_RUNS'!F67)</x:f>
      </x:c>
      <x:c r="G100" s="575" t="str">
        <x:f>IF(ISBLANK('_RUNS'!G67),"",'_RUNS'!G67)</x:f>
      </x:c>
      <x:c r="H100" s="530" t="str">
        <x:f>IF(ISBLANK('_RUNS'!H67),"",'_RUNS'!H67)</x:f>
      </x:c>
      <x:c r="I100" s="523" t="str">
        <x:f>IF(ISBLANK('_RUNS'!I67),"",'_RUNS'!I67)</x:f>
      </x:c>
      <x:c r="J100" s="523" t="str">
        <x:f>IF(ISBLANK('_RUNS'!J67),"",'_RUNS'!J67)</x:f>
      </x:c>
      <x:c r="K100" s="523" t="str">
        <x:f>IF(ISBLANK('_RUNS'!K67),"",'_RUNS'!K67)</x:f>
      </x:c>
      <x:c r="L100" s="875"/>
      <x:c r="M100" s="875"/>
      <x:c r="N100" s="875"/>
      <x:c r="O100" s="875"/>
      <x:c r="P100" s="875"/>
      <x:c r="Q100" s="875"/>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523" t="str">
        <x:f>IF(ISBLANK('_RUNS'!A68),"",'_RUNS'!A68)</x:f>
      </x:c>
      <x:c r="B101" s="523" t="str">
        <x:f>IF(ISBLANK('_RUNS'!B68),"",'_RUNS'!B68)</x:f>
      </x:c>
      <x:c r="C101" s="530" t="str">
        <x:f>IF(ISBLANK('_RUNS'!C68),"",'_RUNS'!C68)</x:f>
      </x:c>
      <x:c r="D101" s="573" t="str">
        <x:f>IF('_RUNS'!D68="","",'_RUNS'!D68/100)</x:f>
      </x:c>
      <x:c r="E101" s="523" t="str">
        <x:f>IF(ISBLANK('_RUNS'!E68),"",'_RUNS'!E68)</x:f>
      </x:c>
      <x:c r="F101" s="523" t="str">
        <x:f>IF(ISBLANK('_RUNS'!F68),"",'_RUNS'!F68)</x:f>
      </x:c>
      <x:c r="G101" s="575" t="str">
        <x:f>IF(ISBLANK('_RUNS'!G68),"",'_RUNS'!G68)</x:f>
      </x:c>
      <x:c r="H101" s="530" t="str">
        <x:f>IF(ISBLANK('_RUNS'!H68),"",'_RUNS'!H68)</x:f>
      </x:c>
      <x:c r="I101" s="523" t="str">
        <x:f>IF(ISBLANK('_RUNS'!I68),"",'_RUNS'!I68)</x:f>
      </x:c>
      <x:c r="J101" s="523" t="str">
        <x:f>IF(ISBLANK('_RUNS'!J68),"",'_RUNS'!J68)</x:f>
      </x:c>
      <x:c r="K101" s="523" t="str">
        <x:f>IF(ISBLANK('_RUNS'!K68),"",'_RUNS'!K68)</x:f>
      </x:c>
      <x:c r="L101" s="875"/>
      <x:c r="M101" s="875"/>
      <x:c r="N101" s="875"/>
      <x:c r="O101" s="875"/>
      <x:c r="P101" s="875"/>
      <x:c r="Q101" s="875"/>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523" t="str">
        <x:f>IF(ISBLANK('_RUNS'!A69),"",'_RUNS'!A69)</x:f>
      </x:c>
      <x:c r="B102" s="523" t="str">
        <x:f>IF(ISBLANK('_RUNS'!B69),"",'_RUNS'!B69)</x:f>
      </x:c>
      <x:c r="C102" s="530" t="str">
        <x:f>IF(ISBLANK('_RUNS'!C69),"",'_RUNS'!C69)</x:f>
      </x:c>
      <x:c r="D102" s="573" t="str">
        <x:f>IF('_RUNS'!D69="","",'_RUNS'!D69/100)</x:f>
      </x:c>
      <x:c r="E102" s="523" t="str">
        <x:f>IF(ISBLANK('_RUNS'!E69),"",'_RUNS'!E69)</x:f>
      </x:c>
      <x:c r="F102" s="523" t="str">
        <x:f>IF(ISBLANK('_RUNS'!F69),"",'_RUNS'!F69)</x:f>
      </x:c>
      <x:c r="G102" s="575" t="str">
        <x:f>IF(ISBLANK('_RUNS'!G69),"",'_RUNS'!G69)</x:f>
      </x:c>
      <x:c r="H102" s="530" t="str">
        <x:f>IF(ISBLANK('_RUNS'!H69),"",'_RUNS'!H69)</x:f>
      </x:c>
      <x:c r="I102" s="523" t="str">
        <x:f>IF(ISBLANK('_RUNS'!I69),"",'_RUNS'!I69)</x:f>
      </x:c>
      <x:c r="J102" s="523" t="str">
        <x:f>IF(ISBLANK('_RUNS'!J69),"",'_RUNS'!J69)</x:f>
      </x:c>
      <x:c r="K102" s="523" t="str">
        <x:f>IF(ISBLANK('_RUNS'!K69),"",'_RUNS'!K69)</x:f>
      </x:c>
      <x:c r="L102" s="875"/>
      <x:c r="M102" s="875"/>
      <x:c r="N102" s="875"/>
      <x:c r="O102" s="875"/>
      <x:c r="P102" s="875"/>
      <x:c r="Q102" s="875"/>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523" t="str">
        <x:f>IF(ISBLANK('_RUNS'!A70),"",'_RUNS'!A70)</x:f>
      </x:c>
      <x:c r="B103" s="523" t="str">
        <x:f>IF(ISBLANK('_RUNS'!B70),"",'_RUNS'!B70)</x:f>
      </x:c>
      <x:c r="C103" s="530" t="str">
        <x:f>IF(ISBLANK('_RUNS'!C70),"",'_RUNS'!C70)</x:f>
      </x:c>
      <x:c r="D103" s="573" t="str">
        <x:f>IF('_RUNS'!D70="","",'_RUNS'!D70/100)</x:f>
      </x:c>
      <x:c r="E103" s="523" t="str">
        <x:f>IF(ISBLANK('_RUNS'!E70),"",'_RUNS'!E70)</x:f>
      </x:c>
      <x:c r="F103" s="523" t="str">
        <x:f>IF(ISBLANK('_RUNS'!F70),"",'_RUNS'!F70)</x:f>
      </x:c>
      <x:c r="G103" s="575" t="str">
        <x:f>IF(ISBLANK('_RUNS'!G70),"",'_RUNS'!G70)</x:f>
      </x:c>
      <x:c r="H103" s="530" t="str">
        <x:f>IF(ISBLANK('_RUNS'!H70),"",'_RUNS'!H70)</x:f>
      </x:c>
      <x:c r="I103" s="523" t="str">
        <x:f>IF(ISBLANK('_RUNS'!I70),"",'_RUNS'!I70)</x:f>
      </x:c>
      <x:c r="J103" s="523" t="str">
        <x:f>IF(ISBLANK('_RUNS'!J70),"",'_RUNS'!J70)</x:f>
      </x:c>
      <x:c r="K103" s="523" t="str">
        <x:f>IF(ISBLANK('_RUNS'!K70),"",'_RUNS'!K70)</x:f>
      </x:c>
      <x:c r="L103" s="875"/>
      <x:c r="M103" s="875"/>
      <x:c r="N103" s="875"/>
      <x:c r="O103" s="875"/>
      <x:c r="P103" s="875"/>
      <x:c r="Q103" s="875"/>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523" t="str">
        <x:f>IF(ISBLANK('_RUNS'!A71),"",'_RUNS'!A71)</x:f>
      </x:c>
      <x:c r="B104" s="523" t="str">
        <x:f>IF(ISBLANK('_RUNS'!B71),"",'_RUNS'!B71)</x:f>
      </x:c>
      <x:c r="C104" s="530" t="str">
        <x:f>IF(ISBLANK('_RUNS'!C71),"",'_RUNS'!C71)</x:f>
      </x:c>
      <x:c r="D104" s="573" t="str">
        <x:f>IF('_RUNS'!D71="","",'_RUNS'!D71/100)</x:f>
      </x:c>
      <x:c r="E104" s="523" t="str">
        <x:f>IF(ISBLANK('_RUNS'!E71),"",'_RUNS'!E71)</x:f>
      </x:c>
      <x:c r="F104" s="523" t="str">
        <x:f>IF(ISBLANK('_RUNS'!F71),"",'_RUNS'!F71)</x:f>
      </x:c>
      <x:c r="G104" s="575" t="str">
        <x:f>IF(ISBLANK('_RUNS'!G71),"",'_RUNS'!G71)</x:f>
      </x:c>
      <x:c r="H104" s="530" t="str">
        <x:f>IF(ISBLANK('_RUNS'!H71),"",'_RUNS'!H71)</x:f>
      </x:c>
      <x:c r="I104" s="523" t="str">
        <x:f>IF(ISBLANK('_RUNS'!I71),"",'_RUNS'!I71)</x:f>
      </x:c>
      <x:c r="J104" s="523" t="str">
        <x:f>IF(ISBLANK('_RUNS'!J71),"",'_RUNS'!J71)</x:f>
      </x:c>
      <x:c r="K104" s="523" t="str">
        <x:f>IF(ISBLANK('_RUNS'!K71),"",'_RUNS'!K71)</x:f>
      </x:c>
      <x:c r="L104" s="875"/>
      <x:c r="M104" s="875"/>
      <x:c r="N104" s="875"/>
      <x:c r="O104" s="875"/>
      <x:c r="P104" s="875"/>
      <x:c r="Q104" s="875"/>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523" t="str">
        <x:f>IF(ISBLANK('_RUNS'!A72),"",'_RUNS'!A72)</x:f>
      </x:c>
      <x:c r="B105" s="523" t="str">
        <x:f>IF(ISBLANK('_RUNS'!B72),"",'_RUNS'!B72)</x:f>
      </x:c>
      <x:c r="C105" s="530" t="str">
        <x:f>IF(ISBLANK('_RUNS'!C72),"",'_RUNS'!C72)</x:f>
      </x:c>
      <x:c r="D105" s="573" t="str">
        <x:f>IF('_RUNS'!D72="","",'_RUNS'!D72/100)</x:f>
      </x:c>
      <x:c r="E105" s="523" t="str">
        <x:f>IF(ISBLANK('_RUNS'!E72),"",'_RUNS'!E72)</x:f>
      </x:c>
      <x:c r="F105" s="523" t="str">
        <x:f>IF(ISBLANK('_RUNS'!F72),"",'_RUNS'!F72)</x:f>
      </x:c>
      <x:c r="G105" s="575" t="str">
        <x:f>IF(ISBLANK('_RUNS'!G72),"",'_RUNS'!G72)</x:f>
      </x:c>
      <x:c r="H105" s="530" t="str">
        <x:f>IF(ISBLANK('_RUNS'!H72),"",'_RUNS'!H72)</x:f>
      </x:c>
      <x:c r="I105" s="523" t="str">
        <x:f>IF(ISBLANK('_RUNS'!I72),"",'_RUNS'!I72)</x:f>
      </x:c>
      <x:c r="J105" s="523" t="str">
        <x:f>IF(ISBLANK('_RUNS'!J72),"",'_RUNS'!J72)</x:f>
      </x:c>
      <x:c r="K105" s="523" t="str">
        <x:f>IF(ISBLANK('_RUNS'!K72),"",'_RUNS'!K72)</x:f>
      </x:c>
      <x:c r="L105" s="875"/>
      <x:c r="M105" s="875"/>
      <x:c r="N105" s="875"/>
      <x:c r="O105" s="875"/>
      <x:c r="P105" s="875"/>
      <x:c r="Q105" s="875"/>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523" t="str">
        <x:f>IF(ISBLANK('_RUNS'!A73),"",'_RUNS'!A73)</x:f>
      </x:c>
      <x:c r="B106" s="523" t="str">
        <x:f>IF(ISBLANK('_RUNS'!B73),"",'_RUNS'!B73)</x:f>
      </x:c>
      <x:c r="C106" s="530" t="str">
        <x:f>IF(ISBLANK('_RUNS'!C73),"",'_RUNS'!C73)</x:f>
      </x:c>
      <x:c r="D106" s="573" t="str">
        <x:f>IF('_RUNS'!D73="","",'_RUNS'!D73/100)</x:f>
      </x:c>
      <x:c r="E106" s="523" t="str">
        <x:f>IF(ISBLANK('_RUNS'!E73),"",'_RUNS'!E73)</x:f>
      </x:c>
      <x:c r="F106" s="523" t="str">
        <x:f>IF(ISBLANK('_RUNS'!F73),"",'_RUNS'!F73)</x:f>
      </x:c>
      <x:c r="G106" s="575" t="str">
        <x:f>IF(ISBLANK('_RUNS'!G73),"",'_RUNS'!G73)</x:f>
      </x:c>
      <x:c r="H106" s="530" t="str">
        <x:f>IF(ISBLANK('_RUNS'!H73),"",'_RUNS'!H73)</x:f>
      </x:c>
      <x:c r="I106" s="523" t="str">
        <x:f>IF(ISBLANK('_RUNS'!I73),"",'_RUNS'!I73)</x:f>
      </x:c>
      <x:c r="J106" s="523" t="str">
        <x:f>IF(ISBLANK('_RUNS'!J73),"",'_RUNS'!J73)</x:f>
      </x:c>
      <x:c r="K106" s="523" t="str">
        <x:f>IF(ISBLANK('_RUNS'!K73),"",'_RUNS'!K73)</x:f>
      </x:c>
      <x:c r="L106" s="875"/>
      <x:c r="M106" s="875"/>
      <x:c r="N106" s="875"/>
      <x:c r="O106" s="875"/>
      <x:c r="P106" s="875"/>
      <x:c r="Q106" s="875"/>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523" t="str">
        <x:f>IF(ISBLANK('_RUNS'!A74),"",'_RUNS'!A74)</x:f>
      </x:c>
      <x:c r="B107" s="523" t="str">
        <x:f>IF(ISBLANK('_RUNS'!B74),"",'_RUNS'!B74)</x:f>
      </x:c>
      <x:c r="C107" s="530" t="str">
        <x:f>IF(ISBLANK('_RUNS'!C74),"",'_RUNS'!C74)</x:f>
      </x:c>
      <x:c r="D107" s="573" t="str">
        <x:f>IF('_RUNS'!D74="","",'_RUNS'!D74/100)</x:f>
      </x:c>
      <x:c r="E107" s="523" t="str">
        <x:f>IF(ISBLANK('_RUNS'!E74),"",'_RUNS'!E74)</x:f>
      </x:c>
      <x:c r="F107" s="523" t="str">
        <x:f>IF(ISBLANK('_RUNS'!F74),"",'_RUNS'!F74)</x:f>
      </x:c>
      <x:c r="G107" s="575" t="str">
        <x:f>IF(ISBLANK('_RUNS'!G74),"",'_RUNS'!G74)</x:f>
      </x:c>
      <x:c r="H107" s="530" t="str">
        <x:f>IF(ISBLANK('_RUNS'!H74),"",'_RUNS'!H74)</x:f>
      </x:c>
      <x:c r="I107" s="523" t="str">
        <x:f>IF(ISBLANK('_RUNS'!I74),"",'_RUNS'!I74)</x:f>
      </x:c>
      <x:c r="J107" s="523" t="str">
        <x:f>IF(ISBLANK('_RUNS'!J74),"",'_RUNS'!J74)</x:f>
      </x:c>
      <x:c r="K107" s="523" t="str">
        <x:f>IF(ISBLANK('_RUNS'!K74),"",'_RUNS'!K74)</x:f>
      </x:c>
      <x:c r="L107" s="875"/>
      <x:c r="M107" s="875"/>
      <x:c r="N107" s="875"/>
      <x:c r="O107" s="875"/>
      <x:c r="P107" s="875"/>
      <x:c r="Q107" s="875"/>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523" t="str">
        <x:f>IF(ISBLANK('_RUNS'!A75),"",'_RUNS'!A75)</x:f>
      </x:c>
      <x:c r="B108" s="523" t="str">
        <x:f>IF(ISBLANK('_RUNS'!B75),"",'_RUNS'!B75)</x:f>
      </x:c>
      <x:c r="C108" s="530" t="str">
        <x:f>IF(ISBLANK('_RUNS'!C75),"",'_RUNS'!C75)</x:f>
      </x:c>
      <x:c r="D108" s="573" t="str">
        <x:f>IF('_RUNS'!D75="","",'_RUNS'!D75/100)</x:f>
      </x:c>
      <x:c r="E108" s="523" t="str">
        <x:f>IF(ISBLANK('_RUNS'!E75),"",'_RUNS'!E75)</x:f>
      </x:c>
      <x:c r="F108" s="523" t="str">
        <x:f>IF(ISBLANK('_RUNS'!F75),"",'_RUNS'!F75)</x:f>
      </x:c>
      <x:c r="G108" s="575" t="str">
        <x:f>IF(ISBLANK('_RUNS'!G75),"",'_RUNS'!G75)</x:f>
      </x:c>
      <x:c r="H108" s="530" t="str">
        <x:f>IF(ISBLANK('_RUNS'!H75),"",'_RUNS'!H75)</x:f>
      </x:c>
      <x:c r="I108" s="523" t="str">
        <x:f>IF(ISBLANK('_RUNS'!I75),"",'_RUNS'!I75)</x:f>
      </x:c>
      <x:c r="J108" s="523" t="str">
        <x:f>IF(ISBLANK('_RUNS'!J75),"",'_RUNS'!J75)</x:f>
      </x:c>
      <x:c r="K108" s="523" t="str">
        <x:f>IF(ISBLANK('_RUNS'!K75),"",'_RUNS'!K75)</x:f>
      </x:c>
      <x:c r="L108" s="875"/>
      <x:c r="M108" s="875"/>
      <x:c r="N108" s="875"/>
      <x:c r="O108" s="875"/>
      <x:c r="P108" s="875"/>
      <x:c r="Q108" s="875"/>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523" t="str">
        <x:f>IF(ISBLANK('_RUNS'!A76),"",'_RUNS'!A76)</x:f>
      </x:c>
      <x:c r="B109" s="523" t="str">
        <x:f>IF(ISBLANK('_RUNS'!B76),"",'_RUNS'!B76)</x:f>
      </x:c>
      <x:c r="C109" s="530" t="str">
        <x:f>IF(ISBLANK('_RUNS'!C76),"",'_RUNS'!C76)</x:f>
      </x:c>
      <x:c r="D109" s="573" t="str">
        <x:f>IF('_RUNS'!D76="","",'_RUNS'!D76/100)</x:f>
      </x:c>
      <x:c r="E109" s="523" t="str">
        <x:f>IF(ISBLANK('_RUNS'!E76),"",'_RUNS'!E76)</x:f>
      </x:c>
      <x:c r="F109" s="523" t="str">
        <x:f>IF(ISBLANK('_RUNS'!F76),"",'_RUNS'!F76)</x:f>
      </x:c>
      <x:c r="G109" s="575" t="str">
        <x:f>IF(ISBLANK('_RUNS'!G76),"",'_RUNS'!G76)</x:f>
      </x:c>
      <x:c r="H109" s="530" t="str">
        <x:f>IF(ISBLANK('_RUNS'!H76),"",'_RUNS'!H76)</x:f>
      </x:c>
      <x:c r="I109" s="523" t="str">
        <x:f>IF(ISBLANK('_RUNS'!I76),"",'_RUNS'!I76)</x:f>
      </x:c>
      <x:c r="J109" s="523" t="str">
        <x:f>IF(ISBLANK('_RUNS'!J76),"",'_RUNS'!J76)</x:f>
      </x:c>
      <x:c r="K109" s="523" t="str">
        <x:f>IF(ISBLANK('_RUNS'!K76),"",'_RUNS'!K76)</x:f>
      </x:c>
      <x:c r="L109" s="875"/>
      <x:c r="M109" s="875"/>
      <x:c r="N109" s="875"/>
      <x:c r="O109" s="875"/>
      <x:c r="P109" s="875"/>
      <x:c r="Q109" s="875"/>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523" t="str">
        <x:f>IF(ISBLANK('_RUNS'!A77),"",'_RUNS'!A77)</x:f>
      </x:c>
      <x:c r="B110" s="523" t="str">
        <x:f>IF(ISBLANK('_RUNS'!B77),"",'_RUNS'!B77)</x:f>
      </x:c>
      <x:c r="C110" s="530" t="str">
        <x:f>IF(ISBLANK('_RUNS'!C77),"",'_RUNS'!C77)</x:f>
      </x:c>
      <x:c r="D110" s="573" t="str">
        <x:f>IF('_RUNS'!D77="","",'_RUNS'!D77/100)</x:f>
      </x:c>
      <x:c r="E110" s="523" t="str">
        <x:f>IF(ISBLANK('_RUNS'!E77),"",'_RUNS'!E77)</x:f>
      </x:c>
      <x:c r="F110" s="523" t="str">
        <x:f>IF(ISBLANK('_RUNS'!F77),"",'_RUNS'!F77)</x:f>
      </x:c>
      <x:c r="G110" s="575" t="str">
        <x:f>IF(ISBLANK('_RUNS'!G77),"",'_RUNS'!G77)</x:f>
      </x:c>
      <x:c r="H110" s="530" t="str">
        <x:f>IF(ISBLANK('_RUNS'!H77),"",'_RUNS'!H77)</x:f>
      </x:c>
      <x:c r="I110" s="523" t="str">
        <x:f>IF(ISBLANK('_RUNS'!I77),"",'_RUNS'!I77)</x:f>
      </x:c>
      <x:c r="J110" s="523" t="str">
        <x:f>IF(ISBLANK('_RUNS'!J77),"",'_RUNS'!J77)</x:f>
      </x:c>
      <x:c r="K110" s="523" t="str">
        <x:f>IF(ISBLANK('_RUNS'!K77),"",'_RUNS'!K77)</x:f>
      </x:c>
      <x:c r="L110" s="875"/>
      <x:c r="M110" s="875"/>
      <x:c r="N110" s="875"/>
      <x:c r="O110" s="875"/>
      <x:c r="P110" s="875"/>
      <x:c r="Q110" s="875"/>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523" t="str">
        <x:f>IF(ISBLANK('_RUNS'!A78),"",'_RUNS'!A78)</x:f>
      </x:c>
      <x:c r="B111" s="523" t="str">
        <x:f>IF(ISBLANK('_RUNS'!B78),"",'_RUNS'!B78)</x:f>
      </x:c>
      <x:c r="C111" s="530" t="str">
        <x:f>IF(ISBLANK('_RUNS'!C78),"",'_RUNS'!C78)</x:f>
      </x:c>
      <x:c r="D111" s="573" t="str">
        <x:f>IF('_RUNS'!D78="","",'_RUNS'!D78/100)</x:f>
      </x:c>
      <x:c r="E111" s="523" t="str">
        <x:f>IF(ISBLANK('_RUNS'!E78),"",'_RUNS'!E78)</x:f>
      </x:c>
      <x:c r="F111" s="523" t="str">
        <x:f>IF(ISBLANK('_RUNS'!F78),"",'_RUNS'!F78)</x:f>
      </x:c>
      <x:c r="G111" s="575" t="str">
        <x:f>IF(ISBLANK('_RUNS'!G78),"",'_RUNS'!G78)</x:f>
      </x:c>
      <x:c r="H111" s="530" t="str">
        <x:f>IF(ISBLANK('_RUNS'!H78),"",'_RUNS'!H78)</x:f>
      </x:c>
      <x:c r="I111" s="523" t="str">
        <x:f>IF(ISBLANK('_RUNS'!I78),"",'_RUNS'!I78)</x:f>
      </x:c>
      <x:c r="J111" s="523" t="str">
        <x:f>IF(ISBLANK('_RUNS'!J78),"",'_RUNS'!J78)</x:f>
      </x:c>
      <x:c r="K111" s="523" t="str">
        <x:f>IF(ISBLANK('_RUNS'!K78),"",'_RUNS'!K78)</x:f>
      </x:c>
      <x:c r="L111" s="875"/>
      <x:c r="M111" s="875"/>
      <x:c r="N111" s="875"/>
      <x:c r="O111" s="875"/>
      <x:c r="P111" s="875"/>
      <x:c r="Q111" s="875"/>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523" t="str">
        <x:f>IF(ISBLANK('_RUNS'!A79),"",'_RUNS'!A79)</x:f>
      </x:c>
      <x:c r="B112" s="523" t="str">
        <x:f>IF(ISBLANK('_RUNS'!B79),"",'_RUNS'!B79)</x:f>
      </x:c>
      <x:c r="C112" s="530" t="str">
        <x:f>IF(ISBLANK('_RUNS'!C79),"",'_RUNS'!C79)</x:f>
      </x:c>
      <x:c r="D112" s="573" t="str">
        <x:f>IF('_RUNS'!D79="","",'_RUNS'!D79/100)</x:f>
      </x:c>
      <x:c r="E112" s="523" t="str">
        <x:f>IF(ISBLANK('_RUNS'!E79),"",'_RUNS'!E79)</x:f>
      </x:c>
      <x:c r="F112" s="523" t="str">
        <x:f>IF(ISBLANK('_RUNS'!F79),"",'_RUNS'!F79)</x:f>
      </x:c>
      <x:c r="G112" s="575" t="str">
        <x:f>IF(ISBLANK('_RUNS'!G79),"",'_RUNS'!G79)</x:f>
      </x:c>
      <x:c r="H112" s="530" t="str">
        <x:f>IF(ISBLANK('_RUNS'!H79),"",'_RUNS'!H79)</x:f>
      </x:c>
      <x:c r="I112" s="523" t="str">
        <x:f>IF(ISBLANK('_RUNS'!I79),"",'_RUNS'!I79)</x:f>
      </x:c>
      <x:c r="J112" s="523" t="str">
        <x:f>IF(ISBLANK('_RUNS'!J79),"",'_RUNS'!J79)</x:f>
      </x:c>
      <x:c r="K112" s="523" t="str">
        <x:f>IF(ISBLANK('_RUNS'!K79),"",'_RUNS'!K79)</x:f>
      </x:c>
      <x:c r="L112" s="875"/>
      <x:c r="M112" s="875"/>
      <x:c r="N112" s="875"/>
      <x:c r="O112" s="875"/>
      <x:c r="P112" s="875"/>
      <x:c r="Q112" s="875"/>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523" t="str">
        <x:f>IF(ISBLANK('_RUNS'!A80),"",'_RUNS'!A80)</x:f>
      </x:c>
      <x:c r="B113" s="523" t="str">
        <x:f>IF(ISBLANK('_RUNS'!B80),"",'_RUNS'!B80)</x:f>
      </x:c>
      <x:c r="C113" s="530" t="str">
        <x:f>IF(ISBLANK('_RUNS'!C80),"",'_RUNS'!C80)</x:f>
      </x:c>
      <x:c r="D113" s="573" t="str">
        <x:f>IF('_RUNS'!D80="","",'_RUNS'!D80/100)</x:f>
      </x:c>
      <x:c r="E113" s="523" t="str">
        <x:f>IF(ISBLANK('_RUNS'!E80),"",'_RUNS'!E80)</x:f>
      </x:c>
      <x:c r="F113" s="523" t="str">
        <x:f>IF(ISBLANK('_RUNS'!F80),"",'_RUNS'!F80)</x:f>
      </x:c>
      <x:c r="G113" s="575" t="str">
        <x:f>IF(ISBLANK('_RUNS'!G80),"",'_RUNS'!G80)</x:f>
      </x:c>
      <x:c r="H113" s="530" t="str">
        <x:f>IF(ISBLANK('_RUNS'!H80),"",'_RUNS'!H80)</x:f>
      </x:c>
      <x:c r="I113" s="523" t="str">
        <x:f>IF(ISBLANK('_RUNS'!I80),"",'_RUNS'!I80)</x:f>
      </x:c>
      <x:c r="J113" s="523" t="str">
        <x:f>IF(ISBLANK('_RUNS'!J80),"",'_RUNS'!J80)</x:f>
      </x:c>
      <x:c r="K113" s="523" t="str">
        <x:f>IF(ISBLANK('_RUNS'!K80),"",'_RUNS'!K80)</x:f>
      </x:c>
      <x:c r="L113" s="875"/>
      <x:c r="M113" s="875"/>
      <x:c r="N113" s="875"/>
      <x:c r="O113" s="875"/>
      <x:c r="P113" s="875"/>
      <x:c r="Q113" s="875"/>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523" t="str">
        <x:f>IF(ISBLANK('_RUNS'!A81),"",'_RUNS'!A81)</x:f>
      </x:c>
      <x:c r="B114" s="523" t="str">
        <x:f>IF(ISBLANK('_RUNS'!B81),"",'_RUNS'!B81)</x:f>
      </x:c>
      <x:c r="C114" s="530" t="str">
        <x:f>IF(ISBLANK('_RUNS'!C81),"",'_RUNS'!C81)</x:f>
      </x:c>
      <x:c r="D114" s="573" t="str">
        <x:f>IF('_RUNS'!D81="","",'_RUNS'!D81/100)</x:f>
      </x:c>
      <x:c r="E114" s="523" t="str">
        <x:f>IF(ISBLANK('_RUNS'!E81),"",'_RUNS'!E81)</x:f>
      </x:c>
      <x:c r="F114" s="523" t="str">
        <x:f>IF(ISBLANK('_RUNS'!F81),"",'_RUNS'!F81)</x:f>
      </x:c>
      <x:c r="G114" s="575" t="str">
        <x:f>IF(ISBLANK('_RUNS'!G81),"",'_RUNS'!G81)</x:f>
      </x:c>
      <x:c r="H114" s="530" t="str">
        <x:f>IF(ISBLANK('_RUNS'!H81),"",'_RUNS'!H81)</x:f>
      </x:c>
      <x:c r="I114" s="523" t="str">
        <x:f>IF(ISBLANK('_RUNS'!I81),"",'_RUNS'!I81)</x:f>
      </x:c>
      <x:c r="J114" s="523" t="str">
        <x:f>IF(ISBLANK('_RUNS'!J81),"",'_RUNS'!J81)</x:f>
      </x:c>
      <x:c r="K114" s="523" t="str">
        <x:f>IF(ISBLANK('_RUNS'!K81),"",'_RUNS'!K81)</x:f>
      </x:c>
      <x:c r="L114" s="875"/>
      <x:c r="M114" s="875"/>
      <x:c r="N114" s="875"/>
      <x:c r="O114" s="875"/>
      <x:c r="P114" s="875"/>
      <x:c r="Q114" s="875"/>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523" t="str">
        <x:f>IF(ISBLANK('_RUNS'!A82),"",'_RUNS'!A82)</x:f>
      </x:c>
      <x:c r="B115" s="523" t="str">
        <x:f>IF(ISBLANK('_RUNS'!B82),"",'_RUNS'!B82)</x:f>
      </x:c>
      <x:c r="C115" s="530" t="str">
        <x:f>IF(ISBLANK('_RUNS'!C82),"",'_RUNS'!C82)</x:f>
      </x:c>
      <x:c r="D115" s="573" t="str">
        <x:f>IF('_RUNS'!D82="","",'_RUNS'!D82/100)</x:f>
      </x:c>
      <x:c r="E115" s="523" t="str">
        <x:f>IF(ISBLANK('_RUNS'!E82),"",'_RUNS'!E82)</x:f>
      </x:c>
      <x:c r="F115" s="523" t="str">
        <x:f>IF(ISBLANK('_RUNS'!F82),"",'_RUNS'!F82)</x:f>
      </x:c>
      <x:c r="G115" s="575" t="str">
        <x:f>IF(ISBLANK('_RUNS'!G82),"",'_RUNS'!G82)</x:f>
      </x:c>
      <x:c r="H115" s="530" t="str">
        <x:f>IF(ISBLANK('_RUNS'!H82),"",'_RUNS'!H82)</x:f>
      </x:c>
      <x:c r="I115" s="523" t="str">
        <x:f>IF(ISBLANK('_RUNS'!I82),"",'_RUNS'!I82)</x:f>
      </x:c>
      <x:c r="J115" s="523" t="str">
        <x:f>IF(ISBLANK('_RUNS'!J82),"",'_RUNS'!J82)</x:f>
      </x:c>
      <x:c r="K115" s="523" t="str">
        <x:f>IF(ISBLANK('_RUNS'!K82),"",'_RUNS'!K82)</x:f>
      </x:c>
      <x:c r="L115" s="875"/>
      <x:c r="M115" s="875"/>
      <x:c r="N115" s="875"/>
      <x:c r="O115" s="875"/>
      <x:c r="P115" s="875"/>
      <x:c r="Q115" s="875"/>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523" t="str">
        <x:f>IF(ISBLANK('_RUNS'!A83),"",'_RUNS'!A83)</x:f>
      </x:c>
      <x:c r="B116" s="523" t="str">
        <x:f>IF(ISBLANK('_RUNS'!B83),"",'_RUNS'!B83)</x:f>
      </x:c>
      <x:c r="C116" s="530" t="str">
        <x:f>IF(ISBLANK('_RUNS'!C83),"",'_RUNS'!C83)</x:f>
      </x:c>
      <x:c r="D116" s="573" t="str">
        <x:f>IF('_RUNS'!D83="","",'_RUNS'!D83/100)</x:f>
      </x:c>
      <x:c r="E116" s="523" t="str">
        <x:f>IF(ISBLANK('_RUNS'!E83),"",'_RUNS'!E83)</x:f>
      </x:c>
      <x:c r="F116" s="523" t="str">
        <x:f>IF(ISBLANK('_RUNS'!F83),"",'_RUNS'!F83)</x:f>
      </x:c>
      <x:c r="G116" s="575" t="str">
        <x:f>IF(ISBLANK('_RUNS'!G83),"",'_RUNS'!G83)</x:f>
      </x:c>
      <x:c r="H116" s="530" t="str">
        <x:f>IF(ISBLANK('_RUNS'!H83),"",'_RUNS'!H83)</x:f>
      </x:c>
      <x:c r="I116" s="523" t="str">
        <x:f>IF(ISBLANK('_RUNS'!I83),"",'_RUNS'!I83)</x:f>
      </x:c>
      <x:c r="J116" s="523" t="str">
        <x:f>IF(ISBLANK('_RUNS'!J83),"",'_RUNS'!J83)</x:f>
      </x:c>
      <x:c r="K116" s="523" t="str">
        <x:f>IF(ISBLANK('_RUNS'!K83),"",'_RUNS'!K83)</x:f>
      </x:c>
      <x:c r="L116" s="875"/>
      <x:c r="M116" s="875"/>
      <x:c r="N116" s="875"/>
      <x:c r="O116" s="875"/>
      <x:c r="P116" s="875"/>
      <x:c r="Q116" s="875"/>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523" t="str">
        <x:f>IF(ISBLANK('_RUNS'!A84),"",'_RUNS'!A84)</x:f>
      </x:c>
      <x:c r="B117" s="523" t="str">
        <x:f>IF(ISBLANK('_RUNS'!B84),"",'_RUNS'!B84)</x:f>
      </x:c>
      <x:c r="C117" s="530" t="str">
        <x:f>IF(ISBLANK('_RUNS'!C84),"",'_RUNS'!C84)</x:f>
      </x:c>
      <x:c r="D117" s="573" t="str">
        <x:f>IF('_RUNS'!D84="","",'_RUNS'!D84/100)</x:f>
      </x:c>
      <x:c r="E117" s="523" t="str">
        <x:f>IF(ISBLANK('_RUNS'!E84),"",'_RUNS'!E84)</x:f>
      </x:c>
      <x:c r="F117" s="523" t="str">
        <x:f>IF(ISBLANK('_RUNS'!F84),"",'_RUNS'!F84)</x:f>
      </x:c>
      <x:c r="G117" s="575" t="str">
        <x:f>IF(ISBLANK('_RUNS'!G84),"",'_RUNS'!G84)</x:f>
      </x:c>
      <x:c r="H117" s="530" t="str">
        <x:f>IF(ISBLANK('_RUNS'!H84),"",'_RUNS'!H84)</x:f>
      </x:c>
      <x:c r="I117" s="523" t="str">
        <x:f>IF(ISBLANK('_RUNS'!I84),"",'_RUNS'!I84)</x:f>
      </x:c>
      <x:c r="J117" s="523" t="str">
        <x:f>IF(ISBLANK('_RUNS'!J84),"",'_RUNS'!J84)</x:f>
      </x:c>
      <x:c r="K117" s="523" t="str">
        <x:f>IF(ISBLANK('_RUNS'!K84),"",'_RUNS'!K84)</x:f>
      </x:c>
      <x:c r="L117" s="875"/>
      <x:c r="M117" s="875"/>
      <x:c r="N117" s="875"/>
      <x:c r="O117" s="875"/>
      <x:c r="P117" s="875"/>
      <x:c r="Q117" s="875"/>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523" t="str">
        <x:f>IF(ISBLANK('_RUNS'!A85),"",'_RUNS'!A85)</x:f>
      </x:c>
      <x:c r="B118" s="523" t="str">
        <x:f>IF(ISBLANK('_RUNS'!B85),"",'_RUNS'!B85)</x:f>
      </x:c>
      <x:c r="C118" s="530" t="str">
        <x:f>IF(ISBLANK('_RUNS'!C85),"",'_RUNS'!C85)</x:f>
      </x:c>
      <x:c r="D118" s="573" t="str">
        <x:f>IF('_RUNS'!D85="","",'_RUNS'!D85/100)</x:f>
      </x:c>
      <x:c r="E118" s="523" t="str">
        <x:f>IF(ISBLANK('_RUNS'!E85),"",'_RUNS'!E85)</x:f>
      </x:c>
      <x:c r="F118" s="523" t="str">
        <x:f>IF(ISBLANK('_RUNS'!F85),"",'_RUNS'!F85)</x:f>
      </x:c>
      <x:c r="G118" s="575" t="str">
        <x:f>IF(ISBLANK('_RUNS'!G85),"",'_RUNS'!G85)</x:f>
      </x:c>
      <x:c r="H118" s="530" t="str">
        <x:f>IF(ISBLANK('_RUNS'!H85),"",'_RUNS'!H85)</x:f>
      </x:c>
      <x:c r="I118" s="523" t="str">
        <x:f>IF(ISBLANK('_RUNS'!I85),"",'_RUNS'!I85)</x:f>
      </x:c>
      <x:c r="J118" s="523" t="str">
        <x:f>IF(ISBLANK('_RUNS'!J85),"",'_RUNS'!J85)</x:f>
      </x:c>
      <x:c r="K118" s="523" t="str">
        <x:f>IF(ISBLANK('_RUNS'!K85),"",'_RUNS'!K85)</x:f>
      </x:c>
      <x:c r="L118" s="875"/>
      <x:c r="M118" s="875"/>
      <x:c r="N118" s="875"/>
      <x:c r="O118" s="875"/>
      <x:c r="P118" s="875"/>
      <x:c r="Q118" s="875"/>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523" t="str">
        <x:f>IF(ISBLANK('_RUNS'!A86),"",'_RUNS'!A86)</x:f>
      </x:c>
      <x:c r="B119" s="523" t="str">
        <x:f>IF(ISBLANK('_RUNS'!B86),"",'_RUNS'!B86)</x:f>
      </x:c>
      <x:c r="C119" s="530" t="str">
        <x:f>IF(ISBLANK('_RUNS'!C86),"",'_RUNS'!C86)</x:f>
      </x:c>
      <x:c r="D119" s="573" t="str">
        <x:f>IF('_RUNS'!D86="","",'_RUNS'!D86/100)</x:f>
      </x:c>
      <x:c r="E119" s="523" t="str">
        <x:f>IF(ISBLANK('_RUNS'!E86),"",'_RUNS'!E86)</x:f>
      </x:c>
      <x:c r="F119" s="523" t="str">
        <x:f>IF(ISBLANK('_RUNS'!F86),"",'_RUNS'!F86)</x:f>
      </x:c>
      <x:c r="G119" s="575" t="str">
        <x:f>IF(ISBLANK('_RUNS'!G86),"",'_RUNS'!G86)</x:f>
      </x:c>
      <x:c r="H119" s="530" t="str">
        <x:f>IF(ISBLANK('_RUNS'!H86),"",'_RUNS'!H86)</x:f>
      </x:c>
      <x:c r="I119" s="523" t="str">
        <x:f>IF(ISBLANK('_RUNS'!I86),"",'_RUNS'!I86)</x:f>
      </x:c>
      <x:c r="J119" s="523" t="str">
        <x:f>IF(ISBLANK('_RUNS'!J86),"",'_RUNS'!J86)</x:f>
      </x:c>
      <x:c r="K119" s="523" t="str">
        <x:f>IF(ISBLANK('_RUNS'!K86),"",'_RUNS'!K86)</x:f>
      </x:c>
      <x:c r="L119" s="875"/>
      <x:c r="M119" s="875"/>
      <x:c r="N119" s="875"/>
      <x:c r="O119" s="875"/>
      <x:c r="P119" s="875"/>
      <x:c r="Q119" s="875"/>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523" t="str">
        <x:f>IF(ISBLANK('_RUNS'!A87),"",'_RUNS'!A87)</x:f>
      </x:c>
      <x:c r="B120" s="523" t="str">
        <x:f>IF(ISBLANK('_RUNS'!B87),"",'_RUNS'!B87)</x:f>
      </x:c>
      <x:c r="C120" s="530" t="str">
        <x:f>IF(ISBLANK('_RUNS'!C87),"",'_RUNS'!C87)</x:f>
      </x:c>
      <x:c r="D120" s="573" t="str">
        <x:f>IF('_RUNS'!D87="","",'_RUNS'!D87/100)</x:f>
      </x:c>
      <x:c r="E120" s="523" t="str">
        <x:f>IF(ISBLANK('_RUNS'!E87),"",'_RUNS'!E87)</x:f>
      </x:c>
      <x:c r="F120" s="523" t="str">
        <x:f>IF(ISBLANK('_RUNS'!F87),"",'_RUNS'!F87)</x:f>
      </x:c>
      <x:c r="G120" s="575" t="str">
        <x:f>IF(ISBLANK('_RUNS'!G87),"",'_RUNS'!G87)</x:f>
      </x:c>
      <x:c r="H120" s="530" t="str">
        <x:f>IF(ISBLANK('_RUNS'!H87),"",'_RUNS'!H87)</x:f>
      </x:c>
      <x:c r="I120" s="523" t="str">
        <x:f>IF(ISBLANK('_RUNS'!I87),"",'_RUNS'!I87)</x:f>
      </x:c>
      <x:c r="J120" s="523" t="str">
        <x:f>IF(ISBLANK('_RUNS'!J87),"",'_RUNS'!J87)</x:f>
      </x:c>
      <x:c r="K120" s="523" t="str">
        <x:f>IF(ISBLANK('_RUNS'!K87),"",'_RUNS'!K87)</x:f>
      </x:c>
      <x:c r="L120" s="875"/>
      <x:c r="M120" s="875"/>
      <x:c r="N120" s="875"/>
      <x:c r="O120" s="875"/>
      <x:c r="P120" s="875"/>
      <x:c r="Q120" s="875"/>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523" t="str">
        <x:f>IF(ISBLANK('_RUNS'!A88),"",'_RUNS'!A88)</x:f>
      </x:c>
      <x:c r="B121" s="523" t="str">
        <x:f>IF(ISBLANK('_RUNS'!B88),"",'_RUNS'!B88)</x:f>
      </x:c>
      <x:c r="C121" s="530" t="str">
        <x:f>IF(ISBLANK('_RUNS'!C88),"",'_RUNS'!C88)</x:f>
      </x:c>
      <x:c r="D121" s="573" t="str">
        <x:f>IF('_RUNS'!D88="","",'_RUNS'!D88/100)</x:f>
      </x:c>
      <x:c r="E121" s="523" t="str">
        <x:f>IF(ISBLANK('_RUNS'!E88),"",'_RUNS'!E88)</x:f>
      </x:c>
      <x:c r="F121" s="523" t="str">
        <x:f>IF(ISBLANK('_RUNS'!F88),"",'_RUNS'!F88)</x:f>
      </x:c>
      <x:c r="G121" s="575" t="str">
        <x:f>IF(ISBLANK('_RUNS'!G88),"",'_RUNS'!G88)</x:f>
      </x:c>
      <x:c r="H121" s="530" t="str">
        <x:f>IF(ISBLANK('_RUNS'!H88),"",'_RUNS'!H88)</x:f>
      </x:c>
      <x:c r="I121" s="523" t="str">
        <x:f>IF(ISBLANK('_RUNS'!I88),"",'_RUNS'!I88)</x:f>
      </x:c>
      <x:c r="J121" s="523" t="str">
        <x:f>IF(ISBLANK('_RUNS'!J88),"",'_RUNS'!J88)</x:f>
      </x:c>
      <x:c r="K121" s="523" t="str">
        <x:f>IF(ISBLANK('_RUNS'!K88),"",'_RUNS'!K88)</x:f>
      </x:c>
      <x:c r="L121" s="875"/>
      <x:c r="M121" s="875"/>
      <x:c r="N121" s="875"/>
      <x:c r="O121" s="875"/>
      <x:c r="P121" s="875"/>
      <x:c r="Q121" s="875"/>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523" t="str">
        <x:f>IF(ISBLANK('_RUNS'!A89),"",'_RUNS'!A89)</x:f>
      </x:c>
      <x:c r="B122" s="523" t="str">
        <x:f>IF(ISBLANK('_RUNS'!B89),"",'_RUNS'!B89)</x:f>
      </x:c>
      <x:c r="C122" s="530" t="str">
        <x:f>IF(ISBLANK('_RUNS'!C89),"",'_RUNS'!C89)</x:f>
      </x:c>
      <x:c r="D122" s="573" t="str">
        <x:f>IF('_RUNS'!D89="","",'_RUNS'!D89/100)</x:f>
      </x:c>
      <x:c r="E122" s="523" t="str">
        <x:f>IF(ISBLANK('_RUNS'!E89),"",'_RUNS'!E89)</x:f>
      </x:c>
      <x:c r="F122" s="523" t="str">
        <x:f>IF(ISBLANK('_RUNS'!F89),"",'_RUNS'!F89)</x:f>
      </x:c>
      <x:c r="G122" s="575" t="str">
        <x:f>IF(ISBLANK('_RUNS'!G89),"",'_RUNS'!G89)</x:f>
      </x:c>
      <x:c r="H122" s="530" t="str">
        <x:f>IF(ISBLANK('_RUNS'!H89),"",'_RUNS'!H89)</x:f>
      </x:c>
      <x:c r="I122" s="523" t="str">
        <x:f>IF(ISBLANK('_RUNS'!I89),"",'_RUNS'!I89)</x:f>
      </x:c>
      <x:c r="J122" s="523" t="str">
        <x:f>IF(ISBLANK('_RUNS'!J89),"",'_RUNS'!J89)</x:f>
      </x:c>
      <x:c r="K122" s="523" t="str">
        <x:f>IF(ISBLANK('_RUNS'!K89),"",'_RUNS'!K89)</x:f>
      </x:c>
      <x:c r="L122" s="875"/>
      <x:c r="M122" s="875"/>
      <x:c r="N122" s="875"/>
      <x:c r="O122" s="875"/>
      <x:c r="P122" s="875"/>
      <x:c r="Q122" s="875"/>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523" t="str">
        <x:f>IF(ISBLANK('_RUNS'!A90),"",'_RUNS'!A90)</x:f>
      </x:c>
      <x:c r="B123" s="523" t="str">
        <x:f>IF(ISBLANK('_RUNS'!B90),"",'_RUNS'!B90)</x:f>
      </x:c>
      <x:c r="C123" s="530" t="str">
        <x:f>IF(ISBLANK('_RUNS'!C90),"",'_RUNS'!C90)</x:f>
      </x:c>
      <x:c r="D123" s="573" t="str">
        <x:f>IF('_RUNS'!D90="","",'_RUNS'!D90/100)</x:f>
      </x:c>
      <x:c r="E123" s="523" t="str">
        <x:f>IF(ISBLANK('_RUNS'!E90),"",'_RUNS'!E90)</x:f>
      </x:c>
      <x:c r="F123" s="523" t="str">
        <x:f>IF(ISBLANK('_RUNS'!F90),"",'_RUNS'!F90)</x:f>
      </x:c>
      <x:c r="G123" s="575" t="str">
        <x:f>IF(ISBLANK('_RUNS'!G90),"",'_RUNS'!G90)</x:f>
      </x:c>
      <x:c r="H123" s="530" t="str">
        <x:f>IF(ISBLANK('_RUNS'!H90),"",'_RUNS'!H90)</x:f>
      </x:c>
      <x:c r="I123" s="523" t="str">
        <x:f>IF(ISBLANK('_RUNS'!I90),"",'_RUNS'!I90)</x:f>
      </x:c>
      <x:c r="J123" s="523" t="str">
        <x:f>IF(ISBLANK('_RUNS'!J90),"",'_RUNS'!J90)</x:f>
      </x:c>
      <x:c r="K123" s="523" t="str">
        <x:f>IF(ISBLANK('_RUNS'!K90),"",'_RUNS'!K90)</x:f>
      </x:c>
      <x:c r="L123" s="875"/>
      <x:c r="M123" s="875"/>
      <x:c r="N123" s="875"/>
      <x:c r="O123" s="875"/>
      <x:c r="P123" s="875"/>
      <x:c r="Q123" s="875"/>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523" t="str">
        <x:f>IF(ISBLANK('_RUNS'!A91),"",'_RUNS'!A91)</x:f>
      </x:c>
      <x:c r="B124" s="523" t="str">
        <x:f>IF(ISBLANK('_RUNS'!B91),"",'_RUNS'!B91)</x:f>
      </x:c>
      <x:c r="C124" s="530" t="str">
        <x:f>IF(ISBLANK('_RUNS'!C91),"",'_RUNS'!C91)</x:f>
      </x:c>
      <x:c r="D124" s="573" t="str">
        <x:f>IF('_RUNS'!D91="","",'_RUNS'!D91/100)</x:f>
      </x:c>
      <x:c r="E124" s="523" t="str">
        <x:f>IF(ISBLANK('_RUNS'!E91),"",'_RUNS'!E91)</x:f>
      </x:c>
      <x:c r="F124" s="523" t="str">
        <x:f>IF(ISBLANK('_RUNS'!F91),"",'_RUNS'!F91)</x:f>
      </x:c>
      <x:c r="G124" s="575" t="str">
        <x:f>IF(ISBLANK('_RUNS'!G91),"",'_RUNS'!G91)</x:f>
      </x:c>
      <x:c r="H124" s="530" t="str">
        <x:f>IF(ISBLANK('_RUNS'!H91),"",'_RUNS'!H91)</x:f>
      </x:c>
      <x:c r="I124" s="523" t="str">
        <x:f>IF(ISBLANK('_RUNS'!I91),"",'_RUNS'!I91)</x:f>
      </x:c>
      <x:c r="J124" s="523" t="str">
        <x:f>IF(ISBLANK('_RUNS'!J91),"",'_RUNS'!J91)</x:f>
      </x:c>
      <x:c r="K124" s="523" t="str">
        <x:f>IF(ISBLANK('_RUNS'!K91),"",'_RUNS'!K91)</x:f>
      </x:c>
      <x:c r="L124" s="875"/>
      <x:c r="M124" s="875"/>
      <x:c r="N124" s="875"/>
      <x:c r="O124" s="875"/>
      <x:c r="P124" s="875"/>
      <x:c r="Q124" s="875"/>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523" t="str">
        <x:f>IF(ISBLANK('_RUNS'!A92),"",'_RUNS'!A92)</x:f>
      </x:c>
      <x:c r="B125" s="523" t="str">
        <x:f>IF(ISBLANK('_RUNS'!B92),"",'_RUNS'!B92)</x:f>
      </x:c>
      <x:c r="C125" s="530" t="str">
        <x:f>IF(ISBLANK('_RUNS'!C92),"",'_RUNS'!C92)</x:f>
      </x:c>
      <x:c r="D125" s="573" t="str">
        <x:f>IF('_RUNS'!D92="","",'_RUNS'!D92/100)</x:f>
      </x:c>
      <x:c r="E125" s="523" t="str">
        <x:f>IF(ISBLANK('_RUNS'!E92),"",'_RUNS'!E92)</x:f>
      </x:c>
      <x:c r="F125" s="523" t="str">
        <x:f>IF(ISBLANK('_RUNS'!F92),"",'_RUNS'!F92)</x:f>
      </x:c>
      <x:c r="G125" s="575" t="str">
        <x:f>IF(ISBLANK('_RUNS'!G92),"",'_RUNS'!G92)</x:f>
      </x:c>
      <x:c r="H125" s="530" t="str">
        <x:f>IF(ISBLANK('_RUNS'!H92),"",'_RUNS'!H92)</x:f>
      </x:c>
      <x:c r="I125" s="523" t="str">
        <x:f>IF(ISBLANK('_RUNS'!I92),"",'_RUNS'!I92)</x:f>
      </x:c>
      <x:c r="J125" s="523" t="str">
        <x:f>IF(ISBLANK('_RUNS'!J92),"",'_RUNS'!J92)</x:f>
      </x:c>
      <x:c r="K125" s="523" t="str">
        <x:f>IF(ISBLANK('_RUNS'!K92),"",'_RUNS'!K92)</x:f>
      </x:c>
      <x:c r="L125" s="875"/>
      <x:c r="M125" s="875"/>
      <x:c r="N125" s="875"/>
      <x:c r="O125" s="875"/>
      <x:c r="P125" s="875"/>
      <x:c r="Q125" s="875"/>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523" t="str">
        <x:f>IF(ISBLANK('_RUNS'!A93),"",'_RUNS'!A93)</x:f>
      </x:c>
      <x:c r="B126" s="523" t="str">
        <x:f>IF(ISBLANK('_RUNS'!B93),"",'_RUNS'!B93)</x:f>
      </x:c>
      <x:c r="C126" s="530" t="str">
        <x:f>IF(ISBLANK('_RUNS'!C93),"",'_RUNS'!C93)</x:f>
      </x:c>
      <x:c r="D126" s="573" t="str">
        <x:f>IF('_RUNS'!D93="","",'_RUNS'!D93/100)</x:f>
      </x:c>
      <x:c r="E126" s="523" t="str">
        <x:f>IF(ISBLANK('_RUNS'!E93),"",'_RUNS'!E93)</x:f>
      </x:c>
      <x:c r="F126" s="523" t="str">
        <x:f>IF(ISBLANK('_RUNS'!F93),"",'_RUNS'!F93)</x:f>
      </x:c>
      <x:c r="G126" s="575" t="str">
        <x:f>IF(ISBLANK('_RUNS'!G93),"",'_RUNS'!G93)</x:f>
      </x:c>
      <x:c r="H126" s="530" t="str">
        <x:f>IF(ISBLANK('_RUNS'!H93),"",'_RUNS'!H93)</x:f>
      </x:c>
      <x:c r="I126" s="523" t="str">
        <x:f>IF(ISBLANK('_RUNS'!I93),"",'_RUNS'!I93)</x:f>
      </x:c>
      <x:c r="J126" s="523" t="str">
        <x:f>IF(ISBLANK('_RUNS'!J93),"",'_RUNS'!J93)</x:f>
      </x:c>
      <x:c r="K126" s="523" t="str">
        <x:f>IF(ISBLANK('_RUNS'!K93),"",'_RUNS'!K93)</x:f>
      </x:c>
      <x:c r="L126" s="875"/>
      <x:c r="M126" s="875"/>
      <x:c r="N126" s="875"/>
      <x:c r="O126" s="875"/>
      <x:c r="P126" s="875"/>
      <x:c r="Q126" s="875"/>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523" t="str">
        <x:f>IF(ISBLANK('_RUNS'!A94),"",'_RUNS'!A94)</x:f>
      </x:c>
      <x:c r="B127" s="523" t="str">
        <x:f>IF(ISBLANK('_RUNS'!B94),"",'_RUNS'!B94)</x:f>
      </x:c>
      <x:c r="C127" s="530" t="str">
        <x:f>IF(ISBLANK('_RUNS'!C94),"",'_RUNS'!C94)</x:f>
      </x:c>
      <x:c r="D127" s="573" t="str">
        <x:f>IF('_RUNS'!D94="","",'_RUNS'!D94/100)</x:f>
      </x:c>
      <x:c r="E127" s="523" t="str">
        <x:f>IF(ISBLANK('_RUNS'!E94),"",'_RUNS'!E94)</x:f>
      </x:c>
      <x:c r="F127" s="523" t="str">
        <x:f>IF(ISBLANK('_RUNS'!F94),"",'_RUNS'!F94)</x:f>
      </x:c>
      <x:c r="G127" s="575" t="str">
        <x:f>IF(ISBLANK('_RUNS'!G94),"",'_RUNS'!G94)</x:f>
      </x:c>
      <x:c r="H127" s="530" t="str">
        <x:f>IF(ISBLANK('_RUNS'!H94),"",'_RUNS'!H94)</x:f>
      </x:c>
      <x:c r="I127" s="523" t="str">
        <x:f>IF(ISBLANK('_RUNS'!I94),"",'_RUNS'!I94)</x:f>
      </x:c>
      <x:c r="J127" s="523" t="str">
        <x:f>IF(ISBLANK('_RUNS'!J94),"",'_RUNS'!J94)</x:f>
      </x:c>
      <x:c r="K127" s="523" t="str">
        <x:f>IF(ISBLANK('_RUNS'!K94),"",'_RUNS'!K94)</x:f>
      </x:c>
      <x:c r="L127" s="875"/>
      <x:c r="M127" s="875"/>
      <x:c r="N127" s="875"/>
      <x:c r="O127" s="875"/>
      <x:c r="P127" s="875"/>
      <x:c r="Q127" s="875"/>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523" t="str">
        <x:f>IF(ISBLANK('_RUNS'!A95),"",'_RUNS'!A95)</x:f>
      </x:c>
      <x:c r="B128" s="523" t="str">
        <x:f>IF(ISBLANK('_RUNS'!B95),"",'_RUNS'!B95)</x:f>
      </x:c>
      <x:c r="C128" s="530" t="str">
        <x:f>IF(ISBLANK('_RUNS'!C95),"",'_RUNS'!C95)</x:f>
      </x:c>
      <x:c r="D128" s="573" t="str">
        <x:f>IF('_RUNS'!D95="","",'_RUNS'!D95/100)</x:f>
      </x:c>
      <x:c r="E128" s="523" t="str">
        <x:f>IF(ISBLANK('_RUNS'!E95),"",'_RUNS'!E95)</x:f>
      </x:c>
      <x:c r="F128" s="523" t="str">
        <x:f>IF(ISBLANK('_RUNS'!F95),"",'_RUNS'!F95)</x:f>
      </x:c>
      <x:c r="G128" s="575" t="str">
        <x:f>IF(ISBLANK('_RUNS'!G95),"",'_RUNS'!G95)</x:f>
      </x:c>
      <x:c r="H128" s="530" t="str">
        <x:f>IF(ISBLANK('_RUNS'!H95),"",'_RUNS'!H95)</x:f>
      </x:c>
      <x:c r="I128" s="523" t="str">
        <x:f>IF(ISBLANK('_RUNS'!I95),"",'_RUNS'!I95)</x:f>
      </x:c>
      <x:c r="J128" s="523" t="str">
        <x:f>IF(ISBLANK('_RUNS'!J95),"",'_RUNS'!J95)</x:f>
      </x:c>
      <x:c r="K128" s="523" t="str">
        <x:f>IF(ISBLANK('_RUNS'!K95),"",'_RUNS'!K95)</x:f>
      </x:c>
      <x:c r="L128" s="875"/>
      <x:c r="M128" s="875"/>
      <x:c r="N128" s="875"/>
      <x:c r="O128" s="875"/>
      <x:c r="P128" s="875"/>
      <x:c r="Q128" s="875"/>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523" t="str">
        <x:f>IF(ISBLANK('_RUNS'!A96),"",'_RUNS'!A96)</x:f>
      </x:c>
      <x:c r="B129" s="523" t="str">
        <x:f>IF(ISBLANK('_RUNS'!B96),"",'_RUNS'!B96)</x:f>
      </x:c>
      <x:c r="C129" s="530" t="str">
        <x:f>IF(ISBLANK('_RUNS'!C96),"",'_RUNS'!C96)</x:f>
      </x:c>
      <x:c r="D129" s="573" t="str">
        <x:f>IF('_RUNS'!D96="","",'_RUNS'!D96/100)</x:f>
      </x:c>
      <x:c r="E129" s="523" t="str">
        <x:f>IF(ISBLANK('_RUNS'!E96),"",'_RUNS'!E96)</x:f>
      </x:c>
      <x:c r="F129" s="523" t="str">
        <x:f>IF(ISBLANK('_RUNS'!F96),"",'_RUNS'!F96)</x:f>
      </x:c>
      <x:c r="G129" s="575" t="str">
        <x:f>IF(ISBLANK('_RUNS'!G96),"",'_RUNS'!G96)</x:f>
      </x:c>
      <x:c r="H129" s="530" t="str">
        <x:f>IF(ISBLANK('_RUNS'!H96),"",'_RUNS'!H96)</x:f>
      </x:c>
      <x:c r="I129" s="523" t="str">
        <x:f>IF(ISBLANK('_RUNS'!I96),"",'_RUNS'!I96)</x:f>
      </x:c>
      <x:c r="J129" s="523" t="str">
        <x:f>IF(ISBLANK('_RUNS'!J96),"",'_RUNS'!J96)</x:f>
      </x:c>
      <x:c r="K129" s="523" t="str">
        <x:f>IF(ISBLANK('_RUNS'!K96),"",'_RUNS'!K96)</x:f>
      </x:c>
      <x:c r="L129" s="875"/>
      <x:c r="M129" s="875"/>
      <x:c r="N129" s="875"/>
      <x:c r="O129" s="875"/>
      <x:c r="P129" s="875"/>
      <x:c r="Q129" s="875"/>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523" t="str">
        <x:f>IF(ISBLANK('_RUNS'!A97),"",'_RUNS'!A97)</x:f>
      </x:c>
      <x:c r="B130" s="523" t="str">
        <x:f>IF(ISBLANK('_RUNS'!B97),"",'_RUNS'!B97)</x:f>
      </x:c>
      <x:c r="C130" s="530" t="str">
        <x:f>IF(ISBLANK('_RUNS'!C97),"",'_RUNS'!C97)</x:f>
      </x:c>
      <x:c r="D130" s="573" t="str">
        <x:f>IF('_RUNS'!D97="","",'_RUNS'!D97/100)</x:f>
      </x:c>
      <x:c r="E130" s="523" t="str">
        <x:f>IF(ISBLANK('_RUNS'!E97),"",'_RUNS'!E97)</x:f>
      </x:c>
      <x:c r="F130" s="523" t="str">
        <x:f>IF(ISBLANK('_RUNS'!F97),"",'_RUNS'!F97)</x:f>
      </x:c>
      <x:c r="G130" s="575" t="str">
        <x:f>IF(ISBLANK('_RUNS'!G97),"",'_RUNS'!G97)</x:f>
      </x:c>
      <x:c r="H130" s="530" t="str">
        <x:f>IF(ISBLANK('_RUNS'!H97),"",'_RUNS'!H97)</x:f>
      </x:c>
      <x:c r="I130" s="523" t="str">
        <x:f>IF(ISBLANK('_RUNS'!I97),"",'_RUNS'!I97)</x:f>
      </x:c>
      <x:c r="J130" s="523" t="str">
        <x:f>IF(ISBLANK('_RUNS'!J97),"",'_RUNS'!J97)</x:f>
      </x:c>
      <x:c r="K130" s="523" t="str">
        <x:f>IF(ISBLANK('_RUNS'!K97),"",'_RUNS'!K97)</x:f>
      </x:c>
      <x:c r="L130" s="875"/>
      <x:c r="M130" s="875"/>
      <x:c r="N130" s="875"/>
      <x:c r="O130" s="875"/>
      <x:c r="P130" s="875"/>
      <x:c r="Q130" s="875"/>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523" t="str">
        <x:f>IF(ISBLANK('_RUNS'!A98),"",'_RUNS'!A98)</x:f>
      </x:c>
      <x:c r="B131" s="523" t="str">
        <x:f>IF(ISBLANK('_RUNS'!B98),"",'_RUNS'!B98)</x:f>
      </x:c>
      <x:c r="C131" s="530" t="str">
        <x:f>IF(ISBLANK('_RUNS'!C98),"",'_RUNS'!C98)</x:f>
      </x:c>
      <x:c r="D131" s="573" t="str">
        <x:f>IF('_RUNS'!D98="","",'_RUNS'!D98/100)</x:f>
      </x:c>
      <x:c r="E131" s="523" t="str">
        <x:f>IF(ISBLANK('_RUNS'!E98),"",'_RUNS'!E98)</x:f>
      </x:c>
      <x:c r="F131" s="523" t="str">
        <x:f>IF(ISBLANK('_RUNS'!F98),"",'_RUNS'!F98)</x:f>
      </x:c>
      <x:c r="G131" s="575" t="str">
        <x:f>IF(ISBLANK('_RUNS'!G98),"",'_RUNS'!G98)</x:f>
      </x:c>
      <x:c r="H131" s="530" t="str">
        <x:f>IF(ISBLANK('_RUNS'!H98),"",'_RUNS'!H98)</x:f>
      </x:c>
      <x:c r="I131" s="523" t="str">
        <x:f>IF(ISBLANK('_RUNS'!I98),"",'_RUNS'!I98)</x:f>
      </x:c>
      <x:c r="J131" s="523" t="str">
        <x:f>IF(ISBLANK('_RUNS'!J98),"",'_RUNS'!J98)</x:f>
      </x:c>
      <x:c r="K131" s="523" t="str">
        <x:f>IF(ISBLANK('_RUNS'!K98),"",'_RUNS'!K98)</x:f>
      </x:c>
      <x:c r="L131" s="875"/>
      <x:c r="M131" s="875"/>
      <x:c r="N131" s="875"/>
      <x:c r="O131" s="875"/>
      <x:c r="P131" s="875"/>
      <x:c r="Q131" s="875"/>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523" t="str">
        <x:f>IF(ISBLANK('_RUNS'!A99),"",'_RUNS'!A99)</x:f>
      </x:c>
      <x:c r="B132" s="523" t="str">
        <x:f>IF(ISBLANK('_RUNS'!B99),"",'_RUNS'!B99)</x:f>
      </x:c>
      <x:c r="C132" s="530" t="str">
        <x:f>IF(ISBLANK('_RUNS'!C99),"",'_RUNS'!C99)</x:f>
      </x:c>
      <x:c r="D132" s="573" t="str">
        <x:f>IF('_RUNS'!D99="","",'_RUNS'!D99/100)</x:f>
      </x:c>
      <x:c r="E132" s="523" t="str">
        <x:f>IF(ISBLANK('_RUNS'!E99),"",'_RUNS'!E99)</x:f>
      </x:c>
      <x:c r="F132" s="523" t="str">
        <x:f>IF(ISBLANK('_RUNS'!F99),"",'_RUNS'!F99)</x:f>
      </x:c>
      <x:c r="G132" s="575" t="str">
        <x:f>IF(ISBLANK('_RUNS'!G99),"",'_RUNS'!G99)</x:f>
      </x:c>
      <x:c r="H132" s="530" t="str">
        <x:f>IF(ISBLANK('_RUNS'!H99),"",'_RUNS'!H99)</x:f>
      </x:c>
      <x:c r="I132" s="523" t="str">
        <x:f>IF(ISBLANK('_RUNS'!I99),"",'_RUNS'!I99)</x:f>
      </x:c>
      <x:c r="J132" s="523" t="str">
        <x:f>IF(ISBLANK('_RUNS'!J99),"",'_RUNS'!J99)</x:f>
      </x:c>
      <x:c r="K132" s="523" t="str">
        <x:f>IF(ISBLANK('_RUNS'!K99),"",'_RUNS'!K99)</x:f>
      </x:c>
      <x:c r="L132" s="875"/>
      <x:c r="M132" s="875"/>
      <x:c r="N132" s="875"/>
      <x:c r="O132" s="875"/>
      <x:c r="P132" s="875"/>
      <x:c r="Q132" s="875"/>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523" t="str">
        <x:f>IF(ISBLANK('_RUNS'!A100),"",'_RUNS'!A100)</x:f>
      </x:c>
      <x:c r="B133" s="523" t="str">
        <x:f>IF(ISBLANK('_RUNS'!B100),"",'_RUNS'!B100)</x:f>
      </x:c>
      <x:c r="C133" s="530" t="str">
        <x:f>IF(ISBLANK('_RUNS'!C100),"",'_RUNS'!C100)</x:f>
      </x:c>
      <x:c r="D133" s="573" t="str">
        <x:f>IF('_RUNS'!D100="","",'_RUNS'!D100/100)</x:f>
      </x:c>
      <x:c r="E133" s="523" t="str">
        <x:f>IF(ISBLANK('_RUNS'!E100),"",'_RUNS'!E100)</x:f>
      </x:c>
      <x:c r="F133" s="523" t="str">
        <x:f>IF(ISBLANK('_RUNS'!F100),"",'_RUNS'!F100)</x:f>
      </x:c>
      <x:c r="G133" s="575" t="str">
        <x:f>IF(ISBLANK('_RUNS'!G100),"",'_RUNS'!G100)</x:f>
      </x:c>
      <x:c r="H133" s="530" t="str">
        <x:f>IF(ISBLANK('_RUNS'!H100),"",'_RUNS'!H100)</x:f>
      </x:c>
      <x:c r="I133" s="523" t="str">
        <x:f>IF(ISBLANK('_RUNS'!I100),"",'_RUNS'!I100)</x:f>
      </x:c>
      <x:c r="J133" s="523" t="str">
        <x:f>IF(ISBLANK('_RUNS'!J100),"",'_RUNS'!J100)</x:f>
      </x:c>
      <x:c r="K133" s="523" t="str">
        <x:f>IF(ISBLANK('_RUNS'!K100),"",'_RUNS'!K100)</x:f>
      </x:c>
      <x:c r="L133" s="875"/>
      <x:c r="M133" s="875"/>
      <x:c r="N133" s="875"/>
      <x:c r="O133" s="875"/>
      <x:c r="P133" s="875"/>
      <x:c r="Q133" s="875"/>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523" t="str">
        <x:f>IF(ISBLANK('_RUNS'!A101),"",'_RUNS'!A101)</x:f>
      </x:c>
      <x:c r="B134" s="523" t="str">
        <x:f>IF(ISBLANK('_RUNS'!B101),"",'_RUNS'!B101)</x:f>
      </x:c>
      <x:c r="C134" s="530" t="str">
        <x:f>IF(ISBLANK('_RUNS'!C101),"",'_RUNS'!C101)</x:f>
      </x:c>
      <x:c r="D134" s="573" t="str">
        <x:f>IF('_RUNS'!D101="","",'_RUNS'!D101/100)</x:f>
      </x:c>
      <x:c r="E134" s="523" t="str">
        <x:f>IF(ISBLANK('_RUNS'!E101),"",'_RUNS'!E101)</x:f>
      </x:c>
      <x:c r="F134" s="523" t="str">
        <x:f>IF(ISBLANK('_RUNS'!F101),"",'_RUNS'!F101)</x:f>
      </x:c>
      <x:c r="G134" s="575" t="str">
        <x:f>IF(ISBLANK('_RUNS'!G101),"",'_RUNS'!G101)</x:f>
      </x:c>
      <x:c r="H134" s="530" t="str">
        <x:f>IF(ISBLANK('_RUNS'!H101),"",'_RUNS'!H101)</x:f>
      </x:c>
      <x:c r="I134" s="523" t="str">
        <x:f>IF(ISBLANK('_RUNS'!I101),"",'_RUNS'!I101)</x:f>
      </x:c>
      <x:c r="J134" s="523" t="str">
        <x:f>IF(ISBLANK('_RUNS'!J101),"",'_RUNS'!J101)</x:f>
      </x:c>
      <x:c r="K134" s="523" t="str">
        <x:f>IF(ISBLANK('_RUNS'!K101),"",'_RUNS'!K101)</x:f>
      </x:c>
      <x:c r="L134" s="875"/>
      <x:c r="M134" s="875"/>
      <x:c r="N134" s="875"/>
      <x:c r="O134" s="875"/>
      <x:c r="P134" s="875"/>
      <x:c r="Q134" s="875"/>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875"/>
      <x:c r="B135" s="875"/>
      <x:c r="C135" s="875"/>
      <x:c r="D135" s="875"/>
      <x:c r="E135" s="875"/>
      <x:c r="F135" s="875"/>
      <x:c r="G135" s="875"/>
      <x:c r="H135" s="875"/>
      <x:c r="I135" s="875"/>
      <x:c r="J135" s="875"/>
      <x:c r="K135" s="875"/>
      <x:c r="L135" s="875"/>
      <x:c r="M135" s="875"/>
      <x:c r="N135" s="875"/>
      <x:c r="O135" s="875"/>
      <x:c r="P135" s="875"/>
      <x:c r="Q135" s="875"/>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875"/>
      <x:c r="B136" s="875"/>
      <x:c r="C136" s="875"/>
      <x:c r="D136" s="875"/>
      <x:c r="E136" s="875"/>
      <x:c r="F136" s="875"/>
      <x:c r="G136" s="875"/>
      <x:c r="H136" s="875"/>
      <x:c r="I136" s="875"/>
      <x:c r="J136" s="875"/>
      <x:c r="K136" s="875"/>
      <x:c r="L136" s="875"/>
      <x:c r="M136" s="875"/>
      <x:c r="N136" s="875"/>
      <x:c r="O136" s="875"/>
      <x:c r="P136" s="875"/>
      <x:c r="Q136" s="875"/>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875"/>
      <x:c r="B137" s="875"/>
      <x:c r="C137" s="875"/>
      <x:c r="D137" s="875"/>
      <x:c r="E137" s="875"/>
      <x:c r="F137" s="875"/>
      <x:c r="G137" s="875"/>
      <x:c r="H137" s="875"/>
      <x:c r="I137" s="875"/>
      <x:c r="J137" s="875"/>
      <x:c r="K137" s="875"/>
      <x:c r="L137" s="875"/>
      <x:c r="M137" s="875"/>
      <x:c r="N137" s="875"/>
      <x:c r="O137" s="875"/>
      <x:c r="P137" s="875"/>
      <x:c r="Q137" s="875"/>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875"/>
      <x:c r="B138" s="875"/>
      <x:c r="C138" s="875"/>
      <x:c r="D138" s="875"/>
      <x:c r="E138" s="875"/>
      <x:c r="F138" s="875"/>
      <x:c r="G138" s="875"/>
      <x:c r="H138" s="875"/>
      <x:c r="I138" s="875"/>
      <x:c r="J138" s="875"/>
      <x:c r="K138" s="875"/>
      <x:c r="L138" s="875"/>
      <x:c r="M138" s="875"/>
      <x:c r="N138" s="875"/>
      <x:c r="O138" s="875"/>
      <x:c r="P138" s="875"/>
      <x:c r="Q138" s="875"/>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875"/>
      <x:c r="B139" s="875"/>
      <x:c r="C139" s="875"/>
      <x:c r="D139" s="875"/>
      <x:c r="E139" s="875"/>
      <x:c r="F139" s="875"/>
      <x:c r="G139" s="875"/>
      <x:c r="H139" s="875"/>
      <x:c r="I139" s="875"/>
      <x:c r="J139" s="875"/>
      <x:c r="K139" s="875"/>
      <x:c r="L139" s="875"/>
      <x:c r="M139" s="875"/>
      <x:c r="N139" s="875"/>
      <x:c r="O139" s="875"/>
      <x:c r="P139" s="875"/>
      <x:c r="Q139" s="875"/>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875"/>
      <x:c r="B140" s="875"/>
      <x:c r="C140" s="875"/>
      <x:c r="D140" s="875"/>
      <x:c r="E140" s="875"/>
      <x:c r="F140" s="875"/>
      <x:c r="G140" s="875"/>
      <x:c r="H140" s="875"/>
      <x:c r="I140" s="875"/>
      <x:c r="J140" s="875"/>
      <x:c r="K140" s="875"/>
      <x:c r="L140" s="875"/>
      <x:c r="M140" s="875"/>
      <x:c r="N140" s="875"/>
      <x:c r="O140" s="875"/>
      <x:c r="P140" s="875"/>
      <x:c r="Q140" s="875"/>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875"/>
      <x:c r="B141" s="875"/>
      <x:c r="C141" s="875"/>
      <x:c r="D141" s="875"/>
      <x:c r="E141" s="875"/>
      <x:c r="F141" s="875"/>
      <x:c r="G141" s="875"/>
      <x:c r="H141" s="875"/>
      <x:c r="I141" s="875"/>
      <x:c r="J141" s="875"/>
      <x:c r="K141" s="875"/>
      <x:c r="L141" s="875"/>
      <x:c r="M141" s="875"/>
      <x:c r="N141" s="875"/>
      <x:c r="O141" s="875"/>
      <x:c r="P141" s="875"/>
      <x:c r="Q141" s="875"/>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875"/>
      <x:c r="B142" s="875"/>
      <x:c r="C142" s="875"/>
      <x:c r="D142" s="875"/>
      <x:c r="E142" s="875"/>
      <x:c r="F142" s="875"/>
      <x:c r="G142" s="875"/>
      <x:c r="H142" s="875"/>
      <x:c r="I142" s="875"/>
      <x:c r="J142" s="875"/>
      <x:c r="K142" s="875"/>
      <x:c r="L142" s="875"/>
      <x:c r="M142" s="875"/>
      <x:c r="N142" s="875"/>
      <x:c r="O142" s="875"/>
      <x:c r="P142" s="875"/>
      <x:c r="Q142" s="875"/>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875"/>
      <x:c r="B143" s="875"/>
      <x:c r="C143" s="875"/>
      <x:c r="D143" s="875"/>
      <x:c r="E143" s="875"/>
      <x:c r="F143" s="875"/>
      <x:c r="G143" s="875"/>
      <x:c r="H143" s="875"/>
      <x:c r="I143" s="875"/>
      <x:c r="J143" s="875"/>
      <x:c r="K143" s="875"/>
      <x:c r="L143" s="875"/>
      <x:c r="M143" s="875"/>
      <x:c r="N143" s="875"/>
      <x:c r="O143" s="875"/>
      <x:c r="P143" s="875"/>
      <x:c r="Q143" s="875"/>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875"/>
      <x:c r="B144" s="875"/>
      <x:c r="C144" s="875"/>
      <x:c r="D144" s="875"/>
      <x:c r="E144" s="875"/>
      <x:c r="F144" s="875"/>
      <x:c r="G144" s="875"/>
      <x:c r="H144" s="875"/>
      <x:c r="I144" s="875"/>
      <x:c r="J144" s="875"/>
      <x:c r="K144" s="875"/>
      <x:c r="L144" s="875"/>
      <x:c r="M144" s="875"/>
      <x:c r="N144" s="875"/>
      <x:c r="O144" s="875"/>
      <x:c r="P144" s="875"/>
      <x:c r="Q144" s="875"/>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875"/>
      <x:c r="B145" s="875"/>
      <x:c r="C145" s="875"/>
      <x:c r="D145" s="875"/>
      <x:c r="E145" s="875"/>
      <x:c r="F145" s="875"/>
      <x:c r="G145" s="875"/>
      <x:c r="H145" s="875"/>
      <x:c r="I145" s="875"/>
      <x:c r="J145" s="875"/>
      <x:c r="K145" s="875"/>
      <x:c r="L145" s="875"/>
      <x:c r="M145" s="875"/>
      <x:c r="N145" s="875"/>
      <x:c r="O145" s="875"/>
      <x:c r="P145" s="875"/>
      <x:c r="Q145" s="875"/>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875"/>
      <x:c r="B146" s="875"/>
      <x:c r="C146" s="875"/>
      <x:c r="D146" s="875"/>
      <x:c r="E146" s="875"/>
      <x:c r="F146" s="875"/>
      <x:c r="G146" s="875"/>
      <x:c r="H146" s="875"/>
      <x:c r="I146" s="875"/>
      <x:c r="J146" s="875"/>
      <x:c r="K146" s="875"/>
      <x:c r="L146" s="875"/>
      <x:c r="M146" s="875"/>
      <x:c r="N146" s="875"/>
      <x:c r="O146" s="875"/>
      <x:c r="P146" s="875"/>
      <x:c r="Q146" s="875"/>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875"/>
      <x:c r="B147" s="875"/>
      <x:c r="C147" s="875"/>
      <x:c r="D147" s="875"/>
      <x:c r="E147" s="875"/>
      <x:c r="F147" s="875"/>
      <x:c r="G147" s="875"/>
      <x:c r="H147" s="875"/>
      <x:c r="I147" s="875"/>
      <x:c r="J147" s="875"/>
      <x:c r="K147" s="875"/>
      <x:c r="L147" s="875"/>
      <x:c r="M147" s="875"/>
      <x:c r="N147" s="875"/>
      <x:c r="O147" s="875"/>
      <x:c r="P147" s="875"/>
      <x:c r="Q147" s="875"/>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875"/>
      <x:c r="B148" s="875"/>
      <x:c r="C148" s="875"/>
      <x:c r="D148" s="875"/>
      <x:c r="E148" s="875"/>
      <x:c r="F148" s="875"/>
      <x:c r="G148" s="875"/>
      <x:c r="H148" s="875"/>
      <x:c r="I148" s="875"/>
      <x:c r="J148" s="875"/>
      <x:c r="K148" s="875"/>
      <x:c r="L148" s="875"/>
      <x:c r="M148" s="875"/>
      <x:c r="N148" s="875"/>
      <x:c r="O148" s="875"/>
      <x:c r="P148" s="875"/>
      <x:c r="Q148" s="875"/>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875"/>
      <x:c r="B149" s="875"/>
      <x:c r="C149" s="875"/>
      <x:c r="D149" s="875"/>
      <x:c r="E149" s="875"/>
      <x:c r="F149" s="875"/>
      <x:c r="G149" s="875"/>
      <x:c r="H149" s="875"/>
      <x:c r="I149" s="875"/>
      <x:c r="J149" s="875"/>
      <x:c r="K149" s="875"/>
      <x:c r="L149" s="875"/>
      <x:c r="M149" s="875"/>
      <x:c r="N149" s="875"/>
      <x:c r="O149" s="875"/>
      <x:c r="P149" s="875"/>
      <x:c r="Q149" s="875"/>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875"/>
      <x:c r="B150" s="875"/>
      <x:c r="C150" s="875"/>
      <x:c r="D150" s="875"/>
      <x:c r="E150" s="875"/>
      <x:c r="F150" s="875"/>
      <x:c r="G150" s="875"/>
      <x:c r="H150" s="875"/>
      <x:c r="I150" s="875"/>
      <x:c r="J150" s="875"/>
      <x:c r="K150" s="875"/>
      <x:c r="L150" s="875"/>
      <x:c r="M150" s="875"/>
      <x:c r="N150" s="875"/>
      <x:c r="O150" s="875"/>
      <x:c r="P150" s="875"/>
      <x:c r="Q150" s="875"/>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875"/>
      <x:c r="B151" s="875"/>
      <x:c r="C151" s="875"/>
      <x:c r="D151" s="875"/>
      <x:c r="E151" s="875"/>
      <x:c r="F151" s="875"/>
      <x:c r="G151" s="875"/>
      <x:c r="H151" s="875"/>
      <x:c r="I151" s="875"/>
      <x:c r="J151" s="875"/>
      <x:c r="K151" s="875"/>
      <x:c r="L151" s="875"/>
      <x:c r="M151" s="875"/>
      <x:c r="N151" s="875"/>
      <x:c r="O151" s="875"/>
      <x:c r="P151" s="875"/>
      <x:c r="Q151" s="875"/>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875"/>
      <x:c r="B152" s="875"/>
      <x:c r="C152" s="875"/>
      <x:c r="D152" s="875"/>
      <x:c r="E152" s="875"/>
      <x:c r="F152" s="875"/>
      <x:c r="G152" s="875"/>
      <x:c r="H152" s="875"/>
      <x:c r="I152" s="875"/>
      <x:c r="J152" s="875"/>
      <x:c r="K152" s="875"/>
      <x:c r="L152" s="875"/>
      <x:c r="M152" s="875"/>
      <x:c r="N152" s="875"/>
      <x:c r="O152" s="875"/>
      <x:c r="P152" s="875"/>
      <x:c r="Q152" s="875"/>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875"/>
      <x:c r="B153" s="875"/>
      <x:c r="C153" s="875"/>
      <x:c r="D153" s="875"/>
      <x:c r="E153" s="875"/>
      <x:c r="F153" s="875"/>
      <x:c r="G153" s="875"/>
      <x:c r="H153" s="875"/>
      <x:c r="I153" s="875"/>
      <x:c r="J153" s="875"/>
      <x:c r="K153" s="875"/>
      <x:c r="L153" s="875"/>
      <x:c r="M153" s="875"/>
      <x:c r="N153" s="875"/>
      <x:c r="O153" s="875"/>
      <x:c r="P153" s="875"/>
      <x:c r="Q153" s="875"/>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875"/>
      <x:c r="B154" s="875"/>
      <x:c r="C154" s="875"/>
      <x:c r="D154" s="875"/>
      <x:c r="E154" s="875"/>
      <x:c r="F154" s="875"/>
      <x:c r="G154" s="875"/>
      <x:c r="H154" s="875"/>
      <x:c r="I154" s="875"/>
      <x:c r="J154" s="875"/>
      <x:c r="K154" s="875"/>
      <x:c r="L154" s="875"/>
      <x:c r="M154" s="875"/>
      <x:c r="N154" s="875"/>
      <x:c r="O154" s="875"/>
      <x:c r="P154" s="875"/>
      <x:c r="Q154" s="875"/>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875"/>
      <x:c r="B155" s="875"/>
      <x:c r="C155" s="875"/>
      <x:c r="D155" s="875"/>
      <x:c r="E155" s="875"/>
      <x:c r="F155" s="875"/>
      <x:c r="G155" s="875"/>
      <x:c r="H155" s="875"/>
      <x:c r="I155" s="875"/>
      <x:c r="J155" s="875"/>
      <x:c r="K155" s="875"/>
      <x:c r="L155" s="875"/>
      <x:c r="M155" s="875"/>
      <x:c r="N155" s="875"/>
      <x:c r="O155" s="875"/>
      <x:c r="P155" s="875"/>
      <x:c r="Q155" s="875"/>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875"/>
      <x:c r="B156" s="875"/>
      <x:c r="C156" s="875"/>
      <x:c r="D156" s="875"/>
      <x:c r="E156" s="875"/>
      <x:c r="F156" s="875"/>
      <x:c r="G156" s="875"/>
      <x:c r="H156" s="875"/>
      <x:c r="I156" s="875"/>
      <x:c r="J156" s="875"/>
      <x:c r="K156" s="875"/>
      <x:c r="L156" s="875"/>
      <x:c r="M156" s="875"/>
      <x:c r="N156" s="875"/>
      <x:c r="O156" s="875"/>
      <x:c r="P156" s="875"/>
      <x:c r="Q156" s="875"/>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875"/>
      <x:c r="B157" s="875"/>
      <x:c r="C157" s="875"/>
      <x:c r="D157" s="875"/>
      <x:c r="E157" s="875"/>
      <x:c r="F157" s="875"/>
      <x:c r="G157" s="875"/>
      <x:c r="H157" s="875"/>
      <x:c r="I157" s="875"/>
      <x:c r="J157" s="875"/>
      <x:c r="K157" s="875"/>
      <x:c r="L157" s="875"/>
      <x:c r="M157" s="875"/>
      <x:c r="N157" s="875"/>
      <x:c r="O157" s="875"/>
      <x:c r="P157" s="875"/>
      <x:c r="Q157" s="875"/>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875"/>
      <x:c r="B158" s="875"/>
      <x:c r="C158" s="875"/>
      <x:c r="D158" s="875"/>
      <x:c r="E158" s="875"/>
      <x:c r="F158" s="875"/>
      <x:c r="G158" s="875"/>
      <x:c r="H158" s="875"/>
      <x:c r="I158" s="875"/>
      <x:c r="J158" s="875"/>
      <x:c r="K158" s="875"/>
      <x:c r="L158" s="875"/>
      <x:c r="M158" s="875"/>
      <x:c r="N158" s="875"/>
      <x:c r="O158" s="875"/>
      <x:c r="P158" s="875"/>
      <x:c r="Q158" s="875"/>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875"/>
      <x:c r="B159" s="875"/>
      <x:c r="C159" s="875"/>
      <x:c r="D159" s="875"/>
      <x:c r="E159" s="875"/>
      <x:c r="F159" s="875"/>
      <x:c r="G159" s="875"/>
      <x:c r="H159" s="875"/>
      <x:c r="I159" s="875"/>
      <x:c r="J159" s="875"/>
      <x:c r="K159" s="875"/>
      <x:c r="L159" s="875"/>
      <x:c r="M159" s="875"/>
      <x:c r="N159" s="875"/>
      <x:c r="O159" s="875"/>
      <x:c r="P159" s="875"/>
      <x:c r="Q159" s="875"/>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875"/>
      <x:c r="B160" s="875"/>
      <x:c r="C160" s="875"/>
      <x:c r="D160" s="875"/>
      <x:c r="E160" s="875"/>
      <x:c r="F160" s="875"/>
      <x:c r="G160" s="875"/>
      <x:c r="H160" s="875"/>
      <x:c r="I160" s="875"/>
      <x:c r="J160" s="875"/>
      <x:c r="K160" s="875"/>
      <x:c r="L160" s="875"/>
      <x:c r="M160" s="875"/>
      <x:c r="N160" s="875"/>
      <x:c r="O160" s="875"/>
      <x:c r="P160" s="875"/>
      <x:c r="Q160" s="875"/>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sheetData>
  <x:mergeCells>
    <x:mergeCell ref="A1:C2"/>
    <x:mergeCell ref="D1:Q1"/>
    <x:mergeCell ref="D2:Q2"/>
    <x:mergeCell ref="A4:C4"/>
    <x:mergeCell ref="A5:C7"/>
    <x:mergeCell ref="A8:C8"/>
    <x:mergeCell ref="D4:G4"/>
    <x:mergeCell ref="D5:G7"/>
    <x:mergeCell ref="D8:G8"/>
    <x:mergeCell ref="H4:K4"/>
    <x:mergeCell ref="H5:K7"/>
    <x:mergeCell ref="H8:K8"/>
    <x:mergeCell ref="L4:N4"/>
    <x:mergeCell ref="L5:N7"/>
    <x:mergeCell ref="L8:N8"/>
    <x:mergeCell ref="O4:Q4"/>
    <x:mergeCell ref="O5:Q7"/>
    <x:mergeCell ref="O8:Q8"/>
    <x:mergeCell ref="A10:H11"/>
    <x:mergeCell ref="J10:Q11"/>
    <x:mergeCell ref="A31:Q32"/>
    <x:mergeCell ref="M34:Q44"/>
    <x:mergeCell ref="A47:Q49"/>
  </x:mergeCells>
  <x:conditionalFormatting sqref="K35:K134">
    <x:cfRule type="expression" dxfId="15" priority="1">
      <x:formula>$K35=TRUE</x:formula>
    </x:cfRule>
  </x:conditionalFormatting>
  <x:pageMargins left="0.7" right="0.7" top="0.75" bottom="0.75" header="0.3" footer="0.3"/>
  <x:drawing xmlns:r="http://schemas.openxmlformats.org/officeDocument/2006/relationships" r:id="Rdf5379b3aad544a8"/>
</x:worksheet>
</file>

<file path=xl/worksheets/sheet5.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s>
  <x:sheetData>
    <x:row r="1" ht="24" customHeight="1">
      <x:c r="A1" s="42" t="str">
        <x:f>IF('_CONFIG'!$B$2="pt-BR","INSTÂNCIA","INSTANCE")</x:f>
        <x:v>INSTANCE</x:v>
      </x:c>
      <x:c r="B1" s="42"/>
      <x:c r="C1" s="42"/>
      <x:c r="D1" s="44" t="str">
        <x:f>IF('_CONFIG'!$B$2="pt-BR","Como a realidade é representada antes de o solver raciocinar.","What reality becomes before the solver can reason.")</x:f>
        <x:v>What reality becomes before the solver can reason.</x:v>
      </x:c>
      <x:c r="E1" s="44"/>
      <x:c r="F1" s="44"/>
      <x:c r="G1" s="44"/>
      <x:c r="H1" s="44"/>
      <x:c r="I1" s="44"/>
      <x:c r="J1" s="44"/>
      <x:c r="K1" s="44"/>
      <x:c r="L1" s="44"/>
      <x:c r="M1" s="44"/>
      <x:c r="N1" s="44"/>
      <x:c r="O1" s="44"/>
      <x:c r="P1" s="44"/>
      <x:c r="Q1" s="44"/>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IF('_CONFIG'!$B$2="pt-BR","Jobs, famílias, janelas de tempo e custos traduzidos em dados de programação para uma máquina","Jobs, families, time windows, and costs translated into one-machine scheduling data")</x:f>
        <x:v>Jobs, families, time windows, and costs translated into one-machine scheduling data</x:v>
      </x:c>
      <x:c r="E2" s="45"/>
      <x:c r="F2" s="45"/>
      <x:c r="G2" s="45"/>
      <x:c r="H2" s="45"/>
      <x:c r="I2" s="45"/>
      <x:c r="J2" s="45"/>
      <x:c r="K2" s="45"/>
      <x:c r="L2" s="45"/>
      <x:c r="M2" s="45"/>
      <x:c r="N2" s="45"/>
      <x:c r="O2" s="45"/>
      <x:c r="P2" s="45"/>
      <x:c r="Q2" s="4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38"/>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x:c r="A4" s="405" t="str">
        <x:f>IF('_CONFIG'!$B$2="pt-BR","JOBS","JOBS")</x:f>
        <x:v>JOBS</x:v>
      </x:c>
      <x:c r="B4" s="405"/>
      <x:c r="C4" s="405"/>
      <x:c r="D4" s="405"/>
      <x:c r="E4" s="466" t="str">
        <x:f>IF('_CONFIG'!$B$2="pt-BR","FAMÍLIAS","FAMILIES")</x:f>
        <x:v>FAMILIES</x:v>
      </x:c>
      <x:c r="F4" s="466"/>
      <x:c r="G4" s="466"/>
      <x:c r="H4" s="466"/>
      <x:c r="I4" s="467" t="str">
        <x:f>IF('_CONFIG'!$B$2="pt-BR","HORIZONTE","HORIZON")</x:f>
        <x:v>HORIZON</x:v>
      </x:c>
      <x:c r="J4" s="467"/>
      <x:c r="K4" s="467"/>
      <x:c r="L4" s="467"/>
      <x:c r="M4" s="551" t="str">
        <x:f>IF('_CONFIG'!$B$2="pt-BR","ESTADO INICIAL","INITIAL STATE")</x:f>
        <x:v>INITIAL STATE</x:v>
      </x:c>
      <x:c r="N4" s="551"/>
      <x:c r="O4" s="551"/>
      <x:c r="P4" s="551"/>
      <x:c r="Q4" s="551"/>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x:c r="A5" s="424" t="n">
        <x:f>'_STATE'!$B$2</x:f>
        <x:v>75</x:v>
      </x:c>
      <x:c r="B5" s="425"/>
      <x:c r="C5" s="425"/>
      <x:c r="D5" s="426"/>
      <x:c r="E5" s="424" t="n">
        <x:f>'_STATE'!$B$3</x:f>
        <x:v>4</x:v>
      </x:c>
      <x:c r="F5" s="425"/>
      <x:c r="G5" s="425"/>
      <x:c r="H5" s="426"/>
      <x:c r="I5" s="424" t="n">
        <x:f>'_STATE'!$B$4</x:f>
        <x:v>20000</x:v>
      </x:c>
      <x:c r="J5" s="425"/>
      <x:c r="K5" s="425"/>
      <x:c r="L5" s="426"/>
      <x:c r="M5" s="424" t="n">
        <x:f>'_STATE'!$B$10</x:f>
        <x:v>3</x:v>
      </x:c>
      <x:c r="N5" s="425"/>
      <x:c r="O5" s="425"/>
      <x:c r="P5" s="425"/>
      <x:c r="Q5" s="426"/>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x:c r="A6" s="427"/>
      <x:c r="B6" s="428"/>
      <x:c r="C6" s="428"/>
      <x:c r="D6" s="429"/>
      <x:c r="E6" s="427"/>
      <x:c r="F6" s="428"/>
      <x:c r="G6" s="428"/>
      <x:c r="H6" s="429"/>
      <x:c r="I6" s="427"/>
      <x:c r="J6" s="428"/>
      <x:c r="K6" s="428"/>
      <x:c r="L6" s="429"/>
      <x:c r="M6" s="427"/>
      <x:c r="N6" s="428"/>
      <x:c r="O6" s="428"/>
      <x:c r="P6" s="428"/>
      <x:c r="Q6" s="429"/>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x:c r="A7" s="430"/>
      <x:c r="B7" s="431"/>
      <x:c r="C7" s="431"/>
      <x:c r="D7" s="432"/>
      <x:c r="E7" s="430"/>
      <x:c r="F7" s="431"/>
      <x:c r="G7" s="431"/>
      <x:c r="H7" s="432"/>
      <x:c r="I7" s="430"/>
      <x:c r="J7" s="431"/>
      <x:c r="K7" s="431"/>
      <x:c r="L7" s="432"/>
      <x:c r="M7" s="430"/>
      <x:c r="N7" s="431"/>
      <x:c r="O7" s="431"/>
      <x:c r="P7" s="431"/>
      <x:c r="Q7" s="432"/>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x:c r="A8" s="440" t="str">
        <x:f>IF('_CONFIG'!$B$2="pt-BR","decisões de programar ou rejeitar","decisions to place or reject")</x:f>
        <x:v>decisions to place or reject</x:v>
      </x:c>
      <x:c r="B8" s="441"/>
      <x:c r="C8" s="441"/>
      <x:c r="D8" s="442"/>
      <x:c r="E8" s="440" t="str">
        <x:f>IF('_CONFIG'!$B$2="pt-BR","estados da máquina / grupos de produtos","machine states / product groups")</x:f>
        <x:v>machine states / product groups</x:v>
      </x:c>
      <x:c r="F8" s="441"/>
      <x:c r="G8" s="441"/>
      <x:c r="H8" s="442"/>
      <x:c r="I8" s="440" t="str">
        <x:f>IF('_CONFIG'!$B$2="pt-BR","limite rígido de planejamento","hard planning limit")</x:f>
        <x:v>hard planning limit</x:v>
      </x:c>
      <x:c r="J8" s="441"/>
      <x:c r="K8" s="441"/>
      <x:c r="L8" s="442"/>
      <x:c r="M8" s="440" t="str">
        <x:f>IF('_CONFIG'!$B$2="pt-BR","família da máquina antes do job 1","machine family before job 1")</x:f>
        <x:v>machine family before job 1</x:v>
      </x:c>
      <x:c r="N8" s="441"/>
      <x:c r="O8" s="441"/>
      <x:c r="P8" s="441"/>
      <x:c r="Q8" s="442"/>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x:c r="A9" s="38"/>
      <x:c r="B9" s="38"/>
      <x:c r="C9" s="38"/>
      <x:c r="D9" s="38"/>
      <x:c r="E9" s="38"/>
      <x:c r="F9" s="38"/>
      <x:c r="G9" s="38"/>
      <x:c r="H9" s="38"/>
      <x:c r="I9" s="38"/>
      <x:c r="J9" s="38"/>
      <x:c r="K9" s="38"/>
      <x:c r="L9" s="38"/>
      <x:c r="M9" s="38"/>
      <x:c r="N9" s="38"/>
      <x:c r="O9" s="38"/>
      <x:c r="P9" s="38"/>
      <x:c r="Q9" s="38"/>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294" t="str">
        <x:f>IF('_CONFIG'!$B$2="pt-BR","CARGA POR FAMÍLIA","WORKLOAD BY FAMILY")</x:f>
        <x:v>WORKLOAD BY FAMILY</x:v>
      </x:c>
      <x:c r="B10" s="294"/>
      <x:c r="C10" s="294"/>
      <x:c r="D10" s="294"/>
      <x:c r="E10" s="294"/>
      <x:c r="F10" s="294"/>
      <x:c r="G10" s="294"/>
      <x:c r="H10" s="294"/>
      <x:c r="I10" s="38"/>
      <x:c r="J10" s="294" t="str">
        <x:f>IF('_CONFIG'!$B$2="pt-BR","GEOMETRIA DAS JANELAS DE TEMPO","TIME-WINDOW GEOMETRY")</x:f>
        <x:v>TIME-WINDOW GEOMETRY</x:v>
      </x:c>
      <x:c r="K10" s="294"/>
      <x:c r="L10" s="294"/>
      <x:c r="M10" s="294"/>
      <x:c r="N10" s="294"/>
      <x:c r="O10" s="294"/>
      <x:c r="P10" s="294"/>
      <x:c r="Q10" s="294"/>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294"/>
      <x:c r="B11" s="294"/>
      <x:c r="C11" s="294"/>
      <x:c r="D11" s="294"/>
      <x:c r="E11" s="294"/>
      <x:c r="F11" s="294"/>
      <x:c r="G11" s="294"/>
      <x:c r="H11" s="294"/>
      <x:c r="I11" s="38"/>
      <x:c r="J11" s="294"/>
      <x:c r="K11" s="294"/>
      <x:c r="L11" s="294"/>
      <x:c r="M11" s="294"/>
      <x:c r="N11" s="294"/>
      <x:c r="O11" s="294"/>
      <x:c r="P11" s="294"/>
      <x:c r="Q11" s="294"/>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38"/>
      <x:c r="B12" s="38"/>
      <x:c r="C12" s="38"/>
      <x:c r="D12" s="38"/>
      <x:c r="E12" s="38"/>
      <x:c r="F12" s="38"/>
      <x:c r="G12" s="38"/>
      <x:c r="H12" s="38"/>
      <x:c r="I12" s="38"/>
      <x:c r="J12" s="38"/>
      <x:c r="K12" s="38"/>
      <x:c r="L12" s="38"/>
      <x:c r="M12" s="38"/>
      <x:c r="N12" s="38"/>
      <x:c r="O12" s="38"/>
      <x:c r="P12" s="38"/>
      <x:c r="Q12" s="38"/>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x:c r="A13" s="38"/>
      <x:c r="B13" s="38"/>
      <x:c r="C13" s="38"/>
      <x:c r="D13" s="38"/>
      <x:c r="E13" s="38"/>
      <x:c r="F13" s="38"/>
      <x:c r="G13" s="38"/>
      <x:c r="H13" s="38"/>
      <x:c r="I13" s="38"/>
      <x:c r="J13" s="38"/>
      <x:c r="K13" s="38"/>
      <x:c r="L13" s="38"/>
      <x:c r="M13" s="38"/>
      <x:c r="N13" s="38"/>
      <x:c r="O13" s="38"/>
      <x:c r="P13" s="38"/>
      <x:c r="Q13" s="38"/>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x:c r="A14" s="38"/>
      <x:c r="B14" s="38"/>
      <x:c r="C14" s="38"/>
      <x:c r="D14" s="38"/>
      <x:c r="E14" s="38"/>
      <x:c r="F14" s="38"/>
      <x:c r="G14" s="38"/>
      <x:c r="H14" s="38"/>
      <x:c r="I14" s="38"/>
      <x:c r="J14" s="38"/>
      <x:c r="K14" s="38"/>
      <x:c r="L14" s="38"/>
      <x:c r="M14" s="38"/>
      <x:c r="N14" s="38"/>
      <x:c r="O14" s="38"/>
      <x:c r="P14" s="38"/>
      <x:c r="Q14" s="38"/>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x:c r="A15" s="38"/>
      <x:c r="B15" s="38"/>
      <x:c r="C15" s="38"/>
      <x:c r="D15" s="38"/>
      <x:c r="E15" s="38"/>
      <x:c r="F15" s="38"/>
      <x:c r="G15" s="38"/>
      <x:c r="H15" s="38"/>
      <x:c r="I15" s="38"/>
      <x:c r="J15" s="38"/>
      <x:c r="K15" s="38"/>
      <x:c r="L15" s="38"/>
      <x:c r="M15" s="38"/>
      <x:c r="N15" s="38"/>
      <x:c r="O15" s="38"/>
      <x:c r="P15" s="38"/>
      <x:c r="Q15" s="38"/>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x:c r="A16" s="38"/>
      <x:c r="B16" s="38"/>
      <x:c r="C16" s="38"/>
      <x:c r="D16" s="38"/>
      <x:c r="E16" s="38"/>
      <x:c r="F16" s="38"/>
      <x:c r="G16" s="38"/>
      <x:c r="H16" s="38"/>
      <x:c r="I16" s="38"/>
      <x:c r="J16" s="38"/>
      <x:c r="K16" s="38"/>
      <x:c r="L16" s="38"/>
      <x:c r="M16" s="38"/>
      <x:c r="N16" s="38"/>
      <x:c r="O16" s="38"/>
      <x:c r="P16" s="38"/>
      <x:c r="Q16" s="38"/>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x:c r="A17" s="38"/>
      <x:c r="B17" s="38"/>
      <x:c r="C17" s="38"/>
      <x:c r="D17" s="38"/>
      <x:c r="E17" s="38"/>
      <x:c r="F17" s="38"/>
      <x:c r="G17" s="38"/>
      <x:c r="H17" s="38"/>
      <x:c r="I17" s="38"/>
      <x:c r="J17" s="38"/>
      <x:c r="K17" s="38"/>
      <x:c r="L17" s="38"/>
      <x:c r="M17" s="38"/>
      <x:c r="N17" s="38"/>
      <x:c r="O17" s="38"/>
      <x:c r="P17" s="38"/>
      <x:c r="Q17" s="38"/>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x:c r="A18" s="38"/>
      <x:c r="B18" s="38"/>
      <x:c r="C18" s="38"/>
      <x:c r="D18" s="38"/>
      <x:c r="E18" s="38"/>
      <x:c r="F18" s="38"/>
      <x:c r="G18" s="38"/>
      <x:c r="H18" s="38"/>
      <x:c r="I18" s="38"/>
      <x:c r="J18" s="38"/>
      <x:c r="K18" s="38"/>
      <x:c r="L18" s="38"/>
      <x:c r="M18" s="38"/>
      <x:c r="N18" s="38"/>
      <x:c r="O18" s="38"/>
      <x:c r="P18" s="38"/>
      <x:c r="Q18" s="38"/>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38"/>
      <x:c r="B19" s="38"/>
      <x:c r="C19" s="38"/>
      <x:c r="D19" s="38"/>
      <x:c r="E19" s="38"/>
      <x:c r="F19" s="38"/>
      <x:c r="G19" s="38"/>
      <x:c r="H19" s="38"/>
      <x:c r="I19" s="38"/>
      <x:c r="J19" s="38"/>
      <x:c r="K19" s="38"/>
      <x:c r="L19" s="38"/>
      <x:c r="M19" s="38"/>
      <x:c r="N19" s="38"/>
      <x:c r="O19" s="38"/>
      <x:c r="P19" s="38"/>
      <x:c r="Q19" s="38"/>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x:c r="A20" s="38"/>
      <x:c r="B20" s="38"/>
      <x:c r="C20" s="38"/>
      <x:c r="D20" s="38"/>
      <x:c r="E20" s="38"/>
      <x:c r="F20" s="38"/>
      <x:c r="G20" s="38"/>
      <x:c r="H20" s="38"/>
      <x:c r="I20" s="38"/>
      <x:c r="J20" s="38"/>
      <x:c r="K20" s="38"/>
      <x:c r="L20" s="38"/>
      <x:c r="M20" s="38"/>
      <x:c r="N20" s="38"/>
      <x:c r="O20" s="38"/>
      <x:c r="P20" s="38"/>
      <x:c r="Q20" s="38"/>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x:c r="A21" s="38"/>
      <x:c r="B21" s="38"/>
      <x:c r="C21" s="38"/>
      <x:c r="D21" s="38"/>
      <x:c r="E21" s="38"/>
      <x:c r="F21" s="38"/>
      <x:c r="G21" s="38"/>
      <x:c r="H21" s="38"/>
      <x:c r="I21" s="38"/>
      <x:c r="J21" s="38"/>
      <x:c r="K21" s="38"/>
      <x:c r="L21" s="38"/>
      <x:c r="M21" s="38"/>
      <x:c r="N21" s="38"/>
      <x:c r="O21" s="38"/>
      <x:c r="P21" s="38"/>
      <x:c r="Q21" s="38"/>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x:c r="A22" s="38"/>
      <x:c r="B22" s="38"/>
      <x:c r="C22" s="38"/>
      <x:c r="D22" s="38"/>
      <x:c r="E22" s="38"/>
      <x:c r="F22" s="38"/>
      <x:c r="G22" s="38"/>
      <x:c r="H22" s="38"/>
      <x:c r="I22" s="38"/>
      <x:c r="J22" s="38"/>
      <x:c r="K22" s="38"/>
      <x:c r="L22" s="38"/>
      <x:c r="M22" s="38"/>
      <x:c r="N22" s="38"/>
      <x:c r="O22" s="38"/>
      <x:c r="P22" s="38"/>
      <x:c r="Q22" s="38"/>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x:c r="A23" s="38"/>
      <x:c r="B23" s="38"/>
      <x:c r="C23" s="38"/>
      <x:c r="D23" s="38"/>
      <x:c r="E23" s="38"/>
      <x:c r="F23" s="38"/>
      <x:c r="G23" s="38"/>
      <x:c r="H23" s="38"/>
      <x:c r="I23" s="38"/>
      <x:c r="J23" s="38"/>
      <x:c r="K23" s="38"/>
      <x:c r="L23" s="38"/>
      <x:c r="M23" s="38"/>
      <x:c r="N23" s="38"/>
      <x:c r="O23" s="38"/>
      <x:c r="P23" s="38"/>
      <x:c r="Q23" s="38"/>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x:c r="A24" s="38"/>
      <x:c r="B24" s="38"/>
      <x:c r="C24" s="38"/>
      <x:c r="D24" s="38"/>
      <x:c r="E24" s="38"/>
      <x:c r="F24" s="38"/>
      <x:c r="G24" s="38"/>
      <x:c r="H24" s="38"/>
      <x:c r="I24" s="38"/>
      <x:c r="J24" s="38"/>
      <x:c r="K24" s="38"/>
      <x:c r="L24" s="38"/>
      <x:c r="M24" s="38"/>
      <x:c r="N24" s="38"/>
      <x:c r="O24" s="38"/>
      <x:c r="P24" s="38"/>
      <x:c r="Q24" s="38"/>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x:c r="A25" s="38"/>
      <x:c r="B25" s="38"/>
      <x:c r="C25" s="38"/>
      <x:c r="D25" s="38"/>
      <x:c r="E25" s="38"/>
      <x:c r="F25" s="38"/>
      <x:c r="G25" s="38"/>
      <x:c r="H25" s="38"/>
      <x:c r="I25" s="38"/>
      <x:c r="J25" s="38"/>
      <x:c r="K25" s="38"/>
      <x:c r="L25" s="38"/>
      <x:c r="M25" s="38"/>
      <x:c r="N25" s="38"/>
      <x:c r="O25" s="38"/>
      <x:c r="P25" s="38"/>
      <x:c r="Q25" s="38"/>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x:c r="A26" s="38"/>
      <x:c r="B26" s="38"/>
      <x:c r="C26" s="38"/>
      <x:c r="D26" s="38"/>
      <x:c r="E26" s="38"/>
      <x:c r="F26" s="38"/>
      <x:c r="G26" s="38"/>
      <x:c r="H26" s="38"/>
      <x:c r="I26" s="38"/>
      <x:c r="J26" s="38"/>
      <x:c r="K26" s="38"/>
      <x:c r="L26" s="38"/>
      <x:c r="M26" s="38"/>
      <x:c r="N26" s="38"/>
      <x:c r="O26" s="38"/>
      <x:c r="P26" s="38"/>
      <x:c r="Q26" s="38"/>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x:c r="A27" s="38"/>
      <x:c r="B27" s="38"/>
      <x:c r="C27" s="38"/>
      <x:c r="D27" s="38"/>
      <x:c r="E27" s="38"/>
      <x:c r="F27" s="38"/>
      <x:c r="G27" s="38"/>
      <x:c r="H27" s="38"/>
      <x:c r="I27" s="38"/>
      <x:c r="J27" s="38"/>
      <x:c r="K27" s="38"/>
      <x:c r="L27" s="38"/>
      <x:c r="M27" s="38"/>
      <x:c r="N27" s="38"/>
      <x:c r="O27" s="38"/>
      <x:c r="P27" s="38"/>
      <x:c r="Q27" s="38"/>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x:c r="A28" s="38"/>
      <x:c r="B28" s="38"/>
      <x:c r="C28" s="38"/>
      <x:c r="D28" s="38"/>
      <x:c r="E28" s="38"/>
      <x:c r="F28" s="38"/>
      <x:c r="G28" s="38"/>
      <x:c r="H28" s="38"/>
      <x:c r="I28" s="38"/>
      <x:c r="J28" s="38"/>
      <x:c r="K28" s="38"/>
      <x:c r="L28" s="38"/>
      <x:c r="M28" s="38"/>
      <x:c r="N28" s="38"/>
      <x:c r="O28" s="38"/>
      <x:c r="P28" s="38"/>
      <x:c r="Q28" s="38"/>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x:c r="A29" s="38"/>
      <x:c r="B29" s="38"/>
      <x:c r="C29" s="38"/>
      <x:c r="D29" s="38"/>
      <x:c r="E29" s="38"/>
      <x:c r="F29" s="38"/>
      <x:c r="G29" s="38"/>
      <x:c r="H29" s="38"/>
      <x:c r="I29" s="38"/>
      <x:c r="J29" s="38"/>
      <x:c r="K29" s="38"/>
      <x:c r="L29" s="38"/>
      <x:c r="M29" s="38"/>
      <x:c r="N29" s="38"/>
      <x:c r="O29" s="38"/>
      <x:c r="P29" s="38"/>
      <x:c r="Q29" s="38"/>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x:c r="A30" s="38"/>
      <x:c r="B30" s="38"/>
      <x:c r="C30" s="38"/>
      <x:c r="D30" s="38"/>
      <x:c r="E30" s="38"/>
      <x:c r="F30" s="38"/>
      <x:c r="G30" s="38"/>
      <x:c r="H30" s="38"/>
      <x:c r="I30" s="38"/>
      <x:c r="J30" s="38"/>
      <x:c r="K30" s="38"/>
      <x:c r="L30" s="38"/>
      <x:c r="M30" s="38"/>
      <x:c r="N30" s="38"/>
      <x:c r="O30" s="38"/>
      <x:c r="P30" s="38"/>
      <x:c r="Q30" s="38"/>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x:c r="A31" s="129" t="str">
        <x:f>IF('_CONFIG'!$B$2="pt-BR","O QUE O MOTOR VÊ","WHAT THE ENGINE SEES")</x:f>
        <x:v>WHAT THE ENGINE SEES</x:v>
      </x:c>
      <x:c r="B31" s="129"/>
      <x:c r="C31" s="129"/>
      <x:c r="D31" s="129"/>
      <x:c r="E31" s="129"/>
      <x:c r="F31" s="129"/>
      <x:c r="G31" s="129"/>
      <x:c r="H31" s="129"/>
      <x:c r="I31" s="38"/>
      <x:c r="J31" s="184" t="str">
        <x:f>IF('_CONFIG'!$B$2="pt-BR","PERFIL POR FAMÍLIA","FAMILY PROFILE")</x:f>
        <x:v>FAMILY PROFILE</x:v>
      </x:c>
      <x:c r="K31" s="184"/>
      <x:c r="L31" s="184"/>
      <x:c r="M31" s="184"/>
      <x:c r="N31" s="184"/>
      <x:c r="O31" s="184"/>
      <x:c r="P31" s="184"/>
      <x:c r="Q31" s="184"/>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x:c r="A32" s="129"/>
      <x:c r="B32" s="129"/>
      <x:c r="C32" s="129"/>
      <x:c r="D32" s="129"/>
      <x:c r="E32" s="129"/>
      <x:c r="F32" s="129"/>
      <x:c r="G32" s="129"/>
      <x:c r="H32" s="129"/>
      <x:c r="I32" s="38"/>
      <x:c r="J32" s="184"/>
      <x:c r="K32" s="184"/>
      <x:c r="L32" s="184"/>
      <x:c r="M32" s="184"/>
      <x:c r="N32" s="184"/>
      <x:c r="O32" s="184"/>
      <x:c r="P32" s="184"/>
      <x:c r="Q32" s="184"/>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x:c r="A33" s="203" t="str">
        <x:f>IF('_CONFIG'!$B$2="pt-BR","Cada job traz uma família, um tempo e um custo de processamento; um instante de liberação; um prazo com peso de atraso; um limite rígido; e um custo de rejeição. A sequência altera o custo de preparação porque a passagem entre famílias muda o estado da máquina.","Each job carries a family, processing time and execution cost; a release time; a due date with a tardiness weight; a hard deadline; and a rejection cost. The sequence changes setup cost because moving between families changes the machine state.")</x:f>
        <x:v>Each job carries a family, processing time and execution cost; a release time; a due date with a tardiness weight; a hard deadline; and a rejection cost. The sequence changes setup cost because moving between families changes the machine state.</x:v>
      </x:c>
      <x:c r="B33" s="204"/>
      <x:c r="C33" s="204"/>
      <x:c r="D33" s="204"/>
      <x:c r="E33" s="204"/>
      <x:c r="F33" s="204"/>
      <x:c r="G33" s="204"/>
      <x:c r="H33" s="205"/>
      <x:c r="I33" s="38"/>
      <x:c r="J33" s="478" t="str">
        <x:f>IF('_CONFIG'!$B$2="pt-BR","Família","Family")</x:f>
        <x:v>Family</x:v>
      </x:c>
      <x:c r="K33" s="479" t="str">
        <x:f>IF('_CONFIG'!$B$2="pt-BR","Jobs","Jobs")</x:f>
        <x:v>Jobs</x:v>
      </x:c>
      <x:c r="L33" s="479" t="str">
        <x:f>IF('_CONFIG'!$B$2="pt-BR","Tempo proc.","Proc. time")</x:f>
        <x:v>Proc. time</x:v>
      </x:c>
      <x:c r="M33" s="479" t="str">
        <x:f>IF('_CONFIG'!$B$2="pt-BR","Custo exec.","Exec. cost")</x:f>
        <x:v>Exec. cost</x:v>
      </x:c>
      <x:c r="N33" s="480" t="str">
        <x:f>IF('_CONFIG'!$B$2="pt-BR","Exposição à rejeição","Reject exposure")</x:f>
        <x:v>Reject exposure</x:v>
      </x:c>
      <x:c r="O33" s="38"/>
      <x:c r="P33" s="38"/>
      <x:c r="Q33" s="38"/>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x:c r="A34" s="206"/>
      <x:c r="B34" s="207"/>
      <x:c r="C34" s="207"/>
      <x:c r="D34" s="207"/>
      <x:c r="E34" s="207"/>
      <x:c r="F34" s="207"/>
      <x:c r="G34" s="207"/>
      <x:c r="H34" s="208"/>
      <x:c r="I34" s="38"/>
      <x:c r="J34" s="522" t="str">
        <x:f>IF(ISBLANK('_CHARTS'!P2),"",'_CHARTS'!P2)</x:f>
        <x:v>F0</x:v>
      </x:c>
      <x:c r="K34" s="529" t="n">
        <x:f>IF(ISBLANK('_CHARTS'!Q2),"",'_CHARTS'!Q2)</x:f>
        <x:v>13</x:v>
      </x:c>
      <x:c r="L34" s="529" t="n">
        <x:f>IF(ISBLANK('_CHARTS'!R2),"",'_CHARTS'!R2)</x:f>
        <x:v>910</x:v>
      </x:c>
      <x:c r="M34" s="529" t="n">
        <x:f>IF(ISBLANK('_CHARTS'!S2),"",'_CHARTS'!S2)</x:f>
        <x:v>1300</x:v>
      </x:c>
      <x:c r="N34" s="529" t="n">
        <x:f>IF(ISBLANK('_CHARTS'!T2),"",'_CHARTS'!T2)</x:f>
        <x:v>18850</x:v>
      </x:c>
      <x:c r="O34" s="38"/>
      <x:c r="P34" s="38"/>
      <x:c r="Q34" s="38"/>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x:c r="A35" s="206"/>
      <x:c r="B35" s="207"/>
      <x:c r="C35" s="207"/>
      <x:c r="D35" s="207"/>
      <x:c r="E35" s="207"/>
      <x:c r="F35" s="207"/>
      <x:c r="G35" s="207"/>
      <x:c r="H35" s="208"/>
      <x:c r="I35" s="38"/>
      <x:c r="J35" s="523" t="str">
        <x:f>IF(ISBLANK('_CHARTS'!P3),"",'_CHARTS'!P3)</x:f>
        <x:v>F1</x:v>
      </x:c>
      <x:c r="K35" s="530" t="n">
        <x:f>IF(ISBLANK('_CHARTS'!Q3),"",'_CHARTS'!Q3)</x:f>
        <x:v>26</x:v>
      </x:c>
      <x:c r="L35" s="530" t="n">
        <x:f>IF(ISBLANK('_CHARTS'!R3),"",'_CHARTS'!R3)</x:f>
        <x:v>2340</x:v>
      </x:c>
      <x:c r="M35" s="530" t="n">
        <x:f>IF(ISBLANK('_CHARTS'!S3),"",'_CHARTS'!S3)</x:f>
        <x:v>2600</x:v>
      </x:c>
      <x:c r="N35" s="530" t="n">
        <x:f>IF(ISBLANK('_CHARTS'!T3),"",'_CHARTS'!T3)</x:f>
        <x:v>45500</x:v>
      </x:c>
      <x:c r="O35" s="38"/>
      <x:c r="P35" s="38"/>
      <x:c r="Q35" s="38"/>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x:c r="A36" s="206"/>
      <x:c r="B36" s="207"/>
      <x:c r="C36" s="207"/>
      <x:c r="D36" s="207"/>
      <x:c r="E36" s="207"/>
      <x:c r="F36" s="207"/>
      <x:c r="G36" s="207"/>
      <x:c r="H36" s="208"/>
      <x:c r="I36" s="38"/>
      <x:c r="J36" s="523" t="str">
        <x:f>IF(ISBLANK('_CHARTS'!P4),"",'_CHARTS'!P4)</x:f>
        <x:v>F2</x:v>
      </x:c>
      <x:c r="K36" s="530" t="n">
        <x:f>IF(ISBLANK('_CHARTS'!Q4),"",'_CHARTS'!Q4)</x:f>
        <x:v>25</x:v>
      </x:c>
      <x:c r="L36" s="530" t="n">
        <x:f>IF(ISBLANK('_CHARTS'!R4),"",'_CHARTS'!R4)</x:f>
        <x:v>2250</x:v>
      </x:c>
      <x:c r="M36" s="530" t="n">
        <x:f>IF(ISBLANK('_CHARTS'!S4),"",'_CHARTS'!S4)</x:f>
        <x:v>2500</x:v>
      </x:c>
      <x:c r="N36" s="530" t="n">
        <x:f>IF(ISBLANK('_CHARTS'!T4),"",'_CHARTS'!T4)</x:f>
        <x:v>43750</x:v>
      </x:c>
      <x:c r="O36" s="38"/>
      <x:c r="P36" s="38"/>
      <x:c r="Q36" s="38"/>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x:c r="A37" s="206"/>
      <x:c r="B37" s="207"/>
      <x:c r="C37" s="207"/>
      <x:c r="D37" s="207"/>
      <x:c r="E37" s="207"/>
      <x:c r="F37" s="207"/>
      <x:c r="G37" s="207"/>
      <x:c r="H37" s="208"/>
      <x:c r="I37" s="38"/>
      <x:c r="J37" s="523" t="str">
        <x:f>IF(ISBLANK('_CHARTS'!P5),"",'_CHARTS'!P5)</x:f>
        <x:v>F3</x:v>
      </x:c>
      <x:c r="K37" s="530" t="n">
        <x:f>IF(ISBLANK('_CHARTS'!Q5),"",'_CHARTS'!Q5)</x:f>
        <x:v>11</x:v>
      </x:c>
      <x:c r="L37" s="530" t="n">
        <x:f>IF(ISBLANK('_CHARTS'!R5),"",'_CHARTS'!R5)</x:f>
        <x:v>770</x:v>
      </x:c>
      <x:c r="M37" s="530" t="n">
        <x:f>IF(ISBLANK('_CHARTS'!S5),"",'_CHARTS'!S5)</x:f>
        <x:v>1100</x:v>
      </x:c>
      <x:c r="N37" s="530" t="n">
        <x:f>IF(ISBLANK('_CHARTS'!T5),"",'_CHARTS'!T5)</x:f>
        <x:v>15950</x:v>
      </x:c>
      <x:c r="O37" s="38"/>
      <x:c r="P37" s="38"/>
      <x:c r="Q37" s="38"/>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x:c r="A38" s="206"/>
      <x:c r="B38" s="207"/>
      <x:c r="C38" s="207"/>
      <x:c r="D38" s="207"/>
      <x:c r="E38" s="207"/>
      <x:c r="F38" s="207"/>
      <x:c r="G38" s="207"/>
      <x:c r="H38" s="208"/>
      <x:c r="I38" s="38"/>
      <x:c r="J38" s="523" t="str">
        <x:f>IF(ISBLANK('_CHARTS'!P6),"",'_CHARTS'!P6)</x:f>
      </x:c>
      <x:c r="K38" s="530" t="str">
        <x:f>IF(ISBLANK('_CHARTS'!Q6),"",'_CHARTS'!Q6)</x:f>
      </x:c>
      <x:c r="L38" s="530" t="str">
        <x:f>IF(ISBLANK('_CHARTS'!R6),"",'_CHARTS'!R6)</x:f>
      </x:c>
      <x:c r="M38" s="530" t="str">
        <x:f>IF(ISBLANK('_CHARTS'!S6),"",'_CHARTS'!S6)</x:f>
      </x:c>
      <x:c r="N38" s="530" t="str">
        <x:f>IF(ISBLANK('_CHARTS'!T6),"",'_CHARTS'!T6)</x:f>
      </x:c>
      <x:c r="O38" s="38"/>
      <x:c r="P38" s="38"/>
      <x:c r="Q38" s="38"/>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x:c r="A39" s="206"/>
      <x:c r="B39" s="207"/>
      <x:c r="C39" s="207"/>
      <x:c r="D39" s="207"/>
      <x:c r="E39" s="207"/>
      <x:c r="F39" s="207"/>
      <x:c r="G39" s="207"/>
      <x:c r="H39" s="208"/>
      <x:c r="I39" s="38"/>
      <x:c r="J39" s="523" t="str">
        <x:f>IF(ISBLANK('_CHARTS'!P7),"",'_CHARTS'!P7)</x:f>
      </x:c>
      <x:c r="K39" s="530" t="str">
        <x:f>IF(ISBLANK('_CHARTS'!Q7),"",'_CHARTS'!Q7)</x:f>
      </x:c>
      <x:c r="L39" s="530" t="str">
        <x:f>IF(ISBLANK('_CHARTS'!R7),"",'_CHARTS'!R7)</x:f>
      </x:c>
      <x:c r="M39" s="530" t="str">
        <x:f>IF(ISBLANK('_CHARTS'!S7),"",'_CHARTS'!S7)</x:f>
      </x:c>
      <x:c r="N39" s="530" t="str">
        <x:f>IF(ISBLANK('_CHARTS'!T7),"",'_CHARTS'!T7)</x:f>
      </x:c>
      <x:c r="O39" s="38"/>
      <x:c r="P39" s="38"/>
      <x:c r="Q39" s="38"/>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206"/>
      <x:c r="B40" s="207"/>
      <x:c r="C40" s="207"/>
      <x:c r="D40" s="207"/>
      <x:c r="E40" s="207"/>
      <x:c r="F40" s="207"/>
      <x:c r="G40" s="207"/>
      <x:c r="H40" s="208"/>
      <x:c r="I40" s="38"/>
      <x:c r="J40" s="523" t="str">
        <x:f>IF(ISBLANK('_CHARTS'!P8),"",'_CHARTS'!P8)</x:f>
      </x:c>
      <x:c r="K40" s="530" t="str">
        <x:f>IF(ISBLANK('_CHARTS'!Q8),"",'_CHARTS'!Q8)</x:f>
      </x:c>
      <x:c r="L40" s="530" t="str">
        <x:f>IF(ISBLANK('_CHARTS'!R8),"",'_CHARTS'!R8)</x:f>
      </x:c>
      <x:c r="M40" s="530" t="str">
        <x:f>IF(ISBLANK('_CHARTS'!S8),"",'_CHARTS'!S8)</x:f>
      </x:c>
      <x:c r="N40" s="530" t="str">
        <x:f>IF(ISBLANK('_CHARTS'!T8),"",'_CHARTS'!T8)</x:f>
      </x:c>
      <x:c r="O40" s="38"/>
      <x:c r="P40" s="38"/>
      <x:c r="Q40" s="38"/>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206"/>
      <x:c r="B41" s="207"/>
      <x:c r="C41" s="207"/>
      <x:c r="D41" s="207"/>
      <x:c r="E41" s="207"/>
      <x:c r="F41" s="207"/>
      <x:c r="G41" s="207"/>
      <x:c r="H41" s="208"/>
      <x:c r="I41" s="38"/>
      <x:c r="J41" s="523" t="str">
        <x:f>IF(ISBLANK('_CHARTS'!P9),"",'_CHARTS'!P9)</x:f>
      </x:c>
      <x:c r="K41" s="530" t="str">
        <x:f>IF(ISBLANK('_CHARTS'!Q9),"",'_CHARTS'!Q9)</x:f>
      </x:c>
      <x:c r="L41" s="530" t="str">
        <x:f>IF(ISBLANK('_CHARTS'!R9),"",'_CHARTS'!R9)</x:f>
      </x:c>
      <x:c r="M41" s="530" t="str">
        <x:f>IF(ISBLANK('_CHARTS'!S9),"",'_CHARTS'!S9)</x:f>
      </x:c>
      <x:c r="N41" s="530" t="str">
        <x:f>IF(ISBLANK('_CHARTS'!T9),"",'_CHARTS'!T9)</x:f>
      </x:c>
      <x:c r="O41" s="38"/>
      <x:c r="P41" s="38"/>
      <x:c r="Q41" s="38"/>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x:c r="A42" s="206"/>
      <x:c r="B42" s="207"/>
      <x:c r="C42" s="207"/>
      <x:c r="D42" s="207"/>
      <x:c r="E42" s="207"/>
      <x:c r="F42" s="207"/>
      <x:c r="G42" s="207"/>
      <x:c r="H42" s="208"/>
      <x:c r="I42" s="38"/>
      <x:c r="J42" s="523" t="str">
        <x:f>IF(ISBLANK('_CHARTS'!P10),"",'_CHARTS'!P10)</x:f>
      </x:c>
      <x:c r="K42" s="530" t="str">
        <x:f>IF(ISBLANK('_CHARTS'!Q10),"",'_CHARTS'!Q10)</x:f>
      </x:c>
      <x:c r="L42" s="530" t="str">
        <x:f>IF(ISBLANK('_CHARTS'!R10),"",'_CHARTS'!R10)</x:f>
      </x:c>
      <x:c r="M42" s="530" t="str">
        <x:f>IF(ISBLANK('_CHARTS'!S10),"",'_CHARTS'!S10)</x:f>
      </x:c>
      <x:c r="N42" s="530" t="str">
        <x:f>IF(ISBLANK('_CHARTS'!T10),"",'_CHARTS'!T10)</x:f>
      </x:c>
      <x:c r="O42" s="38"/>
      <x:c r="P42" s="38"/>
      <x:c r="Q42" s="38"/>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x:c r="A43" s="209"/>
      <x:c r="B43" s="210"/>
      <x:c r="C43" s="210"/>
      <x:c r="D43" s="210"/>
      <x:c r="E43" s="210"/>
      <x:c r="F43" s="210"/>
      <x:c r="G43" s="210"/>
      <x:c r="H43" s="211"/>
      <x:c r="I43" s="38"/>
      <x:c r="J43" s="523" t="str">
        <x:f>IF(ISBLANK('_CHARTS'!P11),"",'_CHARTS'!P11)</x:f>
      </x:c>
      <x:c r="K43" s="530" t="str">
        <x:f>IF(ISBLANK('_CHARTS'!Q11),"",'_CHARTS'!Q11)</x:f>
      </x:c>
      <x:c r="L43" s="530" t="str">
        <x:f>IF(ISBLANK('_CHARTS'!R11),"",'_CHARTS'!R11)</x:f>
      </x:c>
      <x:c r="M43" s="530" t="str">
        <x:f>IF(ISBLANK('_CHARTS'!S11),"",'_CHARTS'!S11)</x:f>
      </x:c>
      <x:c r="N43" s="530" t="str">
        <x:f>IF(ISBLANK('_CHARTS'!T11),"",'_CHARTS'!T11)</x:f>
      </x:c>
      <x:c r="O43" s="38"/>
      <x:c r="P43" s="38"/>
      <x:c r="Q43" s="38"/>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x:c r="A44" s="38"/>
      <x:c r="B44" s="38"/>
      <x:c r="C44" s="38"/>
      <x:c r="D44" s="38"/>
      <x:c r="E44" s="38"/>
      <x:c r="F44" s="38"/>
      <x:c r="G44" s="38"/>
      <x:c r="H44" s="38"/>
      <x:c r="I44" s="38"/>
      <x:c r="J44" s="523" t="str">
        <x:f>IF(ISBLANK('_CHARTS'!P12),"",'_CHARTS'!P12)</x:f>
      </x:c>
      <x:c r="K44" s="530" t="str">
        <x:f>IF(ISBLANK('_CHARTS'!Q12),"",'_CHARTS'!Q12)</x:f>
      </x:c>
      <x:c r="L44" s="530" t="str">
        <x:f>IF(ISBLANK('_CHARTS'!R12),"",'_CHARTS'!R12)</x:f>
      </x:c>
      <x:c r="M44" s="530" t="str">
        <x:f>IF(ISBLANK('_CHARTS'!S12),"",'_CHARTS'!S12)</x:f>
      </x:c>
      <x:c r="N44" s="530" t="str">
        <x:f>IF(ISBLANK('_CHARTS'!T12),"",'_CHARTS'!T12)</x:f>
      </x:c>
      <x:c r="O44" s="38"/>
      <x:c r="P44" s="38"/>
      <x:c r="Q44" s="38"/>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38"/>
      <x:c r="B45" s="38"/>
      <x:c r="C45" s="38"/>
      <x:c r="D45" s="38"/>
      <x:c r="E45" s="38"/>
      <x:c r="F45" s="38"/>
      <x:c r="G45" s="38"/>
      <x:c r="H45" s="38"/>
      <x:c r="I45" s="38"/>
      <x:c r="J45" s="38"/>
      <x:c r="K45" s="38"/>
      <x:c r="L45" s="38"/>
      <x:c r="M45" s="38"/>
      <x:c r="N45" s="38"/>
      <x:c r="O45" s="38"/>
      <x:c r="P45" s="38"/>
      <x:c r="Q45" s="38"/>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294" t="str">
        <x:f>IF('_CONFIG'!$B$2="pt-BR","TRANSIÇÕES DEPENDENTES DA SEQUÊNCIA","SEQUENCE-DEPENDENT TRANSITIONS")</x:f>
        <x:v>SEQUENCE-DEPENDENT TRANSITIONS</x:v>
      </x:c>
      <x:c r="B46" s="294"/>
      <x:c r="C46" s="294"/>
      <x:c r="D46" s="294"/>
      <x:c r="E46" s="294"/>
      <x:c r="F46" s="294"/>
      <x:c r="G46" s="294"/>
      <x:c r="H46" s="294"/>
      <x:c r="I46" s="294"/>
      <x:c r="J46" s="294"/>
      <x:c r="K46" s="294"/>
      <x:c r="L46" s="294"/>
      <x:c r="M46" s="294"/>
      <x:c r="N46" s="294"/>
      <x:c r="O46" s="294"/>
      <x:c r="P46" s="294"/>
      <x:c r="Q46" s="294"/>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294"/>
      <x:c r="B47" s="294"/>
      <x:c r="C47" s="294"/>
      <x:c r="D47" s="294"/>
      <x:c r="E47" s="294"/>
      <x:c r="F47" s="294"/>
      <x:c r="G47" s="294"/>
      <x:c r="H47" s="294"/>
      <x:c r="I47" s="294"/>
      <x:c r="J47" s="294"/>
      <x:c r="K47" s="294"/>
      <x:c r="L47" s="294"/>
      <x:c r="M47" s="294"/>
      <x:c r="N47" s="294"/>
      <x:c r="O47" s="294"/>
      <x:c r="P47" s="294"/>
      <x:c r="Q47" s="294"/>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38"/>
      <x:c r="B48" s="38"/>
      <x:c r="C48" s="38"/>
      <x:c r="D48" s="38"/>
      <x:c r="E48" s="38"/>
      <x:c r="F48" s="38"/>
      <x:c r="G48" s="38"/>
      <x:c r="H48" s="38"/>
      <x:c r="I48" s="38"/>
      <x:c r="J48" s="38"/>
      <x:c r="K48" s="38"/>
      <x:c r="L48" s="38"/>
      <x:c r="M48" s="38"/>
      <x:c r="N48" s="38"/>
      <x:c r="O48" s="38"/>
      <x:c r="P48" s="38"/>
      <x:c r="Q48" s="38"/>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x:c r="A49" s="129" t="str">
        <x:f>IF('_CONFIG'!$B$2="pt-BR","MATRIZ DE TEMPO DE PREPARAÇÃO","SETUP TIME MATRIX")</x:f>
        <x:v>SETUP TIME MATRIX</x:v>
      </x:c>
      <x:c r="B49" s="129"/>
      <x:c r="C49" s="129"/>
      <x:c r="D49" s="129"/>
      <x:c r="E49" s="129"/>
      <x:c r="F49" s="129"/>
      <x:c r="G49" s="129"/>
      <x:c r="H49" s="129"/>
      <x:c r="I49" s="129"/>
      <x:c r="J49" s="129"/>
      <x:c r="K49" s="129"/>
      <x:c r="L49" s="129"/>
      <x:c r="M49" s="38"/>
      <x:c r="N49" s="593" t="str">
        <x:f>IF('_CONFIG'!$B$2="pt-BR","COMO LER
As linhas mostram o estado da máquina antes da transição; as colunas mostram o estado exigido pelo próximo job. O tempo de preparação consome capacidade. O custo de preparação entra no objetivo. Eles permanecem separados porque uma transição pode consumir tempo, dinheiro, material, energia ou risco em proporções diferentes.","HOW TO READ
Rows show the machine state before a transition; columns show the state required by the next job. Setup time consumes capacity. Setup cost adds to the objective. They remain separate because a transition may consume time, money, material, energy, or risk in different proportions.")</x:f>
        <x:v>HOW TO READ
Rows show the machine state before a transition; columns show the state required by the next job. Setup time consumes capacity. Setup cost adds to the objective. They remain separate because a transition may consume time, money, material, energy, or risk in different proportions.</x:v>
      </x:c>
      <x:c r="O49" s="594"/>
      <x:c r="P49" s="594"/>
      <x:c r="Q49" s="595"/>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x:c r="A50" s="648" t="str">
        <x:f>IF('_CONFIG'!$B$2="pt-BR","De → Para","From → To")</x:f>
        <x:v>From → To</x:v>
      </x:c>
      <x:c r="B50" s="644" t="n">
        <x:f>IF(2&lt;=MATCH("from_to_cost",'_SETUPS'!$A$1:$Y$1,0)-2,IF(ISBLANK(INDEX('_SETUPS'!$A$1:$Y$12,1,2)),"",INDEX('_SETUPS'!$A$1:$Y$12,1,2)),"")</x:f>
        <x:v>0</x:v>
      </x:c>
      <x:c r="C50" s="644" t="n">
        <x:f>IF(3&lt;=MATCH("from_to_cost",'_SETUPS'!$A$1:$Y$1,0)-2,IF(ISBLANK(INDEX('_SETUPS'!$A$1:$Y$12,1,3)),"",INDEX('_SETUPS'!$A$1:$Y$12,1,3)),"")</x:f>
        <x:v>1</x:v>
      </x:c>
      <x:c r="D50" s="644" t="n">
        <x:f>IF(4&lt;=MATCH("from_to_cost",'_SETUPS'!$A$1:$Y$1,0)-2,IF(ISBLANK(INDEX('_SETUPS'!$A$1:$Y$12,1,4)),"",INDEX('_SETUPS'!$A$1:$Y$12,1,4)),"")</x:f>
        <x:v>2</x:v>
      </x:c>
      <x:c r="E50" s="644" t="n">
        <x:f>IF(5&lt;=MATCH("from_to_cost",'_SETUPS'!$A$1:$Y$1,0)-2,IF(ISBLANK(INDEX('_SETUPS'!$A$1:$Y$12,1,5)),"",INDEX('_SETUPS'!$A$1:$Y$12,1,5)),"")</x:f>
        <x:v>3</x:v>
      </x:c>
      <x:c r="F50" s="644" t="str">
        <x:f>IF(6&lt;=MATCH("from_to_cost",'_SETUPS'!$A$1:$Y$1,0)-2,IF(ISBLANK(INDEX('_SETUPS'!$A$1:$Y$12,1,6)),"",INDEX('_SETUPS'!$A$1:$Y$12,1,6)),"")</x:f>
      </x:c>
      <x:c r="G50" s="644" t="str">
        <x:f>IF(7&lt;=MATCH("from_to_cost",'_SETUPS'!$A$1:$Y$1,0)-2,IF(ISBLANK(INDEX('_SETUPS'!$A$1:$Y$12,1,7)),"",INDEX('_SETUPS'!$A$1:$Y$12,1,7)),"")</x:f>
      </x:c>
      <x:c r="H50" s="644" t="str">
        <x:f>IF(8&lt;=MATCH("from_to_cost",'_SETUPS'!$A$1:$Y$1,0)-2,IF(ISBLANK(INDEX('_SETUPS'!$A$1:$Y$12,1,8)),"",INDEX('_SETUPS'!$A$1:$Y$12,1,8)),"")</x:f>
      </x:c>
      <x:c r="I50" s="644" t="str">
        <x:f>IF(9&lt;=MATCH("from_to_cost",'_SETUPS'!$A$1:$Y$1,0)-2,IF(ISBLANK(INDEX('_SETUPS'!$A$1:$Y$12,1,9)),"",INDEX('_SETUPS'!$A$1:$Y$12,1,9)),"")</x:f>
      </x:c>
      <x:c r="J50" s="644" t="str">
        <x:f>IF(10&lt;=MATCH("from_to_cost",'_SETUPS'!$A$1:$Y$1,0)-2,IF(ISBLANK(INDEX('_SETUPS'!$A$1:$Y$12,1,10)),"",INDEX('_SETUPS'!$A$1:$Y$12,1,10)),"")</x:f>
      </x:c>
      <x:c r="K50" s="644" t="str">
        <x:f>IF(11&lt;=MATCH("from_to_cost",'_SETUPS'!$A$1:$Y$1,0)-2,IF(ISBLANK(INDEX('_SETUPS'!$A$1:$Y$12,1,11)),"",INDEX('_SETUPS'!$A$1:$Y$12,1,11)),"")</x:f>
      </x:c>
      <x:c r="L50" s="645" t="str">
        <x:f>IF(12&lt;=MATCH("from_to_cost",'_SETUPS'!$A$1:$Y$1,0)-2,IF(ISBLANK(INDEX('_SETUPS'!$A$1:$Y$12,1,12)),"",INDEX('_SETUPS'!$A$1:$Y$12,1,12)),"")</x:f>
      </x:c>
      <x:c r="M50" s="38"/>
      <x:c r="N50" s="596"/>
      <x:c r="O50" s="597"/>
      <x:c r="P50" s="597"/>
      <x:c r="Q50" s="598"/>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x:c r="A51" s="650" t="n">
        <x:f>IF(1&lt;=MATCH("from_to_cost",'_SETUPS'!$A$1:$Y$1,0)-2,IF(ISBLANK(INDEX('_SETUPS'!$A$1:$Y$12,2,1)),"",INDEX('_SETUPS'!$A$1:$Y$12,2,1)),"")</x:f>
        <x:v>0</x:v>
      </x:c>
      <x:c r="B51" s="523" t="n">
        <x:f>IF(2&lt;=MATCH("from_to_cost",'_SETUPS'!$A$1:$Y$1,0)-2,IF(ISBLANK(INDEX('_SETUPS'!$A$1:$Y$12,2,2)),"",INDEX('_SETUPS'!$A$1:$Y$12,2,2)),"")</x:f>
        <x:v>0</x:v>
      </x:c>
      <x:c r="C51" s="523" t="n">
        <x:f>IF(3&lt;=MATCH("from_to_cost",'_SETUPS'!$A$1:$Y$1,0)-2,IF(ISBLANK(INDEX('_SETUPS'!$A$1:$Y$12,2,3)),"",INDEX('_SETUPS'!$A$1:$Y$12,2,3)),"")</x:f>
        <x:v>10</x:v>
      </x:c>
      <x:c r="D51" s="523" t="n">
        <x:f>IF(4&lt;=MATCH("from_to_cost",'_SETUPS'!$A$1:$Y$1,0)-2,IF(ISBLANK(INDEX('_SETUPS'!$A$1:$Y$12,2,4)),"",INDEX('_SETUPS'!$A$1:$Y$12,2,4)),"")</x:f>
        <x:v>10</x:v>
      </x:c>
      <x:c r="E51" s="523" t="n">
        <x:f>IF(5&lt;=MATCH("from_to_cost",'_SETUPS'!$A$1:$Y$1,0)-2,IF(ISBLANK(INDEX('_SETUPS'!$A$1:$Y$12,2,5)),"",INDEX('_SETUPS'!$A$1:$Y$12,2,5)),"")</x:f>
        <x:v>10</x:v>
      </x:c>
      <x:c r="F51" s="523" t="str">
        <x:f>IF(6&lt;=MATCH("from_to_cost",'_SETUPS'!$A$1:$Y$1,0)-2,IF(ISBLANK(INDEX('_SETUPS'!$A$1:$Y$12,2,6)),"",INDEX('_SETUPS'!$A$1:$Y$12,2,6)),"")</x:f>
      </x:c>
      <x:c r="G51" s="523" t="str">
        <x:f>IF(7&lt;=MATCH("from_to_cost",'_SETUPS'!$A$1:$Y$1,0)-2,IF(ISBLANK(INDEX('_SETUPS'!$A$1:$Y$12,2,7)),"",INDEX('_SETUPS'!$A$1:$Y$12,2,7)),"")</x:f>
      </x:c>
      <x:c r="H51" s="523" t="str">
        <x:f>IF(8&lt;=MATCH("from_to_cost",'_SETUPS'!$A$1:$Y$1,0)-2,IF(ISBLANK(INDEX('_SETUPS'!$A$1:$Y$12,2,8)),"",INDEX('_SETUPS'!$A$1:$Y$12,2,8)),"")</x:f>
      </x:c>
      <x:c r="I51" s="523" t="str">
        <x:f>IF(9&lt;=MATCH("from_to_cost",'_SETUPS'!$A$1:$Y$1,0)-2,IF(ISBLANK(INDEX('_SETUPS'!$A$1:$Y$12,2,9)),"",INDEX('_SETUPS'!$A$1:$Y$12,2,9)),"")</x:f>
      </x:c>
      <x:c r="J51" s="523" t="str">
        <x:f>IF(10&lt;=MATCH("from_to_cost",'_SETUPS'!$A$1:$Y$1,0)-2,IF(ISBLANK(INDEX('_SETUPS'!$A$1:$Y$12,2,10)),"",INDEX('_SETUPS'!$A$1:$Y$12,2,10)),"")</x:f>
      </x:c>
      <x:c r="K51" s="523" t="str">
        <x:f>IF(11&lt;=MATCH("from_to_cost",'_SETUPS'!$A$1:$Y$1,0)-2,IF(ISBLANK(INDEX('_SETUPS'!$A$1:$Y$12,2,11)),"",INDEX('_SETUPS'!$A$1:$Y$12,2,11)),"")</x:f>
      </x:c>
      <x:c r="L51" s="523" t="str">
        <x:f>IF(12&lt;=MATCH("from_to_cost",'_SETUPS'!$A$1:$Y$1,0)-2,IF(ISBLANK(INDEX('_SETUPS'!$A$1:$Y$12,2,12)),"",INDEX('_SETUPS'!$A$1:$Y$12,2,12)),"")</x:f>
      </x:c>
      <x:c r="M51" s="38"/>
      <x:c r="N51" s="596"/>
      <x:c r="O51" s="597"/>
      <x:c r="P51" s="597"/>
      <x:c r="Q51" s="598"/>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x:c r="A52" s="650" t="n">
        <x:f>IF(1&lt;=MATCH("from_to_cost",'_SETUPS'!$A$1:$Y$1,0)-2,IF(ISBLANK(INDEX('_SETUPS'!$A$1:$Y$12,3,1)),"",INDEX('_SETUPS'!$A$1:$Y$12,3,1)),"")</x:f>
        <x:v>1</x:v>
      </x:c>
      <x:c r="B52" s="523" t="n">
        <x:f>IF(2&lt;=MATCH("from_to_cost",'_SETUPS'!$A$1:$Y$1,0)-2,IF(ISBLANK(INDEX('_SETUPS'!$A$1:$Y$12,3,2)),"",INDEX('_SETUPS'!$A$1:$Y$12,3,2)),"")</x:f>
        <x:v>10</x:v>
      </x:c>
      <x:c r="C52" s="523" t="n">
        <x:f>IF(3&lt;=MATCH("from_to_cost",'_SETUPS'!$A$1:$Y$1,0)-2,IF(ISBLANK(INDEX('_SETUPS'!$A$1:$Y$12,3,3)),"",INDEX('_SETUPS'!$A$1:$Y$12,3,3)),"")</x:f>
        <x:v>0</x:v>
      </x:c>
      <x:c r="D52" s="523" t="n">
        <x:f>IF(4&lt;=MATCH("from_to_cost",'_SETUPS'!$A$1:$Y$1,0)-2,IF(ISBLANK(INDEX('_SETUPS'!$A$1:$Y$12,3,4)),"",INDEX('_SETUPS'!$A$1:$Y$12,3,4)),"")</x:f>
        <x:v>10</x:v>
      </x:c>
      <x:c r="E52" s="523" t="n">
        <x:f>IF(5&lt;=MATCH("from_to_cost",'_SETUPS'!$A$1:$Y$1,0)-2,IF(ISBLANK(INDEX('_SETUPS'!$A$1:$Y$12,3,5)),"",INDEX('_SETUPS'!$A$1:$Y$12,3,5)),"")</x:f>
        <x:v>10</x:v>
      </x:c>
      <x:c r="F52" s="523" t="str">
        <x:f>IF(6&lt;=MATCH("from_to_cost",'_SETUPS'!$A$1:$Y$1,0)-2,IF(ISBLANK(INDEX('_SETUPS'!$A$1:$Y$12,3,6)),"",INDEX('_SETUPS'!$A$1:$Y$12,3,6)),"")</x:f>
      </x:c>
      <x:c r="G52" s="523" t="str">
        <x:f>IF(7&lt;=MATCH("from_to_cost",'_SETUPS'!$A$1:$Y$1,0)-2,IF(ISBLANK(INDEX('_SETUPS'!$A$1:$Y$12,3,7)),"",INDEX('_SETUPS'!$A$1:$Y$12,3,7)),"")</x:f>
      </x:c>
      <x:c r="H52" s="523" t="str">
        <x:f>IF(8&lt;=MATCH("from_to_cost",'_SETUPS'!$A$1:$Y$1,0)-2,IF(ISBLANK(INDEX('_SETUPS'!$A$1:$Y$12,3,8)),"",INDEX('_SETUPS'!$A$1:$Y$12,3,8)),"")</x:f>
      </x:c>
      <x:c r="I52" s="523" t="str">
        <x:f>IF(9&lt;=MATCH("from_to_cost",'_SETUPS'!$A$1:$Y$1,0)-2,IF(ISBLANK(INDEX('_SETUPS'!$A$1:$Y$12,3,9)),"",INDEX('_SETUPS'!$A$1:$Y$12,3,9)),"")</x:f>
      </x:c>
      <x:c r="J52" s="523" t="str">
        <x:f>IF(10&lt;=MATCH("from_to_cost",'_SETUPS'!$A$1:$Y$1,0)-2,IF(ISBLANK(INDEX('_SETUPS'!$A$1:$Y$12,3,10)),"",INDEX('_SETUPS'!$A$1:$Y$12,3,10)),"")</x:f>
      </x:c>
      <x:c r="K52" s="523" t="str">
        <x:f>IF(11&lt;=MATCH("from_to_cost",'_SETUPS'!$A$1:$Y$1,0)-2,IF(ISBLANK(INDEX('_SETUPS'!$A$1:$Y$12,3,11)),"",INDEX('_SETUPS'!$A$1:$Y$12,3,11)),"")</x:f>
      </x:c>
      <x:c r="L52" s="523" t="str">
        <x:f>IF(12&lt;=MATCH("from_to_cost",'_SETUPS'!$A$1:$Y$1,0)-2,IF(ISBLANK(INDEX('_SETUPS'!$A$1:$Y$12,3,12)),"",INDEX('_SETUPS'!$A$1:$Y$12,3,12)),"")</x:f>
      </x:c>
      <x:c r="M52" s="38"/>
      <x:c r="N52" s="596"/>
      <x:c r="O52" s="597"/>
      <x:c r="P52" s="597"/>
      <x:c r="Q52" s="598"/>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x:c r="A53" s="650" t="n">
        <x:f>IF(1&lt;=MATCH("from_to_cost",'_SETUPS'!$A$1:$Y$1,0)-2,IF(ISBLANK(INDEX('_SETUPS'!$A$1:$Y$12,4,1)),"",INDEX('_SETUPS'!$A$1:$Y$12,4,1)),"")</x:f>
        <x:v>2</x:v>
      </x:c>
      <x:c r="B53" s="523" t="n">
        <x:f>IF(2&lt;=MATCH("from_to_cost",'_SETUPS'!$A$1:$Y$1,0)-2,IF(ISBLANK(INDEX('_SETUPS'!$A$1:$Y$12,4,2)),"",INDEX('_SETUPS'!$A$1:$Y$12,4,2)),"")</x:f>
        <x:v>10</x:v>
      </x:c>
      <x:c r="C53" s="523" t="n">
        <x:f>IF(3&lt;=MATCH("from_to_cost",'_SETUPS'!$A$1:$Y$1,0)-2,IF(ISBLANK(INDEX('_SETUPS'!$A$1:$Y$12,4,3)),"",INDEX('_SETUPS'!$A$1:$Y$12,4,3)),"")</x:f>
        <x:v>10</x:v>
      </x:c>
      <x:c r="D53" s="523" t="n">
        <x:f>IF(4&lt;=MATCH("from_to_cost",'_SETUPS'!$A$1:$Y$1,0)-2,IF(ISBLANK(INDEX('_SETUPS'!$A$1:$Y$12,4,4)),"",INDEX('_SETUPS'!$A$1:$Y$12,4,4)),"")</x:f>
        <x:v>0</x:v>
      </x:c>
      <x:c r="E53" s="523" t="n">
        <x:f>IF(5&lt;=MATCH("from_to_cost",'_SETUPS'!$A$1:$Y$1,0)-2,IF(ISBLANK(INDEX('_SETUPS'!$A$1:$Y$12,4,5)),"",INDEX('_SETUPS'!$A$1:$Y$12,4,5)),"")</x:f>
        <x:v>10</x:v>
      </x:c>
      <x:c r="F53" s="523" t="str">
        <x:f>IF(6&lt;=MATCH("from_to_cost",'_SETUPS'!$A$1:$Y$1,0)-2,IF(ISBLANK(INDEX('_SETUPS'!$A$1:$Y$12,4,6)),"",INDEX('_SETUPS'!$A$1:$Y$12,4,6)),"")</x:f>
      </x:c>
      <x:c r="G53" s="523" t="str">
        <x:f>IF(7&lt;=MATCH("from_to_cost",'_SETUPS'!$A$1:$Y$1,0)-2,IF(ISBLANK(INDEX('_SETUPS'!$A$1:$Y$12,4,7)),"",INDEX('_SETUPS'!$A$1:$Y$12,4,7)),"")</x:f>
      </x:c>
      <x:c r="H53" s="523" t="str">
        <x:f>IF(8&lt;=MATCH("from_to_cost",'_SETUPS'!$A$1:$Y$1,0)-2,IF(ISBLANK(INDEX('_SETUPS'!$A$1:$Y$12,4,8)),"",INDEX('_SETUPS'!$A$1:$Y$12,4,8)),"")</x:f>
      </x:c>
      <x:c r="I53" s="523" t="str">
        <x:f>IF(9&lt;=MATCH("from_to_cost",'_SETUPS'!$A$1:$Y$1,0)-2,IF(ISBLANK(INDEX('_SETUPS'!$A$1:$Y$12,4,9)),"",INDEX('_SETUPS'!$A$1:$Y$12,4,9)),"")</x:f>
      </x:c>
      <x:c r="J53" s="523" t="str">
        <x:f>IF(10&lt;=MATCH("from_to_cost",'_SETUPS'!$A$1:$Y$1,0)-2,IF(ISBLANK(INDEX('_SETUPS'!$A$1:$Y$12,4,10)),"",INDEX('_SETUPS'!$A$1:$Y$12,4,10)),"")</x:f>
      </x:c>
      <x:c r="K53" s="523" t="str">
        <x:f>IF(11&lt;=MATCH("from_to_cost",'_SETUPS'!$A$1:$Y$1,0)-2,IF(ISBLANK(INDEX('_SETUPS'!$A$1:$Y$12,4,11)),"",INDEX('_SETUPS'!$A$1:$Y$12,4,11)),"")</x:f>
      </x:c>
      <x:c r="L53" s="523" t="str">
        <x:f>IF(12&lt;=MATCH("from_to_cost",'_SETUPS'!$A$1:$Y$1,0)-2,IF(ISBLANK(INDEX('_SETUPS'!$A$1:$Y$12,4,12)),"",INDEX('_SETUPS'!$A$1:$Y$12,4,12)),"")</x:f>
      </x:c>
      <x:c r="M53" s="38"/>
      <x:c r="N53" s="596"/>
      <x:c r="O53" s="597"/>
      <x:c r="P53" s="597"/>
      <x:c r="Q53" s="598"/>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x:c r="A54" s="650" t="n">
        <x:f>IF(1&lt;=MATCH("from_to_cost",'_SETUPS'!$A$1:$Y$1,0)-2,IF(ISBLANK(INDEX('_SETUPS'!$A$1:$Y$12,5,1)),"",INDEX('_SETUPS'!$A$1:$Y$12,5,1)),"")</x:f>
        <x:v>3</x:v>
      </x:c>
      <x:c r="B54" s="523" t="n">
        <x:f>IF(2&lt;=MATCH("from_to_cost",'_SETUPS'!$A$1:$Y$1,0)-2,IF(ISBLANK(INDEX('_SETUPS'!$A$1:$Y$12,5,2)),"",INDEX('_SETUPS'!$A$1:$Y$12,5,2)),"")</x:f>
        <x:v>3</x:v>
      </x:c>
      <x:c r="C54" s="523" t="n">
        <x:f>IF(3&lt;=MATCH("from_to_cost",'_SETUPS'!$A$1:$Y$1,0)-2,IF(ISBLANK(INDEX('_SETUPS'!$A$1:$Y$12,5,3)),"",INDEX('_SETUPS'!$A$1:$Y$12,5,3)),"")</x:f>
        <x:v>3</x:v>
      </x:c>
      <x:c r="D54" s="523" t="n">
        <x:f>IF(4&lt;=MATCH("from_to_cost",'_SETUPS'!$A$1:$Y$1,0)-2,IF(ISBLANK(INDEX('_SETUPS'!$A$1:$Y$12,5,4)),"",INDEX('_SETUPS'!$A$1:$Y$12,5,4)),"")</x:f>
        <x:v>3</x:v>
      </x:c>
      <x:c r="E54" s="523" t="n">
        <x:f>IF(5&lt;=MATCH("from_to_cost",'_SETUPS'!$A$1:$Y$1,0)-2,IF(ISBLANK(INDEX('_SETUPS'!$A$1:$Y$12,5,5)),"",INDEX('_SETUPS'!$A$1:$Y$12,5,5)),"")</x:f>
        <x:v>0</x:v>
      </x:c>
      <x:c r="F54" s="523" t="str">
        <x:f>IF(6&lt;=MATCH("from_to_cost",'_SETUPS'!$A$1:$Y$1,0)-2,IF(ISBLANK(INDEX('_SETUPS'!$A$1:$Y$12,5,6)),"",INDEX('_SETUPS'!$A$1:$Y$12,5,6)),"")</x:f>
      </x:c>
      <x:c r="G54" s="523" t="str">
        <x:f>IF(7&lt;=MATCH("from_to_cost",'_SETUPS'!$A$1:$Y$1,0)-2,IF(ISBLANK(INDEX('_SETUPS'!$A$1:$Y$12,5,7)),"",INDEX('_SETUPS'!$A$1:$Y$12,5,7)),"")</x:f>
      </x:c>
      <x:c r="H54" s="523" t="str">
        <x:f>IF(8&lt;=MATCH("from_to_cost",'_SETUPS'!$A$1:$Y$1,0)-2,IF(ISBLANK(INDEX('_SETUPS'!$A$1:$Y$12,5,8)),"",INDEX('_SETUPS'!$A$1:$Y$12,5,8)),"")</x:f>
      </x:c>
      <x:c r="I54" s="523" t="str">
        <x:f>IF(9&lt;=MATCH("from_to_cost",'_SETUPS'!$A$1:$Y$1,0)-2,IF(ISBLANK(INDEX('_SETUPS'!$A$1:$Y$12,5,9)),"",INDEX('_SETUPS'!$A$1:$Y$12,5,9)),"")</x:f>
      </x:c>
      <x:c r="J54" s="523" t="str">
        <x:f>IF(10&lt;=MATCH("from_to_cost",'_SETUPS'!$A$1:$Y$1,0)-2,IF(ISBLANK(INDEX('_SETUPS'!$A$1:$Y$12,5,10)),"",INDEX('_SETUPS'!$A$1:$Y$12,5,10)),"")</x:f>
      </x:c>
      <x:c r="K54" s="523" t="str">
        <x:f>IF(11&lt;=MATCH("from_to_cost",'_SETUPS'!$A$1:$Y$1,0)-2,IF(ISBLANK(INDEX('_SETUPS'!$A$1:$Y$12,5,11)),"",INDEX('_SETUPS'!$A$1:$Y$12,5,11)),"")</x:f>
      </x:c>
      <x:c r="L54" s="523" t="str">
        <x:f>IF(12&lt;=MATCH("from_to_cost",'_SETUPS'!$A$1:$Y$1,0)-2,IF(ISBLANK(INDEX('_SETUPS'!$A$1:$Y$12,5,12)),"",INDEX('_SETUPS'!$A$1:$Y$12,5,12)),"")</x:f>
      </x:c>
      <x:c r="M54" s="38"/>
      <x:c r="N54" s="596"/>
      <x:c r="O54" s="597"/>
      <x:c r="P54" s="597"/>
      <x:c r="Q54" s="598"/>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x:c r="A55" s="650" t="str">
        <x:f>IF(1&lt;=MATCH("from_to_cost",'_SETUPS'!$A$1:$Y$1,0)-2,IF(ISBLANK(INDEX('_SETUPS'!$A$1:$Y$12,6,1)),"",INDEX('_SETUPS'!$A$1:$Y$12,6,1)),"")</x:f>
      </x:c>
      <x:c r="B55" s="523" t="str">
        <x:f>IF(2&lt;=MATCH("from_to_cost",'_SETUPS'!$A$1:$Y$1,0)-2,IF(ISBLANK(INDEX('_SETUPS'!$A$1:$Y$12,6,2)),"",INDEX('_SETUPS'!$A$1:$Y$12,6,2)),"")</x:f>
      </x:c>
      <x:c r="C55" s="523" t="str">
        <x:f>IF(3&lt;=MATCH("from_to_cost",'_SETUPS'!$A$1:$Y$1,0)-2,IF(ISBLANK(INDEX('_SETUPS'!$A$1:$Y$12,6,3)),"",INDEX('_SETUPS'!$A$1:$Y$12,6,3)),"")</x:f>
      </x:c>
      <x:c r="D55" s="523" t="str">
        <x:f>IF(4&lt;=MATCH("from_to_cost",'_SETUPS'!$A$1:$Y$1,0)-2,IF(ISBLANK(INDEX('_SETUPS'!$A$1:$Y$12,6,4)),"",INDEX('_SETUPS'!$A$1:$Y$12,6,4)),"")</x:f>
      </x:c>
      <x:c r="E55" s="523" t="str">
        <x:f>IF(5&lt;=MATCH("from_to_cost",'_SETUPS'!$A$1:$Y$1,0)-2,IF(ISBLANK(INDEX('_SETUPS'!$A$1:$Y$12,6,5)),"",INDEX('_SETUPS'!$A$1:$Y$12,6,5)),"")</x:f>
      </x:c>
      <x:c r="F55" s="523" t="str">
        <x:f>IF(6&lt;=MATCH("from_to_cost",'_SETUPS'!$A$1:$Y$1,0)-2,IF(ISBLANK(INDEX('_SETUPS'!$A$1:$Y$12,6,6)),"",INDEX('_SETUPS'!$A$1:$Y$12,6,6)),"")</x:f>
      </x:c>
      <x:c r="G55" s="523" t="str">
        <x:f>IF(7&lt;=MATCH("from_to_cost",'_SETUPS'!$A$1:$Y$1,0)-2,IF(ISBLANK(INDEX('_SETUPS'!$A$1:$Y$12,6,7)),"",INDEX('_SETUPS'!$A$1:$Y$12,6,7)),"")</x:f>
      </x:c>
      <x:c r="H55" s="523" t="str">
        <x:f>IF(8&lt;=MATCH("from_to_cost",'_SETUPS'!$A$1:$Y$1,0)-2,IF(ISBLANK(INDEX('_SETUPS'!$A$1:$Y$12,6,8)),"",INDEX('_SETUPS'!$A$1:$Y$12,6,8)),"")</x:f>
      </x:c>
      <x:c r="I55" s="523" t="str">
        <x:f>IF(9&lt;=MATCH("from_to_cost",'_SETUPS'!$A$1:$Y$1,0)-2,IF(ISBLANK(INDEX('_SETUPS'!$A$1:$Y$12,6,9)),"",INDEX('_SETUPS'!$A$1:$Y$12,6,9)),"")</x:f>
      </x:c>
      <x:c r="J55" s="523" t="str">
        <x:f>IF(10&lt;=MATCH("from_to_cost",'_SETUPS'!$A$1:$Y$1,0)-2,IF(ISBLANK(INDEX('_SETUPS'!$A$1:$Y$12,6,10)),"",INDEX('_SETUPS'!$A$1:$Y$12,6,10)),"")</x:f>
      </x:c>
      <x:c r="K55" s="523" t="str">
        <x:f>IF(11&lt;=MATCH("from_to_cost",'_SETUPS'!$A$1:$Y$1,0)-2,IF(ISBLANK(INDEX('_SETUPS'!$A$1:$Y$12,6,11)),"",INDEX('_SETUPS'!$A$1:$Y$12,6,11)),"")</x:f>
      </x:c>
      <x:c r="L55" s="523" t="str">
        <x:f>IF(12&lt;=MATCH("from_to_cost",'_SETUPS'!$A$1:$Y$1,0)-2,IF(ISBLANK(INDEX('_SETUPS'!$A$1:$Y$12,6,12)),"",INDEX('_SETUPS'!$A$1:$Y$12,6,12)),"")</x:f>
      </x:c>
      <x:c r="M55" s="38"/>
      <x:c r="N55" s="596"/>
      <x:c r="O55" s="597"/>
      <x:c r="P55" s="597"/>
      <x:c r="Q55" s="598"/>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650" t="str">
        <x:f>IF(1&lt;=MATCH("from_to_cost",'_SETUPS'!$A$1:$Y$1,0)-2,IF(ISBLANK(INDEX('_SETUPS'!$A$1:$Y$12,7,1)),"",INDEX('_SETUPS'!$A$1:$Y$12,7,1)),"")</x:f>
      </x:c>
      <x:c r="B56" s="523" t="str">
        <x:f>IF(2&lt;=MATCH("from_to_cost",'_SETUPS'!$A$1:$Y$1,0)-2,IF(ISBLANK(INDEX('_SETUPS'!$A$1:$Y$12,7,2)),"",INDEX('_SETUPS'!$A$1:$Y$12,7,2)),"")</x:f>
      </x:c>
      <x:c r="C56" s="523" t="str">
        <x:f>IF(3&lt;=MATCH("from_to_cost",'_SETUPS'!$A$1:$Y$1,0)-2,IF(ISBLANK(INDEX('_SETUPS'!$A$1:$Y$12,7,3)),"",INDEX('_SETUPS'!$A$1:$Y$12,7,3)),"")</x:f>
      </x:c>
      <x:c r="D56" s="523" t="str">
        <x:f>IF(4&lt;=MATCH("from_to_cost",'_SETUPS'!$A$1:$Y$1,0)-2,IF(ISBLANK(INDEX('_SETUPS'!$A$1:$Y$12,7,4)),"",INDEX('_SETUPS'!$A$1:$Y$12,7,4)),"")</x:f>
      </x:c>
      <x:c r="E56" s="523" t="str">
        <x:f>IF(5&lt;=MATCH("from_to_cost",'_SETUPS'!$A$1:$Y$1,0)-2,IF(ISBLANK(INDEX('_SETUPS'!$A$1:$Y$12,7,5)),"",INDEX('_SETUPS'!$A$1:$Y$12,7,5)),"")</x:f>
      </x:c>
      <x:c r="F56" s="523" t="str">
        <x:f>IF(6&lt;=MATCH("from_to_cost",'_SETUPS'!$A$1:$Y$1,0)-2,IF(ISBLANK(INDEX('_SETUPS'!$A$1:$Y$12,7,6)),"",INDEX('_SETUPS'!$A$1:$Y$12,7,6)),"")</x:f>
      </x:c>
      <x:c r="G56" s="523" t="str">
        <x:f>IF(7&lt;=MATCH("from_to_cost",'_SETUPS'!$A$1:$Y$1,0)-2,IF(ISBLANK(INDEX('_SETUPS'!$A$1:$Y$12,7,7)),"",INDEX('_SETUPS'!$A$1:$Y$12,7,7)),"")</x:f>
      </x:c>
      <x:c r="H56" s="523" t="str">
        <x:f>IF(8&lt;=MATCH("from_to_cost",'_SETUPS'!$A$1:$Y$1,0)-2,IF(ISBLANK(INDEX('_SETUPS'!$A$1:$Y$12,7,8)),"",INDEX('_SETUPS'!$A$1:$Y$12,7,8)),"")</x:f>
      </x:c>
      <x:c r="I56" s="523" t="str">
        <x:f>IF(9&lt;=MATCH("from_to_cost",'_SETUPS'!$A$1:$Y$1,0)-2,IF(ISBLANK(INDEX('_SETUPS'!$A$1:$Y$12,7,9)),"",INDEX('_SETUPS'!$A$1:$Y$12,7,9)),"")</x:f>
      </x:c>
      <x:c r="J56" s="523" t="str">
        <x:f>IF(10&lt;=MATCH("from_to_cost",'_SETUPS'!$A$1:$Y$1,0)-2,IF(ISBLANK(INDEX('_SETUPS'!$A$1:$Y$12,7,10)),"",INDEX('_SETUPS'!$A$1:$Y$12,7,10)),"")</x:f>
      </x:c>
      <x:c r="K56" s="523" t="str">
        <x:f>IF(11&lt;=MATCH("from_to_cost",'_SETUPS'!$A$1:$Y$1,0)-2,IF(ISBLANK(INDEX('_SETUPS'!$A$1:$Y$12,7,11)),"",INDEX('_SETUPS'!$A$1:$Y$12,7,11)),"")</x:f>
      </x:c>
      <x:c r="L56" s="523" t="str">
        <x:f>IF(12&lt;=MATCH("from_to_cost",'_SETUPS'!$A$1:$Y$1,0)-2,IF(ISBLANK(INDEX('_SETUPS'!$A$1:$Y$12,7,12)),"",INDEX('_SETUPS'!$A$1:$Y$12,7,12)),"")</x:f>
      </x:c>
      <x:c r="M56" s="38"/>
      <x:c r="N56" s="596"/>
      <x:c r="O56" s="597"/>
      <x:c r="P56" s="597"/>
      <x:c r="Q56" s="598"/>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650" t="str">
        <x:f>IF(1&lt;=MATCH("from_to_cost",'_SETUPS'!$A$1:$Y$1,0)-2,IF(ISBLANK(INDEX('_SETUPS'!$A$1:$Y$12,8,1)),"",INDEX('_SETUPS'!$A$1:$Y$12,8,1)),"")</x:f>
      </x:c>
      <x:c r="B57" s="523" t="str">
        <x:f>IF(2&lt;=MATCH("from_to_cost",'_SETUPS'!$A$1:$Y$1,0)-2,IF(ISBLANK(INDEX('_SETUPS'!$A$1:$Y$12,8,2)),"",INDEX('_SETUPS'!$A$1:$Y$12,8,2)),"")</x:f>
      </x:c>
      <x:c r="C57" s="523" t="str">
        <x:f>IF(3&lt;=MATCH("from_to_cost",'_SETUPS'!$A$1:$Y$1,0)-2,IF(ISBLANK(INDEX('_SETUPS'!$A$1:$Y$12,8,3)),"",INDEX('_SETUPS'!$A$1:$Y$12,8,3)),"")</x:f>
      </x:c>
      <x:c r="D57" s="523" t="str">
        <x:f>IF(4&lt;=MATCH("from_to_cost",'_SETUPS'!$A$1:$Y$1,0)-2,IF(ISBLANK(INDEX('_SETUPS'!$A$1:$Y$12,8,4)),"",INDEX('_SETUPS'!$A$1:$Y$12,8,4)),"")</x:f>
      </x:c>
      <x:c r="E57" s="523" t="str">
        <x:f>IF(5&lt;=MATCH("from_to_cost",'_SETUPS'!$A$1:$Y$1,0)-2,IF(ISBLANK(INDEX('_SETUPS'!$A$1:$Y$12,8,5)),"",INDEX('_SETUPS'!$A$1:$Y$12,8,5)),"")</x:f>
      </x:c>
      <x:c r="F57" s="523" t="str">
        <x:f>IF(6&lt;=MATCH("from_to_cost",'_SETUPS'!$A$1:$Y$1,0)-2,IF(ISBLANK(INDEX('_SETUPS'!$A$1:$Y$12,8,6)),"",INDEX('_SETUPS'!$A$1:$Y$12,8,6)),"")</x:f>
      </x:c>
      <x:c r="G57" s="523" t="str">
        <x:f>IF(7&lt;=MATCH("from_to_cost",'_SETUPS'!$A$1:$Y$1,0)-2,IF(ISBLANK(INDEX('_SETUPS'!$A$1:$Y$12,8,7)),"",INDEX('_SETUPS'!$A$1:$Y$12,8,7)),"")</x:f>
      </x:c>
      <x:c r="H57" s="523" t="str">
        <x:f>IF(8&lt;=MATCH("from_to_cost",'_SETUPS'!$A$1:$Y$1,0)-2,IF(ISBLANK(INDEX('_SETUPS'!$A$1:$Y$12,8,8)),"",INDEX('_SETUPS'!$A$1:$Y$12,8,8)),"")</x:f>
      </x:c>
      <x:c r="I57" s="523" t="str">
        <x:f>IF(9&lt;=MATCH("from_to_cost",'_SETUPS'!$A$1:$Y$1,0)-2,IF(ISBLANK(INDEX('_SETUPS'!$A$1:$Y$12,8,9)),"",INDEX('_SETUPS'!$A$1:$Y$12,8,9)),"")</x:f>
      </x:c>
      <x:c r="J57" s="523" t="str">
        <x:f>IF(10&lt;=MATCH("from_to_cost",'_SETUPS'!$A$1:$Y$1,0)-2,IF(ISBLANK(INDEX('_SETUPS'!$A$1:$Y$12,8,10)),"",INDEX('_SETUPS'!$A$1:$Y$12,8,10)),"")</x:f>
      </x:c>
      <x:c r="K57" s="523" t="str">
        <x:f>IF(11&lt;=MATCH("from_to_cost",'_SETUPS'!$A$1:$Y$1,0)-2,IF(ISBLANK(INDEX('_SETUPS'!$A$1:$Y$12,8,11)),"",INDEX('_SETUPS'!$A$1:$Y$12,8,11)),"")</x:f>
      </x:c>
      <x:c r="L57" s="523" t="str">
        <x:f>IF(12&lt;=MATCH("from_to_cost",'_SETUPS'!$A$1:$Y$1,0)-2,IF(ISBLANK(INDEX('_SETUPS'!$A$1:$Y$12,8,12)),"",INDEX('_SETUPS'!$A$1:$Y$12,8,12)),"")</x:f>
      </x:c>
      <x:c r="M57" s="38"/>
      <x:c r="N57" s="596"/>
      <x:c r="O57" s="597"/>
      <x:c r="P57" s="597"/>
      <x:c r="Q57" s="598"/>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650" t="str">
        <x:f>IF(1&lt;=MATCH("from_to_cost",'_SETUPS'!$A$1:$Y$1,0)-2,IF(ISBLANK(INDEX('_SETUPS'!$A$1:$Y$12,9,1)),"",INDEX('_SETUPS'!$A$1:$Y$12,9,1)),"")</x:f>
      </x:c>
      <x:c r="B58" s="523" t="str">
        <x:f>IF(2&lt;=MATCH("from_to_cost",'_SETUPS'!$A$1:$Y$1,0)-2,IF(ISBLANK(INDEX('_SETUPS'!$A$1:$Y$12,9,2)),"",INDEX('_SETUPS'!$A$1:$Y$12,9,2)),"")</x:f>
      </x:c>
      <x:c r="C58" s="523" t="str">
        <x:f>IF(3&lt;=MATCH("from_to_cost",'_SETUPS'!$A$1:$Y$1,0)-2,IF(ISBLANK(INDEX('_SETUPS'!$A$1:$Y$12,9,3)),"",INDEX('_SETUPS'!$A$1:$Y$12,9,3)),"")</x:f>
      </x:c>
      <x:c r="D58" s="523" t="str">
        <x:f>IF(4&lt;=MATCH("from_to_cost",'_SETUPS'!$A$1:$Y$1,0)-2,IF(ISBLANK(INDEX('_SETUPS'!$A$1:$Y$12,9,4)),"",INDEX('_SETUPS'!$A$1:$Y$12,9,4)),"")</x:f>
      </x:c>
      <x:c r="E58" s="523" t="str">
        <x:f>IF(5&lt;=MATCH("from_to_cost",'_SETUPS'!$A$1:$Y$1,0)-2,IF(ISBLANK(INDEX('_SETUPS'!$A$1:$Y$12,9,5)),"",INDEX('_SETUPS'!$A$1:$Y$12,9,5)),"")</x:f>
      </x:c>
      <x:c r="F58" s="523" t="str">
        <x:f>IF(6&lt;=MATCH("from_to_cost",'_SETUPS'!$A$1:$Y$1,0)-2,IF(ISBLANK(INDEX('_SETUPS'!$A$1:$Y$12,9,6)),"",INDEX('_SETUPS'!$A$1:$Y$12,9,6)),"")</x:f>
      </x:c>
      <x:c r="G58" s="523" t="str">
        <x:f>IF(7&lt;=MATCH("from_to_cost",'_SETUPS'!$A$1:$Y$1,0)-2,IF(ISBLANK(INDEX('_SETUPS'!$A$1:$Y$12,9,7)),"",INDEX('_SETUPS'!$A$1:$Y$12,9,7)),"")</x:f>
      </x:c>
      <x:c r="H58" s="523" t="str">
        <x:f>IF(8&lt;=MATCH("from_to_cost",'_SETUPS'!$A$1:$Y$1,0)-2,IF(ISBLANK(INDEX('_SETUPS'!$A$1:$Y$12,9,8)),"",INDEX('_SETUPS'!$A$1:$Y$12,9,8)),"")</x:f>
      </x:c>
      <x:c r="I58" s="523" t="str">
        <x:f>IF(9&lt;=MATCH("from_to_cost",'_SETUPS'!$A$1:$Y$1,0)-2,IF(ISBLANK(INDEX('_SETUPS'!$A$1:$Y$12,9,9)),"",INDEX('_SETUPS'!$A$1:$Y$12,9,9)),"")</x:f>
      </x:c>
      <x:c r="J58" s="523" t="str">
        <x:f>IF(10&lt;=MATCH("from_to_cost",'_SETUPS'!$A$1:$Y$1,0)-2,IF(ISBLANK(INDEX('_SETUPS'!$A$1:$Y$12,9,10)),"",INDEX('_SETUPS'!$A$1:$Y$12,9,10)),"")</x:f>
      </x:c>
      <x:c r="K58" s="523" t="str">
        <x:f>IF(11&lt;=MATCH("from_to_cost",'_SETUPS'!$A$1:$Y$1,0)-2,IF(ISBLANK(INDEX('_SETUPS'!$A$1:$Y$12,9,11)),"",INDEX('_SETUPS'!$A$1:$Y$12,9,11)),"")</x:f>
      </x:c>
      <x:c r="L58" s="523" t="str">
        <x:f>IF(12&lt;=MATCH("from_to_cost",'_SETUPS'!$A$1:$Y$1,0)-2,IF(ISBLANK(INDEX('_SETUPS'!$A$1:$Y$12,9,12)),"",INDEX('_SETUPS'!$A$1:$Y$12,9,12)),"")</x:f>
      </x:c>
      <x:c r="M58" s="38"/>
      <x:c r="N58" s="596"/>
      <x:c r="O58" s="597"/>
      <x:c r="P58" s="597"/>
      <x:c r="Q58" s="598"/>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650" t="str">
        <x:f>IF(1&lt;=MATCH("from_to_cost",'_SETUPS'!$A$1:$Y$1,0)-2,IF(ISBLANK(INDEX('_SETUPS'!$A$1:$Y$12,10,1)),"",INDEX('_SETUPS'!$A$1:$Y$12,10,1)),"")</x:f>
      </x:c>
      <x:c r="B59" s="523" t="str">
        <x:f>IF(2&lt;=MATCH("from_to_cost",'_SETUPS'!$A$1:$Y$1,0)-2,IF(ISBLANK(INDEX('_SETUPS'!$A$1:$Y$12,10,2)),"",INDEX('_SETUPS'!$A$1:$Y$12,10,2)),"")</x:f>
      </x:c>
      <x:c r="C59" s="523" t="str">
        <x:f>IF(3&lt;=MATCH("from_to_cost",'_SETUPS'!$A$1:$Y$1,0)-2,IF(ISBLANK(INDEX('_SETUPS'!$A$1:$Y$12,10,3)),"",INDEX('_SETUPS'!$A$1:$Y$12,10,3)),"")</x:f>
      </x:c>
      <x:c r="D59" s="523" t="str">
        <x:f>IF(4&lt;=MATCH("from_to_cost",'_SETUPS'!$A$1:$Y$1,0)-2,IF(ISBLANK(INDEX('_SETUPS'!$A$1:$Y$12,10,4)),"",INDEX('_SETUPS'!$A$1:$Y$12,10,4)),"")</x:f>
      </x:c>
      <x:c r="E59" s="523" t="str">
        <x:f>IF(5&lt;=MATCH("from_to_cost",'_SETUPS'!$A$1:$Y$1,0)-2,IF(ISBLANK(INDEX('_SETUPS'!$A$1:$Y$12,10,5)),"",INDEX('_SETUPS'!$A$1:$Y$12,10,5)),"")</x:f>
      </x:c>
      <x:c r="F59" s="523" t="str">
        <x:f>IF(6&lt;=MATCH("from_to_cost",'_SETUPS'!$A$1:$Y$1,0)-2,IF(ISBLANK(INDEX('_SETUPS'!$A$1:$Y$12,10,6)),"",INDEX('_SETUPS'!$A$1:$Y$12,10,6)),"")</x:f>
      </x:c>
      <x:c r="G59" s="523" t="str">
        <x:f>IF(7&lt;=MATCH("from_to_cost",'_SETUPS'!$A$1:$Y$1,0)-2,IF(ISBLANK(INDEX('_SETUPS'!$A$1:$Y$12,10,7)),"",INDEX('_SETUPS'!$A$1:$Y$12,10,7)),"")</x:f>
      </x:c>
      <x:c r="H59" s="523" t="str">
        <x:f>IF(8&lt;=MATCH("from_to_cost",'_SETUPS'!$A$1:$Y$1,0)-2,IF(ISBLANK(INDEX('_SETUPS'!$A$1:$Y$12,10,8)),"",INDEX('_SETUPS'!$A$1:$Y$12,10,8)),"")</x:f>
      </x:c>
      <x:c r="I59" s="523" t="str">
        <x:f>IF(9&lt;=MATCH("from_to_cost",'_SETUPS'!$A$1:$Y$1,0)-2,IF(ISBLANK(INDEX('_SETUPS'!$A$1:$Y$12,10,9)),"",INDEX('_SETUPS'!$A$1:$Y$12,10,9)),"")</x:f>
      </x:c>
      <x:c r="J59" s="523" t="str">
        <x:f>IF(10&lt;=MATCH("from_to_cost",'_SETUPS'!$A$1:$Y$1,0)-2,IF(ISBLANK(INDEX('_SETUPS'!$A$1:$Y$12,10,10)),"",INDEX('_SETUPS'!$A$1:$Y$12,10,10)),"")</x:f>
      </x:c>
      <x:c r="K59" s="523" t="str">
        <x:f>IF(11&lt;=MATCH("from_to_cost",'_SETUPS'!$A$1:$Y$1,0)-2,IF(ISBLANK(INDEX('_SETUPS'!$A$1:$Y$12,10,11)),"",INDEX('_SETUPS'!$A$1:$Y$12,10,11)),"")</x:f>
      </x:c>
      <x:c r="L59" s="523" t="str">
        <x:f>IF(12&lt;=MATCH("from_to_cost",'_SETUPS'!$A$1:$Y$1,0)-2,IF(ISBLANK(INDEX('_SETUPS'!$A$1:$Y$12,10,12)),"",INDEX('_SETUPS'!$A$1:$Y$12,10,12)),"")</x:f>
      </x:c>
      <x:c r="M59" s="38"/>
      <x:c r="N59" s="596"/>
      <x:c r="O59" s="597"/>
      <x:c r="P59" s="597"/>
      <x:c r="Q59" s="598"/>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650" t="str">
        <x:f>IF(1&lt;=MATCH("from_to_cost",'_SETUPS'!$A$1:$Y$1,0)-2,IF(ISBLANK(INDEX('_SETUPS'!$A$1:$Y$12,11,1)),"",INDEX('_SETUPS'!$A$1:$Y$12,11,1)),"")</x:f>
      </x:c>
      <x:c r="B60" s="523" t="str">
        <x:f>IF(2&lt;=MATCH("from_to_cost",'_SETUPS'!$A$1:$Y$1,0)-2,IF(ISBLANK(INDEX('_SETUPS'!$A$1:$Y$12,11,2)),"",INDEX('_SETUPS'!$A$1:$Y$12,11,2)),"")</x:f>
      </x:c>
      <x:c r="C60" s="523" t="str">
        <x:f>IF(3&lt;=MATCH("from_to_cost",'_SETUPS'!$A$1:$Y$1,0)-2,IF(ISBLANK(INDEX('_SETUPS'!$A$1:$Y$12,11,3)),"",INDEX('_SETUPS'!$A$1:$Y$12,11,3)),"")</x:f>
      </x:c>
      <x:c r="D60" s="523" t="str">
        <x:f>IF(4&lt;=MATCH("from_to_cost",'_SETUPS'!$A$1:$Y$1,0)-2,IF(ISBLANK(INDEX('_SETUPS'!$A$1:$Y$12,11,4)),"",INDEX('_SETUPS'!$A$1:$Y$12,11,4)),"")</x:f>
      </x:c>
      <x:c r="E60" s="523" t="str">
        <x:f>IF(5&lt;=MATCH("from_to_cost",'_SETUPS'!$A$1:$Y$1,0)-2,IF(ISBLANK(INDEX('_SETUPS'!$A$1:$Y$12,11,5)),"",INDEX('_SETUPS'!$A$1:$Y$12,11,5)),"")</x:f>
      </x:c>
      <x:c r="F60" s="523" t="str">
        <x:f>IF(6&lt;=MATCH("from_to_cost",'_SETUPS'!$A$1:$Y$1,0)-2,IF(ISBLANK(INDEX('_SETUPS'!$A$1:$Y$12,11,6)),"",INDEX('_SETUPS'!$A$1:$Y$12,11,6)),"")</x:f>
      </x:c>
      <x:c r="G60" s="523" t="str">
        <x:f>IF(7&lt;=MATCH("from_to_cost",'_SETUPS'!$A$1:$Y$1,0)-2,IF(ISBLANK(INDEX('_SETUPS'!$A$1:$Y$12,11,7)),"",INDEX('_SETUPS'!$A$1:$Y$12,11,7)),"")</x:f>
      </x:c>
      <x:c r="H60" s="523" t="str">
        <x:f>IF(8&lt;=MATCH("from_to_cost",'_SETUPS'!$A$1:$Y$1,0)-2,IF(ISBLANK(INDEX('_SETUPS'!$A$1:$Y$12,11,8)),"",INDEX('_SETUPS'!$A$1:$Y$12,11,8)),"")</x:f>
      </x:c>
      <x:c r="I60" s="523" t="str">
        <x:f>IF(9&lt;=MATCH("from_to_cost",'_SETUPS'!$A$1:$Y$1,0)-2,IF(ISBLANK(INDEX('_SETUPS'!$A$1:$Y$12,11,9)),"",INDEX('_SETUPS'!$A$1:$Y$12,11,9)),"")</x:f>
      </x:c>
      <x:c r="J60" s="523" t="str">
        <x:f>IF(10&lt;=MATCH("from_to_cost",'_SETUPS'!$A$1:$Y$1,0)-2,IF(ISBLANK(INDEX('_SETUPS'!$A$1:$Y$12,11,10)),"",INDEX('_SETUPS'!$A$1:$Y$12,11,10)),"")</x:f>
      </x:c>
      <x:c r="K60" s="523" t="str">
        <x:f>IF(11&lt;=MATCH("from_to_cost",'_SETUPS'!$A$1:$Y$1,0)-2,IF(ISBLANK(INDEX('_SETUPS'!$A$1:$Y$12,11,11)),"",INDEX('_SETUPS'!$A$1:$Y$12,11,11)),"")</x:f>
      </x:c>
      <x:c r="L60" s="523" t="str">
        <x:f>IF(12&lt;=MATCH("from_to_cost",'_SETUPS'!$A$1:$Y$1,0)-2,IF(ISBLANK(INDEX('_SETUPS'!$A$1:$Y$12,11,12)),"",INDEX('_SETUPS'!$A$1:$Y$12,11,12)),"")</x:f>
      </x:c>
      <x:c r="M60" s="38"/>
      <x:c r="N60" s="596"/>
      <x:c r="O60" s="597"/>
      <x:c r="P60" s="597"/>
      <x:c r="Q60" s="598"/>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650" t="str">
        <x:f>IF(1&lt;=MATCH("from_to_cost",'_SETUPS'!$A$1:$Y$1,0)-2,IF(ISBLANK(INDEX('_SETUPS'!$A$1:$Y$12,12,1)),"",INDEX('_SETUPS'!$A$1:$Y$12,12,1)),"")</x:f>
      </x:c>
      <x:c r="B61" s="523" t="str">
        <x:f>IF(2&lt;=MATCH("from_to_cost",'_SETUPS'!$A$1:$Y$1,0)-2,IF(ISBLANK(INDEX('_SETUPS'!$A$1:$Y$12,12,2)),"",INDEX('_SETUPS'!$A$1:$Y$12,12,2)),"")</x:f>
      </x:c>
      <x:c r="C61" s="523" t="str">
        <x:f>IF(3&lt;=MATCH("from_to_cost",'_SETUPS'!$A$1:$Y$1,0)-2,IF(ISBLANK(INDEX('_SETUPS'!$A$1:$Y$12,12,3)),"",INDEX('_SETUPS'!$A$1:$Y$12,12,3)),"")</x:f>
      </x:c>
      <x:c r="D61" s="523" t="str">
        <x:f>IF(4&lt;=MATCH("from_to_cost",'_SETUPS'!$A$1:$Y$1,0)-2,IF(ISBLANK(INDEX('_SETUPS'!$A$1:$Y$12,12,4)),"",INDEX('_SETUPS'!$A$1:$Y$12,12,4)),"")</x:f>
      </x:c>
      <x:c r="E61" s="523" t="str">
        <x:f>IF(5&lt;=MATCH("from_to_cost",'_SETUPS'!$A$1:$Y$1,0)-2,IF(ISBLANK(INDEX('_SETUPS'!$A$1:$Y$12,12,5)),"",INDEX('_SETUPS'!$A$1:$Y$12,12,5)),"")</x:f>
      </x:c>
      <x:c r="F61" s="523" t="str">
        <x:f>IF(6&lt;=MATCH("from_to_cost",'_SETUPS'!$A$1:$Y$1,0)-2,IF(ISBLANK(INDEX('_SETUPS'!$A$1:$Y$12,12,6)),"",INDEX('_SETUPS'!$A$1:$Y$12,12,6)),"")</x:f>
      </x:c>
      <x:c r="G61" s="523" t="str">
        <x:f>IF(7&lt;=MATCH("from_to_cost",'_SETUPS'!$A$1:$Y$1,0)-2,IF(ISBLANK(INDEX('_SETUPS'!$A$1:$Y$12,12,7)),"",INDEX('_SETUPS'!$A$1:$Y$12,12,7)),"")</x:f>
      </x:c>
      <x:c r="H61" s="523" t="str">
        <x:f>IF(8&lt;=MATCH("from_to_cost",'_SETUPS'!$A$1:$Y$1,0)-2,IF(ISBLANK(INDEX('_SETUPS'!$A$1:$Y$12,12,8)),"",INDEX('_SETUPS'!$A$1:$Y$12,12,8)),"")</x:f>
      </x:c>
      <x:c r="I61" s="523" t="str">
        <x:f>IF(9&lt;=MATCH("from_to_cost",'_SETUPS'!$A$1:$Y$1,0)-2,IF(ISBLANK(INDEX('_SETUPS'!$A$1:$Y$12,12,9)),"",INDEX('_SETUPS'!$A$1:$Y$12,12,9)),"")</x:f>
      </x:c>
      <x:c r="J61" s="523" t="str">
        <x:f>IF(10&lt;=MATCH("from_to_cost",'_SETUPS'!$A$1:$Y$1,0)-2,IF(ISBLANK(INDEX('_SETUPS'!$A$1:$Y$12,12,10)),"",INDEX('_SETUPS'!$A$1:$Y$12,12,10)),"")</x:f>
      </x:c>
      <x:c r="K61" s="523" t="str">
        <x:f>IF(11&lt;=MATCH("from_to_cost",'_SETUPS'!$A$1:$Y$1,0)-2,IF(ISBLANK(INDEX('_SETUPS'!$A$1:$Y$12,12,11)),"",INDEX('_SETUPS'!$A$1:$Y$12,12,11)),"")</x:f>
      </x:c>
      <x:c r="L61" s="523" t="str">
        <x:f>IF(12&lt;=MATCH("from_to_cost",'_SETUPS'!$A$1:$Y$1,0)-2,IF(ISBLANK(INDEX('_SETUPS'!$A$1:$Y$12,12,12)),"",INDEX('_SETUPS'!$A$1:$Y$12,12,12)),"")</x:f>
      </x:c>
      <x:c r="M61" s="38"/>
      <x:c r="N61" s="596"/>
      <x:c r="O61" s="597"/>
      <x:c r="P61" s="597"/>
      <x:c r="Q61" s="598"/>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38"/>
      <x:c r="B62" s="38"/>
      <x:c r="C62" s="38"/>
      <x:c r="D62" s="38"/>
      <x:c r="E62" s="38"/>
      <x:c r="F62" s="38"/>
      <x:c r="G62" s="38"/>
      <x:c r="H62" s="38"/>
      <x:c r="I62" s="38"/>
      <x:c r="J62" s="38"/>
      <x:c r="K62" s="38"/>
      <x:c r="L62" s="38"/>
      <x:c r="M62" s="38"/>
      <x:c r="N62" s="596"/>
      <x:c r="O62" s="597"/>
      <x:c r="P62" s="597"/>
      <x:c r="Q62" s="598"/>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38"/>
      <x:c r="B63" s="38"/>
      <x:c r="C63" s="38"/>
      <x:c r="D63" s="38"/>
      <x:c r="E63" s="38"/>
      <x:c r="F63" s="38"/>
      <x:c r="G63" s="38"/>
      <x:c r="H63" s="38"/>
      <x:c r="I63" s="38"/>
      <x:c r="J63" s="38"/>
      <x:c r="K63" s="38"/>
      <x:c r="L63" s="38"/>
      <x:c r="M63" s="38"/>
      <x:c r="N63" s="596"/>
      <x:c r="O63" s="597"/>
      <x:c r="P63" s="597"/>
      <x:c r="Q63" s="598"/>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184" t="str">
        <x:f>IF('_CONFIG'!$B$2="pt-BR","MATRIZ DE CUSTO DE PREPARAÇÃO","SETUP COST MATRIX")</x:f>
        <x:v>SETUP COST MATRIX</x:v>
      </x:c>
      <x:c r="B64" s="184"/>
      <x:c r="C64" s="184"/>
      <x:c r="D64" s="184"/>
      <x:c r="E64" s="184"/>
      <x:c r="F64" s="184"/>
      <x:c r="G64" s="184"/>
      <x:c r="H64" s="184"/>
      <x:c r="I64" s="184"/>
      <x:c r="J64" s="184"/>
      <x:c r="K64" s="184"/>
      <x:c r="L64" s="184"/>
      <x:c r="M64" s="38"/>
      <x:c r="N64" s="596"/>
      <x:c r="O64" s="597"/>
      <x:c r="P64" s="597"/>
      <x:c r="Q64" s="598"/>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658" t="str">
        <x:f>IF('_CONFIG'!$B$2="pt-BR","De → Para","From → To")</x:f>
        <x:v>From → To</x:v>
      </x:c>
      <x:c r="B65" s="31" t="n">
        <x:f>IFERROR(INDEX('_SETUPS'!$A$1:$Y$12,1,MATCH("from_to_cost",'_SETUPS'!$A$1:$Y$1,0)+1),"")</x:f>
        <x:v>0</x:v>
      </x:c>
      <x:c r="C65" s="31" t="n">
        <x:f>IFERROR(INDEX('_SETUPS'!$A$1:$Y$12,1,MATCH("from_to_cost",'_SETUPS'!$A$1:$Y$1,0)+2),"")</x:f>
        <x:v>1</x:v>
      </x:c>
      <x:c r="D65" s="31" t="n">
        <x:f>IFERROR(INDEX('_SETUPS'!$A$1:$Y$12,1,MATCH("from_to_cost",'_SETUPS'!$A$1:$Y$1,0)+3),"")</x:f>
        <x:v>2</x:v>
      </x:c>
      <x:c r="E65" s="31" t="n">
        <x:f>IFERROR(INDEX('_SETUPS'!$A$1:$Y$12,1,MATCH("from_to_cost",'_SETUPS'!$A$1:$Y$1,0)+4),"")</x:f>
        <x:v>3</x:v>
      </x:c>
      <x:c r="F65" s="31" t="str">
        <x:f>IFERROR(INDEX('_SETUPS'!$A$1:$Y$12,1,MATCH("from_to_cost",'_SETUPS'!$A$1:$Y$1,0)+5),"")</x:f>
      </x:c>
      <x:c r="G65" s="31" t="str">
        <x:f>IFERROR(INDEX('_SETUPS'!$A$1:$Y$12,1,MATCH("from_to_cost",'_SETUPS'!$A$1:$Y$1,0)+6),"")</x:f>
      </x:c>
      <x:c r="H65" s="31" t="str">
        <x:f>IFERROR(INDEX('_SETUPS'!$A$1:$Y$12,1,MATCH("from_to_cost",'_SETUPS'!$A$1:$Y$1,0)+7),"")</x:f>
      </x:c>
      <x:c r="I65" s="31" t="str">
        <x:f>IFERROR(INDEX('_SETUPS'!$A$1:$Y$12,1,MATCH("from_to_cost",'_SETUPS'!$A$1:$Y$1,0)+8),"")</x:f>
      </x:c>
      <x:c r="J65" s="31" t="str">
        <x:f>IFERROR(INDEX('_SETUPS'!$A$1:$Y$12,1,MATCH("from_to_cost",'_SETUPS'!$A$1:$Y$1,0)+9),"")</x:f>
      </x:c>
      <x:c r="K65" s="31" t="str">
        <x:f>IFERROR(INDEX('_SETUPS'!$A$1:$Y$12,1,MATCH("from_to_cost",'_SETUPS'!$A$1:$Y$1,0)+10),"")</x:f>
      </x:c>
      <x:c r="L65" s="32" t="str">
        <x:f>IFERROR(INDEX('_SETUPS'!$A$1:$Y$12,1,MATCH("from_to_cost",'_SETUPS'!$A$1:$Y$1,0)+11),"")</x:f>
      </x:c>
      <x:c r="M65" s="38"/>
      <x:c r="N65" s="596"/>
      <x:c r="O65" s="597"/>
      <x:c r="P65" s="597"/>
      <x:c r="Q65" s="598"/>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660" t="n">
        <x:f>IFERROR(INDEX('_SETUPS'!$A$1:$Y$12,2,MATCH("from_to_cost",'_SETUPS'!$A$1:$Y$1,0)+0),"")</x:f>
        <x:v>0</x:v>
      </x:c>
      <x:c r="B66" s="523" t="n">
        <x:f>IFERROR(INDEX('_SETUPS'!$A$1:$Y$12,2,MATCH("from_to_cost",'_SETUPS'!$A$1:$Y$1,0)+1),"")</x:f>
        <x:v>0</x:v>
      </x:c>
      <x:c r="C66" s="523" t="n">
        <x:f>IFERROR(INDEX('_SETUPS'!$A$1:$Y$12,2,MATCH("from_to_cost",'_SETUPS'!$A$1:$Y$1,0)+2),"")</x:f>
        <x:v>200</x:v>
      </x:c>
      <x:c r="D66" s="523" t="n">
        <x:f>IFERROR(INDEX('_SETUPS'!$A$1:$Y$12,2,MATCH("from_to_cost",'_SETUPS'!$A$1:$Y$1,0)+3),"")</x:f>
        <x:v>200</x:v>
      </x:c>
      <x:c r="E66" s="523" t="n">
        <x:f>IFERROR(INDEX('_SETUPS'!$A$1:$Y$12,2,MATCH("from_to_cost",'_SETUPS'!$A$1:$Y$1,0)+4),"")</x:f>
        <x:v>200</x:v>
      </x:c>
      <x:c r="F66" s="523" t="str">
        <x:f>IFERROR(INDEX('_SETUPS'!$A$1:$Y$12,2,MATCH("from_to_cost",'_SETUPS'!$A$1:$Y$1,0)+5),"")</x:f>
      </x:c>
      <x:c r="G66" s="523" t="str">
        <x:f>IFERROR(INDEX('_SETUPS'!$A$1:$Y$12,2,MATCH("from_to_cost",'_SETUPS'!$A$1:$Y$1,0)+6),"")</x:f>
      </x:c>
      <x:c r="H66" s="523" t="str">
        <x:f>IFERROR(INDEX('_SETUPS'!$A$1:$Y$12,2,MATCH("from_to_cost",'_SETUPS'!$A$1:$Y$1,0)+7),"")</x:f>
      </x:c>
      <x:c r="I66" s="523" t="str">
        <x:f>IFERROR(INDEX('_SETUPS'!$A$1:$Y$12,2,MATCH("from_to_cost",'_SETUPS'!$A$1:$Y$1,0)+8),"")</x:f>
      </x:c>
      <x:c r="J66" s="523" t="str">
        <x:f>IFERROR(INDEX('_SETUPS'!$A$1:$Y$12,2,MATCH("from_to_cost",'_SETUPS'!$A$1:$Y$1,0)+9),"")</x:f>
      </x:c>
      <x:c r="K66" s="523" t="str">
        <x:f>IFERROR(INDEX('_SETUPS'!$A$1:$Y$12,2,MATCH("from_to_cost",'_SETUPS'!$A$1:$Y$1,0)+10),"")</x:f>
      </x:c>
      <x:c r="L66" s="523" t="str">
        <x:f>IFERROR(INDEX('_SETUPS'!$A$1:$Y$12,2,MATCH("from_to_cost",'_SETUPS'!$A$1:$Y$1,0)+11),"")</x:f>
      </x:c>
      <x:c r="M66" s="38"/>
      <x:c r="N66" s="596"/>
      <x:c r="O66" s="597"/>
      <x:c r="P66" s="597"/>
      <x:c r="Q66" s="598"/>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660" t="n">
        <x:f>IFERROR(INDEX('_SETUPS'!$A$1:$Y$12,3,MATCH("from_to_cost",'_SETUPS'!$A$1:$Y$1,0)+0),"")</x:f>
        <x:v>1</x:v>
      </x:c>
      <x:c r="B67" s="523" t="n">
        <x:f>IFERROR(INDEX('_SETUPS'!$A$1:$Y$12,3,MATCH("from_to_cost",'_SETUPS'!$A$1:$Y$1,0)+1),"")</x:f>
        <x:v>200</x:v>
      </x:c>
      <x:c r="C67" s="523" t="n">
        <x:f>IFERROR(INDEX('_SETUPS'!$A$1:$Y$12,3,MATCH("from_to_cost",'_SETUPS'!$A$1:$Y$1,0)+2),"")</x:f>
        <x:v>0</x:v>
      </x:c>
      <x:c r="D67" s="523" t="n">
        <x:f>IFERROR(INDEX('_SETUPS'!$A$1:$Y$12,3,MATCH("from_to_cost",'_SETUPS'!$A$1:$Y$1,0)+3),"")</x:f>
        <x:v>200</x:v>
      </x:c>
      <x:c r="E67" s="523" t="n">
        <x:f>IFERROR(INDEX('_SETUPS'!$A$1:$Y$12,3,MATCH("from_to_cost",'_SETUPS'!$A$1:$Y$1,0)+4),"")</x:f>
        <x:v>200</x:v>
      </x:c>
      <x:c r="F67" s="523" t="str">
        <x:f>IFERROR(INDEX('_SETUPS'!$A$1:$Y$12,3,MATCH("from_to_cost",'_SETUPS'!$A$1:$Y$1,0)+5),"")</x:f>
      </x:c>
      <x:c r="G67" s="523" t="str">
        <x:f>IFERROR(INDEX('_SETUPS'!$A$1:$Y$12,3,MATCH("from_to_cost",'_SETUPS'!$A$1:$Y$1,0)+6),"")</x:f>
      </x:c>
      <x:c r="H67" s="523" t="str">
        <x:f>IFERROR(INDEX('_SETUPS'!$A$1:$Y$12,3,MATCH("from_to_cost",'_SETUPS'!$A$1:$Y$1,0)+7),"")</x:f>
      </x:c>
      <x:c r="I67" s="523" t="str">
        <x:f>IFERROR(INDEX('_SETUPS'!$A$1:$Y$12,3,MATCH("from_to_cost",'_SETUPS'!$A$1:$Y$1,0)+8),"")</x:f>
      </x:c>
      <x:c r="J67" s="523" t="str">
        <x:f>IFERROR(INDEX('_SETUPS'!$A$1:$Y$12,3,MATCH("from_to_cost",'_SETUPS'!$A$1:$Y$1,0)+9),"")</x:f>
      </x:c>
      <x:c r="K67" s="523" t="str">
        <x:f>IFERROR(INDEX('_SETUPS'!$A$1:$Y$12,3,MATCH("from_to_cost",'_SETUPS'!$A$1:$Y$1,0)+10),"")</x:f>
      </x:c>
      <x:c r="L67" s="523" t="str">
        <x:f>IFERROR(INDEX('_SETUPS'!$A$1:$Y$12,3,MATCH("from_to_cost",'_SETUPS'!$A$1:$Y$1,0)+11),"")</x:f>
      </x:c>
      <x:c r="M67" s="38"/>
      <x:c r="N67" s="596"/>
      <x:c r="O67" s="597"/>
      <x:c r="P67" s="597"/>
      <x:c r="Q67" s="598"/>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660" t="n">
        <x:f>IFERROR(INDEX('_SETUPS'!$A$1:$Y$12,4,MATCH("from_to_cost",'_SETUPS'!$A$1:$Y$1,0)+0),"")</x:f>
        <x:v>2</x:v>
      </x:c>
      <x:c r="B68" s="523" t="n">
        <x:f>IFERROR(INDEX('_SETUPS'!$A$1:$Y$12,4,MATCH("from_to_cost",'_SETUPS'!$A$1:$Y$1,0)+1),"")</x:f>
        <x:v>200</x:v>
      </x:c>
      <x:c r="C68" s="523" t="n">
        <x:f>IFERROR(INDEX('_SETUPS'!$A$1:$Y$12,4,MATCH("from_to_cost",'_SETUPS'!$A$1:$Y$1,0)+2),"")</x:f>
        <x:v>200</x:v>
      </x:c>
      <x:c r="D68" s="523" t="n">
        <x:f>IFERROR(INDEX('_SETUPS'!$A$1:$Y$12,4,MATCH("from_to_cost",'_SETUPS'!$A$1:$Y$1,0)+3),"")</x:f>
        <x:v>0</x:v>
      </x:c>
      <x:c r="E68" s="523" t="n">
        <x:f>IFERROR(INDEX('_SETUPS'!$A$1:$Y$12,4,MATCH("from_to_cost",'_SETUPS'!$A$1:$Y$1,0)+4),"")</x:f>
        <x:v>200</x:v>
      </x:c>
      <x:c r="F68" s="523" t="str">
        <x:f>IFERROR(INDEX('_SETUPS'!$A$1:$Y$12,4,MATCH("from_to_cost",'_SETUPS'!$A$1:$Y$1,0)+5),"")</x:f>
      </x:c>
      <x:c r="G68" s="523" t="str">
        <x:f>IFERROR(INDEX('_SETUPS'!$A$1:$Y$12,4,MATCH("from_to_cost",'_SETUPS'!$A$1:$Y$1,0)+6),"")</x:f>
      </x:c>
      <x:c r="H68" s="523" t="str">
        <x:f>IFERROR(INDEX('_SETUPS'!$A$1:$Y$12,4,MATCH("from_to_cost",'_SETUPS'!$A$1:$Y$1,0)+7),"")</x:f>
      </x:c>
      <x:c r="I68" s="523" t="str">
        <x:f>IFERROR(INDEX('_SETUPS'!$A$1:$Y$12,4,MATCH("from_to_cost",'_SETUPS'!$A$1:$Y$1,0)+8),"")</x:f>
      </x:c>
      <x:c r="J68" s="523" t="str">
        <x:f>IFERROR(INDEX('_SETUPS'!$A$1:$Y$12,4,MATCH("from_to_cost",'_SETUPS'!$A$1:$Y$1,0)+9),"")</x:f>
      </x:c>
      <x:c r="K68" s="523" t="str">
        <x:f>IFERROR(INDEX('_SETUPS'!$A$1:$Y$12,4,MATCH("from_to_cost",'_SETUPS'!$A$1:$Y$1,0)+10),"")</x:f>
      </x:c>
      <x:c r="L68" s="523" t="str">
        <x:f>IFERROR(INDEX('_SETUPS'!$A$1:$Y$12,4,MATCH("from_to_cost",'_SETUPS'!$A$1:$Y$1,0)+11),"")</x:f>
      </x:c>
      <x:c r="M68" s="38"/>
      <x:c r="N68" s="596"/>
      <x:c r="O68" s="597"/>
      <x:c r="P68" s="597"/>
      <x:c r="Q68" s="598"/>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660" t="n">
        <x:f>IFERROR(INDEX('_SETUPS'!$A$1:$Y$12,5,MATCH("from_to_cost",'_SETUPS'!$A$1:$Y$1,0)+0),"")</x:f>
        <x:v>3</x:v>
      </x:c>
      <x:c r="B69" s="523" t="n">
        <x:f>IFERROR(INDEX('_SETUPS'!$A$1:$Y$12,5,MATCH("from_to_cost",'_SETUPS'!$A$1:$Y$1,0)+1),"")</x:f>
        <x:v>60</x:v>
      </x:c>
      <x:c r="C69" s="523" t="n">
        <x:f>IFERROR(INDEX('_SETUPS'!$A$1:$Y$12,5,MATCH("from_to_cost",'_SETUPS'!$A$1:$Y$1,0)+2),"")</x:f>
        <x:v>60</x:v>
      </x:c>
      <x:c r="D69" s="523" t="n">
        <x:f>IFERROR(INDEX('_SETUPS'!$A$1:$Y$12,5,MATCH("from_to_cost",'_SETUPS'!$A$1:$Y$1,0)+3),"")</x:f>
        <x:v>60</x:v>
      </x:c>
      <x:c r="E69" s="523" t="n">
        <x:f>IFERROR(INDEX('_SETUPS'!$A$1:$Y$12,5,MATCH("from_to_cost",'_SETUPS'!$A$1:$Y$1,0)+4),"")</x:f>
        <x:v>0</x:v>
      </x:c>
      <x:c r="F69" s="523" t="str">
        <x:f>IFERROR(INDEX('_SETUPS'!$A$1:$Y$12,5,MATCH("from_to_cost",'_SETUPS'!$A$1:$Y$1,0)+5),"")</x:f>
      </x:c>
      <x:c r="G69" s="523" t="str">
        <x:f>IFERROR(INDEX('_SETUPS'!$A$1:$Y$12,5,MATCH("from_to_cost",'_SETUPS'!$A$1:$Y$1,0)+6),"")</x:f>
      </x:c>
      <x:c r="H69" s="523" t="str">
        <x:f>IFERROR(INDEX('_SETUPS'!$A$1:$Y$12,5,MATCH("from_to_cost",'_SETUPS'!$A$1:$Y$1,0)+7),"")</x:f>
      </x:c>
      <x:c r="I69" s="523" t="str">
        <x:f>IFERROR(INDEX('_SETUPS'!$A$1:$Y$12,5,MATCH("from_to_cost",'_SETUPS'!$A$1:$Y$1,0)+8),"")</x:f>
      </x:c>
      <x:c r="J69" s="523" t="str">
        <x:f>IFERROR(INDEX('_SETUPS'!$A$1:$Y$12,5,MATCH("from_to_cost",'_SETUPS'!$A$1:$Y$1,0)+9),"")</x:f>
      </x:c>
      <x:c r="K69" s="523" t="str">
        <x:f>IFERROR(INDEX('_SETUPS'!$A$1:$Y$12,5,MATCH("from_to_cost",'_SETUPS'!$A$1:$Y$1,0)+10),"")</x:f>
      </x:c>
      <x:c r="L69" s="523" t="str">
        <x:f>IFERROR(INDEX('_SETUPS'!$A$1:$Y$12,5,MATCH("from_to_cost",'_SETUPS'!$A$1:$Y$1,0)+11),"")</x:f>
      </x:c>
      <x:c r="M69" s="38"/>
      <x:c r="N69" s="596"/>
      <x:c r="O69" s="597"/>
      <x:c r="P69" s="597"/>
      <x:c r="Q69" s="598"/>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660" t="str">
        <x:f>IFERROR(INDEX('_SETUPS'!$A$1:$Y$12,6,MATCH("from_to_cost",'_SETUPS'!$A$1:$Y$1,0)+0),"")</x:f>
      </x:c>
      <x:c r="B70" s="523" t="str">
        <x:f>IFERROR(INDEX('_SETUPS'!$A$1:$Y$12,6,MATCH("from_to_cost",'_SETUPS'!$A$1:$Y$1,0)+1),"")</x:f>
      </x:c>
      <x:c r="C70" s="523" t="str">
        <x:f>IFERROR(INDEX('_SETUPS'!$A$1:$Y$12,6,MATCH("from_to_cost",'_SETUPS'!$A$1:$Y$1,0)+2),"")</x:f>
      </x:c>
      <x:c r="D70" s="523" t="str">
        <x:f>IFERROR(INDEX('_SETUPS'!$A$1:$Y$12,6,MATCH("from_to_cost",'_SETUPS'!$A$1:$Y$1,0)+3),"")</x:f>
      </x:c>
      <x:c r="E70" s="523" t="str">
        <x:f>IFERROR(INDEX('_SETUPS'!$A$1:$Y$12,6,MATCH("from_to_cost",'_SETUPS'!$A$1:$Y$1,0)+4),"")</x:f>
      </x:c>
      <x:c r="F70" s="523" t="str">
        <x:f>IFERROR(INDEX('_SETUPS'!$A$1:$Y$12,6,MATCH("from_to_cost",'_SETUPS'!$A$1:$Y$1,0)+5),"")</x:f>
      </x:c>
      <x:c r="G70" s="523" t="str">
        <x:f>IFERROR(INDEX('_SETUPS'!$A$1:$Y$12,6,MATCH("from_to_cost",'_SETUPS'!$A$1:$Y$1,0)+6),"")</x:f>
      </x:c>
      <x:c r="H70" s="523" t="str">
        <x:f>IFERROR(INDEX('_SETUPS'!$A$1:$Y$12,6,MATCH("from_to_cost",'_SETUPS'!$A$1:$Y$1,0)+7),"")</x:f>
      </x:c>
      <x:c r="I70" s="523" t="str">
        <x:f>IFERROR(INDEX('_SETUPS'!$A$1:$Y$12,6,MATCH("from_to_cost",'_SETUPS'!$A$1:$Y$1,0)+8),"")</x:f>
      </x:c>
      <x:c r="J70" s="523" t="str">
        <x:f>IFERROR(INDEX('_SETUPS'!$A$1:$Y$12,6,MATCH("from_to_cost",'_SETUPS'!$A$1:$Y$1,0)+9),"")</x:f>
      </x:c>
      <x:c r="K70" s="523" t="str">
        <x:f>IFERROR(INDEX('_SETUPS'!$A$1:$Y$12,6,MATCH("from_to_cost",'_SETUPS'!$A$1:$Y$1,0)+10),"")</x:f>
      </x:c>
      <x:c r="L70" s="523" t="str">
        <x:f>IFERROR(INDEX('_SETUPS'!$A$1:$Y$12,6,MATCH("from_to_cost",'_SETUPS'!$A$1:$Y$1,0)+11),"")</x:f>
      </x:c>
      <x:c r="M70" s="38"/>
      <x:c r="N70" s="596"/>
      <x:c r="O70" s="597"/>
      <x:c r="P70" s="597"/>
      <x:c r="Q70" s="598"/>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660" t="str">
        <x:f>IFERROR(INDEX('_SETUPS'!$A$1:$Y$12,7,MATCH("from_to_cost",'_SETUPS'!$A$1:$Y$1,0)+0),"")</x:f>
      </x:c>
      <x:c r="B71" s="523" t="str">
        <x:f>IFERROR(INDEX('_SETUPS'!$A$1:$Y$12,7,MATCH("from_to_cost",'_SETUPS'!$A$1:$Y$1,0)+1),"")</x:f>
      </x:c>
      <x:c r="C71" s="523" t="str">
        <x:f>IFERROR(INDEX('_SETUPS'!$A$1:$Y$12,7,MATCH("from_to_cost",'_SETUPS'!$A$1:$Y$1,0)+2),"")</x:f>
      </x:c>
      <x:c r="D71" s="523" t="str">
        <x:f>IFERROR(INDEX('_SETUPS'!$A$1:$Y$12,7,MATCH("from_to_cost",'_SETUPS'!$A$1:$Y$1,0)+3),"")</x:f>
      </x:c>
      <x:c r="E71" s="523" t="str">
        <x:f>IFERROR(INDEX('_SETUPS'!$A$1:$Y$12,7,MATCH("from_to_cost",'_SETUPS'!$A$1:$Y$1,0)+4),"")</x:f>
      </x:c>
      <x:c r="F71" s="523" t="str">
        <x:f>IFERROR(INDEX('_SETUPS'!$A$1:$Y$12,7,MATCH("from_to_cost",'_SETUPS'!$A$1:$Y$1,0)+5),"")</x:f>
      </x:c>
      <x:c r="G71" s="523" t="str">
        <x:f>IFERROR(INDEX('_SETUPS'!$A$1:$Y$12,7,MATCH("from_to_cost",'_SETUPS'!$A$1:$Y$1,0)+6),"")</x:f>
      </x:c>
      <x:c r="H71" s="523" t="str">
        <x:f>IFERROR(INDEX('_SETUPS'!$A$1:$Y$12,7,MATCH("from_to_cost",'_SETUPS'!$A$1:$Y$1,0)+7),"")</x:f>
      </x:c>
      <x:c r="I71" s="523" t="str">
        <x:f>IFERROR(INDEX('_SETUPS'!$A$1:$Y$12,7,MATCH("from_to_cost",'_SETUPS'!$A$1:$Y$1,0)+8),"")</x:f>
      </x:c>
      <x:c r="J71" s="523" t="str">
        <x:f>IFERROR(INDEX('_SETUPS'!$A$1:$Y$12,7,MATCH("from_to_cost",'_SETUPS'!$A$1:$Y$1,0)+9),"")</x:f>
      </x:c>
      <x:c r="K71" s="523" t="str">
        <x:f>IFERROR(INDEX('_SETUPS'!$A$1:$Y$12,7,MATCH("from_to_cost",'_SETUPS'!$A$1:$Y$1,0)+10),"")</x:f>
      </x:c>
      <x:c r="L71" s="523" t="str">
        <x:f>IFERROR(INDEX('_SETUPS'!$A$1:$Y$12,7,MATCH("from_to_cost",'_SETUPS'!$A$1:$Y$1,0)+11),"")</x:f>
      </x:c>
      <x:c r="M71" s="38"/>
      <x:c r="N71" s="596"/>
      <x:c r="O71" s="597"/>
      <x:c r="P71" s="597"/>
      <x:c r="Q71" s="598"/>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660" t="str">
        <x:f>IFERROR(INDEX('_SETUPS'!$A$1:$Y$12,8,MATCH("from_to_cost",'_SETUPS'!$A$1:$Y$1,0)+0),"")</x:f>
      </x:c>
      <x:c r="B72" s="523" t="str">
        <x:f>IFERROR(INDEX('_SETUPS'!$A$1:$Y$12,8,MATCH("from_to_cost",'_SETUPS'!$A$1:$Y$1,0)+1),"")</x:f>
      </x:c>
      <x:c r="C72" s="523" t="str">
        <x:f>IFERROR(INDEX('_SETUPS'!$A$1:$Y$12,8,MATCH("from_to_cost",'_SETUPS'!$A$1:$Y$1,0)+2),"")</x:f>
      </x:c>
      <x:c r="D72" s="523" t="str">
        <x:f>IFERROR(INDEX('_SETUPS'!$A$1:$Y$12,8,MATCH("from_to_cost",'_SETUPS'!$A$1:$Y$1,0)+3),"")</x:f>
      </x:c>
      <x:c r="E72" s="523" t="str">
        <x:f>IFERROR(INDEX('_SETUPS'!$A$1:$Y$12,8,MATCH("from_to_cost",'_SETUPS'!$A$1:$Y$1,0)+4),"")</x:f>
      </x:c>
      <x:c r="F72" s="523" t="str">
        <x:f>IFERROR(INDEX('_SETUPS'!$A$1:$Y$12,8,MATCH("from_to_cost",'_SETUPS'!$A$1:$Y$1,0)+5),"")</x:f>
      </x:c>
      <x:c r="G72" s="523" t="str">
        <x:f>IFERROR(INDEX('_SETUPS'!$A$1:$Y$12,8,MATCH("from_to_cost",'_SETUPS'!$A$1:$Y$1,0)+6),"")</x:f>
      </x:c>
      <x:c r="H72" s="523" t="str">
        <x:f>IFERROR(INDEX('_SETUPS'!$A$1:$Y$12,8,MATCH("from_to_cost",'_SETUPS'!$A$1:$Y$1,0)+7),"")</x:f>
      </x:c>
      <x:c r="I72" s="523" t="str">
        <x:f>IFERROR(INDEX('_SETUPS'!$A$1:$Y$12,8,MATCH("from_to_cost",'_SETUPS'!$A$1:$Y$1,0)+8),"")</x:f>
      </x:c>
      <x:c r="J72" s="523" t="str">
        <x:f>IFERROR(INDEX('_SETUPS'!$A$1:$Y$12,8,MATCH("from_to_cost",'_SETUPS'!$A$1:$Y$1,0)+9),"")</x:f>
      </x:c>
      <x:c r="K72" s="523" t="str">
        <x:f>IFERROR(INDEX('_SETUPS'!$A$1:$Y$12,8,MATCH("from_to_cost",'_SETUPS'!$A$1:$Y$1,0)+10),"")</x:f>
      </x:c>
      <x:c r="L72" s="523" t="str">
        <x:f>IFERROR(INDEX('_SETUPS'!$A$1:$Y$12,8,MATCH("from_to_cost",'_SETUPS'!$A$1:$Y$1,0)+11),"")</x:f>
      </x:c>
      <x:c r="M72" s="38"/>
      <x:c r="N72" s="596"/>
      <x:c r="O72" s="597"/>
      <x:c r="P72" s="597"/>
      <x:c r="Q72" s="598"/>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660" t="str">
        <x:f>IFERROR(INDEX('_SETUPS'!$A$1:$Y$12,9,MATCH("from_to_cost",'_SETUPS'!$A$1:$Y$1,0)+0),"")</x:f>
      </x:c>
      <x:c r="B73" s="523" t="str">
        <x:f>IFERROR(INDEX('_SETUPS'!$A$1:$Y$12,9,MATCH("from_to_cost",'_SETUPS'!$A$1:$Y$1,0)+1),"")</x:f>
      </x:c>
      <x:c r="C73" s="523" t="str">
        <x:f>IFERROR(INDEX('_SETUPS'!$A$1:$Y$12,9,MATCH("from_to_cost",'_SETUPS'!$A$1:$Y$1,0)+2),"")</x:f>
      </x:c>
      <x:c r="D73" s="523" t="str">
        <x:f>IFERROR(INDEX('_SETUPS'!$A$1:$Y$12,9,MATCH("from_to_cost",'_SETUPS'!$A$1:$Y$1,0)+3),"")</x:f>
      </x:c>
      <x:c r="E73" s="523" t="str">
        <x:f>IFERROR(INDEX('_SETUPS'!$A$1:$Y$12,9,MATCH("from_to_cost",'_SETUPS'!$A$1:$Y$1,0)+4),"")</x:f>
      </x:c>
      <x:c r="F73" s="523" t="str">
        <x:f>IFERROR(INDEX('_SETUPS'!$A$1:$Y$12,9,MATCH("from_to_cost",'_SETUPS'!$A$1:$Y$1,0)+5),"")</x:f>
      </x:c>
      <x:c r="G73" s="523" t="str">
        <x:f>IFERROR(INDEX('_SETUPS'!$A$1:$Y$12,9,MATCH("from_to_cost",'_SETUPS'!$A$1:$Y$1,0)+6),"")</x:f>
      </x:c>
      <x:c r="H73" s="523" t="str">
        <x:f>IFERROR(INDEX('_SETUPS'!$A$1:$Y$12,9,MATCH("from_to_cost",'_SETUPS'!$A$1:$Y$1,0)+7),"")</x:f>
      </x:c>
      <x:c r="I73" s="523" t="str">
        <x:f>IFERROR(INDEX('_SETUPS'!$A$1:$Y$12,9,MATCH("from_to_cost",'_SETUPS'!$A$1:$Y$1,0)+8),"")</x:f>
      </x:c>
      <x:c r="J73" s="523" t="str">
        <x:f>IFERROR(INDEX('_SETUPS'!$A$1:$Y$12,9,MATCH("from_to_cost",'_SETUPS'!$A$1:$Y$1,0)+9),"")</x:f>
      </x:c>
      <x:c r="K73" s="523" t="str">
        <x:f>IFERROR(INDEX('_SETUPS'!$A$1:$Y$12,9,MATCH("from_to_cost",'_SETUPS'!$A$1:$Y$1,0)+10),"")</x:f>
      </x:c>
      <x:c r="L73" s="523" t="str">
        <x:f>IFERROR(INDEX('_SETUPS'!$A$1:$Y$12,9,MATCH("from_to_cost",'_SETUPS'!$A$1:$Y$1,0)+11),"")</x:f>
      </x:c>
      <x:c r="M73" s="38"/>
      <x:c r="N73" s="596"/>
      <x:c r="O73" s="597"/>
      <x:c r="P73" s="597"/>
      <x:c r="Q73" s="598"/>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660" t="str">
        <x:f>IFERROR(INDEX('_SETUPS'!$A$1:$Y$12,10,MATCH("from_to_cost",'_SETUPS'!$A$1:$Y$1,0)+0),"")</x:f>
      </x:c>
      <x:c r="B74" s="523" t="str">
        <x:f>IFERROR(INDEX('_SETUPS'!$A$1:$Y$12,10,MATCH("from_to_cost",'_SETUPS'!$A$1:$Y$1,0)+1),"")</x:f>
      </x:c>
      <x:c r="C74" s="523" t="str">
        <x:f>IFERROR(INDEX('_SETUPS'!$A$1:$Y$12,10,MATCH("from_to_cost",'_SETUPS'!$A$1:$Y$1,0)+2),"")</x:f>
      </x:c>
      <x:c r="D74" s="523" t="str">
        <x:f>IFERROR(INDEX('_SETUPS'!$A$1:$Y$12,10,MATCH("from_to_cost",'_SETUPS'!$A$1:$Y$1,0)+3),"")</x:f>
      </x:c>
      <x:c r="E74" s="523" t="str">
        <x:f>IFERROR(INDEX('_SETUPS'!$A$1:$Y$12,10,MATCH("from_to_cost",'_SETUPS'!$A$1:$Y$1,0)+4),"")</x:f>
      </x:c>
      <x:c r="F74" s="523" t="str">
        <x:f>IFERROR(INDEX('_SETUPS'!$A$1:$Y$12,10,MATCH("from_to_cost",'_SETUPS'!$A$1:$Y$1,0)+5),"")</x:f>
      </x:c>
      <x:c r="G74" s="523" t="str">
        <x:f>IFERROR(INDEX('_SETUPS'!$A$1:$Y$12,10,MATCH("from_to_cost",'_SETUPS'!$A$1:$Y$1,0)+6),"")</x:f>
      </x:c>
      <x:c r="H74" s="523" t="str">
        <x:f>IFERROR(INDEX('_SETUPS'!$A$1:$Y$12,10,MATCH("from_to_cost",'_SETUPS'!$A$1:$Y$1,0)+7),"")</x:f>
      </x:c>
      <x:c r="I74" s="523" t="str">
        <x:f>IFERROR(INDEX('_SETUPS'!$A$1:$Y$12,10,MATCH("from_to_cost",'_SETUPS'!$A$1:$Y$1,0)+8),"")</x:f>
      </x:c>
      <x:c r="J74" s="523" t="str">
        <x:f>IFERROR(INDEX('_SETUPS'!$A$1:$Y$12,10,MATCH("from_to_cost",'_SETUPS'!$A$1:$Y$1,0)+9),"")</x:f>
      </x:c>
      <x:c r="K74" s="523" t="str">
        <x:f>IFERROR(INDEX('_SETUPS'!$A$1:$Y$12,10,MATCH("from_to_cost",'_SETUPS'!$A$1:$Y$1,0)+10),"")</x:f>
      </x:c>
      <x:c r="L74" s="523" t="str">
        <x:f>IFERROR(INDEX('_SETUPS'!$A$1:$Y$12,10,MATCH("from_to_cost",'_SETUPS'!$A$1:$Y$1,0)+11),"")</x:f>
      </x:c>
      <x:c r="M74" s="38"/>
      <x:c r="N74" s="596"/>
      <x:c r="O74" s="597"/>
      <x:c r="P74" s="597"/>
      <x:c r="Q74" s="598"/>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660" t="str">
        <x:f>IFERROR(INDEX('_SETUPS'!$A$1:$Y$12,11,MATCH("from_to_cost",'_SETUPS'!$A$1:$Y$1,0)+0),"")</x:f>
      </x:c>
      <x:c r="B75" s="523" t="str">
        <x:f>IFERROR(INDEX('_SETUPS'!$A$1:$Y$12,11,MATCH("from_to_cost",'_SETUPS'!$A$1:$Y$1,0)+1),"")</x:f>
      </x:c>
      <x:c r="C75" s="523" t="str">
        <x:f>IFERROR(INDEX('_SETUPS'!$A$1:$Y$12,11,MATCH("from_to_cost",'_SETUPS'!$A$1:$Y$1,0)+2),"")</x:f>
      </x:c>
      <x:c r="D75" s="523" t="str">
        <x:f>IFERROR(INDEX('_SETUPS'!$A$1:$Y$12,11,MATCH("from_to_cost",'_SETUPS'!$A$1:$Y$1,0)+3),"")</x:f>
      </x:c>
      <x:c r="E75" s="523" t="str">
        <x:f>IFERROR(INDEX('_SETUPS'!$A$1:$Y$12,11,MATCH("from_to_cost",'_SETUPS'!$A$1:$Y$1,0)+4),"")</x:f>
      </x:c>
      <x:c r="F75" s="523" t="str">
        <x:f>IFERROR(INDEX('_SETUPS'!$A$1:$Y$12,11,MATCH("from_to_cost",'_SETUPS'!$A$1:$Y$1,0)+5),"")</x:f>
      </x:c>
      <x:c r="G75" s="523" t="str">
        <x:f>IFERROR(INDEX('_SETUPS'!$A$1:$Y$12,11,MATCH("from_to_cost",'_SETUPS'!$A$1:$Y$1,0)+6),"")</x:f>
      </x:c>
      <x:c r="H75" s="523" t="str">
        <x:f>IFERROR(INDEX('_SETUPS'!$A$1:$Y$12,11,MATCH("from_to_cost",'_SETUPS'!$A$1:$Y$1,0)+7),"")</x:f>
      </x:c>
      <x:c r="I75" s="523" t="str">
        <x:f>IFERROR(INDEX('_SETUPS'!$A$1:$Y$12,11,MATCH("from_to_cost",'_SETUPS'!$A$1:$Y$1,0)+8),"")</x:f>
      </x:c>
      <x:c r="J75" s="523" t="str">
        <x:f>IFERROR(INDEX('_SETUPS'!$A$1:$Y$12,11,MATCH("from_to_cost",'_SETUPS'!$A$1:$Y$1,0)+9),"")</x:f>
      </x:c>
      <x:c r="K75" s="523" t="str">
        <x:f>IFERROR(INDEX('_SETUPS'!$A$1:$Y$12,11,MATCH("from_to_cost",'_SETUPS'!$A$1:$Y$1,0)+10),"")</x:f>
      </x:c>
      <x:c r="L75" s="523" t="str">
        <x:f>IFERROR(INDEX('_SETUPS'!$A$1:$Y$12,11,MATCH("from_to_cost",'_SETUPS'!$A$1:$Y$1,0)+11),"")</x:f>
      </x:c>
      <x:c r="M75" s="38"/>
      <x:c r="N75" s="596"/>
      <x:c r="O75" s="597"/>
      <x:c r="P75" s="597"/>
      <x:c r="Q75" s="598"/>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660" t="str">
        <x:f>IFERROR(INDEX('_SETUPS'!$A$1:$Y$12,12,MATCH("from_to_cost",'_SETUPS'!$A$1:$Y$1,0)+0),"")</x:f>
      </x:c>
      <x:c r="B76" s="523" t="str">
        <x:f>IFERROR(INDEX('_SETUPS'!$A$1:$Y$12,12,MATCH("from_to_cost",'_SETUPS'!$A$1:$Y$1,0)+1),"")</x:f>
      </x:c>
      <x:c r="C76" s="523" t="str">
        <x:f>IFERROR(INDEX('_SETUPS'!$A$1:$Y$12,12,MATCH("from_to_cost",'_SETUPS'!$A$1:$Y$1,0)+2),"")</x:f>
      </x:c>
      <x:c r="D76" s="523" t="str">
        <x:f>IFERROR(INDEX('_SETUPS'!$A$1:$Y$12,12,MATCH("from_to_cost",'_SETUPS'!$A$1:$Y$1,0)+3),"")</x:f>
      </x:c>
      <x:c r="E76" s="523" t="str">
        <x:f>IFERROR(INDEX('_SETUPS'!$A$1:$Y$12,12,MATCH("from_to_cost",'_SETUPS'!$A$1:$Y$1,0)+4),"")</x:f>
      </x:c>
      <x:c r="F76" s="523" t="str">
        <x:f>IFERROR(INDEX('_SETUPS'!$A$1:$Y$12,12,MATCH("from_to_cost",'_SETUPS'!$A$1:$Y$1,0)+5),"")</x:f>
      </x:c>
      <x:c r="G76" s="523" t="str">
        <x:f>IFERROR(INDEX('_SETUPS'!$A$1:$Y$12,12,MATCH("from_to_cost",'_SETUPS'!$A$1:$Y$1,0)+6),"")</x:f>
      </x:c>
      <x:c r="H76" s="523" t="str">
        <x:f>IFERROR(INDEX('_SETUPS'!$A$1:$Y$12,12,MATCH("from_to_cost",'_SETUPS'!$A$1:$Y$1,0)+7),"")</x:f>
      </x:c>
      <x:c r="I76" s="523" t="str">
        <x:f>IFERROR(INDEX('_SETUPS'!$A$1:$Y$12,12,MATCH("from_to_cost",'_SETUPS'!$A$1:$Y$1,0)+8),"")</x:f>
      </x:c>
      <x:c r="J76" s="523" t="str">
        <x:f>IFERROR(INDEX('_SETUPS'!$A$1:$Y$12,12,MATCH("from_to_cost",'_SETUPS'!$A$1:$Y$1,0)+9),"")</x:f>
      </x:c>
      <x:c r="K76" s="523" t="str">
        <x:f>IFERROR(INDEX('_SETUPS'!$A$1:$Y$12,12,MATCH("from_to_cost",'_SETUPS'!$A$1:$Y$1,0)+10),"")</x:f>
      </x:c>
      <x:c r="L76" s="523" t="str">
        <x:f>IFERROR(INDEX('_SETUPS'!$A$1:$Y$12,12,MATCH("from_to_cost",'_SETUPS'!$A$1:$Y$1,0)+11),"")</x:f>
      </x:c>
      <x:c r="M76" s="38"/>
      <x:c r="N76" s="599"/>
      <x:c r="O76" s="600"/>
      <x:c r="P76" s="600"/>
      <x:c r="Q76" s="601"/>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38"/>
      <x:c r="B77" s="38"/>
      <x:c r="C77" s="38"/>
      <x:c r="D77" s="38"/>
      <x:c r="E77" s="38"/>
      <x:c r="F77" s="38"/>
      <x:c r="G77" s="38"/>
      <x:c r="H77" s="38"/>
      <x:c r="I77" s="38"/>
      <x:c r="J77" s="38"/>
      <x:c r="K77" s="38"/>
      <x:c r="L77" s="38"/>
      <x:c r="M77" s="38"/>
      <x:c r="N77" s="38"/>
      <x:c r="O77" s="38"/>
      <x:c r="P77" s="38"/>
      <x:c r="Q77" s="38"/>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38"/>
      <x:c r="B78" s="38"/>
      <x:c r="C78" s="38"/>
      <x:c r="D78" s="38"/>
      <x:c r="E78" s="38"/>
      <x:c r="F78" s="38"/>
      <x:c r="G78" s="38"/>
      <x:c r="H78" s="38"/>
      <x:c r="I78" s="38"/>
      <x:c r="J78" s="38"/>
      <x:c r="K78" s="38"/>
      <x:c r="L78" s="38"/>
      <x:c r="M78" s="38"/>
      <x:c r="N78" s="38"/>
      <x:c r="O78" s="38"/>
      <x:c r="P78" s="38"/>
      <x:c r="Q78" s="38"/>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294" t="str">
        <x:f>IF('_CONFIG'!$B$2="pt-BR","TABELA-FONTE DE JOBS","SOURCE JOB TABLE")</x:f>
        <x:v>SOURCE JOB TABLE</x:v>
      </x:c>
      <x:c r="B79" s="294"/>
      <x:c r="C79" s="294"/>
      <x:c r="D79" s="294"/>
      <x:c r="E79" s="294"/>
      <x:c r="F79" s="294"/>
      <x:c r="G79" s="294"/>
      <x:c r="H79" s="294"/>
      <x:c r="I79" s="294"/>
      <x:c r="J79" s="294"/>
      <x:c r="K79" s="294"/>
      <x:c r="L79" s="294"/>
      <x:c r="M79" s="294"/>
      <x:c r="N79" s="294"/>
      <x:c r="O79" s="294"/>
      <x:c r="P79" s="294"/>
      <x:c r="Q79" s="294"/>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294"/>
      <x:c r="B80" s="294"/>
      <x:c r="C80" s="294"/>
      <x:c r="D80" s="294"/>
      <x:c r="E80" s="294"/>
      <x:c r="F80" s="294"/>
      <x:c r="G80" s="294"/>
      <x:c r="H80" s="294"/>
      <x:c r="I80" s="294"/>
      <x:c r="J80" s="294"/>
      <x:c r="K80" s="294"/>
      <x:c r="L80" s="294"/>
      <x:c r="M80" s="294"/>
      <x:c r="N80" s="294"/>
      <x:c r="O80" s="294"/>
      <x:c r="P80" s="294"/>
      <x:c r="Q80" s="294"/>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38"/>
      <x:c r="B81" s="38"/>
      <x:c r="C81" s="38"/>
      <x:c r="D81" s="38"/>
      <x:c r="E81" s="38"/>
      <x:c r="F81" s="38"/>
      <x:c r="G81" s="38"/>
      <x:c r="H81" s="38"/>
      <x:c r="I81" s="38"/>
      <x:c r="J81" s="38"/>
      <x:c r="K81" s="38"/>
      <x:c r="L81" s="38"/>
      <x:c r="M81" s="38"/>
      <x:c r="N81" s="38"/>
      <x:c r="O81" s="38"/>
      <x:c r="P81" s="38"/>
      <x:c r="Q81" s="38"/>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478" t="str">
        <x:f>IF('_CONFIG'!$B$2="pt-BR","ID interno","Internal ID")</x:f>
        <x:v>Internal ID</x:v>
      </x:c>
      <x:c r="B82" s="479" t="str">
        <x:f>IF('_CONFIG'!$B$2="pt-BR","ID do job","Job ID")</x:f>
        <x:v>Job ID</x:v>
      </x:c>
      <x:c r="C82" s="479" t="str">
        <x:f>IF('_CONFIG'!$B$2="pt-BR","Família","Family")</x:f>
        <x:v>Family</x:v>
      </x:c>
      <x:c r="D82" s="479" t="str">
        <x:f>IF('_CONFIG'!$B$2="pt-BR","Tempo de processamento","Processing time")</x:f>
        <x:v>Processing time</x:v>
      </x:c>
      <x:c r="E82" s="479" t="str">
        <x:f>IF('_CONFIG'!$B$2="pt-BR","Liberação","Release")</x:f>
        <x:v>Release</x:v>
      </x:c>
      <x:c r="F82" s="479" t="str">
        <x:f>IF('_CONFIG'!$B$2="pt-BR","Prazo","Due")</x:f>
        <x:v>Due</x:v>
      </x:c>
      <x:c r="G82" s="479" t="str">
        <x:f>IF('_CONFIG'!$B$2="pt-BR","Limite rígido","Hard deadline")</x:f>
        <x:v>Hard deadline</x:v>
      </x:c>
      <x:c r="H82" s="479" t="str">
        <x:f>IF('_CONFIG'!$B$2="pt-BR","Peso do atraso","Tardiness weight")</x:f>
        <x:v>Tardiness weight</x:v>
      </x:c>
      <x:c r="I82" s="479" t="str">
        <x:f>IF('_CONFIG'!$B$2="pt-BR","Custo de execução","Execution cost")</x:f>
        <x:v>Execution cost</x:v>
      </x:c>
      <x:c r="J82" s="480" t="str">
        <x:f>IF('_CONFIG'!$B$2="pt-BR","Custo de rejeição","Rejection cost")</x:f>
        <x:v>Rejection cost</x:v>
      </x:c>
      <x:c r="K82" s="38"/>
      <x:c r="L82" s="679" t="str">
        <x:f>IF('_CONFIG'!$B$2="pt-BR","NOTA DO MODELO
A tabela bruta permanece plana e legível por máquina: um job por linha e uma variável por coluna. Selecione outra instância incluída na sala de controle, e este contrato de dados, as matrizes de transição e todas as visualizações dependentes serão atualizados em conjunto.","MODEL NOTE
The raw table stays flat and machine-readable: one job per row, one variable per column. Select a different bundled instance in the control room and this data contract, the transition matrices, and every dependent view refresh together.")</x:f>
        <x:v>MODEL NOTE
The raw table stays flat and machine-readable: one job per row, one variable per column. Select a different bundled instance in the control room and this data contract, the transition matrices, and every dependent view refresh together.</x:v>
      </x:c>
      <x:c r="M82" s="680"/>
      <x:c r="N82" s="680"/>
      <x:c r="O82" s="680"/>
      <x:c r="P82" s="680"/>
      <x:c r="Q82" s="681"/>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522" t="n">
        <x:f>IF(ISBLANK('_INSTANCE'!A2),"",'_INSTANCE'!A2)</x:f>
        <x:v>0</x:v>
      </x:c>
      <x:c r="B83" s="522" t="n">
        <x:f>IF(ISBLANK('_INSTANCE'!B2),"",'_INSTANCE'!B2)</x:f>
        <x:v>0</x:v>
      </x:c>
      <x:c r="C83" s="522" t="n">
        <x:f>IF(ISBLANK('_INSTANCE'!C2),"",'_INSTANCE'!C2)</x:f>
        <x:v>0</x:v>
      </x:c>
      <x:c r="D83" s="529" t="n">
        <x:f>IF(ISBLANK('_INSTANCE'!D2),"",'_INSTANCE'!D2)</x:f>
        <x:v>70</x:v>
      </x:c>
      <x:c r="E83" s="529" t="n">
        <x:f>IF(ISBLANK('_INSTANCE'!E2),"",'_INSTANCE'!E2)</x:f>
        <x:v>0</x:v>
      </x:c>
      <x:c r="F83" s="529" t="n">
        <x:f>IF(ISBLANK('_INSTANCE'!F2),"",'_INSTANCE'!F2)</x:f>
        <x:v>5100</x:v>
      </x:c>
      <x:c r="G83" s="529" t="n">
        <x:f>IF(ISBLANK('_INSTANCE'!G2),"",'_INSTANCE'!G2)</x:f>
        <x:v>20000</x:v>
      </x:c>
      <x:c r="H83" s="529" t="n">
        <x:f>IF(ISBLANK('_INSTANCE'!H2),"",'_INSTANCE'!H2)</x:f>
        <x:v>2</x:v>
      </x:c>
      <x:c r="I83" s="529" t="n">
        <x:f>IF(ISBLANK('_INSTANCE'!I2),"",'_INSTANCE'!I2)</x:f>
        <x:v>100</x:v>
      </x:c>
      <x:c r="J83" s="529" t="n">
        <x:f>IF(ISBLANK('_INSTANCE'!J2),"",'_INSTANCE'!J2)</x:f>
        <x:v>1450</x:v>
      </x:c>
      <x:c r="K83" s="38"/>
      <x:c r="L83" s="682"/>
      <x:c r="M83" s="683"/>
      <x:c r="N83" s="683"/>
      <x:c r="O83" s="683"/>
      <x:c r="P83" s="683"/>
      <x:c r="Q83" s="684"/>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523" t="n">
        <x:f>IF(ISBLANK('_INSTANCE'!A3),"",'_INSTANCE'!A3)</x:f>
        <x:v>1</x:v>
      </x:c>
      <x:c r="B84" s="523" t="n">
        <x:f>IF(ISBLANK('_INSTANCE'!B3),"",'_INSTANCE'!B3)</x:f>
        <x:v>1</x:v>
      </x:c>
      <x:c r="C84" s="523" t="n">
        <x:f>IF(ISBLANK('_INSTANCE'!C3),"",'_INSTANCE'!C3)</x:f>
        <x:v>0</x:v>
      </x:c>
      <x:c r="D84" s="530" t="n">
        <x:f>IF(ISBLANK('_INSTANCE'!D3),"",'_INSTANCE'!D3)</x:f>
        <x:v>70</x:v>
      </x:c>
      <x:c r="E84" s="530" t="n">
        <x:f>IF(ISBLANK('_INSTANCE'!E3),"",'_INSTANCE'!E3)</x:f>
        <x:v>0</x:v>
      </x:c>
      <x:c r="F84" s="530" t="n">
        <x:f>IF(ISBLANK('_INSTANCE'!F3),"",'_INSTANCE'!F3)</x:f>
        <x:v>5700</x:v>
      </x:c>
      <x:c r="G84" s="530" t="n">
        <x:f>IF(ISBLANK('_INSTANCE'!G3),"",'_INSTANCE'!G3)</x:f>
        <x:v>20000</x:v>
      </x:c>
      <x:c r="H84" s="530" t="n">
        <x:f>IF(ISBLANK('_INSTANCE'!H3),"",'_INSTANCE'!H3)</x:f>
        <x:v>2</x:v>
      </x:c>
      <x:c r="I84" s="530" t="n">
        <x:f>IF(ISBLANK('_INSTANCE'!I3),"",'_INSTANCE'!I3)</x:f>
        <x:v>100</x:v>
      </x:c>
      <x:c r="J84" s="530" t="n">
        <x:f>IF(ISBLANK('_INSTANCE'!J3),"",'_INSTANCE'!J3)</x:f>
        <x:v>1450</x:v>
      </x:c>
      <x:c r="K84" s="38"/>
      <x:c r="L84" s="682"/>
      <x:c r="M84" s="683"/>
      <x:c r="N84" s="683"/>
      <x:c r="O84" s="683"/>
      <x:c r="P84" s="683"/>
      <x:c r="Q84" s="684"/>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523" t="n">
        <x:f>IF(ISBLANK('_INSTANCE'!A4),"",'_INSTANCE'!A4)</x:f>
        <x:v>2</x:v>
      </x:c>
      <x:c r="B85" s="523" t="n">
        <x:f>IF(ISBLANK('_INSTANCE'!B4),"",'_INSTANCE'!B4)</x:f>
        <x:v>2</x:v>
      </x:c>
      <x:c r="C85" s="523" t="n">
        <x:f>IF(ISBLANK('_INSTANCE'!C4),"",'_INSTANCE'!C4)</x:f>
        <x:v>0</x:v>
      </x:c>
      <x:c r="D85" s="530" t="n">
        <x:f>IF(ISBLANK('_INSTANCE'!D4),"",'_INSTANCE'!D4)</x:f>
        <x:v>70</x:v>
      </x:c>
      <x:c r="E85" s="530" t="n">
        <x:f>IF(ISBLANK('_INSTANCE'!E4),"",'_INSTANCE'!E4)</x:f>
        <x:v>0</x:v>
      </x:c>
      <x:c r="F85" s="530" t="n">
        <x:f>IF(ISBLANK('_INSTANCE'!F4),"",'_INSTANCE'!F4)</x:f>
        <x:v>5700</x:v>
      </x:c>
      <x:c r="G85" s="530" t="n">
        <x:f>IF(ISBLANK('_INSTANCE'!G4),"",'_INSTANCE'!G4)</x:f>
        <x:v>20000</x:v>
      </x:c>
      <x:c r="H85" s="530" t="n">
        <x:f>IF(ISBLANK('_INSTANCE'!H4),"",'_INSTANCE'!H4)</x:f>
        <x:v>2</x:v>
      </x:c>
      <x:c r="I85" s="530" t="n">
        <x:f>IF(ISBLANK('_INSTANCE'!I4),"",'_INSTANCE'!I4)</x:f>
        <x:v>100</x:v>
      </x:c>
      <x:c r="J85" s="530" t="n">
        <x:f>IF(ISBLANK('_INSTANCE'!J4),"",'_INSTANCE'!J4)</x:f>
        <x:v>1450</x:v>
      </x:c>
      <x:c r="K85" s="38"/>
      <x:c r="L85" s="682"/>
      <x:c r="M85" s="683"/>
      <x:c r="N85" s="683"/>
      <x:c r="O85" s="683"/>
      <x:c r="P85" s="683"/>
      <x:c r="Q85" s="684"/>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523" t="n">
        <x:f>IF(ISBLANK('_INSTANCE'!A5),"",'_INSTANCE'!A5)</x:f>
        <x:v>3</x:v>
      </x:c>
      <x:c r="B86" s="523" t="n">
        <x:f>IF(ISBLANK('_INSTANCE'!B5),"",'_INSTANCE'!B5)</x:f>
        <x:v>3</x:v>
      </x:c>
      <x:c r="C86" s="523" t="n">
        <x:f>IF(ISBLANK('_INSTANCE'!C5),"",'_INSTANCE'!C5)</x:f>
        <x:v>0</x:v>
      </x:c>
      <x:c r="D86" s="530" t="n">
        <x:f>IF(ISBLANK('_INSTANCE'!D5),"",'_INSTANCE'!D5)</x:f>
        <x:v>70</x:v>
      </x:c>
      <x:c r="E86" s="530" t="n">
        <x:f>IF(ISBLANK('_INSTANCE'!E5),"",'_INSTANCE'!E5)</x:f>
        <x:v>0</x:v>
      </x:c>
      <x:c r="F86" s="530" t="n">
        <x:f>IF(ISBLANK('_INSTANCE'!F5),"",'_INSTANCE'!F5)</x:f>
        <x:v>5700</x:v>
      </x:c>
      <x:c r="G86" s="530" t="n">
        <x:f>IF(ISBLANK('_INSTANCE'!G5),"",'_INSTANCE'!G5)</x:f>
        <x:v>20000</x:v>
      </x:c>
      <x:c r="H86" s="530" t="n">
        <x:f>IF(ISBLANK('_INSTANCE'!H5),"",'_INSTANCE'!H5)</x:f>
        <x:v>2</x:v>
      </x:c>
      <x:c r="I86" s="530" t="n">
        <x:f>IF(ISBLANK('_INSTANCE'!I5),"",'_INSTANCE'!I5)</x:f>
        <x:v>100</x:v>
      </x:c>
      <x:c r="J86" s="530" t="n">
        <x:f>IF(ISBLANK('_INSTANCE'!J5),"",'_INSTANCE'!J5)</x:f>
        <x:v>1450</x:v>
      </x:c>
      <x:c r="K86" s="38"/>
      <x:c r="L86" s="682"/>
      <x:c r="M86" s="683"/>
      <x:c r="N86" s="683"/>
      <x:c r="O86" s="683"/>
      <x:c r="P86" s="683"/>
      <x:c r="Q86" s="684"/>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523" t="n">
        <x:f>IF(ISBLANK('_INSTANCE'!A6),"",'_INSTANCE'!A6)</x:f>
        <x:v>4</x:v>
      </x:c>
      <x:c r="B87" s="523" t="n">
        <x:f>IF(ISBLANK('_INSTANCE'!B6),"",'_INSTANCE'!B6)</x:f>
        <x:v>4</x:v>
      </x:c>
      <x:c r="C87" s="523" t="n">
        <x:f>IF(ISBLANK('_INSTANCE'!C6),"",'_INSTANCE'!C6)</x:f>
        <x:v>0</x:v>
      </x:c>
      <x:c r="D87" s="530" t="n">
        <x:f>IF(ISBLANK('_INSTANCE'!D6),"",'_INSTANCE'!D6)</x:f>
        <x:v>70</x:v>
      </x:c>
      <x:c r="E87" s="530" t="n">
        <x:f>IF(ISBLANK('_INSTANCE'!E6),"",'_INSTANCE'!E6)</x:f>
        <x:v>0</x:v>
      </x:c>
      <x:c r="F87" s="530" t="n">
        <x:f>IF(ISBLANK('_INSTANCE'!F6),"",'_INSTANCE'!F6)</x:f>
        <x:v>5700</x:v>
      </x:c>
      <x:c r="G87" s="530" t="n">
        <x:f>IF(ISBLANK('_INSTANCE'!G6),"",'_INSTANCE'!G6)</x:f>
        <x:v>20000</x:v>
      </x:c>
      <x:c r="H87" s="530" t="n">
        <x:f>IF(ISBLANK('_INSTANCE'!H6),"",'_INSTANCE'!H6)</x:f>
        <x:v>2</x:v>
      </x:c>
      <x:c r="I87" s="530" t="n">
        <x:f>IF(ISBLANK('_INSTANCE'!I6),"",'_INSTANCE'!I6)</x:f>
        <x:v>100</x:v>
      </x:c>
      <x:c r="J87" s="530" t="n">
        <x:f>IF(ISBLANK('_INSTANCE'!J6),"",'_INSTANCE'!J6)</x:f>
        <x:v>1450</x:v>
      </x:c>
      <x:c r="K87" s="38"/>
      <x:c r="L87" s="682"/>
      <x:c r="M87" s="683"/>
      <x:c r="N87" s="683"/>
      <x:c r="O87" s="683"/>
      <x:c r="P87" s="683"/>
      <x:c r="Q87" s="684"/>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523" t="n">
        <x:f>IF(ISBLANK('_INSTANCE'!A7),"",'_INSTANCE'!A7)</x:f>
        <x:v>5</x:v>
      </x:c>
      <x:c r="B88" s="523" t="n">
        <x:f>IF(ISBLANK('_INSTANCE'!B7),"",'_INSTANCE'!B7)</x:f>
        <x:v>5</x:v>
      </x:c>
      <x:c r="C88" s="523" t="n">
        <x:f>IF(ISBLANK('_INSTANCE'!C7),"",'_INSTANCE'!C7)</x:f>
        <x:v>0</x:v>
      </x:c>
      <x:c r="D88" s="530" t="n">
        <x:f>IF(ISBLANK('_INSTANCE'!D7),"",'_INSTANCE'!D7)</x:f>
        <x:v>70</x:v>
      </x:c>
      <x:c r="E88" s="530" t="n">
        <x:f>IF(ISBLANK('_INSTANCE'!E7),"",'_INSTANCE'!E7)</x:f>
        <x:v>0</x:v>
      </x:c>
      <x:c r="F88" s="530" t="n">
        <x:f>IF(ISBLANK('_INSTANCE'!F7),"",'_INSTANCE'!F7)</x:f>
        <x:v>5300</x:v>
      </x:c>
      <x:c r="G88" s="530" t="n">
        <x:f>IF(ISBLANK('_INSTANCE'!G7),"",'_INSTANCE'!G7)</x:f>
        <x:v>20000</x:v>
      </x:c>
      <x:c r="H88" s="530" t="n">
        <x:f>IF(ISBLANK('_INSTANCE'!H7),"",'_INSTANCE'!H7)</x:f>
        <x:v>2</x:v>
      </x:c>
      <x:c r="I88" s="530" t="n">
        <x:f>IF(ISBLANK('_INSTANCE'!I7),"",'_INSTANCE'!I7)</x:f>
        <x:v>100</x:v>
      </x:c>
      <x:c r="J88" s="530" t="n">
        <x:f>IF(ISBLANK('_INSTANCE'!J7),"",'_INSTANCE'!J7)</x:f>
        <x:v>1450</x:v>
      </x:c>
      <x:c r="K88" s="38"/>
      <x:c r="L88" s="682"/>
      <x:c r="M88" s="683"/>
      <x:c r="N88" s="683"/>
      <x:c r="O88" s="683"/>
      <x:c r="P88" s="683"/>
      <x:c r="Q88" s="684"/>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523" t="n">
        <x:f>IF(ISBLANK('_INSTANCE'!A8),"",'_INSTANCE'!A8)</x:f>
        <x:v>6</x:v>
      </x:c>
      <x:c r="B89" s="523" t="n">
        <x:f>IF(ISBLANK('_INSTANCE'!B8),"",'_INSTANCE'!B8)</x:f>
        <x:v>6</x:v>
      </x:c>
      <x:c r="C89" s="523" t="n">
        <x:f>IF(ISBLANK('_INSTANCE'!C8),"",'_INSTANCE'!C8)</x:f>
        <x:v>0</x:v>
      </x:c>
      <x:c r="D89" s="530" t="n">
        <x:f>IF(ISBLANK('_INSTANCE'!D8),"",'_INSTANCE'!D8)</x:f>
        <x:v>70</x:v>
      </x:c>
      <x:c r="E89" s="530" t="n">
        <x:f>IF(ISBLANK('_INSTANCE'!E8),"",'_INSTANCE'!E8)</x:f>
        <x:v>0</x:v>
      </x:c>
      <x:c r="F89" s="530" t="n">
        <x:f>IF(ISBLANK('_INSTANCE'!F8),"",'_INSTANCE'!F8)</x:f>
        <x:v>5300</x:v>
      </x:c>
      <x:c r="G89" s="530" t="n">
        <x:f>IF(ISBLANK('_INSTANCE'!G8),"",'_INSTANCE'!G8)</x:f>
        <x:v>20000</x:v>
      </x:c>
      <x:c r="H89" s="530" t="n">
        <x:f>IF(ISBLANK('_INSTANCE'!H8),"",'_INSTANCE'!H8)</x:f>
        <x:v>2</x:v>
      </x:c>
      <x:c r="I89" s="530" t="n">
        <x:f>IF(ISBLANK('_INSTANCE'!I8),"",'_INSTANCE'!I8)</x:f>
        <x:v>100</x:v>
      </x:c>
      <x:c r="J89" s="530" t="n">
        <x:f>IF(ISBLANK('_INSTANCE'!J8),"",'_INSTANCE'!J8)</x:f>
        <x:v>1450</x:v>
      </x:c>
      <x:c r="K89" s="38"/>
      <x:c r="L89" s="682"/>
      <x:c r="M89" s="683"/>
      <x:c r="N89" s="683"/>
      <x:c r="O89" s="683"/>
      <x:c r="P89" s="683"/>
      <x:c r="Q89" s="684"/>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523" t="n">
        <x:f>IF(ISBLANK('_INSTANCE'!A9),"",'_INSTANCE'!A9)</x:f>
        <x:v>7</x:v>
      </x:c>
      <x:c r="B90" s="523" t="n">
        <x:f>IF(ISBLANK('_INSTANCE'!B9),"",'_INSTANCE'!B9)</x:f>
        <x:v>7</x:v>
      </x:c>
      <x:c r="C90" s="523" t="n">
        <x:f>IF(ISBLANK('_INSTANCE'!C9),"",'_INSTANCE'!C9)</x:f>
        <x:v>0</x:v>
      </x:c>
      <x:c r="D90" s="530" t="n">
        <x:f>IF(ISBLANK('_INSTANCE'!D9),"",'_INSTANCE'!D9)</x:f>
        <x:v>70</x:v>
      </x:c>
      <x:c r="E90" s="530" t="n">
        <x:f>IF(ISBLANK('_INSTANCE'!E9),"",'_INSTANCE'!E9)</x:f>
        <x:v>0</x:v>
      </x:c>
      <x:c r="F90" s="530" t="n">
        <x:f>IF(ISBLANK('_INSTANCE'!F9),"",'_INSTANCE'!F9)</x:f>
        <x:v>5300</x:v>
      </x:c>
      <x:c r="G90" s="530" t="n">
        <x:f>IF(ISBLANK('_INSTANCE'!G9),"",'_INSTANCE'!G9)</x:f>
        <x:v>20000</x:v>
      </x:c>
      <x:c r="H90" s="530" t="n">
        <x:f>IF(ISBLANK('_INSTANCE'!H9),"",'_INSTANCE'!H9)</x:f>
        <x:v>2</x:v>
      </x:c>
      <x:c r="I90" s="530" t="n">
        <x:f>IF(ISBLANK('_INSTANCE'!I9),"",'_INSTANCE'!I9)</x:f>
        <x:v>100</x:v>
      </x:c>
      <x:c r="J90" s="530" t="n">
        <x:f>IF(ISBLANK('_INSTANCE'!J9),"",'_INSTANCE'!J9)</x:f>
        <x:v>1450</x:v>
      </x:c>
      <x:c r="K90" s="38"/>
      <x:c r="L90" s="685"/>
      <x:c r="M90" s="686"/>
      <x:c r="N90" s="686"/>
      <x:c r="O90" s="686"/>
      <x:c r="P90" s="686"/>
      <x:c r="Q90" s="687"/>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523" t="n">
        <x:f>IF(ISBLANK('_INSTANCE'!A10),"",'_INSTANCE'!A10)</x:f>
        <x:v>8</x:v>
      </x:c>
      <x:c r="B91" s="523" t="n">
        <x:f>IF(ISBLANK('_INSTANCE'!B10),"",'_INSTANCE'!B10)</x:f>
        <x:v>8</x:v>
      </x:c>
      <x:c r="C91" s="523" t="n">
        <x:f>IF(ISBLANK('_INSTANCE'!C10),"",'_INSTANCE'!C10)</x:f>
        <x:v>0</x:v>
      </x:c>
      <x:c r="D91" s="530" t="n">
        <x:f>IF(ISBLANK('_INSTANCE'!D10),"",'_INSTANCE'!D10)</x:f>
        <x:v>70</x:v>
      </x:c>
      <x:c r="E91" s="530" t="n">
        <x:f>IF(ISBLANK('_INSTANCE'!E10),"",'_INSTANCE'!E10)</x:f>
        <x:v>0</x:v>
      </x:c>
      <x:c r="F91" s="530" t="n">
        <x:f>IF(ISBLANK('_INSTANCE'!F10),"",'_INSTANCE'!F10)</x:f>
        <x:v>5300</x:v>
      </x:c>
      <x:c r="G91" s="530" t="n">
        <x:f>IF(ISBLANK('_INSTANCE'!G10),"",'_INSTANCE'!G10)</x:f>
        <x:v>20000</x:v>
      </x:c>
      <x:c r="H91" s="530" t="n">
        <x:f>IF(ISBLANK('_INSTANCE'!H10),"",'_INSTANCE'!H10)</x:f>
        <x:v>2</x:v>
      </x:c>
      <x:c r="I91" s="530" t="n">
        <x:f>IF(ISBLANK('_INSTANCE'!I10),"",'_INSTANCE'!I10)</x:f>
        <x:v>100</x:v>
      </x:c>
      <x:c r="J91" s="530" t="n">
        <x:f>IF(ISBLANK('_INSTANCE'!J10),"",'_INSTANCE'!J10)</x:f>
        <x:v>1450</x:v>
      </x:c>
      <x:c r="K91" s="38"/>
      <x:c r="L91" s="38"/>
      <x:c r="M91" s="38"/>
      <x:c r="N91" s="38"/>
      <x:c r="O91" s="38"/>
      <x:c r="P91" s="38"/>
      <x:c r="Q91" s="38"/>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523" t="n">
        <x:f>IF(ISBLANK('_INSTANCE'!A11),"",'_INSTANCE'!A11)</x:f>
        <x:v>9</x:v>
      </x:c>
      <x:c r="B92" s="523" t="n">
        <x:f>IF(ISBLANK('_INSTANCE'!B11),"",'_INSTANCE'!B11)</x:f>
        <x:v>9</x:v>
      </x:c>
      <x:c r="C92" s="523" t="n">
        <x:f>IF(ISBLANK('_INSTANCE'!C11),"",'_INSTANCE'!C11)</x:f>
        <x:v>0</x:v>
      </x:c>
      <x:c r="D92" s="530" t="n">
        <x:f>IF(ISBLANK('_INSTANCE'!D11),"",'_INSTANCE'!D11)</x:f>
        <x:v>70</x:v>
      </x:c>
      <x:c r="E92" s="530" t="n">
        <x:f>IF(ISBLANK('_INSTANCE'!E11),"",'_INSTANCE'!E11)</x:f>
        <x:v>0</x:v>
      </x:c>
      <x:c r="F92" s="530" t="n">
        <x:f>IF(ISBLANK('_INSTANCE'!F11),"",'_INSTANCE'!F11)</x:f>
        <x:v>5300</x:v>
      </x:c>
      <x:c r="G92" s="530" t="n">
        <x:f>IF(ISBLANK('_INSTANCE'!G11),"",'_INSTANCE'!G11)</x:f>
        <x:v>20000</x:v>
      </x:c>
      <x:c r="H92" s="530" t="n">
        <x:f>IF(ISBLANK('_INSTANCE'!H11),"",'_INSTANCE'!H11)</x:f>
        <x:v>2</x:v>
      </x:c>
      <x:c r="I92" s="530" t="n">
        <x:f>IF(ISBLANK('_INSTANCE'!I11),"",'_INSTANCE'!I11)</x:f>
        <x:v>100</x:v>
      </x:c>
      <x:c r="J92" s="530" t="n">
        <x:f>IF(ISBLANK('_INSTANCE'!J11),"",'_INSTANCE'!J11)</x:f>
        <x:v>1450</x:v>
      </x:c>
      <x:c r="K92" s="38"/>
      <x:c r="L92" s="38"/>
      <x:c r="M92" s="38"/>
      <x:c r="N92" s="38"/>
      <x:c r="O92" s="38"/>
      <x:c r="P92" s="38"/>
      <x:c r="Q92" s="38"/>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523" t="n">
        <x:f>IF(ISBLANK('_INSTANCE'!A12),"",'_INSTANCE'!A12)</x:f>
        <x:v>10</x:v>
      </x:c>
      <x:c r="B93" s="523" t="n">
        <x:f>IF(ISBLANK('_INSTANCE'!B12),"",'_INSTANCE'!B12)</x:f>
        <x:v>10</x:v>
      </x:c>
      <x:c r="C93" s="523" t="n">
        <x:f>IF(ISBLANK('_INSTANCE'!C12),"",'_INSTANCE'!C12)</x:f>
        <x:v>0</x:v>
      </x:c>
      <x:c r="D93" s="530" t="n">
        <x:f>IF(ISBLANK('_INSTANCE'!D12),"",'_INSTANCE'!D12)</x:f>
        <x:v>70</x:v>
      </x:c>
      <x:c r="E93" s="530" t="n">
        <x:f>IF(ISBLANK('_INSTANCE'!E12),"",'_INSTANCE'!E12)</x:f>
        <x:v>0</x:v>
      </x:c>
      <x:c r="F93" s="530" t="n">
        <x:f>IF(ISBLANK('_INSTANCE'!F12),"",'_INSTANCE'!F12)</x:f>
        <x:v>5700</x:v>
      </x:c>
      <x:c r="G93" s="530" t="n">
        <x:f>IF(ISBLANK('_INSTANCE'!G12),"",'_INSTANCE'!G12)</x:f>
        <x:v>20000</x:v>
      </x:c>
      <x:c r="H93" s="530" t="n">
        <x:f>IF(ISBLANK('_INSTANCE'!H12),"",'_INSTANCE'!H12)</x:f>
        <x:v>2</x:v>
      </x:c>
      <x:c r="I93" s="530" t="n">
        <x:f>IF(ISBLANK('_INSTANCE'!I12),"",'_INSTANCE'!I12)</x:f>
        <x:v>100</x:v>
      </x:c>
      <x:c r="J93" s="530" t="n">
        <x:f>IF(ISBLANK('_INSTANCE'!J12),"",'_INSTANCE'!J12)</x:f>
        <x:v>1450</x:v>
      </x:c>
      <x:c r="K93" s="38"/>
      <x:c r="L93" s="38"/>
      <x:c r="M93" s="38"/>
      <x:c r="N93" s="38"/>
      <x:c r="O93" s="38"/>
      <x:c r="P93" s="38"/>
      <x:c r="Q93" s="38"/>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523" t="n">
        <x:f>IF(ISBLANK('_INSTANCE'!A13),"",'_INSTANCE'!A13)</x:f>
        <x:v>11</x:v>
      </x:c>
      <x:c r="B94" s="523" t="n">
        <x:f>IF(ISBLANK('_INSTANCE'!B13),"",'_INSTANCE'!B13)</x:f>
        <x:v>11</x:v>
      </x:c>
      <x:c r="C94" s="523" t="n">
        <x:f>IF(ISBLANK('_INSTANCE'!C13),"",'_INSTANCE'!C13)</x:f>
        <x:v>1</x:v>
      </x:c>
      <x:c r="D94" s="530" t="n">
        <x:f>IF(ISBLANK('_INSTANCE'!D13),"",'_INSTANCE'!D13)</x:f>
        <x:v>90</x:v>
      </x:c>
      <x:c r="E94" s="530" t="n">
        <x:f>IF(ISBLANK('_INSTANCE'!E13),"",'_INSTANCE'!E13)</x:f>
        <x:v>0</x:v>
      </x:c>
      <x:c r="F94" s="530" t="n">
        <x:f>IF(ISBLANK('_INSTANCE'!F13),"",'_INSTANCE'!F13)</x:f>
        <x:v>3700</x:v>
      </x:c>
      <x:c r="G94" s="530" t="n">
        <x:f>IF(ISBLANK('_INSTANCE'!G13),"",'_INSTANCE'!G13)</x:f>
        <x:v>20000</x:v>
      </x:c>
      <x:c r="H94" s="530" t="n">
        <x:f>IF(ISBLANK('_INSTANCE'!H13),"",'_INSTANCE'!H13)</x:f>
        <x:v>4</x:v>
      </x:c>
      <x:c r="I94" s="530" t="n">
        <x:f>IF(ISBLANK('_INSTANCE'!I13),"",'_INSTANCE'!I13)</x:f>
        <x:v>100</x:v>
      </x:c>
      <x:c r="J94" s="530" t="n">
        <x:f>IF(ISBLANK('_INSTANCE'!J13),"",'_INSTANCE'!J13)</x:f>
        <x:v>1750</x:v>
      </x:c>
      <x:c r="K94" s="38"/>
      <x:c r="L94" s="38"/>
      <x:c r="M94" s="38"/>
      <x:c r="N94" s="38"/>
      <x:c r="O94" s="38"/>
      <x:c r="P94" s="38"/>
      <x:c r="Q94" s="38"/>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523" t="n">
        <x:f>IF(ISBLANK('_INSTANCE'!A14),"",'_INSTANCE'!A14)</x:f>
        <x:v>12</x:v>
      </x:c>
      <x:c r="B95" s="523" t="n">
        <x:f>IF(ISBLANK('_INSTANCE'!B14),"",'_INSTANCE'!B14)</x:f>
        <x:v>12</x:v>
      </x:c>
      <x:c r="C95" s="523" t="n">
        <x:f>IF(ISBLANK('_INSTANCE'!C14),"",'_INSTANCE'!C14)</x:f>
        <x:v>1</x:v>
      </x:c>
      <x:c r="D95" s="530" t="n">
        <x:f>IF(ISBLANK('_INSTANCE'!D14),"",'_INSTANCE'!D14)</x:f>
        <x:v>90</x:v>
      </x:c>
      <x:c r="E95" s="530" t="n">
        <x:f>IF(ISBLANK('_INSTANCE'!E14),"",'_INSTANCE'!E14)</x:f>
        <x:v>0</x:v>
      </x:c>
      <x:c r="F95" s="530" t="n">
        <x:f>IF(ISBLANK('_INSTANCE'!F14),"",'_INSTANCE'!F14)</x:f>
        <x:v>4900</x:v>
      </x:c>
      <x:c r="G95" s="530" t="n">
        <x:f>IF(ISBLANK('_INSTANCE'!G14),"",'_INSTANCE'!G14)</x:f>
        <x:v>20000</x:v>
      </x:c>
      <x:c r="H95" s="530" t="n">
        <x:f>IF(ISBLANK('_INSTANCE'!H14),"",'_INSTANCE'!H14)</x:f>
        <x:v>4</x:v>
      </x:c>
      <x:c r="I95" s="530" t="n">
        <x:f>IF(ISBLANK('_INSTANCE'!I14),"",'_INSTANCE'!I14)</x:f>
        <x:v>100</x:v>
      </x:c>
      <x:c r="J95" s="530" t="n">
        <x:f>IF(ISBLANK('_INSTANCE'!J14),"",'_INSTANCE'!J14)</x:f>
        <x:v>1750</x:v>
      </x:c>
      <x:c r="K95" s="38"/>
      <x:c r="L95" s="38"/>
      <x:c r="M95" s="38"/>
      <x:c r="N95" s="38"/>
      <x:c r="O95" s="38"/>
      <x:c r="P95" s="38"/>
      <x:c r="Q95" s="38"/>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523" t="n">
        <x:f>IF(ISBLANK('_INSTANCE'!A15),"",'_INSTANCE'!A15)</x:f>
        <x:v>13</x:v>
      </x:c>
      <x:c r="B96" s="523" t="n">
        <x:f>IF(ISBLANK('_INSTANCE'!B15),"",'_INSTANCE'!B15)</x:f>
        <x:v>13</x:v>
      </x:c>
      <x:c r="C96" s="523" t="n">
        <x:f>IF(ISBLANK('_INSTANCE'!C15),"",'_INSTANCE'!C15)</x:f>
        <x:v>1</x:v>
      </x:c>
      <x:c r="D96" s="530" t="n">
        <x:f>IF(ISBLANK('_INSTANCE'!D15),"",'_INSTANCE'!D15)</x:f>
        <x:v>90</x:v>
      </x:c>
      <x:c r="E96" s="530" t="n">
        <x:f>IF(ISBLANK('_INSTANCE'!E15),"",'_INSTANCE'!E15)</x:f>
        <x:v>0</x:v>
      </x:c>
      <x:c r="F96" s="530" t="n">
        <x:f>IF(ISBLANK('_INSTANCE'!F15),"",'_INSTANCE'!F15)</x:f>
        <x:v>3700</x:v>
      </x:c>
      <x:c r="G96" s="530" t="n">
        <x:f>IF(ISBLANK('_INSTANCE'!G15),"",'_INSTANCE'!G15)</x:f>
        <x:v>20000</x:v>
      </x:c>
      <x:c r="H96" s="530" t="n">
        <x:f>IF(ISBLANK('_INSTANCE'!H15),"",'_INSTANCE'!H15)</x:f>
        <x:v>4</x:v>
      </x:c>
      <x:c r="I96" s="530" t="n">
        <x:f>IF(ISBLANK('_INSTANCE'!I15),"",'_INSTANCE'!I15)</x:f>
        <x:v>100</x:v>
      </x:c>
      <x:c r="J96" s="530" t="n">
        <x:f>IF(ISBLANK('_INSTANCE'!J15),"",'_INSTANCE'!J15)</x:f>
        <x:v>1750</x:v>
      </x:c>
      <x:c r="K96" s="38"/>
      <x:c r="L96" s="38"/>
      <x:c r="M96" s="38"/>
      <x:c r="N96" s="38"/>
      <x:c r="O96" s="38"/>
      <x:c r="P96" s="38"/>
      <x:c r="Q96" s="38"/>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523" t="n">
        <x:f>IF(ISBLANK('_INSTANCE'!A16),"",'_INSTANCE'!A16)</x:f>
        <x:v>14</x:v>
      </x:c>
      <x:c r="B97" s="523" t="n">
        <x:f>IF(ISBLANK('_INSTANCE'!B16),"",'_INSTANCE'!B16)</x:f>
        <x:v>14</x:v>
      </x:c>
      <x:c r="C97" s="523" t="n">
        <x:f>IF(ISBLANK('_INSTANCE'!C16),"",'_INSTANCE'!C16)</x:f>
        <x:v>1</x:v>
      </x:c>
      <x:c r="D97" s="530" t="n">
        <x:f>IF(ISBLANK('_INSTANCE'!D16),"",'_INSTANCE'!D16)</x:f>
        <x:v>90</x:v>
      </x:c>
      <x:c r="E97" s="530" t="n">
        <x:f>IF(ISBLANK('_INSTANCE'!E16),"",'_INSTANCE'!E16)</x:f>
        <x:v>0</x:v>
      </x:c>
      <x:c r="F97" s="530" t="n">
        <x:f>IF(ISBLANK('_INSTANCE'!F16),"",'_INSTANCE'!F16)</x:f>
        <x:v>4300</x:v>
      </x:c>
      <x:c r="G97" s="530" t="n">
        <x:f>IF(ISBLANK('_INSTANCE'!G16),"",'_INSTANCE'!G16)</x:f>
        <x:v>20000</x:v>
      </x:c>
      <x:c r="H97" s="530" t="n">
        <x:f>IF(ISBLANK('_INSTANCE'!H16),"",'_INSTANCE'!H16)</x:f>
        <x:v>4</x:v>
      </x:c>
      <x:c r="I97" s="530" t="n">
        <x:f>IF(ISBLANK('_INSTANCE'!I16),"",'_INSTANCE'!I16)</x:f>
        <x:v>100</x:v>
      </x:c>
      <x:c r="J97" s="530" t="n">
        <x:f>IF(ISBLANK('_INSTANCE'!J16),"",'_INSTANCE'!J16)</x:f>
        <x:v>1750</x:v>
      </x:c>
      <x:c r="K97" s="38"/>
      <x:c r="L97" s="38"/>
      <x:c r="M97" s="38"/>
      <x:c r="N97" s="38"/>
      <x:c r="O97" s="38"/>
      <x:c r="P97" s="38"/>
      <x:c r="Q97" s="38"/>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523" t="n">
        <x:f>IF(ISBLANK('_INSTANCE'!A17),"",'_INSTANCE'!A17)</x:f>
        <x:v>15</x:v>
      </x:c>
      <x:c r="B98" s="523" t="n">
        <x:f>IF(ISBLANK('_INSTANCE'!B17),"",'_INSTANCE'!B17)</x:f>
        <x:v>15</x:v>
      </x:c>
      <x:c r="C98" s="523" t="n">
        <x:f>IF(ISBLANK('_INSTANCE'!C17),"",'_INSTANCE'!C17)</x:f>
        <x:v>1</x:v>
      </x:c>
      <x:c r="D98" s="530" t="n">
        <x:f>IF(ISBLANK('_INSTANCE'!D17),"",'_INSTANCE'!D17)</x:f>
        <x:v>90</x:v>
      </x:c>
      <x:c r="E98" s="530" t="n">
        <x:f>IF(ISBLANK('_INSTANCE'!E17),"",'_INSTANCE'!E17)</x:f>
        <x:v>0</x:v>
      </x:c>
      <x:c r="F98" s="530" t="n">
        <x:f>IF(ISBLANK('_INSTANCE'!F17),"",'_INSTANCE'!F17)</x:f>
        <x:v>3700</x:v>
      </x:c>
      <x:c r="G98" s="530" t="n">
        <x:f>IF(ISBLANK('_INSTANCE'!G17),"",'_INSTANCE'!G17)</x:f>
        <x:v>20000</x:v>
      </x:c>
      <x:c r="H98" s="530" t="n">
        <x:f>IF(ISBLANK('_INSTANCE'!H17),"",'_INSTANCE'!H17)</x:f>
        <x:v>4</x:v>
      </x:c>
      <x:c r="I98" s="530" t="n">
        <x:f>IF(ISBLANK('_INSTANCE'!I17),"",'_INSTANCE'!I17)</x:f>
        <x:v>100</x:v>
      </x:c>
      <x:c r="J98" s="530" t="n">
        <x:f>IF(ISBLANK('_INSTANCE'!J17),"",'_INSTANCE'!J17)</x:f>
        <x:v>1750</x:v>
      </x:c>
      <x:c r="K98" s="38"/>
      <x:c r="L98" s="38"/>
      <x:c r="M98" s="38"/>
      <x:c r="N98" s="38"/>
      <x:c r="O98" s="38"/>
      <x:c r="P98" s="38"/>
      <x:c r="Q98" s="38"/>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523" t="n">
        <x:f>IF(ISBLANK('_INSTANCE'!A18),"",'_INSTANCE'!A18)</x:f>
        <x:v>16</x:v>
      </x:c>
      <x:c r="B99" s="523" t="n">
        <x:f>IF(ISBLANK('_INSTANCE'!B18),"",'_INSTANCE'!B18)</x:f>
        <x:v>16</x:v>
      </x:c>
      <x:c r="C99" s="523" t="n">
        <x:f>IF(ISBLANK('_INSTANCE'!C18),"",'_INSTANCE'!C18)</x:f>
        <x:v>1</x:v>
      </x:c>
      <x:c r="D99" s="530" t="n">
        <x:f>IF(ISBLANK('_INSTANCE'!D18),"",'_INSTANCE'!D18)</x:f>
        <x:v>90</x:v>
      </x:c>
      <x:c r="E99" s="530" t="n">
        <x:f>IF(ISBLANK('_INSTANCE'!E18),"",'_INSTANCE'!E18)</x:f>
        <x:v>0</x:v>
      </x:c>
      <x:c r="F99" s="530" t="n">
        <x:f>IF(ISBLANK('_INSTANCE'!F18),"",'_INSTANCE'!F18)</x:f>
        <x:v>4300</x:v>
      </x:c>
      <x:c r="G99" s="530" t="n">
        <x:f>IF(ISBLANK('_INSTANCE'!G18),"",'_INSTANCE'!G18)</x:f>
        <x:v>20000</x:v>
      </x:c>
      <x:c r="H99" s="530" t="n">
        <x:f>IF(ISBLANK('_INSTANCE'!H18),"",'_INSTANCE'!H18)</x:f>
        <x:v>4</x:v>
      </x:c>
      <x:c r="I99" s="530" t="n">
        <x:f>IF(ISBLANK('_INSTANCE'!I18),"",'_INSTANCE'!I18)</x:f>
        <x:v>100</x:v>
      </x:c>
      <x:c r="J99" s="530" t="n">
        <x:f>IF(ISBLANK('_INSTANCE'!J18),"",'_INSTANCE'!J18)</x:f>
        <x:v>1750</x:v>
      </x:c>
      <x:c r="K99" s="38"/>
      <x:c r="L99" s="38"/>
      <x:c r="M99" s="38"/>
      <x:c r="N99" s="38"/>
      <x:c r="O99" s="38"/>
      <x:c r="P99" s="38"/>
      <x:c r="Q99" s="38"/>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523" t="n">
        <x:f>IF(ISBLANK('_INSTANCE'!A19),"",'_INSTANCE'!A19)</x:f>
        <x:v>17</x:v>
      </x:c>
      <x:c r="B100" s="523" t="n">
        <x:f>IF(ISBLANK('_INSTANCE'!B19),"",'_INSTANCE'!B19)</x:f>
        <x:v>17</x:v>
      </x:c>
      <x:c r="C100" s="523" t="n">
        <x:f>IF(ISBLANK('_INSTANCE'!C19),"",'_INSTANCE'!C19)</x:f>
        <x:v>1</x:v>
      </x:c>
      <x:c r="D100" s="530" t="n">
        <x:f>IF(ISBLANK('_INSTANCE'!D19),"",'_INSTANCE'!D19)</x:f>
        <x:v>90</x:v>
      </x:c>
      <x:c r="E100" s="530" t="n">
        <x:f>IF(ISBLANK('_INSTANCE'!E19),"",'_INSTANCE'!E19)</x:f>
        <x:v>0</x:v>
      </x:c>
      <x:c r="F100" s="530" t="n">
        <x:f>IF(ISBLANK('_INSTANCE'!F19),"",'_INSTANCE'!F19)</x:f>
        <x:v>4300</x:v>
      </x:c>
      <x:c r="G100" s="530" t="n">
        <x:f>IF(ISBLANK('_INSTANCE'!G19),"",'_INSTANCE'!G19)</x:f>
        <x:v>20000</x:v>
      </x:c>
      <x:c r="H100" s="530" t="n">
        <x:f>IF(ISBLANK('_INSTANCE'!H19),"",'_INSTANCE'!H19)</x:f>
        <x:v>4</x:v>
      </x:c>
      <x:c r="I100" s="530" t="n">
        <x:f>IF(ISBLANK('_INSTANCE'!I19),"",'_INSTANCE'!I19)</x:f>
        <x:v>100</x:v>
      </x:c>
      <x:c r="J100" s="530" t="n">
        <x:f>IF(ISBLANK('_INSTANCE'!J19),"",'_INSTANCE'!J19)</x:f>
        <x:v>1750</x:v>
      </x:c>
      <x:c r="K100" s="38"/>
      <x:c r="L100" s="38"/>
      <x:c r="M100" s="38"/>
      <x:c r="N100" s="38"/>
      <x:c r="O100" s="38"/>
      <x:c r="P100" s="38"/>
      <x:c r="Q100" s="38"/>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523" t="n">
        <x:f>IF(ISBLANK('_INSTANCE'!A20),"",'_INSTANCE'!A20)</x:f>
        <x:v>18</x:v>
      </x:c>
      <x:c r="B101" s="523" t="n">
        <x:f>IF(ISBLANK('_INSTANCE'!B20),"",'_INSTANCE'!B20)</x:f>
        <x:v>18</x:v>
      </x:c>
      <x:c r="C101" s="523" t="n">
        <x:f>IF(ISBLANK('_INSTANCE'!C20),"",'_INSTANCE'!C20)</x:f>
        <x:v>1</x:v>
      </x:c>
      <x:c r="D101" s="530" t="n">
        <x:f>IF(ISBLANK('_INSTANCE'!D20),"",'_INSTANCE'!D20)</x:f>
        <x:v>90</x:v>
      </x:c>
      <x:c r="E101" s="530" t="n">
        <x:f>IF(ISBLANK('_INSTANCE'!E20),"",'_INSTANCE'!E20)</x:f>
        <x:v>0</x:v>
      </x:c>
      <x:c r="F101" s="530" t="n">
        <x:f>IF(ISBLANK('_INSTANCE'!F20),"",'_INSTANCE'!F20)</x:f>
        <x:v>4300</x:v>
      </x:c>
      <x:c r="G101" s="530" t="n">
        <x:f>IF(ISBLANK('_INSTANCE'!G20),"",'_INSTANCE'!G20)</x:f>
        <x:v>20000</x:v>
      </x:c>
      <x:c r="H101" s="530" t="n">
        <x:f>IF(ISBLANK('_INSTANCE'!H20),"",'_INSTANCE'!H20)</x:f>
        <x:v>4</x:v>
      </x:c>
      <x:c r="I101" s="530" t="n">
        <x:f>IF(ISBLANK('_INSTANCE'!I20),"",'_INSTANCE'!I20)</x:f>
        <x:v>100</x:v>
      </x:c>
      <x:c r="J101" s="530" t="n">
        <x:f>IF(ISBLANK('_INSTANCE'!J20),"",'_INSTANCE'!J20)</x:f>
        <x:v>1750</x:v>
      </x:c>
      <x:c r="K101" s="38"/>
      <x:c r="L101" s="38"/>
      <x:c r="M101" s="38"/>
      <x:c r="N101" s="38"/>
      <x:c r="O101" s="38"/>
      <x:c r="P101" s="38"/>
      <x:c r="Q101" s="38"/>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523" t="n">
        <x:f>IF(ISBLANK('_INSTANCE'!A21),"",'_INSTANCE'!A21)</x:f>
        <x:v>19</x:v>
      </x:c>
      <x:c r="B102" s="523" t="n">
        <x:f>IF(ISBLANK('_INSTANCE'!B21),"",'_INSTANCE'!B21)</x:f>
        <x:v>19</x:v>
      </x:c>
      <x:c r="C102" s="523" t="n">
        <x:f>IF(ISBLANK('_INSTANCE'!C21),"",'_INSTANCE'!C21)</x:f>
        <x:v>1</x:v>
      </x:c>
      <x:c r="D102" s="530" t="n">
        <x:f>IF(ISBLANK('_INSTANCE'!D21),"",'_INSTANCE'!D21)</x:f>
        <x:v>90</x:v>
      </x:c>
      <x:c r="E102" s="530" t="n">
        <x:f>IF(ISBLANK('_INSTANCE'!E21),"",'_INSTANCE'!E21)</x:f>
        <x:v>0</x:v>
      </x:c>
      <x:c r="F102" s="530" t="n">
        <x:f>IF(ISBLANK('_INSTANCE'!F21),"",'_INSTANCE'!F21)</x:f>
        <x:v>4900</x:v>
      </x:c>
      <x:c r="G102" s="530" t="n">
        <x:f>IF(ISBLANK('_INSTANCE'!G21),"",'_INSTANCE'!G21)</x:f>
        <x:v>20000</x:v>
      </x:c>
      <x:c r="H102" s="530" t="n">
        <x:f>IF(ISBLANK('_INSTANCE'!H21),"",'_INSTANCE'!H21)</x:f>
        <x:v>4</x:v>
      </x:c>
      <x:c r="I102" s="530" t="n">
        <x:f>IF(ISBLANK('_INSTANCE'!I21),"",'_INSTANCE'!I21)</x:f>
        <x:v>100</x:v>
      </x:c>
      <x:c r="J102" s="530" t="n">
        <x:f>IF(ISBLANK('_INSTANCE'!J21),"",'_INSTANCE'!J21)</x:f>
        <x:v>1750</x:v>
      </x:c>
      <x:c r="K102" s="38"/>
      <x:c r="L102" s="38"/>
      <x:c r="M102" s="38"/>
      <x:c r="N102" s="38"/>
      <x:c r="O102" s="38"/>
      <x:c r="P102" s="38"/>
      <x:c r="Q102" s="38"/>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523" t="n">
        <x:f>IF(ISBLANK('_INSTANCE'!A22),"",'_INSTANCE'!A22)</x:f>
        <x:v>20</x:v>
      </x:c>
      <x:c r="B103" s="523" t="n">
        <x:f>IF(ISBLANK('_INSTANCE'!B22),"",'_INSTANCE'!B22)</x:f>
        <x:v>20</x:v>
      </x:c>
      <x:c r="C103" s="523" t="n">
        <x:f>IF(ISBLANK('_INSTANCE'!C22),"",'_INSTANCE'!C22)</x:f>
        <x:v>1</x:v>
      </x:c>
      <x:c r="D103" s="530" t="n">
        <x:f>IF(ISBLANK('_INSTANCE'!D22),"",'_INSTANCE'!D22)</x:f>
        <x:v>90</x:v>
      </x:c>
      <x:c r="E103" s="530" t="n">
        <x:f>IF(ISBLANK('_INSTANCE'!E22),"",'_INSTANCE'!E22)</x:f>
        <x:v>0</x:v>
      </x:c>
      <x:c r="F103" s="530" t="n">
        <x:f>IF(ISBLANK('_INSTANCE'!F22),"",'_INSTANCE'!F22)</x:f>
        <x:v>4300</x:v>
      </x:c>
      <x:c r="G103" s="530" t="n">
        <x:f>IF(ISBLANK('_INSTANCE'!G22),"",'_INSTANCE'!G22)</x:f>
        <x:v>20000</x:v>
      </x:c>
      <x:c r="H103" s="530" t="n">
        <x:f>IF(ISBLANK('_INSTANCE'!H22),"",'_INSTANCE'!H22)</x:f>
        <x:v>4</x:v>
      </x:c>
      <x:c r="I103" s="530" t="n">
        <x:f>IF(ISBLANK('_INSTANCE'!I22),"",'_INSTANCE'!I22)</x:f>
        <x:v>100</x:v>
      </x:c>
      <x:c r="J103" s="530" t="n">
        <x:f>IF(ISBLANK('_INSTANCE'!J22),"",'_INSTANCE'!J22)</x:f>
        <x:v>1750</x:v>
      </x:c>
      <x:c r="K103" s="38"/>
      <x:c r="L103" s="38"/>
      <x:c r="M103" s="38"/>
      <x:c r="N103" s="38"/>
      <x:c r="O103" s="38"/>
      <x:c r="P103" s="38"/>
      <x:c r="Q103" s="38"/>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523" t="n">
        <x:f>IF(ISBLANK('_INSTANCE'!A23),"",'_INSTANCE'!A23)</x:f>
        <x:v>21</x:v>
      </x:c>
      <x:c r="B104" s="523" t="n">
        <x:f>IF(ISBLANK('_INSTANCE'!B23),"",'_INSTANCE'!B23)</x:f>
        <x:v>21</x:v>
      </x:c>
      <x:c r="C104" s="523" t="n">
        <x:f>IF(ISBLANK('_INSTANCE'!C23),"",'_INSTANCE'!C23)</x:f>
        <x:v>1</x:v>
      </x:c>
      <x:c r="D104" s="530" t="n">
        <x:f>IF(ISBLANK('_INSTANCE'!D23),"",'_INSTANCE'!D23)</x:f>
        <x:v>90</x:v>
      </x:c>
      <x:c r="E104" s="530" t="n">
        <x:f>IF(ISBLANK('_INSTANCE'!E23),"",'_INSTANCE'!E23)</x:f>
        <x:v>0</x:v>
      </x:c>
      <x:c r="F104" s="530" t="n">
        <x:f>IF(ISBLANK('_INSTANCE'!F23),"",'_INSTANCE'!F23)</x:f>
        <x:v>3700</x:v>
      </x:c>
      <x:c r="G104" s="530" t="n">
        <x:f>IF(ISBLANK('_INSTANCE'!G23),"",'_INSTANCE'!G23)</x:f>
        <x:v>20000</x:v>
      </x:c>
      <x:c r="H104" s="530" t="n">
        <x:f>IF(ISBLANK('_INSTANCE'!H23),"",'_INSTANCE'!H23)</x:f>
        <x:v>4</x:v>
      </x:c>
      <x:c r="I104" s="530" t="n">
        <x:f>IF(ISBLANK('_INSTANCE'!I23),"",'_INSTANCE'!I23)</x:f>
        <x:v>100</x:v>
      </x:c>
      <x:c r="J104" s="530" t="n">
        <x:f>IF(ISBLANK('_INSTANCE'!J23),"",'_INSTANCE'!J23)</x:f>
        <x:v>1750</x:v>
      </x:c>
      <x:c r="K104" s="38"/>
      <x:c r="L104" s="38"/>
      <x:c r="M104" s="38"/>
      <x:c r="N104" s="38"/>
      <x:c r="O104" s="38"/>
      <x:c r="P104" s="38"/>
      <x:c r="Q104" s="38"/>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523" t="n">
        <x:f>IF(ISBLANK('_INSTANCE'!A24),"",'_INSTANCE'!A24)</x:f>
        <x:v>22</x:v>
      </x:c>
      <x:c r="B105" s="523" t="n">
        <x:f>IF(ISBLANK('_INSTANCE'!B24),"",'_INSTANCE'!B24)</x:f>
        <x:v>22</x:v>
      </x:c>
      <x:c r="C105" s="523" t="n">
        <x:f>IF(ISBLANK('_INSTANCE'!C24),"",'_INSTANCE'!C24)</x:f>
        <x:v>1</x:v>
      </x:c>
      <x:c r="D105" s="530" t="n">
        <x:f>IF(ISBLANK('_INSTANCE'!D24),"",'_INSTANCE'!D24)</x:f>
        <x:v>90</x:v>
      </x:c>
      <x:c r="E105" s="530" t="n">
        <x:f>IF(ISBLANK('_INSTANCE'!E24),"",'_INSTANCE'!E24)</x:f>
        <x:v>0</x:v>
      </x:c>
      <x:c r="F105" s="530" t="n">
        <x:f>IF(ISBLANK('_INSTANCE'!F24),"",'_INSTANCE'!F24)</x:f>
        <x:v>5900</x:v>
      </x:c>
      <x:c r="G105" s="530" t="n">
        <x:f>IF(ISBLANK('_INSTANCE'!G24),"",'_INSTANCE'!G24)</x:f>
        <x:v>20000</x:v>
      </x:c>
      <x:c r="H105" s="530" t="n">
        <x:f>IF(ISBLANK('_INSTANCE'!H24),"",'_INSTANCE'!H24)</x:f>
        <x:v>4</x:v>
      </x:c>
      <x:c r="I105" s="530" t="n">
        <x:f>IF(ISBLANK('_INSTANCE'!I24),"",'_INSTANCE'!I24)</x:f>
        <x:v>100</x:v>
      </x:c>
      <x:c r="J105" s="530" t="n">
        <x:f>IF(ISBLANK('_INSTANCE'!J24),"",'_INSTANCE'!J24)</x:f>
        <x:v>1750</x:v>
      </x:c>
      <x:c r="K105" s="38"/>
      <x:c r="L105" s="38"/>
      <x:c r="M105" s="38"/>
      <x:c r="N105" s="38"/>
      <x:c r="O105" s="38"/>
      <x:c r="P105" s="38"/>
      <x:c r="Q105" s="38"/>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523" t="n">
        <x:f>IF(ISBLANK('_INSTANCE'!A25),"",'_INSTANCE'!A25)</x:f>
        <x:v>23</x:v>
      </x:c>
      <x:c r="B106" s="523" t="n">
        <x:f>IF(ISBLANK('_INSTANCE'!B25),"",'_INSTANCE'!B25)</x:f>
        <x:v>23</x:v>
      </x:c>
      <x:c r="C106" s="523" t="n">
        <x:f>IF(ISBLANK('_INSTANCE'!C25),"",'_INSTANCE'!C25)</x:f>
        <x:v>1</x:v>
      </x:c>
      <x:c r="D106" s="530" t="n">
        <x:f>IF(ISBLANK('_INSTANCE'!D25),"",'_INSTANCE'!D25)</x:f>
        <x:v>90</x:v>
      </x:c>
      <x:c r="E106" s="530" t="n">
        <x:f>IF(ISBLANK('_INSTANCE'!E25),"",'_INSTANCE'!E25)</x:f>
        <x:v>0</x:v>
      </x:c>
      <x:c r="F106" s="530" t="n">
        <x:f>IF(ISBLANK('_INSTANCE'!F25),"",'_INSTANCE'!F25)</x:f>
        <x:v>4300</x:v>
      </x:c>
      <x:c r="G106" s="530" t="n">
        <x:f>IF(ISBLANK('_INSTANCE'!G25),"",'_INSTANCE'!G25)</x:f>
        <x:v>20000</x:v>
      </x:c>
      <x:c r="H106" s="530" t="n">
        <x:f>IF(ISBLANK('_INSTANCE'!H25),"",'_INSTANCE'!H25)</x:f>
        <x:v>4</x:v>
      </x:c>
      <x:c r="I106" s="530" t="n">
        <x:f>IF(ISBLANK('_INSTANCE'!I25),"",'_INSTANCE'!I25)</x:f>
        <x:v>100</x:v>
      </x:c>
      <x:c r="J106" s="530" t="n">
        <x:f>IF(ISBLANK('_INSTANCE'!J25),"",'_INSTANCE'!J25)</x:f>
        <x:v>1750</x:v>
      </x:c>
      <x:c r="K106" s="38"/>
      <x:c r="L106" s="38"/>
      <x:c r="M106" s="38"/>
      <x:c r="N106" s="38"/>
      <x:c r="O106" s="38"/>
      <x:c r="P106" s="38"/>
      <x:c r="Q106" s="38"/>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523" t="n">
        <x:f>IF(ISBLANK('_INSTANCE'!A26),"",'_INSTANCE'!A26)</x:f>
        <x:v>24</x:v>
      </x:c>
      <x:c r="B107" s="523" t="n">
        <x:f>IF(ISBLANK('_INSTANCE'!B26),"",'_INSTANCE'!B26)</x:f>
        <x:v>24</x:v>
      </x:c>
      <x:c r="C107" s="523" t="n">
        <x:f>IF(ISBLANK('_INSTANCE'!C26),"",'_INSTANCE'!C26)</x:f>
        <x:v>1</x:v>
      </x:c>
      <x:c r="D107" s="530" t="n">
        <x:f>IF(ISBLANK('_INSTANCE'!D26),"",'_INSTANCE'!D26)</x:f>
        <x:v>90</x:v>
      </x:c>
      <x:c r="E107" s="530" t="n">
        <x:f>IF(ISBLANK('_INSTANCE'!E26),"",'_INSTANCE'!E26)</x:f>
        <x:v>0</x:v>
      </x:c>
      <x:c r="F107" s="530" t="n">
        <x:f>IF(ISBLANK('_INSTANCE'!F26),"",'_INSTANCE'!F26)</x:f>
        <x:v>4300</x:v>
      </x:c>
      <x:c r="G107" s="530" t="n">
        <x:f>IF(ISBLANK('_INSTANCE'!G26),"",'_INSTANCE'!G26)</x:f>
        <x:v>20000</x:v>
      </x:c>
      <x:c r="H107" s="530" t="n">
        <x:f>IF(ISBLANK('_INSTANCE'!H26),"",'_INSTANCE'!H26)</x:f>
        <x:v>4</x:v>
      </x:c>
      <x:c r="I107" s="530" t="n">
        <x:f>IF(ISBLANK('_INSTANCE'!I26),"",'_INSTANCE'!I26)</x:f>
        <x:v>100</x:v>
      </x:c>
      <x:c r="J107" s="530" t="n">
        <x:f>IF(ISBLANK('_INSTANCE'!J26),"",'_INSTANCE'!J26)</x:f>
        <x:v>1750</x:v>
      </x:c>
      <x:c r="K107" s="38"/>
      <x:c r="L107" s="38"/>
      <x:c r="M107" s="38"/>
      <x:c r="N107" s="38"/>
      <x:c r="O107" s="38"/>
      <x:c r="P107" s="38"/>
      <x:c r="Q107" s="38"/>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523" t="n">
        <x:f>IF(ISBLANK('_INSTANCE'!A27),"",'_INSTANCE'!A27)</x:f>
        <x:v>25</x:v>
      </x:c>
      <x:c r="B108" s="523" t="n">
        <x:f>IF(ISBLANK('_INSTANCE'!B27),"",'_INSTANCE'!B27)</x:f>
        <x:v>25</x:v>
      </x:c>
      <x:c r="C108" s="523" t="n">
        <x:f>IF(ISBLANK('_INSTANCE'!C27),"",'_INSTANCE'!C27)</x:f>
        <x:v>1</x:v>
      </x:c>
      <x:c r="D108" s="530" t="n">
        <x:f>IF(ISBLANK('_INSTANCE'!D27),"",'_INSTANCE'!D27)</x:f>
        <x:v>90</x:v>
      </x:c>
      <x:c r="E108" s="530" t="n">
        <x:f>IF(ISBLANK('_INSTANCE'!E27),"",'_INSTANCE'!E27)</x:f>
        <x:v>0</x:v>
      </x:c>
      <x:c r="F108" s="530" t="n">
        <x:f>IF(ISBLANK('_INSTANCE'!F27),"",'_INSTANCE'!F27)</x:f>
        <x:v>4300</x:v>
      </x:c>
      <x:c r="G108" s="530" t="n">
        <x:f>IF(ISBLANK('_INSTANCE'!G27),"",'_INSTANCE'!G27)</x:f>
        <x:v>20000</x:v>
      </x:c>
      <x:c r="H108" s="530" t="n">
        <x:f>IF(ISBLANK('_INSTANCE'!H27),"",'_INSTANCE'!H27)</x:f>
        <x:v>4</x:v>
      </x:c>
      <x:c r="I108" s="530" t="n">
        <x:f>IF(ISBLANK('_INSTANCE'!I27),"",'_INSTANCE'!I27)</x:f>
        <x:v>100</x:v>
      </x:c>
      <x:c r="J108" s="530" t="n">
        <x:f>IF(ISBLANK('_INSTANCE'!J27),"",'_INSTANCE'!J27)</x:f>
        <x:v>1750</x:v>
      </x:c>
      <x:c r="K108" s="38"/>
      <x:c r="L108" s="38"/>
      <x:c r="M108" s="38"/>
      <x:c r="N108" s="38"/>
      <x:c r="O108" s="38"/>
      <x:c r="P108" s="38"/>
      <x:c r="Q108" s="38"/>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523" t="n">
        <x:f>IF(ISBLANK('_INSTANCE'!A28),"",'_INSTANCE'!A28)</x:f>
        <x:v>26</x:v>
      </x:c>
      <x:c r="B109" s="523" t="n">
        <x:f>IF(ISBLANK('_INSTANCE'!B28),"",'_INSTANCE'!B28)</x:f>
        <x:v>26</x:v>
      </x:c>
      <x:c r="C109" s="523" t="n">
        <x:f>IF(ISBLANK('_INSTANCE'!C28),"",'_INSTANCE'!C28)</x:f>
        <x:v>1</x:v>
      </x:c>
      <x:c r="D109" s="530" t="n">
        <x:f>IF(ISBLANK('_INSTANCE'!D28),"",'_INSTANCE'!D28)</x:f>
        <x:v>90</x:v>
      </x:c>
      <x:c r="E109" s="530" t="n">
        <x:f>IF(ISBLANK('_INSTANCE'!E28),"",'_INSTANCE'!E28)</x:f>
        <x:v>0</x:v>
      </x:c>
      <x:c r="F109" s="530" t="n">
        <x:f>IF(ISBLANK('_INSTANCE'!F28),"",'_INSTANCE'!F28)</x:f>
        <x:v>4900</x:v>
      </x:c>
      <x:c r="G109" s="530" t="n">
        <x:f>IF(ISBLANK('_INSTANCE'!G28),"",'_INSTANCE'!G28)</x:f>
        <x:v>20000</x:v>
      </x:c>
      <x:c r="H109" s="530" t="n">
        <x:f>IF(ISBLANK('_INSTANCE'!H28),"",'_INSTANCE'!H28)</x:f>
        <x:v>4</x:v>
      </x:c>
      <x:c r="I109" s="530" t="n">
        <x:f>IF(ISBLANK('_INSTANCE'!I28),"",'_INSTANCE'!I28)</x:f>
        <x:v>100</x:v>
      </x:c>
      <x:c r="J109" s="530" t="n">
        <x:f>IF(ISBLANK('_INSTANCE'!J28),"",'_INSTANCE'!J28)</x:f>
        <x:v>1750</x:v>
      </x:c>
      <x:c r="K109" s="38"/>
      <x:c r="L109" s="38"/>
      <x:c r="M109" s="38"/>
      <x:c r="N109" s="38"/>
      <x:c r="O109" s="38"/>
      <x:c r="P109" s="38"/>
      <x:c r="Q109" s="38"/>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523" t="n">
        <x:f>IF(ISBLANK('_INSTANCE'!A29),"",'_INSTANCE'!A29)</x:f>
        <x:v>27</x:v>
      </x:c>
      <x:c r="B110" s="523" t="n">
        <x:f>IF(ISBLANK('_INSTANCE'!B29),"",'_INSTANCE'!B29)</x:f>
        <x:v>27</x:v>
      </x:c>
      <x:c r="C110" s="523" t="n">
        <x:f>IF(ISBLANK('_INSTANCE'!C29),"",'_INSTANCE'!C29)</x:f>
        <x:v>1</x:v>
      </x:c>
      <x:c r="D110" s="530" t="n">
        <x:f>IF(ISBLANK('_INSTANCE'!D29),"",'_INSTANCE'!D29)</x:f>
        <x:v>90</x:v>
      </x:c>
      <x:c r="E110" s="530" t="n">
        <x:f>IF(ISBLANK('_INSTANCE'!E29),"",'_INSTANCE'!E29)</x:f>
        <x:v>0</x:v>
      </x:c>
      <x:c r="F110" s="530" t="n">
        <x:f>IF(ISBLANK('_INSTANCE'!F29),"",'_INSTANCE'!F29)</x:f>
        <x:v>4900</x:v>
      </x:c>
      <x:c r="G110" s="530" t="n">
        <x:f>IF(ISBLANK('_INSTANCE'!G29),"",'_INSTANCE'!G29)</x:f>
        <x:v>20000</x:v>
      </x:c>
      <x:c r="H110" s="530" t="n">
        <x:f>IF(ISBLANK('_INSTANCE'!H29),"",'_INSTANCE'!H29)</x:f>
        <x:v>4</x:v>
      </x:c>
      <x:c r="I110" s="530" t="n">
        <x:f>IF(ISBLANK('_INSTANCE'!I29),"",'_INSTANCE'!I29)</x:f>
        <x:v>100</x:v>
      </x:c>
      <x:c r="J110" s="530" t="n">
        <x:f>IF(ISBLANK('_INSTANCE'!J29),"",'_INSTANCE'!J29)</x:f>
        <x:v>1750</x:v>
      </x:c>
      <x:c r="K110" s="38"/>
      <x:c r="L110" s="38"/>
      <x:c r="M110" s="38"/>
      <x:c r="N110" s="38"/>
      <x:c r="O110" s="38"/>
      <x:c r="P110" s="38"/>
      <x:c r="Q110" s="38"/>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523" t="n">
        <x:f>IF(ISBLANK('_INSTANCE'!A30),"",'_INSTANCE'!A30)</x:f>
        <x:v>28</x:v>
      </x:c>
      <x:c r="B111" s="523" t="n">
        <x:f>IF(ISBLANK('_INSTANCE'!B30),"",'_INSTANCE'!B30)</x:f>
        <x:v>28</x:v>
      </x:c>
      <x:c r="C111" s="523" t="n">
        <x:f>IF(ISBLANK('_INSTANCE'!C30),"",'_INSTANCE'!C30)</x:f>
        <x:v>1</x:v>
      </x:c>
      <x:c r="D111" s="530" t="n">
        <x:f>IF(ISBLANK('_INSTANCE'!D30),"",'_INSTANCE'!D30)</x:f>
        <x:v>90</x:v>
      </x:c>
      <x:c r="E111" s="530" t="n">
        <x:f>IF(ISBLANK('_INSTANCE'!E30),"",'_INSTANCE'!E30)</x:f>
        <x:v>0</x:v>
      </x:c>
      <x:c r="F111" s="530" t="n">
        <x:f>IF(ISBLANK('_INSTANCE'!F30),"",'_INSTANCE'!F30)</x:f>
        <x:v>4900</x:v>
      </x:c>
      <x:c r="G111" s="530" t="n">
        <x:f>IF(ISBLANK('_INSTANCE'!G30),"",'_INSTANCE'!G30)</x:f>
        <x:v>20000</x:v>
      </x:c>
      <x:c r="H111" s="530" t="n">
        <x:f>IF(ISBLANK('_INSTANCE'!H30),"",'_INSTANCE'!H30)</x:f>
        <x:v>4</x:v>
      </x:c>
      <x:c r="I111" s="530" t="n">
        <x:f>IF(ISBLANK('_INSTANCE'!I30),"",'_INSTANCE'!I30)</x:f>
        <x:v>100</x:v>
      </x:c>
      <x:c r="J111" s="530" t="n">
        <x:f>IF(ISBLANK('_INSTANCE'!J30),"",'_INSTANCE'!J30)</x:f>
        <x:v>1750</x:v>
      </x:c>
      <x:c r="K111" s="38"/>
      <x:c r="L111" s="38"/>
      <x:c r="M111" s="38"/>
      <x:c r="N111" s="38"/>
      <x:c r="O111" s="38"/>
      <x:c r="P111" s="38"/>
      <x:c r="Q111" s="38"/>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523" t="n">
        <x:f>IF(ISBLANK('_INSTANCE'!A31),"",'_INSTANCE'!A31)</x:f>
        <x:v>29</x:v>
      </x:c>
      <x:c r="B112" s="523" t="n">
        <x:f>IF(ISBLANK('_INSTANCE'!B31),"",'_INSTANCE'!B31)</x:f>
        <x:v>29</x:v>
      </x:c>
      <x:c r="C112" s="523" t="n">
        <x:f>IF(ISBLANK('_INSTANCE'!C31),"",'_INSTANCE'!C31)</x:f>
        <x:v>1</x:v>
      </x:c>
      <x:c r="D112" s="530" t="n">
        <x:f>IF(ISBLANK('_INSTANCE'!D31),"",'_INSTANCE'!D31)</x:f>
        <x:v>90</x:v>
      </x:c>
      <x:c r="E112" s="530" t="n">
        <x:f>IF(ISBLANK('_INSTANCE'!E31),"",'_INSTANCE'!E31)</x:f>
        <x:v>0</x:v>
      </x:c>
      <x:c r="F112" s="530" t="n">
        <x:f>IF(ISBLANK('_INSTANCE'!F31),"",'_INSTANCE'!F31)</x:f>
        <x:v>5900</x:v>
      </x:c>
      <x:c r="G112" s="530" t="n">
        <x:f>IF(ISBLANK('_INSTANCE'!G31),"",'_INSTANCE'!G31)</x:f>
        <x:v>20000</x:v>
      </x:c>
      <x:c r="H112" s="530" t="n">
        <x:f>IF(ISBLANK('_INSTANCE'!H31),"",'_INSTANCE'!H31)</x:f>
        <x:v>4</x:v>
      </x:c>
      <x:c r="I112" s="530" t="n">
        <x:f>IF(ISBLANK('_INSTANCE'!I31),"",'_INSTANCE'!I31)</x:f>
        <x:v>100</x:v>
      </x:c>
      <x:c r="J112" s="530" t="n">
        <x:f>IF(ISBLANK('_INSTANCE'!J31),"",'_INSTANCE'!J31)</x:f>
        <x:v>1750</x:v>
      </x:c>
      <x:c r="K112" s="38"/>
      <x:c r="L112" s="38"/>
      <x:c r="M112" s="38"/>
      <x:c r="N112" s="38"/>
      <x:c r="O112" s="38"/>
      <x:c r="P112" s="38"/>
      <x:c r="Q112" s="38"/>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523" t="n">
        <x:f>IF(ISBLANK('_INSTANCE'!A32),"",'_INSTANCE'!A32)</x:f>
        <x:v>30</x:v>
      </x:c>
      <x:c r="B113" s="523" t="n">
        <x:f>IF(ISBLANK('_INSTANCE'!B32),"",'_INSTANCE'!B32)</x:f>
        <x:v>30</x:v>
      </x:c>
      <x:c r="C113" s="523" t="n">
        <x:f>IF(ISBLANK('_INSTANCE'!C32),"",'_INSTANCE'!C32)</x:f>
        <x:v>1</x:v>
      </x:c>
      <x:c r="D113" s="530" t="n">
        <x:f>IF(ISBLANK('_INSTANCE'!D32),"",'_INSTANCE'!D32)</x:f>
        <x:v>90</x:v>
      </x:c>
      <x:c r="E113" s="530" t="n">
        <x:f>IF(ISBLANK('_INSTANCE'!E32),"",'_INSTANCE'!E32)</x:f>
        <x:v>0</x:v>
      </x:c>
      <x:c r="F113" s="530" t="n">
        <x:f>IF(ISBLANK('_INSTANCE'!F32),"",'_INSTANCE'!F32)</x:f>
        <x:v>5900</x:v>
      </x:c>
      <x:c r="G113" s="530" t="n">
        <x:f>IF(ISBLANK('_INSTANCE'!G32),"",'_INSTANCE'!G32)</x:f>
        <x:v>20000</x:v>
      </x:c>
      <x:c r="H113" s="530" t="n">
        <x:f>IF(ISBLANK('_INSTANCE'!H32),"",'_INSTANCE'!H32)</x:f>
        <x:v>4</x:v>
      </x:c>
      <x:c r="I113" s="530" t="n">
        <x:f>IF(ISBLANK('_INSTANCE'!I32),"",'_INSTANCE'!I32)</x:f>
        <x:v>100</x:v>
      </x:c>
      <x:c r="J113" s="530" t="n">
        <x:f>IF(ISBLANK('_INSTANCE'!J32),"",'_INSTANCE'!J32)</x:f>
        <x:v>1750</x:v>
      </x:c>
      <x:c r="K113" s="38"/>
      <x:c r="L113" s="38"/>
      <x:c r="M113" s="38"/>
      <x:c r="N113" s="38"/>
      <x:c r="O113" s="38"/>
      <x:c r="P113" s="38"/>
      <x:c r="Q113" s="38"/>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523" t="n">
        <x:f>IF(ISBLANK('_INSTANCE'!A33),"",'_INSTANCE'!A33)</x:f>
        <x:v>31</x:v>
      </x:c>
      <x:c r="B114" s="523" t="n">
        <x:f>IF(ISBLANK('_INSTANCE'!B33),"",'_INSTANCE'!B33)</x:f>
        <x:v>31</x:v>
      </x:c>
      <x:c r="C114" s="523" t="n">
        <x:f>IF(ISBLANK('_INSTANCE'!C33),"",'_INSTANCE'!C33)</x:f>
        <x:v>1</x:v>
      </x:c>
      <x:c r="D114" s="530" t="n">
        <x:f>IF(ISBLANK('_INSTANCE'!D33),"",'_INSTANCE'!D33)</x:f>
        <x:v>90</x:v>
      </x:c>
      <x:c r="E114" s="530" t="n">
        <x:f>IF(ISBLANK('_INSTANCE'!E33),"",'_INSTANCE'!E33)</x:f>
        <x:v>0</x:v>
      </x:c>
      <x:c r="F114" s="530" t="n">
        <x:f>IF(ISBLANK('_INSTANCE'!F33),"",'_INSTANCE'!F33)</x:f>
        <x:v>5900</x:v>
      </x:c>
      <x:c r="G114" s="530" t="n">
        <x:f>IF(ISBLANK('_INSTANCE'!G33),"",'_INSTANCE'!G33)</x:f>
        <x:v>20000</x:v>
      </x:c>
      <x:c r="H114" s="530" t="n">
        <x:f>IF(ISBLANK('_INSTANCE'!H33),"",'_INSTANCE'!H33)</x:f>
        <x:v>4</x:v>
      </x:c>
      <x:c r="I114" s="530" t="n">
        <x:f>IF(ISBLANK('_INSTANCE'!I33),"",'_INSTANCE'!I33)</x:f>
        <x:v>100</x:v>
      </x:c>
      <x:c r="J114" s="530" t="n">
        <x:f>IF(ISBLANK('_INSTANCE'!J33),"",'_INSTANCE'!J33)</x:f>
        <x:v>1750</x:v>
      </x:c>
      <x:c r="K114" s="38"/>
      <x:c r="L114" s="38"/>
      <x:c r="M114" s="38"/>
      <x:c r="N114" s="38"/>
      <x:c r="O114" s="38"/>
      <x:c r="P114" s="38"/>
      <x:c r="Q114" s="38"/>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523" t="n">
        <x:f>IF(ISBLANK('_INSTANCE'!A34),"",'_INSTANCE'!A34)</x:f>
        <x:v>32</x:v>
      </x:c>
      <x:c r="B115" s="523" t="n">
        <x:f>IF(ISBLANK('_INSTANCE'!B34),"",'_INSTANCE'!B34)</x:f>
        <x:v>32</x:v>
      </x:c>
      <x:c r="C115" s="523" t="n">
        <x:f>IF(ISBLANK('_INSTANCE'!C34),"",'_INSTANCE'!C34)</x:f>
        <x:v>1</x:v>
      </x:c>
      <x:c r="D115" s="530" t="n">
        <x:f>IF(ISBLANK('_INSTANCE'!D34),"",'_INSTANCE'!D34)</x:f>
        <x:v>90</x:v>
      </x:c>
      <x:c r="E115" s="530" t="n">
        <x:f>IF(ISBLANK('_INSTANCE'!E34),"",'_INSTANCE'!E34)</x:f>
        <x:v>0</x:v>
      </x:c>
      <x:c r="F115" s="530" t="n">
        <x:f>IF(ISBLANK('_INSTANCE'!F34),"",'_INSTANCE'!F34)</x:f>
        <x:v>6300</x:v>
      </x:c>
      <x:c r="G115" s="530" t="n">
        <x:f>IF(ISBLANK('_INSTANCE'!G34),"",'_INSTANCE'!G34)</x:f>
        <x:v>20000</x:v>
      </x:c>
      <x:c r="H115" s="530" t="n">
        <x:f>IF(ISBLANK('_INSTANCE'!H34),"",'_INSTANCE'!H34)</x:f>
        <x:v>4</x:v>
      </x:c>
      <x:c r="I115" s="530" t="n">
        <x:f>IF(ISBLANK('_INSTANCE'!I34),"",'_INSTANCE'!I34)</x:f>
        <x:v>100</x:v>
      </x:c>
      <x:c r="J115" s="530" t="n">
        <x:f>IF(ISBLANK('_INSTANCE'!J34),"",'_INSTANCE'!J34)</x:f>
        <x:v>1750</x:v>
      </x:c>
      <x:c r="K115" s="38"/>
      <x:c r="L115" s="38"/>
      <x:c r="M115" s="38"/>
      <x:c r="N115" s="38"/>
      <x:c r="O115" s="38"/>
      <x:c r="P115" s="38"/>
      <x:c r="Q115" s="38"/>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523" t="n">
        <x:f>IF(ISBLANK('_INSTANCE'!A35),"",'_INSTANCE'!A35)</x:f>
        <x:v>33</x:v>
      </x:c>
      <x:c r="B116" s="523" t="n">
        <x:f>IF(ISBLANK('_INSTANCE'!B35),"",'_INSTANCE'!B35)</x:f>
        <x:v>33</x:v>
      </x:c>
      <x:c r="C116" s="523" t="n">
        <x:f>IF(ISBLANK('_INSTANCE'!C35),"",'_INSTANCE'!C35)</x:f>
        <x:v>1</x:v>
      </x:c>
      <x:c r="D116" s="530" t="n">
        <x:f>IF(ISBLANK('_INSTANCE'!D35),"",'_INSTANCE'!D35)</x:f>
        <x:v>90</x:v>
      </x:c>
      <x:c r="E116" s="530" t="n">
        <x:f>IF(ISBLANK('_INSTANCE'!E35),"",'_INSTANCE'!E35)</x:f>
        <x:v>0</x:v>
      </x:c>
      <x:c r="F116" s="530" t="n">
        <x:f>IF(ISBLANK('_INSTANCE'!F35),"",'_INSTANCE'!F35)</x:f>
        <x:v>6300</x:v>
      </x:c>
      <x:c r="G116" s="530" t="n">
        <x:f>IF(ISBLANK('_INSTANCE'!G35),"",'_INSTANCE'!G35)</x:f>
        <x:v>20000</x:v>
      </x:c>
      <x:c r="H116" s="530" t="n">
        <x:f>IF(ISBLANK('_INSTANCE'!H35),"",'_INSTANCE'!H35)</x:f>
        <x:v>4</x:v>
      </x:c>
      <x:c r="I116" s="530" t="n">
        <x:f>IF(ISBLANK('_INSTANCE'!I35),"",'_INSTANCE'!I35)</x:f>
        <x:v>100</x:v>
      </x:c>
      <x:c r="J116" s="530" t="n">
        <x:f>IF(ISBLANK('_INSTANCE'!J35),"",'_INSTANCE'!J35)</x:f>
        <x:v>1750</x:v>
      </x:c>
      <x:c r="K116" s="38"/>
      <x:c r="L116" s="38"/>
      <x:c r="M116" s="38"/>
      <x:c r="N116" s="38"/>
      <x:c r="O116" s="38"/>
      <x:c r="P116" s="38"/>
      <x:c r="Q116" s="38"/>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523" t="n">
        <x:f>IF(ISBLANK('_INSTANCE'!A36),"",'_INSTANCE'!A36)</x:f>
        <x:v>34</x:v>
      </x:c>
      <x:c r="B117" s="523" t="n">
        <x:f>IF(ISBLANK('_INSTANCE'!B36),"",'_INSTANCE'!B36)</x:f>
        <x:v>34</x:v>
      </x:c>
      <x:c r="C117" s="523" t="n">
        <x:f>IF(ISBLANK('_INSTANCE'!C36),"",'_INSTANCE'!C36)</x:f>
        <x:v>1</x:v>
      </x:c>
      <x:c r="D117" s="530" t="n">
        <x:f>IF(ISBLANK('_INSTANCE'!D36),"",'_INSTANCE'!D36)</x:f>
        <x:v>90</x:v>
      </x:c>
      <x:c r="E117" s="530" t="n">
        <x:f>IF(ISBLANK('_INSTANCE'!E36),"",'_INSTANCE'!E36)</x:f>
        <x:v>0</x:v>
      </x:c>
      <x:c r="F117" s="530" t="n">
        <x:f>IF(ISBLANK('_INSTANCE'!F36),"",'_INSTANCE'!F36)</x:f>
        <x:v>6300</x:v>
      </x:c>
      <x:c r="G117" s="530" t="n">
        <x:f>IF(ISBLANK('_INSTANCE'!G36),"",'_INSTANCE'!G36)</x:f>
        <x:v>20000</x:v>
      </x:c>
      <x:c r="H117" s="530" t="n">
        <x:f>IF(ISBLANK('_INSTANCE'!H36),"",'_INSTANCE'!H36)</x:f>
        <x:v>4</x:v>
      </x:c>
      <x:c r="I117" s="530" t="n">
        <x:f>IF(ISBLANK('_INSTANCE'!I36),"",'_INSTANCE'!I36)</x:f>
        <x:v>100</x:v>
      </x:c>
      <x:c r="J117" s="530" t="n">
        <x:f>IF(ISBLANK('_INSTANCE'!J36),"",'_INSTANCE'!J36)</x:f>
        <x:v>1750</x:v>
      </x:c>
      <x:c r="K117" s="38"/>
      <x:c r="L117" s="38"/>
      <x:c r="M117" s="38"/>
      <x:c r="N117" s="38"/>
      <x:c r="O117" s="38"/>
      <x:c r="P117" s="38"/>
      <x:c r="Q117" s="38"/>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523" t="n">
        <x:f>IF(ISBLANK('_INSTANCE'!A37),"",'_INSTANCE'!A37)</x:f>
        <x:v>35</x:v>
      </x:c>
      <x:c r="B118" s="523" t="n">
        <x:f>IF(ISBLANK('_INSTANCE'!B37),"",'_INSTANCE'!B37)</x:f>
        <x:v>35</x:v>
      </x:c>
      <x:c r="C118" s="523" t="n">
        <x:f>IF(ISBLANK('_INSTANCE'!C37),"",'_INSTANCE'!C37)</x:f>
        <x:v>1</x:v>
      </x:c>
      <x:c r="D118" s="530" t="n">
        <x:f>IF(ISBLANK('_INSTANCE'!D37),"",'_INSTANCE'!D37)</x:f>
        <x:v>90</x:v>
      </x:c>
      <x:c r="E118" s="530" t="n">
        <x:f>IF(ISBLANK('_INSTANCE'!E37),"",'_INSTANCE'!E37)</x:f>
        <x:v>0</x:v>
      </x:c>
      <x:c r="F118" s="530" t="n">
        <x:f>IF(ISBLANK('_INSTANCE'!F37),"",'_INSTANCE'!F37)</x:f>
        <x:v>5900</x:v>
      </x:c>
      <x:c r="G118" s="530" t="n">
        <x:f>IF(ISBLANK('_INSTANCE'!G37),"",'_INSTANCE'!G37)</x:f>
        <x:v>20000</x:v>
      </x:c>
      <x:c r="H118" s="530" t="n">
        <x:f>IF(ISBLANK('_INSTANCE'!H37),"",'_INSTANCE'!H37)</x:f>
        <x:v>4</x:v>
      </x:c>
      <x:c r="I118" s="530" t="n">
        <x:f>IF(ISBLANK('_INSTANCE'!I37),"",'_INSTANCE'!I37)</x:f>
        <x:v>100</x:v>
      </x:c>
      <x:c r="J118" s="530" t="n">
        <x:f>IF(ISBLANK('_INSTANCE'!J37),"",'_INSTANCE'!J37)</x:f>
        <x:v>1750</x:v>
      </x:c>
      <x:c r="K118" s="38"/>
      <x:c r="L118" s="38"/>
      <x:c r="M118" s="38"/>
      <x:c r="N118" s="38"/>
      <x:c r="O118" s="38"/>
      <x:c r="P118" s="38"/>
      <x:c r="Q118" s="38"/>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523" t="n">
        <x:f>IF(ISBLANK('_INSTANCE'!A38),"",'_INSTANCE'!A38)</x:f>
        <x:v>36</x:v>
      </x:c>
      <x:c r="B119" s="523" t="n">
        <x:f>IF(ISBLANK('_INSTANCE'!B38),"",'_INSTANCE'!B38)</x:f>
        <x:v>36</x:v>
      </x:c>
      <x:c r="C119" s="523" t="n">
        <x:f>IF(ISBLANK('_INSTANCE'!C38),"",'_INSTANCE'!C38)</x:f>
        <x:v>1</x:v>
      </x:c>
      <x:c r="D119" s="530" t="n">
        <x:f>IF(ISBLANK('_INSTANCE'!D38),"",'_INSTANCE'!D38)</x:f>
        <x:v>90</x:v>
      </x:c>
      <x:c r="E119" s="530" t="n">
        <x:f>IF(ISBLANK('_INSTANCE'!E38),"",'_INSTANCE'!E38)</x:f>
        <x:v>0</x:v>
      </x:c>
      <x:c r="F119" s="530" t="n">
        <x:f>IF(ISBLANK('_INSTANCE'!F38),"",'_INSTANCE'!F38)</x:f>
        <x:v>5900</x:v>
      </x:c>
      <x:c r="G119" s="530" t="n">
        <x:f>IF(ISBLANK('_INSTANCE'!G38),"",'_INSTANCE'!G38)</x:f>
        <x:v>20000</x:v>
      </x:c>
      <x:c r="H119" s="530" t="n">
        <x:f>IF(ISBLANK('_INSTANCE'!H38),"",'_INSTANCE'!H38)</x:f>
        <x:v>4</x:v>
      </x:c>
      <x:c r="I119" s="530" t="n">
        <x:f>IF(ISBLANK('_INSTANCE'!I38),"",'_INSTANCE'!I38)</x:f>
        <x:v>100</x:v>
      </x:c>
      <x:c r="J119" s="530" t="n">
        <x:f>IF(ISBLANK('_INSTANCE'!J38),"",'_INSTANCE'!J38)</x:f>
        <x:v>1750</x:v>
      </x:c>
      <x:c r="K119" s="38"/>
      <x:c r="L119" s="38"/>
      <x:c r="M119" s="38"/>
      <x:c r="N119" s="38"/>
      <x:c r="O119" s="38"/>
      <x:c r="P119" s="38"/>
      <x:c r="Q119" s="38"/>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523" t="n">
        <x:f>IF(ISBLANK('_INSTANCE'!A39),"",'_INSTANCE'!A39)</x:f>
        <x:v>37</x:v>
      </x:c>
      <x:c r="B120" s="523" t="n">
        <x:f>IF(ISBLANK('_INSTANCE'!B39),"",'_INSTANCE'!B39)</x:f>
        <x:v>37</x:v>
      </x:c>
      <x:c r="C120" s="523" t="n">
        <x:f>IF(ISBLANK('_INSTANCE'!C39),"",'_INSTANCE'!C39)</x:f>
        <x:v>3</x:v>
      </x:c>
      <x:c r="D120" s="530" t="n">
        <x:f>IF(ISBLANK('_INSTANCE'!D39),"",'_INSTANCE'!D39)</x:f>
        <x:v>70</x:v>
      </x:c>
      <x:c r="E120" s="530" t="n">
        <x:f>IF(ISBLANK('_INSTANCE'!E39),"",'_INSTANCE'!E39)</x:f>
        <x:v>0</x:v>
      </x:c>
      <x:c r="F120" s="530" t="n">
        <x:f>IF(ISBLANK('_INSTANCE'!F39),"",'_INSTANCE'!F39)</x:f>
        <x:v>1400</x:v>
      </x:c>
      <x:c r="G120" s="530" t="n">
        <x:f>IF(ISBLANK('_INSTANCE'!G39),"",'_INSTANCE'!G39)</x:f>
        <x:v>20000</x:v>
      </x:c>
      <x:c r="H120" s="530" t="n">
        <x:f>IF(ISBLANK('_INSTANCE'!H39),"",'_INSTANCE'!H39)</x:f>
        <x:v>2</x:v>
      </x:c>
      <x:c r="I120" s="530" t="n">
        <x:f>IF(ISBLANK('_INSTANCE'!I39),"",'_INSTANCE'!I39)</x:f>
        <x:v>100</x:v>
      </x:c>
      <x:c r="J120" s="530" t="n">
        <x:f>IF(ISBLANK('_INSTANCE'!J39),"",'_INSTANCE'!J39)</x:f>
        <x:v>1450</x:v>
      </x:c>
      <x:c r="K120" s="38"/>
      <x:c r="L120" s="38"/>
      <x:c r="M120" s="38"/>
      <x:c r="N120" s="38"/>
      <x:c r="O120" s="38"/>
      <x:c r="P120" s="38"/>
      <x:c r="Q120" s="38"/>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523" t="n">
        <x:f>IF(ISBLANK('_INSTANCE'!A40),"",'_INSTANCE'!A40)</x:f>
        <x:v>38</x:v>
      </x:c>
      <x:c r="B121" s="523" t="n">
        <x:f>IF(ISBLANK('_INSTANCE'!B40),"",'_INSTANCE'!B40)</x:f>
        <x:v>38</x:v>
      </x:c>
      <x:c r="C121" s="523" t="n">
        <x:f>IF(ISBLANK('_INSTANCE'!C40),"",'_INSTANCE'!C40)</x:f>
        <x:v>3</x:v>
      </x:c>
      <x:c r="D121" s="530" t="n">
        <x:f>IF(ISBLANK('_INSTANCE'!D40),"",'_INSTANCE'!D40)</x:f>
        <x:v>70</x:v>
      </x:c>
      <x:c r="E121" s="530" t="n">
        <x:f>IF(ISBLANK('_INSTANCE'!E40),"",'_INSTANCE'!E40)</x:f>
        <x:v>0</x:v>
      </x:c>
      <x:c r="F121" s="530" t="n">
        <x:f>IF(ISBLANK('_INSTANCE'!F40),"",'_INSTANCE'!F40)</x:f>
        <x:v>1400</x:v>
      </x:c>
      <x:c r="G121" s="530" t="n">
        <x:f>IF(ISBLANK('_INSTANCE'!G40),"",'_INSTANCE'!G40)</x:f>
        <x:v>20000</x:v>
      </x:c>
      <x:c r="H121" s="530" t="n">
        <x:f>IF(ISBLANK('_INSTANCE'!H40),"",'_INSTANCE'!H40)</x:f>
        <x:v>2</x:v>
      </x:c>
      <x:c r="I121" s="530" t="n">
        <x:f>IF(ISBLANK('_INSTANCE'!I40),"",'_INSTANCE'!I40)</x:f>
        <x:v>100</x:v>
      </x:c>
      <x:c r="J121" s="530" t="n">
        <x:f>IF(ISBLANK('_INSTANCE'!J40),"",'_INSTANCE'!J40)</x:f>
        <x:v>1450</x:v>
      </x:c>
      <x:c r="K121" s="38"/>
      <x:c r="L121" s="38"/>
      <x:c r="M121" s="38"/>
      <x:c r="N121" s="38"/>
      <x:c r="O121" s="38"/>
      <x:c r="P121" s="38"/>
      <x:c r="Q121" s="38"/>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523" t="n">
        <x:f>IF(ISBLANK('_INSTANCE'!A41),"",'_INSTANCE'!A41)</x:f>
        <x:v>39</x:v>
      </x:c>
      <x:c r="B122" s="523" t="n">
        <x:f>IF(ISBLANK('_INSTANCE'!B41),"",'_INSTANCE'!B41)</x:f>
        <x:v>39</x:v>
      </x:c>
      <x:c r="C122" s="523" t="n">
        <x:f>IF(ISBLANK('_INSTANCE'!C41),"",'_INSTANCE'!C41)</x:f>
        <x:v>3</x:v>
      </x:c>
      <x:c r="D122" s="530" t="n">
        <x:f>IF(ISBLANK('_INSTANCE'!D41),"",'_INSTANCE'!D41)</x:f>
        <x:v>70</x:v>
      </x:c>
      <x:c r="E122" s="530" t="n">
        <x:f>IF(ISBLANK('_INSTANCE'!E41),"",'_INSTANCE'!E41)</x:f>
        <x:v>0</x:v>
      </x:c>
      <x:c r="F122" s="530" t="n">
        <x:f>IF(ISBLANK('_INSTANCE'!F41),"",'_INSTANCE'!F41)</x:f>
        <x:v>1400</x:v>
      </x:c>
      <x:c r="G122" s="530" t="n">
        <x:f>IF(ISBLANK('_INSTANCE'!G41),"",'_INSTANCE'!G41)</x:f>
        <x:v>20000</x:v>
      </x:c>
      <x:c r="H122" s="530" t="n">
        <x:f>IF(ISBLANK('_INSTANCE'!H41),"",'_INSTANCE'!H41)</x:f>
        <x:v>2</x:v>
      </x:c>
      <x:c r="I122" s="530" t="n">
        <x:f>IF(ISBLANK('_INSTANCE'!I41),"",'_INSTANCE'!I41)</x:f>
        <x:v>100</x:v>
      </x:c>
      <x:c r="J122" s="530" t="n">
        <x:f>IF(ISBLANK('_INSTANCE'!J41),"",'_INSTANCE'!J41)</x:f>
        <x:v>1450</x:v>
      </x:c>
      <x:c r="K122" s="38"/>
      <x:c r="L122" s="38"/>
      <x:c r="M122" s="38"/>
      <x:c r="N122" s="38"/>
      <x:c r="O122" s="38"/>
      <x:c r="P122" s="38"/>
      <x:c r="Q122" s="38"/>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523" t="n">
        <x:f>IF(ISBLANK('_INSTANCE'!A42),"",'_INSTANCE'!A42)</x:f>
        <x:v>40</x:v>
      </x:c>
      <x:c r="B123" s="523" t="n">
        <x:f>IF(ISBLANK('_INSTANCE'!B42),"",'_INSTANCE'!B42)</x:f>
        <x:v>40</x:v>
      </x:c>
      <x:c r="C123" s="523" t="n">
        <x:f>IF(ISBLANK('_INSTANCE'!C42),"",'_INSTANCE'!C42)</x:f>
        <x:v>3</x:v>
      </x:c>
      <x:c r="D123" s="530" t="n">
        <x:f>IF(ISBLANK('_INSTANCE'!D42),"",'_INSTANCE'!D42)</x:f>
        <x:v>70</x:v>
      </x:c>
      <x:c r="E123" s="530" t="n">
        <x:f>IF(ISBLANK('_INSTANCE'!E42),"",'_INSTANCE'!E42)</x:f>
        <x:v>0</x:v>
      </x:c>
      <x:c r="F123" s="530" t="n">
        <x:f>IF(ISBLANK('_INSTANCE'!F42),"",'_INSTANCE'!F42)</x:f>
        <x:v>1200</x:v>
      </x:c>
      <x:c r="G123" s="530" t="n">
        <x:f>IF(ISBLANK('_INSTANCE'!G42),"",'_INSTANCE'!G42)</x:f>
        <x:v>20000</x:v>
      </x:c>
      <x:c r="H123" s="530" t="n">
        <x:f>IF(ISBLANK('_INSTANCE'!H42),"",'_INSTANCE'!H42)</x:f>
        <x:v>2</x:v>
      </x:c>
      <x:c r="I123" s="530" t="n">
        <x:f>IF(ISBLANK('_INSTANCE'!I42),"",'_INSTANCE'!I42)</x:f>
        <x:v>100</x:v>
      </x:c>
      <x:c r="J123" s="530" t="n">
        <x:f>IF(ISBLANK('_INSTANCE'!J42),"",'_INSTANCE'!J42)</x:f>
        <x:v>1450</x:v>
      </x:c>
      <x:c r="K123" s="38"/>
      <x:c r="L123" s="38"/>
      <x:c r="M123" s="38"/>
      <x:c r="N123" s="38"/>
      <x:c r="O123" s="38"/>
      <x:c r="P123" s="38"/>
      <x:c r="Q123" s="38"/>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523" t="n">
        <x:f>IF(ISBLANK('_INSTANCE'!A43),"",'_INSTANCE'!A43)</x:f>
        <x:v>41</x:v>
      </x:c>
      <x:c r="B124" s="523" t="n">
        <x:f>IF(ISBLANK('_INSTANCE'!B43),"",'_INSTANCE'!B43)</x:f>
        <x:v>41</x:v>
      </x:c>
      <x:c r="C124" s="523" t="n">
        <x:f>IF(ISBLANK('_INSTANCE'!C43),"",'_INSTANCE'!C43)</x:f>
        <x:v>3</x:v>
      </x:c>
      <x:c r="D124" s="530" t="n">
        <x:f>IF(ISBLANK('_INSTANCE'!D43),"",'_INSTANCE'!D43)</x:f>
        <x:v>70</x:v>
      </x:c>
      <x:c r="E124" s="530" t="n">
        <x:f>IF(ISBLANK('_INSTANCE'!E43),"",'_INSTANCE'!E43)</x:f>
        <x:v>0</x:v>
      </x:c>
      <x:c r="F124" s="530" t="n">
        <x:f>IF(ISBLANK('_INSTANCE'!F43),"",'_INSTANCE'!F43)</x:f>
        <x:v>1400</x:v>
      </x:c>
      <x:c r="G124" s="530" t="n">
        <x:f>IF(ISBLANK('_INSTANCE'!G43),"",'_INSTANCE'!G43)</x:f>
        <x:v>20000</x:v>
      </x:c>
      <x:c r="H124" s="530" t="n">
        <x:f>IF(ISBLANK('_INSTANCE'!H43),"",'_INSTANCE'!H43)</x:f>
        <x:v>2</x:v>
      </x:c>
      <x:c r="I124" s="530" t="n">
        <x:f>IF(ISBLANK('_INSTANCE'!I43),"",'_INSTANCE'!I43)</x:f>
        <x:v>100</x:v>
      </x:c>
      <x:c r="J124" s="530" t="n">
        <x:f>IF(ISBLANK('_INSTANCE'!J43),"",'_INSTANCE'!J43)</x:f>
        <x:v>1450</x:v>
      </x:c>
      <x:c r="K124" s="38"/>
      <x:c r="L124" s="38"/>
      <x:c r="M124" s="38"/>
      <x:c r="N124" s="38"/>
      <x:c r="O124" s="38"/>
      <x:c r="P124" s="38"/>
      <x:c r="Q124" s="38"/>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523" t="n">
        <x:f>IF(ISBLANK('_INSTANCE'!A44),"",'_INSTANCE'!A44)</x:f>
        <x:v>42</x:v>
      </x:c>
      <x:c r="B125" s="523" t="n">
        <x:f>IF(ISBLANK('_INSTANCE'!B44),"",'_INSTANCE'!B44)</x:f>
        <x:v>42</x:v>
      </x:c>
      <x:c r="C125" s="523" t="n">
        <x:f>IF(ISBLANK('_INSTANCE'!C44),"",'_INSTANCE'!C44)</x:f>
        <x:v>3</x:v>
      </x:c>
      <x:c r="D125" s="530" t="n">
        <x:f>IF(ISBLANK('_INSTANCE'!D44),"",'_INSTANCE'!D44)</x:f>
        <x:v>70</x:v>
      </x:c>
      <x:c r="E125" s="530" t="n">
        <x:f>IF(ISBLANK('_INSTANCE'!E44),"",'_INSTANCE'!E44)</x:f>
        <x:v>0</x:v>
      </x:c>
      <x:c r="F125" s="530" t="n">
        <x:f>IF(ISBLANK('_INSTANCE'!F44),"",'_INSTANCE'!F44)</x:f>
        <x:v>1400</x:v>
      </x:c>
      <x:c r="G125" s="530" t="n">
        <x:f>IF(ISBLANK('_INSTANCE'!G44),"",'_INSTANCE'!G44)</x:f>
        <x:v>20000</x:v>
      </x:c>
      <x:c r="H125" s="530" t="n">
        <x:f>IF(ISBLANK('_INSTANCE'!H44),"",'_INSTANCE'!H44)</x:f>
        <x:v>2</x:v>
      </x:c>
      <x:c r="I125" s="530" t="n">
        <x:f>IF(ISBLANK('_INSTANCE'!I44),"",'_INSTANCE'!I44)</x:f>
        <x:v>100</x:v>
      </x:c>
      <x:c r="J125" s="530" t="n">
        <x:f>IF(ISBLANK('_INSTANCE'!J44),"",'_INSTANCE'!J44)</x:f>
        <x:v>1450</x:v>
      </x:c>
      <x:c r="K125" s="38"/>
      <x:c r="L125" s="38"/>
      <x:c r="M125" s="38"/>
      <x:c r="N125" s="38"/>
      <x:c r="O125" s="38"/>
      <x:c r="P125" s="38"/>
      <x:c r="Q125" s="38"/>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523" t="n">
        <x:f>IF(ISBLANK('_INSTANCE'!A45),"",'_INSTANCE'!A45)</x:f>
        <x:v>43</x:v>
      </x:c>
      <x:c r="B126" s="523" t="n">
        <x:f>IF(ISBLANK('_INSTANCE'!B45),"",'_INSTANCE'!B45)</x:f>
        <x:v>43</x:v>
      </x:c>
      <x:c r="C126" s="523" t="n">
        <x:f>IF(ISBLANK('_INSTANCE'!C45),"",'_INSTANCE'!C45)</x:f>
        <x:v>3</x:v>
      </x:c>
      <x:c r="D126" s="530" t="n">
        <x:f>IF(ISBLANK('_INSTANCE'!D45),"",'_INSTANCE'!D45)</x:f>
        <x:v>70</x:v>
      </x:c>
      <x:c r="E126" s="530" t="n">
        <x:f>IF(ISBLANK('_INSTANCE'!E45),"",'_INSTANCE'!E45)</x:f>
        <x:v>0</x:v>
      </x:c>
      <x:c r="F126" s="530" t="n">
        <x:f>IF(ISBLANK('_INSTANCE'!F45),"",'_INSTANCE'!F45)</x:f>
        <x:v>1400</x:v>
      </x:c>
      <x:c r="G126" s="530" t="n">
        <x:f>IF(ISBLANK('_INSTANCE'!G45),"",'_INSTANCE'!G45)</x:f>
        <x:v>20000</x:v>
      </x:c>
      <x:c r="H126" s="530" t="n">
        <x:f>IF(ISBLANK('_INSTANCE'!H45),"",'_INSTANCE'!H45)</x:f>
        <x:v>2</x:v>
      </x:c>
      <x:c r="I126" s="530" t="n">
        <x:f>IF(ISBLANK('_INSTANCE'!I45),"",'_INSTANCE'!I45)</x:f>
        <x:v>100</x:v>
      </x:c>
      <x:c r="J126" s="530" t="n">
        <x:f>IF(ISBLANK('_INSTANCE'!J45),"",'_INSTANCE'!J45)</x:f>
        <x:v>1450</x:v>
      </x:c>
      <x:c r="K126" s="38"/>
      <x:c r="L126" s="38"/>
      <x:c r="M126" s="38"/>
      <x:c r="N126" s="38"/>
      <x:c r="O126" s="38"/>
      <x:c r="P126" s="38"/>
      <x:c r="Q126" s="38"/>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523" t="n">
        <x:f>IF(ISBLANK('_INSTANCE'!A46),"",'_INSTANCE'!A46)</x:f>
        <x:v>44</x:v>
      </x:c>
      <x:c r="B127" s="523" t="n">
        <x:f>IF(ISBLANK('_INSTANCE'!B46),"",'_INSTANCE'!B46)</x:f>
        <x:v>44</x:v>
      </x:c>
      <x:c r="C127" s="523" t="n">
        <x:f>IF(ISBLANK('_INSTANCE'!C46),"",'_INSTANCE'!C46)</x:f>
        <x:v>3</x:v>
      </x:c>
      <x:c r="D127" s="530" t="n">
        <x:f>IF(ISBLANK('_INSTANCE'!D46),"",'_INSTANCE'!D46)</x:f>
        <x:v>70</x:v>
      </x:c>
      <x:c r="E127" s="530" t="n">
        <x:f>IF(ISBLANK('_INSTANCE'!E46),"",'_INSTANCE'!E46)</x:f>
        <x:v>0</x:v>
      </x:c>
      <x:c r="F127" s="530" t="n">
        <x:f>IF(ISBLANK('_INSTANCE'!F46),"",'_INSTANCE'!F46)</x:f>
        <x:v>1400</x:v>
      </x:c>
      <x:c r="G127" s="530" t="n">
        <x:f>IF(ISBLANK('_INSTANCE'!G46),"",'_INSTANCE'!G46)</x:f>
        <x:v>20000</x:v>
      </x:c>
      <x:c r="H127" s="530" t="n">
        <x:f>IF(ISBLANK('_INSTANCE'!H46),"",'_INSTANCE'!H46)</x:f>
        <x:v>2</x:v>
      </x:c>
      <x:c r="I127" s="530" t="n">
        <x:f>IF(ISBLANK('_INSTANCE'!I46),"",'_INSTANCE'!I46)</x:f>
        <x:v>100</x:v>
      </x:c>
      <x:c r="J127" s="530" t="n">
        <x:f>IF(ISBLANK('_INSTANCE'!J46),"",'_INSTANCE'!J46)</x:f>
        <x:v>1450</x:v>
      </x:c>
      <x:c r="K127" s="38"/>
      <x:c r="L127" s="38"/>
      <x:c r="M127" s="38"/>
      <x:c r="N127" s="38"/>
      <x:c r="O127" s="38"/>
      <x:c r="P127" s="38"/>
      <x:c r="Q127" s="38"/>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523" t="n">
        <x:f>IF(ISBLANK('_INSTANCE'!A47),"",'_INSTANCE'!A47)</x:f>
        <x:v>45</x:v>
      </x:c>
      <x:c r="B128" s="523" t="n">
        <x:f>IF(ISBLANK('_INSTANCE'!B47),"",'_INSTANCE'!B47)</x:f>
        <x:v>45</x:v>
      </x:c>
      <x:c r="C128" s="523" t="n">
        <x:f>IF(ISBLANK('_INSTANCE'!C47),"",'_INSTANCE'!C47)</x:f>
        <x:v>3</x:v>
      </x:c>
      <x:c r="D128" s="530" t="n">
        <x:f>IF(ISBLANK('_INSTANCE'!D47),"",'_INSTANCE'!D47)</x:f>
        <x:v>70</x:v>
      </x:c>
      <x:c r="E128" s="530" t="n">
        <x:f>IF(ISBLANK('_INSTANCE'!E47),"",'_INSTANCE'!E47)</x:f>
        <x:v>0</x:v>
      </x:c>
      <x:c r="F128" s="530" t="n">
        <x:f>IF(ISBLANK('_INSTANCE'!F47),"",'_INSTANCE'!F47)</x:f>
        <x:v>1200</x:v>
      </x:c>
      <x:c r="G128" s="530" t="n">
        <x:f>IF(ISBLANK('_INSTANCE'!G47),"",'_INSTANCE'!G47)</x:f>
        <x:v>20000</x:v>
      </x:c>
      <x:c r="H128" s="530" t="n">
        <x:f>IF(ISBLANK('_INSTANCE'!H47),"",'_INSTANCE'!H47)</x:f>
        <x:v>2</x:v>
      </x:c>
      <x:c r="I128" s="530" t="n">
        <x:f>IF(ISBLANK('_INSTANCE'!I47),"",'_INSTANCE'!I47)</x:f>
        <x:v>100</x:v>
      </x:c>
      <x:c r="J128" s="530" t="n">
        <x:f>IF(ISBLANK('_INSTANCE'!J47),"",'_INSTANCE'!J47)</x:f>
        <x:v>1450</x:v>
      </x:c>
      <x:c r="K128" s="38"/>
      <x:c r="L128" s="38"/>
      <x:c r="M128" s="38"/>
      <x:c r="N128" s="38"/>
      <x:c r="O128" s="38"/>
      <x:c r="P128" s="38"/>
      <x:c r="Q128" s="38"/>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523" t="n">
        <x:f>IF(ISBLANK('_INSTANCE'!A48),"",'_INSTANCE'!A48)</x:f>
        <x:v>46</x:v>
      </x:c>
      <x:c r="B129" s="523" t="n">
        <x:f>IF(ISBLANK('_INSTANCE'!B48),"",'_INSTANCE'!B48)</x:f>
        <x:v>46</x:v>
      </x:c>
      <x:c r="C129" s="523" t="n">
        <x:f>IF(ISBLANK('_INSTANCE'!C48),"",'_INSTANCE'!C48)</x:f>
        <x:v>3</x:v>
      </x:c>
      <x:c r="D129" s="530" t="n">
        <x:f>IF(ISBLANK('_INSTANCE'!D48),"",'_INSTANCE'!D48)</x:f>
        <x:v>70</x:v>
      </x:c>
      <x:c r="E129" s="530" t="n">
        <x:f>IF(ISBLANK('_INSTANCE'!E48),"",'_INSTANCE'!E48)</x:f>
        <x:v>0</x:v>
      </x:c>
      <x:c r="F129" s="530" t="n">
        <x:f>IF(ISBLANK('_INSTANCE'!F48),"",'_INSTANCE'!F48)</x:f>
        <x:v>1400</x:v>
      </x:c>
      <x:c r="G129" s="530" t="n">
        <x:f>IF(ISBLANK('_INSTANCE'!G48),"",'_INSTANCE'!G48)</x:f>
        <x:v>20000</x:v>
      </x:c>
      <x:c r="H129" s="530" t="n">
        <x:f>IF(ISBLANK('_INSTANCE'!H48),"",'_INSTANCE'!H48)</x:f>
        <x:v>2</x:v>
      </x:c>
      <x:c r="I129" s="530" t="n">
        <x:f>IF(ISBLANK('_INSTANCE'!I48),"",'_INSTANCE'!I48)</x:f>
        <x:v>100</x:v>
      </x:c>
      <x:c r="J129" s="530" t="n">
        <x:f>IF(ISBLANK('_INSTANCE'!J48),"",'_INSTANCE'!J48)</x:f>
        <x:v>1450</x:v>
      </x:c>
      <x:c r="K129" s="38"/>
      <x:c r="L129" s="38"/>
      <x:c r="M129" s="38"/>
      <x:c r="N129" s="38"/>
      <x:c r="O129" s="38"/>
      <x:c r="P129" s="38"/>
      <x:c r="Q129" s="38"/>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523" t="n">
        <x:f>IF(ISBLANK('_INSTANCE'!A49),"",'_INSTANCE'!A49)</x:f>
        <x:v>47</x:v>
      </x:c>
      <x:c r="B130" s="523" t="n">
        <x:f>IF(ISBLANK('_INSTANCE'!B49),"",'_INSTANCE'!B49)</x:f>
        <x:v>47</x:v>
      </x:c>
      <x:c r="C130" s="523" t="n">
        <x:f>IF(ISBLANK('_INSTANCE'!C49),"",'_INSTANCE'!C49)</x:f>
        <x:v>3</x:v>
      </x:c>
      <x:c r="D130" s="530" t="n">
        <x:f>IF(ISBLANK('_INSTANCE'!D49),"",'_INSTANCE'!D49)</x:f>
        <x:v>70</x:v>
      </x:c>
      <x:c r="E130" s="530" t="n">
        <x:f>IF(ISBLANK('_INSTANCE'!E49),"",'_INSTANCE'!E49)</x:f>
        <x:v>0</x:v>
      </x:c>
      <x:c r="F130" s="530" t="n">
        <x:f>IF(ISBLANK('_INSTANCE'!F49),"",'_INSTANCE'!F49)</x:f>
        <x:v>1200</x:v>
      </x:c>
      <x:c r="G130" s="530" t="n">
        <x:f>IF(ISBLANK('_INSTANCE'!G49),"",'_INSTANCE'!G49)</x:f>
        <x:v>20000</x:v>
      </x:c>
      <x:c r="H130" s="530" t="n">
        <x:f>IF(ISBLANK('_INSTANCE'!H49),"",'_INSTANCE'!H49)</x:f>
        <x:v>2</x:v>
      </x:c>
      <x:c r="I130" s="530" t="n">
        <x:f>IF(ISBLANK('_INSTANCE'!I49),"",'_INSTANCE'!I49)</x:f>
        <x:v>100</x:v>
      </x:c>
      <x:c r="J130" s="530" t="n">
        <x:f>IF(ISBLANK('_INSTANCE'!J49),"",'_INSTANCE'!J49)</x:f>
        <x:v>1450</x:v>
      </x:c>
      <x:c r="K130" s="38"/>
      <x:c r="L130" s="38"/>
      <x:c r="M130" s="38"/>
      <x:c r="N130" s="38"/>
      <x:c r="O130" s="38"/>
      <x:c r="P130" s="38"/>
      <x:c r="Q130" s="38"/>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523" t="n">
        <x:f>IF(ISBLANK('_INSTANCE'!A50),"",'_INSTANCE'!A50)</x:f>
        <x:v>48</x:v>
      </x:c>
      <x:c r="B131" s="523" t="n">
        <x:f>IF(ISBLANK('_INSTANCE'!B50),"",'_INSTANCE'!B50)</x:f>
        <x:v>48</x:v>
      </x:c>
      <x:c r="C131" s="523" t="n">
        <x:f>IF(ISBLANK('_INSTANCE'!C50),"",'_INSTANCE'!C50)</x:f>
        <x:v>2</x:v>
      </x:c>
      <x:c r="D131" s="530" t="n">
        <x:f>IF(ISBLANK('_INSTANCE'!D50),"",'_INSTANCE'!D50)</x:f>
        <x:v>90</x:v>
      </x:c>
      <x:c r="E131" s="530" t="n">
        <x:f>IF(ISBLANK('_INSTANCE'!E50),"",'_INSTANCE'!E50)</x:f>
        <x:v>0</x:v>
      </x:c>
      <x:c r="F131" s="530" t="n">
        <x:f>IF(ISBLANK('_INSTANCE'!F50),"",'_INSTANCE'!F50)</x:f>
        <x:v>700</x:v>
      </x:c>
      <x:c r="G131" s="530" t="n">
        <x:f>IF(ISBLANK('_INSTANCE'!G50),"",'_INSTANCE'!G50)</x:f>
        <x:v>20000</x:v>
      </x:c>
      <x:c r="H131" s="530" t="n">
        <x:f>IF(ISBLANK('_INSTANCE'!H50),"",'_INSTANCE'!H50)</x:f>
        <x:v>4</x:v>
      </x:c>
      <x:c r="I131" s="530" t="n">
        <x:f>IF(ISBLANK('_INSTANCE'!I50),"",'_INSTANCE'!I50)</x:f>
        <x:v>100</x:v>
      </x:c>
      <x:c r="J131" s="530" t="n">
        <x:f>IF(ISBLANK('_INSTANCE'!J50),"",'_INSTANCE'!J50)</x:f>
        <x:v>1750</x:v>
      </x:c>
      <x:c r="K131" s="38"/>
      <x:c r="L131" s="38"/>
      <x:c r="M131" s="38"/>
      <x:c r="N131" s="38"/>
      <x:c r="O131" s="38"/>
      <x:c r="P131" s="38"/>
      <x:c r="Q131" s="38"/>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523" t="n">
        <x:f>IF(ISBLANK('_INSTANCE'!A51),"",'_INSTANCE'!A51)</x:f>
        <x:v>49</x:v>
      </x:c>
      <x:c r="B132" s="523" t="n">
        <x:f>IF(ISBLANK('_INSTANCE'!B51),"",'_INSTANCE'!B51)</x:f>
        <x:v>49</x:v>
      </x:c>
      <x:c r="C132" s="523" t="n">
        <x:f>IF(ISBLANK('_INSTANCE'!C51),"",'_INSTANCE'!C51)</x:f>
        <x:v>2</x:v>
      </x:c>
      <x:c r="D132" s="530" t="n">
        <x:f>IF(ISBLANK('_INSTANCE'!D51),"",'_INSTANCE'!D51)</x:f>
        <x:v>90</x:v>
      </x:c>
      <x:c r="E132" s="530" t="n">
        <x:f>IF(ISBLANK('_INSTANCE'!E51),"",'_INSTANCE'!E51)</x:f>
        <x:v>0</x:v>
      </x:c>
      <x:c r="F132" s="530" t="n">
        <x:f>IF(ISBLANK('_INSTANCE'!F51),"",'_INSTANCE'!F51)</x:f>
        <x:v>700</x:v>
      </x:c>
      <x:c r="G132" s="530" t="n">
        <x:f>IF(ISBLANK('_INSTANCE'!G51),"",'_INSTANCE'!G51)</x:f>
        <x:v>20000</x:v>
      </x:c>
      <x:c r="H132" s="530" t="n">
        <x:f>IF(ISBLANK('_INSTANCE'!H51),"",'_INSTANCE'!H51)</x:f>
        <x:v>4</x:v>
      </x:c>
      <x:c r="I132" s="530" t="n">
        <x:f>IF(ISBLANK('_INSTANCE'!I51),"",'_INSTANCE'!I51)</x:f>
        <x:v>100</x:v>
      </x:c>
      <x:c r="J132" s="530" t="n">
        <x:f>IF(ISBLANK('_INSTANCE'!J51),"",'_INSTANCE'!J51)</x:f>
        <x:v>1750</x:v>
      </x:c>
      <x:c r="K132" s="38"/>
      <x:c r="L132" s="38"/>
      <x:c r="M132" s="38"/>
      <x:c r="N132" s="38"/>
      <x:c r="O132" s="38"/>
      <x:c r="P132" s="38"/>
      <x:c r="Q132" s="38"/>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523" t="n">
        <x:f>IF(ISBLANK('_INSTANCE'!A52),"",'_INSTANCE'!A52)</x:f>
        <x:v>50</x:v>
      </x:c>
      <x:c r="B133" s="523" t="n">
        <x:f>IF(ISBLANK('_INSTANCE'!B52),"",'_INSTANCE'!B52)</x:f>
        <x:v>50</x:v>
      </x:c>
      <x:c r="C133" s="523" t="n">
        <x:f>IF(ISBLANK('_INSTANCE'!C52),"",'_INSTANCE'!C52)</x:f>
        <x:v>2</x:v>
      </x:c>
      <x:c r="D133" s="530" t="n">
        <x:f>IF(ISBLANK('_INSTANCE'!D52),"",'_INSTANCE'!D52)</x:f>
        <x:v>90</x:v>
      </x:c>
      <x:c r="E133" s="530" t="n">
        <x:f>IF(ISBLANK('_INSTANCE'!E52),"",'_INSTANCE'!E52)</x:f>
        <x:v>0</x:v>
      </x:c>
      <x:c r="F133" s="530" t="n">
        <x:f>IF(ISBLANK('_INSTANCE'!F52),"",'_INSTANCE'!F52)</x:f>
        <x:v>700</x:v>
      </x:c>
      <x:c r="G133" s="530" t="n">
        <x:f>IF(ISBLANK('_INSTANCE'!G52),"",'_INSTANCE'!G52)</x:f>
        <x:v>20000</x:v>
      </x:c>
      <x:c r="H133" s="530" t="n">
        <x:f>IF(ISBLANK('_INSTANCE'!H52),"",'_INSTANCE'!H52)</x:f>
        <x:v>4</x:v>
      </x:c>
      <x:c r="I133" s="530" t="n">
        <x:f>IF(ISBLANK('_INSTANCE'!I52),"",'_INSTANCE'!I52)</x:f>
        <x:v>100</x:v>
      </x:c>
      <x:c r="J133" s="530" t="n">
        <x:f>IF(ISBLANK('_INSTANCE'!J52),"",'_INSTANCE'!J52)</x:f>
        <x:v>1750</x:v>
      </x:c>
      <x:c r="K133" s="38"/>
      <x:c r="L133" s="38"/>
      <x:c r="M133" s="38"/>
      <x:c r="N133" s="38"/>
      <x:c r="O133" s="38"/>
      <x:c r="P133" s="38"/>
      <x:c r="Q133" s="38"/>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523" t="n">
        <x:f>IF(ISBLANK('_INSTANCE'!A53),"",'_INSTANCE'!A53)</x:f>
        <x:v>51</x:v>
      </x:c>
      <x:c r="B134" s="523" t="n">
        <x:f>IF(ISBLANK('_INSTANCE'!B53),"",'_INSTANCE'!B53)</x:f>
        <x:v>51</x:v>
      </x:c>
      <x:c r="C134" s="523" t="n">
        <x:f>IF(ISBLANK('_INSTANCE'!C53),"",'_INSTANCE'!C53)</x:f>
        <x:v>2</x:v>
      </x:c>
      <x:c r="D134" s="530" t="n">
        <x:f>IF(ISBLANK('_INSTANCE'!D53),"",'_INSTANCE'!D53)</x:f>
        <x:v>90</x:v>
      </x:c>
      <x:c r="E134" s="530" t="n">
        <x:f>IF(ISBLANK('_INSTANCE'!E53),"",'_INSTANCE'!E53)</x:f>
        <x:v>0</x:v>
      </x:c>
      <x:c r="F134" s="530" t="n">
        <x:f>IF(ISBLANK('_INSTANCE'!F53),"",'_INSTANCE'!F53)</x:f>
        <x:v>700</x:v>
      </x:c>
      <x:c r="G134" s="530" t="n">
        <x:f>IF(ISBLANK('_INSTANCE'!G53),"",'_INSTANCE'!G53)</x:f>
        <x:v>20000</x:v>
      </x:c>
      <x:c r="H134" s="530" t="n">
        <x:f>IF(ISBLANK('_INSTANCE'!H53),"",'_INSTANCE'!H53)</x:f>
        <x:v>4</x:v>
      </x:c>
      <x:c r="I134" s="530" t="n">
        <x:f>IF(ISBLANK('_INSTANCE'!I53),"",'_INSTANCE'!I53)</x:f>
        <x:v>100</x:v>
      </x:c>
      <x:c r="J134" s="530" t="n">
        <x:f>IF(ISBLANK('_INSTANCE'!J53),"",'_INSTANCE'!J53)</x:f>
        <x:v>1750</x:v>
      </x:c>
      <x:c r="K134" s="38"/>
      <x:c r="L134" s="38"/>
      <x:c r="M134" s="38"/>
      <x:c r="N134" s="38"/>
      <x:c r="O134" s="38"/>
      <x:c r="P134" s="38"/>
      <x:c r="Q134" s="38"/>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523" t="n">
        <x:f>IF(ISBLANK('_INSTANCE'!A54),"",'_INSTANCE'!A54)</x:f>
        <x:v>52</x:v>
      </x:c>
      <x:c r="B135" s="523" t="n">
        <x:f>IF(ISBLANK('_INSTANCE'!B54),"",'_INSTANCE'!B54)</x:f>
        <x:v>52</x:v>
      </x:c>
      <x:c r="C135" s="523" t="n">
        <x:f>IF(ISBLANK('_INSTANCE'!C54),"",'_INSTANCE'!C54)</x:f>
        <x:v>2</x:v>
      </x:c>
      <x:c r="D135" s="530" t="n">
        <x:f>IF(ISBLANK('_INSTANCE'!D54),"",'_INSTANCE'!D54)</x:f>
        <x:v>90</x:v>
      </x:c>
      <x:c r="E135" s="530" t="n">
        <x:f>IF(ISBLANK('_INSTANCE'!E54),"",'_INSTANCE'!E54)</x:f>
        <x:v>0</x:v>
      </x:c>
      <x:c r="F135" s="530" t="n">
        <x:f>IF(ISBLANK('_INSTANCE'!F54),"",'_INSTANCE'!F54)</x:f>
        <x:v>800</x:v>
      </x:c>
      <x:c r="G135" s="530" t="n">
        <x:f>IF(ISBLANK('_INSTANCE'!G54),"",'_INSTANCE'!G54)</x:f>
        <x:v>20000</x:v>
      </x:c>
      <x:c r="H135" s="530" t="n">
        <x:f>IF(ISBLANK('_INSTANCE'!H54),"",'_INSTANCE'!H54)</x:f>
        <x:v>4</x:v>
      </x:c>
      <x:c r="I135" s="530" t="n">
        <x:f>IF(ISBLANK('_INSTANCE'!I54),"",'_INSTANCE'!I54)</x:f>
        <x:v>100</x:v>
      </x:c>
      <x:c r="J135" s="530" t="n">
        <x:f>IF(ISBLANK('_INSTANCE'!J54),"",'_INSTANCE'!J54)</x:f>
        <x:v>1750</x:v>
      </x:c>
      <x:c r="K135" s="38"/>
      <x:c r="L135" s="38"/>
      <x:c r="M135" s="38"/>
      <x:c r="N135" s="38"/>
      <x:c r="O135" s="38"/>
      <x:c r="P135" s="38"/>
      <x:c r="Q135" s="38"/>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523" t="n">
        <x:f>IF(ISBLANK('_INSTANCE'!A55),"",'_INSTANCE'!A55)</x:f>
        <x:v>53</x:v>
      </x:c>
      <x:c r="B136" s="523" t="n">
        <x:f>IF(ISBLANK('_INSTANCE'!B55),"",'_INSTANCE'!B55)</x:f>
        <x:v>53</x:v>
      </x:c>
      <x:c r="C136" s="523" t="n">
        <x:f>IF(ISBLANK('_INSTANCE'!C55),"",'_INSTANCE'!C55)</x:f>
        <x:v>2</x:v>
      </x:c>
      <x:c r="D136" s="530" t="n">
        <x:f>IF(ISBLANK('_INSTANCE'!D55),"",'_INSTANCE'!D55)</x:f>
        <x:v>90</x:v>
      </x:c>
      <x:c r="E136" s="530" t="n">
        <x:f>IF(ISBLANK('_INSTANCE'!E55),"",'_INSTANCE'!E55)</x:f>
        <x:v>0</x:v>
      </x:c>
      <x:c r="F136" s="530" t="n">
        <x:f>IF(ISBLANK('_INSTANCE'!F55),"",'_INSTANCE'!F55)</x:f>
        <x:v>800</x:v>
      </x:c>
      <x:c r="G136" s="530" t="n">
        <x:f>IF(ISBLANK('_INSTANCE'!G55),"",'_INSTANCE'!G55)</x:f>
        <x:v>20000</x:v>
      </x:c>
      <x:c r="H136" s="530" t="n">
        <x:f>IF(ISBLANK('_INSTANCE'!H55),"",'_INSTANCE'!H55)</x:f>
        <x:v>4</x:v>
      </x:c>
      <x:c r="I136" s="530" t="n">
        <x:f>IF(ISBLANK('_INSTANCE'!I55),"",'_INSTANCE'!I55)</x:f>
        <x:v>100</x:v>
      </x:c>
      <x:c r="J136" s="530" t="n">
        <x:f>IF(ISBLANK('_INSTANCE'!J55),"",'_INSTANCE'!J55)</x:f>
        <x:v>1750</x:v>
      </x:c>
      <x:c r="K136" s="38"/>
      <x:c r="L136" s="38"/>
      <x:c r="M136" s="38"/>
      <x:c r="N136" s="38"/>
      <x:c r="O136" s="38"/>
      <x:c r="P136" s="38"/>
      <x:c r="Q136" s="38"/>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523" t="n">
        <x:f>IF(ISBLANK('_INSTANCE'!A56),"",'_INSTANCE'!A56)</x:f>
        <x:v>54</x:v>
      </x:c>
      <x:c r="B137" s="523" t="n">
        <x:f>IF(ISBLANK('_INSTANCE'!B56),"",'_INSTANCE'!B56)</x:f>
        <x:v>54</x:v>
      </x:c>
      <x:c r="C137" s="523" t="n">
        <x:f>IF(ISBLANK('_INSTANCE'!C56),"",'_INSTANCE'!C56)</x:f>
        <x:v>2</x:v>
      </x:c>
      <x:c r="D137" s="530" t="n">
        <x:f>IF(ISBLANK('_INSTANCE'!D56),"",'_INSTANCE'!D56)</x:f>
        <x:v>90</x:v>
      </x:c>
      <x:c r="E137" s="530" t="n">
        <x:f>IF(ISBLANK('_INSTANCE'!E56),"",'_INSTANCE'!E56)</x:f>
        <x:v>0</x:v>
      </x:c>
      <x:c r="F137" s="530" t="n">
        <x:f>IF(ISBLANK('_INSTANCE'!F56),"",'_INSTANCE'!F56)</x:f>
        <x:v>800</x:v>
      </x:c>
      <x:c r="G137" s="530" t="n">
        <x:f>IF(ISBLANK('_INSTANCE'!G56),"",'_INSTANCE'!G56)</x:f>
        <x:v>20000</x:v>
      </x:c>
      <x:c r="H137" s="530" t="n">
        <x:f>IF(ISBLANK('_INSTANCE'!H56),"",'_INSTANCE'!H56)</x:f>
        <x:v>4</x:v>
      </x:c>
      <x:c r="I137" s="530" t="n">
        <x:f>IF(ISBLANK('_INSTANCE'!I56),"",'_INSTANCE'!I56)</x:f>
        <x:v>100</x:v>
      </x:c>
      <x:c r="J137" s="530" t="n">
        <x:f>IF(ISBLANK('_INSTANCE'!J56),"",'_INSTANCE'!J56)</x:f>
        <x:v>1750</x:v>
      </x:c>
      <x:c r="K137" s="38"/>
      <x:c r="L137" s="38"/>
      <x:c r="M137" s="38"/>
      <x:c r="N137" s="38"/>
      <x:c r="O137" s="38"/>
      <x:c r="P137" s="38"/>
      <x:c r="Q137" s="38"/>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523" t="n">
        <x:f>IF(ISBLANK('_INSTANCE'!A57),"",'_INSTANCE'!A57)</x:f>
        <x:v>55</x:v>
      </x:c>
      <x:c r="B138" s="523" t="n">
        <x:f>IF(ISBLANK('_INSTANCE'!B57),"",'_INSTANCE'!B57)</x:f>
        <x:v>55</x:v>
      </x:c>
      <x:c r="C138" s="523" t="n">
        <x:f>IF(ISBLANK('_INSTANCE'!C57),"",'_INSTANCE'!C57)</x:f>
        <x:v>2</x:v>
      </x:c>
      <x:c r="D138" s="530" t="n">
        <x:f>IF(ISBLANK('_INSTANCE'!D57),"",'_INSTANCE'!D57)</x:f>
        <x:v>90</x:v>
      </x:c>
      <x:c r="E138" s="530" t="n">
        <x:f>IF(ISBLANK('_INSTANCE'!E57),"",'_INSTANCE'!E57)</x:f>
        <x:v>0</x:v>
      </x:c>
      <x:c r="F138" s="530" t="n">
        <x:f>IF(ISBLANK('_INSTANCE'!F57),"",'_INSTANCE'!F57)</x:f>
        <x:v>800</x:v>
      </x:c>
      <x:c r="G138" s="530" t="n">
        <x:f>IF(ISBLANK('_INSTANCE'!G57),"",'_INSTANCE'!G57)</x:f>
        <x:v>20000</x:v>
      </x:c>
      <x:c r="H138" s="530" t="n">
        <x:f>IF(ISBLANK('_INSTANCE'!H57),"",'_INSTANCE'!H57)</x:f>
        <x:v>4</x:v>
      </x:c>
      <x:c r="I138" s="530" t="n">
        <x:f>IF(ISBLANK('_INSTANCE'!I57),"",'_INSTANCE'!I57)</x:f>
        <x:v>100</x:v>
      </x:c>
      <x:c r="J138" s="530" t="n">
        <x:f>IF(ISBLANK('_INSTANCE'!J57),"",'_INSTANCE'!J57)</x:f>
        <x:v>1750</x:v>
      </x:c>
      <x:c r="K138" s="38"/>
      <x:c r="L138" s="38"/>
      <x:c r="M138" s="38"/>
      <x:c r="N138" s="38"/>
      <x:c r="O138" s="38"/>
      <x:c r="P138" s="38"/>
      <x:c r="Q138" s="38"/>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523" t="n">
        <x:f>IF(ISBLANK('_INSTANCE'!A58),"",'_INSTANCE'!A58)</x:f>
        <x:v>56</x:v>
      </x:c>
      <x:c r="B139" s="523" t="n">
        <x:f>IF(ISBLANK('_INSTANCE'!B58),"",'_INSTANCE'!B58)</x:f>
        <x:v>56</x:v>
      </x:c>
      <x:c r="C139" s="523" t="n">
        <x:f>IF(ISBLANK('_INSTANCE'!C58),"",'_INSTANCE'!C58)</x:f>
        <x:v>2</x:v>
      </x:c>
      <x:c r="D139" s="530" t="n">
        <x:f>IF(ISBLANK('_INSTANCE'!D58),"",'_INSTANCE'!D58)</x:f>
        <x:v>90</x:v>
      </x:c>
      <x:c r="E139" s="530" t="n">
        <x:f>IF(ISBLANK('_INSTANCE'!E58),"",'_INSTANCE'!E58)</x:f>
        <x:v>0</x:v>
      </x:c>
      <x:c r="F139" s="530" t="n">
        <x:f>IF(ISBLANK('_INSTANCE'!F58),"",'_INSTANCE'!F58)</x:f>
        <x:v>1900</x:v>
      </x:c>
      <x:c r="G139" s="530" t="n">
        <x:f>IF(ISBLANK('_INSTANCE'!G58),"",'_INSTANCE'!G58)</x:f>
        <x:v>20000</x:v>
      </x:c>
      <x:c r="H139" s="530" t="n">
        <x:f>IF(ISBLANK('_INSTANCE'!H58),"",'_INSTANCE'!H58)</x:f>
        <x:v>4</x:v>
      </x:c>
      <x:c r="I139" s="530" t="n">
        <x:f>IF(ISBLANK('_INSTANCE'!I58),"",'_INSTANCE'!I58)</x:f>
        <x:v>100</x:v>
      </x:c>
      <x:c r="J139" s="530" t="n">
        <x:f>IF(ISBLANK('_INSTANCE'!J58),"",'_INSTANCE'!J58)</x:f>
        <x:v>1750</x:v>
      </x:c>
      <x:c r="K139" s="38"/>
      <x:c r="L139" s="38"/>
      <x:c r="M139" s="38"/>
      <x:c r="N139" s="38"/>
      <x:c r="O139" s="38"/>
      <x:c r="P139" s="38"/>
      <x:c r="Q139" s="38"/>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523" t="n">
        <x:f>IF(ISBLANK('_INSTANCE'!A59),"",'_INSTANCE'!A59)</x:f>
        <x:v>57</x:v>
      </x:c>
      <x:c r="B140" s="523" t="n">
        <x:f>IF(ISBLANK('_INSTANCE'!B59),"",'_INSTANCE'!B59)</x:f>
        <x:v>57</x:v>
      </x:c>
      <x:c r="C140" s="523" t="n">
        <x:f>IF(ISBLANK('_INSTANCE'!C59),"",'_INSTANCE'!C59)</x:f>
        <x:v>2</x:v>
      </x:c>
      <x:c r="D140" s="530" t="n">
        <x:f>IF(ISBLANK('_INSTANCE'!D59),"",'_INSTANCE'!D59)</x:f>
        <x:v>90</x:v>
      </x:c>
      <x:c r="E140" s="530" t="n">
        <x:f>IF(ISBLANK('_INSTANCE'!E59),"",'_INSTANCE'!E59)</x:f>
        <x:v>0</x:v>
      </x:c>
      <x:c r="F140" s="530" t="n">
        <x:f>IF(ISBLANK('_INSTANCE'!F59),"",'_INSTANCE'!F59)</x:f>
        <x:v>1900</x:v>
      </x:c>
      <x:c r="G140" s="530" t="n">
        <x:f>IF(ISBLANK('_INSTANCE'!G59),"",'_INSTANCE'!G59)</x:f>
        <x:v>20000</x:v>
      </x:c>
      <x:c r="H140" s="530" t="n">
        <x:f>IF(ISBLANK('_INSTANCE'!H59),"",'_INSTANCE'!H59)</x:f>
        <x:v>4</x:v>
      </x:c>
      <x:c r="I140" s="530" t="n">
        <x:f>IF(ISBLANK('_INSTANCE'!I59),"",'_INSTANCE'!I59)</x:f>
        <x:v>100</x:v>
      </x:c>
      <x:c r="J140" s="530" t="n">
        <x:f>IF(ISBLANK('_INSTANCE'!J59),"",'_INSTANCE'!J59)</x:f>
        <x:v>1750</x:v>
      </x:c>
      <x:c r="K140" s="38"/>
      <x:c r="L140" s="38"/>
      <x:c r="M140" s="38"/>
      <x:c r="N140" s="38"/>
      <x:c r="O140" s="38"/>
      <x:c r="P140" s="38"/>
      <x:c r="Q140" s="38"/>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523" t="n">
        <x:f>IF(ISBLANK('_INSTANCE'!A60),"",'_INSTANCE'!A60)</x:f>
        <x:v>58</x:v>
      </x:c>
      <x:c r="B141" s="523" t="n">
        <x:f>IF(ISBLANK('_INSTANCE'!B60),"",'_INSTANCE'!B60)</x:f>
        <x:v>58</x:v>
      </x:c>
      <x:c r="C141" s="523" t="n">
        <x:f>IF(ISBLANK('_INSTANCE'!C60),"",'_INSTANCE'!C60)</x:f>
        <x:v>2</x:v>
      </x:c>
      <x:c r="D141" s="530" t="n">
        <x:f>IF(ISBLANK('_INSTANCE'!D60),"",'_INSTANCE'!D60)</x:f>
        <x:v>90</x:v>
      </x:c>
      <x:c r="E141" s="530" t="n">
        <x:f>IF(ISBLANK('_INSTANCE'!E60),"",'_INSTANCE'!E60)</x:f>
        <x:v>0</x:v>
      </x:c>
      <x:c r="F141" s="530" t="n">
        <x:f>IF(ISBLANK('_INSTANCE'!F60),"",'_INSTANCE'!F60)</x:f>
        <x:v>1900</x:v>
      </x:c>
      <x:c r="G141" s="530" t="n">
        <x:f>IF(ISBLANK('_INSTANCE'!G60),"",'_INSTANCE'!G60)</x:f>
        <x:v>20000</x:v>
      </x:c>
      <x:c r="H141" s="530" t="n">
        <x:f>IF(ISBLANK('_INSTANCE'!H60),"",'_INSTANCE'!H60)</x:f>
        <x:v>4</x:v>
      </x:c>
      <x:c r="I141" s="530" t="n">
        <x:f>IF(ISBLANK('_INSTANCE'!I60),"",'_INSTANCE'!I60)</x:f>
        <x:v>100</x:v>
      </x:c>
      <x:c r="J141" s="530" t="n">
        <x:f>IF(ISBLANK('_INSTANCE'!J60),"",'_INSTANCE'!J60)</x:f>
        <x:v>1750</x:v>
      </x:c>
      <x:c r="K141" s="38"/>
      <x:c r="L141" s="38"/>
      <x:c r="M141" s="38"/>
      <x:c r="N141" s="38"/>
      <x:c r="O141" s="38"/>
      <x:c r="P141" s="38"/>
      <x:c r="Q141" s="38"/>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523" t="n">
        <x:f>IF(ISBLANK('_INSTANCE'!A61),"",'_INSTANCE'!A61)</x:f>
        <x:v>59</x:v>
      </x:c>
      <x:c r="B142" s="523" t="n">
        <x:f>IF(ISBLANK('_INSTANCE'!B61),"",'_INSTANCE'!B61)</x:f>
        <x:v>59</x:v>
      </x:c>
      <x:c r="C142" s="523" t="n">
        <x:f>IF(ISBLANK('_INSTANCE'!C61),"",'_INSTANCE'!C61)</x:f>
        <x:v>2</x:v>
      </x:c>
      <x:c r="D142" s="530" t="n">
        <x:f>IF(ISBLANK('_INSTANCE'!D61),"",'_INSTANCE'!D61)</x:f>
        <x:v>90</x:v>
      </x:c>
      <x:c r="E142" s="530" t="n">
        <x:f>IF(ISBLANK('_INSTANCE'!E61),"",'_INSTANCE'!E61)</x:f>
        <x:v>0</x:v>
      </x:c>
      <x:c r="F142" s="530" t="n">
        <x:f>IF(ISBLANK('_INSTANCE'!F61),"",'_INSTANCE'!F61)</x:f>
        <x:v>1900</x:v>
      </x:c>
      <x:c r="G142" s="530" t="n">
        <x:f>IF(ISBLANK('_INSTANCE'!G61),"",'_INSTANCE'!G61)</x:f>
        <x:v>20000</x:v>
      </x:c>
      <x:c r="H142" s="530" t="n">
        <x:f>IF(ISBLANK('_INSTANCE'!H61),"",'_INSTANCE'!H61)</x:f>
        <x:v>4</x:v>
      </x:c>
      <x:c r="I142" s="530" t="n">
        <x:f>IF(ISBLANK('_INSTANCE'!I61),"",'_INSTANCE'!I61)</x:f>
        <x:v>100</x:v>
      </x:c>
      <x:c r="J142" s="530" t="n">
        <x:f>IF(ISBLANK('_INSTANCE'!J61),"",'_INSTANCE'!J61)</x:f>
        <x:v>1750</x:v>
      </x:c>
      <x:c r="K142" s="38"/>
      <x:c r="L142" s="38"/>
      <x:c r="M142" s="38"/>
      <x:c r="N142" s="38"/>
      <x:c r="O142" s="38"/>
      <x:c r="P142" s="38"/>
      <x:c r="Q142" s="38"/>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523" t="n">
        <x:f>IF(ISBLANK('_INSTANCE'!A62),"",'_INSTANCE'!A62)</x:f>
        <x:v>60</x:v>
      </x:c>
      <x:c r="B143" s="523" t="n">
        <x:f>IF(ISBLANK('_INSTANCE'!B62),"",'_INSTANCE'!B62)</x:f>
        <x:v>60</x:v>
      </x:c>
      <x:c r="C143" s="523" t="n">
        <x:f>IF(ISBLANK('_INSTANCE'!C62),"",'_INSTANCE'!C62)</x:f>
        <x:v>2</x:v>
      </x:c>
      <x:c r="D143" s="530" t="n">
        <x:f>IF(ISBLANK('_INSTANCE'!D62),"",'_INSTANCE'!D62)</x:f>
        <x:v>90</x:v>
      </x:c>
      <x:c r="E143" s="530" t="n">
        <x:f>IF(ISBLANK('_INSTANCE'!E62),"",'_INSTANCE'!E62)</x:f>
        <x:v>0</x:v>
      </x:c>
      <x:c r="F143" s="530" t="n">
        <x:f>IF(ISBLANK('_INSTANCE'!F62),"",'_INSTANCE'!F62)</x:f>
        <x:v>2000</x:v>
      </x:c>
      <x:c r="G143" s="530" t="n">
        <x:f>IF(ISBLANK('_INSTANCE'!G62),"",'_INSTANCE'!G62)</x:f>
        <x:v>20000</x:v>
      </x:c>
      <x:c r="H143" s="530" t="n">
        <x:f>IF(ISBLANK('_INSTANCE'!H62),"",'_INSTANCE'!H62)</x:f>
        <x:v>4</x:v>
      </x:c>
      <x:c r="I143" s="530" t="n">
        <x:f>IF(ISBLANK('_INSTANCE'!I62),"",'_INSTANCE'!I62)</x:f>
        <x:v>100</x:v>
      </x:c>
      <x:c r="J143" s="530" t="n">
        <x:f>IF(ISBLANK('_INSTANCE'!J62),"",'_INSTANCE'!J62)</x:f>
        <x:v>1750</x:v>
      </x:c>
      <x:c r="K143" s="38"/>
      <x:c r="L143" s="38"/>
      <x:c r="M143" s="38"/>
      <x:c r="N143" s="38"/>
      <x:c r="O143" s="38"/>
      <x:c r="P143" s="38"/>
      <x:c r="Q143" s="38"/>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523" t="n">
        <x:f>IF(ISBLANK('_INSTANCE'!A63),"",'_INSTANCE'!A63)</x:f>
        <x:v>61</x:v>
      </x:c>
      <x:c r="B144" s="523" t="n">
        <x:f>IF(ISBLANK('_INSTANCE'!B63),"",'_INSTANCE'!B63)</x:f>
        <x:v>61</x:v>
      </x:c>
      <x:c r="C144" s="523" t="n">
        <x:f>IF(ISBLANK('_INSTANCE'!C63),"",'_INSTANCE'!C63)</x:f>
        <x:v>2</x:v>
      </x:c>
      <x:c r="D144" s="530" t="n">
        <x:f>IF(ISBLANK('_INSTANCE'!D63),"",'_INSTANCE'!D63)</x:f>
        <x:v>90</x:v>
      </x:c>
      <x:c r="E144" s="530" t="n">
        <x:f>IF(ISBLANK('_INSTANCE'!E63),"",'_INSTANCE'!E63)</x:f>
        <x:v>0</x:v>
      </x:c>
      <x:c r="F144" s="530" t="n">
        <x:f>IF(ISBLANK('_INSTANCE'!F63),"",'_INSTANCE'!F63)</x:f>
        <x:v>2000</x:v>
      </x:c>
      <x:c r="G144" s="530" t="n">
        <x:f>IF(ISBLANK('_INSTANCE'!G63),"",'_INSTANCE'!G63)</x:f>
        <x:v>20000</x:v>
      </x:c>
      <x:c r="H144" s="530" t="n">
        <x:f>IF(ISBLANK('_INSTANCE'!H63),"",'_INSTANCE'!H63)</x:f>
        <x:v>4</x:v>
      </x:c>
      <x:c r="I144" s="530" t="n">
        <x:f>IF(ISBLANK('_INSTANCE'!I63),"",'_INSTANCE'!I63)</x:f>
        <x:v>100</x:v>
      </x:c>
      <x:c r="J144" s="530" t="n">
        <x:f>IF(ISBLANK('_INSTANCE'!J63),"",'_INSTANCE'!J63)</x:f>
        <x:v>1750</x:v>
      </x:c>
      <x:c r="K144" s="38"/>
      <x:c r="L144" s="38"/>
      <x:c r="M144" s="38"/>
      <x:c r="N144" s="38"/>
      <x:c r="O144" s="38"/>
      <x:c r="P144" s="38"/>
      <x:c r="Q144" s="38"/>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523" t="n">
        <x:f>IF(ISBLANK('_INSTANCE'!A64),"",'_INSTANCE'!A64)</x:f>
        <x:v>62</x:v>
      </x:c>
      <x:c r="B145" s="523" t="n">
        <x:f>IF(ISBLANK('_INSTANCE'!B64),"",'_INSTANCE'!B64)</x:f>
        <x:v>62</x:v>
      </x:c>
      <x:c r="C145" s="523" t="n">
        <x:f>IF(ISBLANK('_INSTANCE'!C64),"",'_INSTANCE'!C64)</x:f>
        <x:v>2</x:v>
      </x:c>
      <x:c r="D145" s="530" t="n">
        <x:f>IF(ISBLANK('_INSTANCE'!D64),"",'_INSTANCE'!D64)</x:f>
        <x:v>90</x:v>
      </x:c>
      <x:c r="E145" s="530" t="n">
        <x:f>IF(ISBLANK('_INSTANCE'!E64),"",'_INSTANCE'!E64)</x:f>
        <x:v>0</x:v>
      </x:c>
      <x:c r="F145" s="530" t="n">
        <x:f>IF(ISBLANK('_INSTANCE'!F64),"",'_INSTANCE'!F64)</x:f>
        <x:v>2000</x:v>
      </x:c>
      <x:c r="G145" s="530" t="n">
        <x:f>IF(ISBLANK('_INSTANCE'!G64),"",'_INSTANCE'!G64)</x:f>
        <x:v>20000</x:v>
      </x:c>
      <x:c r="H145" s="530" t="n">
        <x:f>IF(ISBLANK('_INSTANCE'!H64),"",'_INSTANCE'!H64)</x:f>
        <x:v>4</x:v>
      </x:c>
      <x:c r="I145" s="530" t="n">
        <x:f>IF(ISBLANK('_INSTANCE'!I64),"",'_INSTANCE'!I64)</x:f>
        <x:v>100</x:v>
      </x:c>
      <x:c r="J145" s="530" t="n">
        <x:f>IF(ISBLANK('_INSTANCE'!J64),"",'_INSTANCE'!J64)</x:f>
        <x:v>1750</x:v>
      </x:c>
      <x:c r="K145" s="38"/>
      <x:c r="L145" s="38"/>
      <x:c r="M145" s="38"/>
      <x:c r="N145" s="38"/>
      <x:c r="O145" s="38"/>
      <x:c r="P145" s="38"/>
      <x:c r="Q145" s="38"/>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523" t="n">
        <x:f>IF(ISBLANK('_INSTANCE'!A65),"",'_INSTANCE'!A65)</x:f>
        <x:v>63</x:v>
      </x:c>
      <x:c r="B146" s="523" t="n">
        <x:f>IF(ISBLANK('_INSTANCE'!B65),"",'_INSTANCE'!B65)</x:f>
        <x:v>63</x:v>
      </x:c>
      <x:c r="C146" s="523" t="n">
        <x:f>IF(ISBLANK('_INSTANCE'!C65),"",'_INSTANCE'!C65)</x:f>
        <x:v>2</x:v>
      </x:c>
      <x:c r="D146" s="530" t="n">
        <x:f>IF(ISBLANK('_INSTANCE'!D65),"",'_INSTANCE'!D65)</x:f>
        <x:v>90</x:v>
      </x:c>
      <x:c r="E146" s="530" t="n">
        <x:f>IF(ISBLANK('_INSTANCE'!E65),"",'_INSTANCE'!E65)</x:f>
        <x:v>0</x:v>
      </x:c>
      <x:c r="F146" s="530" t="n">
        <x:f>IF(ISBLANK('_INSTANCE'!F65),"",'_INSTANCE'!F65)</x:f>
        <x:v>2000</x:v>
      </x:c>
      <x:c r="G146" s="530" t="n">
        <x:f>IF(ISBLANK('_INSTANCE'!G65),"",'_INSTANCE'!G65)</x:f>
        <x:v>20000</x:v>
      </x:c>
      <x:c r="H146" s="530" t="n">
        <x:f>IF(ISBLANK('_INSTANCE'!H65),"",'_INSTANCE'!H65)</x:f>
        <x:v>4</x:v>
      </x:c>
      <x:c r="I146" s="530" t="n">
        <x:f>IF(ISBLANK('_INSTANCE'!I65),"",'_INSTANCE'!I65)</x:f>
        <x:v>100</x:v>
      </x:c>
      <x:c r="J146" s="530" t="n">
        <x:f>IF(ISBLANK('_INSTANCE'!J65),"",'_INSTANCE'!J65)</x:f>
        <x:v>1750</x:v>
      </x:c>
      <x:c r="K146" s="38"/>
      <x:c r="L146" s="38"/>
      <x:c r="M146" s="38"/>
      <x:c r="N146" s="38"/>
      <x:c r="O146" s="38"/>
      <x:c r="P146" s="38"/>
      <x:c r="Q146" s="38"/>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523" t="n">
        <x:f>IF(ISBLANK('_INSTANCE'!A66),"",'_INSTANCE'!A66)</x:f>
        <x:v>64</x:v>
      </x:c>
      <x:c r="B147" s="523" t="n">
        <x:f>IF(ISBLANK('_INSTANCE'!B66),"",'_INSTANCE'!B66)</x:f>
        <x:v>64</x:v>
      </x:c>
      <x:c r="C147" s="523" t="n">
        <x:f>IF(ISBLANK('_INSTANCE'!C66),"",'_INSTANCE'!C66)</x:f>
        <x:v>2</x:v>
      </x:c>
      <x:c r="D147" s="530" t="n">
        <x:f>IF(ISBLANK('_INSTANCE'!D66),"",'_INSTANCE'!D66)</x:f>
        <x:v>90</x:v>
      </x:c>
      <x:c r="E147" s="530" t="n">
        <x:f>IF(ISBLANK('_INSTANCE'!E66),"",'_INSTANCE'!E66)</x:f>
        <x:v>0</x:v>
      </x:c>
      <x:c r="F147" s="530" t="n">
        <x:f>IF(ISBLANK('_INSTANCE'!F66),"",'_INSTANCE'!F66)</x:f>
        <x:v>2000</x:v>
      </x:c>
      <x:c r="G147" s="530" t="n">
        <x:f>IF(ISBLANK('_INSTANCE'!G66),"",'_INSTANCE'!G66)</x:f>
        <x:v>20000</x:v>
      </x:c>
      <x:c r="H147" s="530" t="n">
        <x:f>IF(ISBLANK('_INSTANCE'!H66),"",'_INSTANCE'!H66)</x:f>
        <x:v>4</x:v>
      </x:c>
      <x:c r="I147" s="530" t="n">
        <x:f>IF(ISBLANK('_INSTANCE'!I66),"",'_INSTANCE'!I66)</x:f>
        <x:v>100</x:v>
      </x:c>
      <x:c r="J147" s="530" t="n">
        <x:f>IF(ISBLANK('_INSTANCE'!J66),"",'_INSTANCE'!J66)</x:f>
        <x:v>1750</x:v>
      </x:c>
      <x:c r="K147" s="38"/>
      <x:c r="L147" s="38"/>
      <x:c r="M147" s="38"/>
      <x:c r="N147" s="38"/>
      <x:c r="O147" s="38"/>
      <x:c r="P147" s="38"/>
      <x:c r="Q147" s="38"/>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523" t="n">
        <x:f>IF(ISBLANK('_INSTANCE'!A67),"",'_INSTANCE'!A67)</x:f>
        <x:v>65</x:v>
      </x:c>
      <x:c r="B148" s="523" t="n">
        <x:f>IF(ISBLANK('_INSTANCE'!B67),"",'_INSTANCE'!B67)</x:f>
        <x:v>65</x:v>
      </x:c>
      <x:c r="C148" s="523" t="n">
        <x:f>IF(ISBLANK('_INSTANCE'!C67),"",'_INSTANCE'!C67)</x:f>
        <x:v>2</x:v>
      </x:c>
      <x:c r="D148" s="530" t="n">
        <x:f>IF(ISBLANK('_INSTANCE'!D67),"",'_INSTANCE'!D67)</x:f>
        <x:v>90</x:v>
      </x:c>
      <x:c r="E148" s="530" t="n">
        <x:f>IF(ISBLANK('_INSTANCE'!E67),"",'_INSTANCE'!E67)</x:f>
        <x:v>0</x:v>
      </x:c>
      <x:c r="F148" s="530" t="n">
        <x:f>IF(ISBLANK('_INSTANCE'!F67),"",'_INSTANCE'!F67)</x:f>
        <x:v>2000</x:v>
      </x:c>
      <x:c r="G148" s="530" t="n">
        <x:f>IF(ISBLANK('_INSTANCE'!G67),"",'_INSTANCE'!G67)</x:f>
        <x:v>20000</x:v>
      </x:c>
      <x:c r="H148" s="530" t="n">
        <x:f>IF(ISBLANK('_INSTANCE'!H67),"",'_INSTANCE'!H67)</x:f>
        <x:v>4</x:v>
      </x:c>
      <x:c r="I148" s="530" t="n">
        <x:f>IF(ISBLANK('_INSTANCE'!I67),"",'_INSTANCE'!I67)</x:f>
        <x:v>100</x:v>
      </x:c>
      <x:c r="J148" s="530" t="n">
        <x:f>IF(ISBLANK('_INSTANCE'!J67),"",'_INSTANCE'!J67)</x:f>
        <x:v>1750</x:v>
      </x:c>
      <x:c r="K148" s="38"/>
      <x:c r="L148" s="38"/>
      <x:c r="M148" s="38"/>
      <x:c r="N148" s="38"/>
      <x:c r="O148" s="38"/>
      <x:c r="P148" s="38"/>
      <x:c r="Q148" s="38"/>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523" t="n">
        <x:f>IF(ISBLANK('_INSTANCE'!A68),"",'_INSTANCE'!A68)</x:f>
        <x:v>66</x:v>
      </x:c>
      <x:c r="B149" s="523" t="n">
        <x:f>IF(ISBLANK('_INSTANCE'!B68),"",'_INSTANCE'!B68)</x:f>
        <x:v>66</x:v>
      </x:c>
      <x:c r="C149" s="523" t="n">
        <x:f>IF(ISBLANK('_INSTANCE'!C68),"",'_INSTANCE'!C68)</x:f>
        <x:v>2</x:v>
      </x:c>
      <x:c r="D149" s="530" t="n">
        <x:f>IF(ISBLANK('_INSTANCE'!D68),"",'_INSTANCE'!D68)</x:f>
        <x:v>90</x:v>
      </x:c>
      <x:c r="E149" s="530" t="n">
        <x:f>IF(ISBLANK('_INSTANCE'!E68),"",'_INSTANCE'!E68)</x:f>
        <x:v>0</x:v>
      </x:c>
      <x:c r="F149" s="530" t="n">
        <x:f>IF(ISBLANK('_INSTANCE'!F68),"",'_INSTANCE'!F68)</x:f>
        <x:v>2000</x:v>
      </x:c>
      <x:c r="G149" s="530" t="n">
        <x:f>IF(ISBLANK('_INSTANCE'!G68),"",'_INSTANCE'!G68)</x:f>
        <x:v>20000</x:v>
      </x:c>
      <x:c r="H149" s="530" t="n">
        <x:f>IF(ISBLANK('_INSTANCE'!H68),"",'_INSTANCE'!H68)</x:f>
        <x:v>4</x:v>
      </x:c>
      <x:c r="I149" s="530" t="n">
        <x:f>IF(ISBLANK('_INSTANCE'!I68),"",'_INSTANCE'!I68)</x:f>
        <x:v>100</x:v>
      </x:c>
      <x:c r="J149" s="530" t="n">
        <x:f>IF(ISBLANK('_INSTANCE'!J68),"",'_INSTANCE'!J68)</x:f>
        <x:v>1750</x:v>
      </x:c>
      <x:c r="K149" s="38"/>
      <x:c r="L149" s="38"/>
      <x:c r="M149" s="38"/>
      <x:c r="N149" s="38"/>
      <x:c r="O149" s="38"/>
      <x:c r="P149" s="38"/>
      <x:c r="Q149" s="38"/>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523" t="n">
        <x:f>IF(ISBLANK('_INSTANCE'!A69),"",'_INSTANCE'!A69)</x:f>
        <x:v>67</x:v>
      </x:c>
      <x:c r="B150" s="523" t="n">
        <x:f>IF(ISBLANK('_INSTANCE'!B69),"",'_INSTANCE'!B69)</x:f>
        <x:v>67</x:v>
      </x:c>
      <x:c r="C150" s="523" t="n">
        <x:f>IF(ISBLANK('_INSTANCE'!C69),"",'_INSTANCE'!C69)</x:f>
        <x:v>2</x:v>
      </x:c>
      <x:c r="D150" s="530" t="n">
        <x:f>IF(ISBLANK('_INSTANCE'!D69),"",'_INSTANCE'!D69)</x:f>
        <x:v>90</x:v>
      </x:c>
      <x:c r="E150" s="530" t="n">
        <x:f>IF(ISBLANK('_INSTANCE'!E69),"",'_INSTANCE'!E69)</x:f>
        <x:v>0</x:v>
      </x:c>
      <x:c r="F150" s="530" t="n">
        <x:f>IF(ISBLANK('_INSTANCE'!F69),"",'_INSTANCE'!F69)</x:f>
        <x:v>2000</x:v>
      </x:c>
      <x:c r="G150" s="530" t="n">
        <x:f>IF(ISBLANK('_INSTANCE'!G69),"",'_INSTANCE'!G69)</x:f>
        <x:v>20000</x:v>
      </x:c>
      <x:c r="H150" s="530" t="n">
        <x:f>IF(ISBLANK('_INSTANCE'!H69),"",'_INSTANCE'!H69)</x:f>
        <x:v>4</x:v>
      </x:c>
      <x:c r="I150" s="530" t="n">
        <x:f>IF(ISBLANK('_INSTANCE'!I69),"",'_INSTANCE'!I69)</x:f>
        <x:v>100</x:v>
      </x:c>
      <x:c r="J150" s="530" t="n">
        <x:f>IF(ISBLANK('_INSTANCE'!J69),"",'_INSTANCE'!J69)</x:f>
        <x:v>1750</x:v>
      </x:c>
      <x:c r="K150" s="38"/>
      <x:c r="L150" s="38"/>
      <x:c r="M150" s="38"/>
      <x:c r="N150" s="38"/>
      <x:c r="O150" s="38"/>
      <x:c r="P150" s="38"/>
      <x:c r="Q150" s="38"/>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523" t="n">
        <x:f>IF(ISBLANK('_INSTANCE'!A70),"",'_INSTANCE'!A70)</x:f>
        <x:v>68</x:v>
      </x:c>
      <x:c r="B151" s="523" t="n">
        <x:f>IF(ISBLANK('_INSTANCE'!B70),"",'_INSTANCE'!B70)</x:f>
        <x:v>68</x:v>
      </x:c>
      <x:c r="C151" s="523" t="n">
        <x:f>IF(ISBLANK('_INSTANCE'!C70),"",'_INSTANCE'!C70)</x:f>
        <x:v>2</x:v>
      </x:c>
      <x:c r="D151" s="530" t="n">
        <x:f>IF(ISBLANK('_INSTANCE'!D70),"",'_INSTANCE'!D70)</x:f>
        <x:v>90</x:v>
      </x:c>
      <x:c r="E151" s="530" t="n">
        <x:f>IF(ISBLANK('_INSTANCE'!E70),"",'_INSTANCE'!E70)</x:f>
        <x:v>0</x:v>
      </x:c>
      <x:c r="F151" s="530" t="n">
        <x:f>IF(ISBLANK('_INSTANCE'!F70),"",'_INSTANCE'!F70)</x:f>
        <x:v>2000</x:v>
      </x:c>
      <x:c r="G151" s="530" t="n">
        <x:f>IF(ISBLANK('_INSTANCE'!G70),"",'_INSTANCE'!G70)</x:f>
        <x:v>20000</x:v>
      </x:c>
      <x:c r="H151" s="530" t="n">
        <x:f>IF(ISBLANK('_INSTANCE'!H70),"",'_INSTANCE'!H70)</x:f>
        <x:v>4</x:v>
      </x:c>
      <x:c r="I151" s="530" t="n">
        <x:f>IF(ISBLANK('_INSTANCE'!I70),"",'_INSTANCE'!I70)</x:f>
        <x:v>100</x:v>
      </x:c>
      <x:c r="J151" s="530" t="n">
        <x:f>IF(ISBLANK('_INSTANCE'!J70),"",'_INSTANCE'!J70)</x:f>
        <x:v>1750</x:v>
      </x:c>
      <x:c r="K151" s="38"/>
      <x:c r="L151" s="38"/>
      <x:c r="M151" s="38"/>
      <x:c r="N151" s="38"/>
      <x:c r="O151" s="38"/>
      <x:c r="P151" s="38"/>
      <x:c r="Q151" s="38"/>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523" t="n">
        <x:f>IF(ISBLANK('_INSTANCE'!A71),"",'_INSTANCE'!A71)</x:f>
        <x:v>69</x:v>
      </x:c>
      <x:c r="B152" s="523" t="n">
        <x:f>IF(ISBLANK('_INSTANCE'!B71),"",'_INSTANCE'!B71)</x:f>
        <x:v>69</x:v>
      </x:c>
      <x:c r="C152" s="523" t="n">
        <x:f>IF(ISBLANK('_INSTANCE'!C71),"",'_INSTANCE'!C71)</x:f>
        <x:v>2</x:v>
      </x:c>
      <x:c r="D152" s="530" t="n">
        <x:f>IF(ISBLANK('_INSTANCE'!D71),"",'_INSTANCE'!D71)</x:f>
        <x:v>90</x:v>
      </x:c>
      <x:c r="E152" s="530" t="n">
        <x:f>IF(ISBLANK('_INSTANCE'!E71),"",'_INSTANCE'!E71)</x:f>
        <x:v>0</x:v>
      </x:c>
      <x:c r="F152" s="530" t="n">
        <x:f>IF(ISBLANK('_INSTANCE'!F71),"",'_INSTANCE'!F71)</x:f>
        <x:v>2000</x:v>
      </x:c>
      <x:c r="G152" s="530" t="n">
        <x:f>IF(ISBLANK('_INSTANCE'!G71),"",'_INSTANCE'!G71)</x:f>
        <x:v>20000</x:v>
      </x:c>
      <x:c r="H152" s="530" t="n">
        <x:f>IF(ISBLANK('_INSTANCE'!H71),"",'_INSTANCE'!H71)</x:f>
        <x:v>4</x:v>
      </x:c>
      <x:c r="I152" s="530" t="n">
        <x:f>IF(ISBLANK('_INSTANCE'!I71),"",'_INSTANCE'!I71)</x:f>
        <x:v>100</x:v>
      </x:c>
      <x:c r="J152" s="530" t="n">
        <x:f>IF(ISBLANK('_INSTANCE'!J71),"",'_INSTANCE'!J71)</x:f>
        <x:v>1750</x:v>
      </x:c>
      <x:c r="K152" s="38"/>
      <x:c r="L152" s="38"/>
      <x:c r="M152" s="38"/>
      <x:c r="N152" s="38"/>
      <x:c r="O152" s="38"/>
      <x:c r="P152" s="38"/>
      <x:c r="Q152" s="38"/>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523" t="n">
        <x:f>IF(ISBLANK('_INSTANCE'!A72),"",'_INSTANCE'!A72)</x:f>
        <x:v>70</x:v>
      </x:c>
      <x:c r="B153" s="523" t="n">
        <x:f>IF(ISBLANK('_INSTANCE'!B72),"",'_INSTANCE'!B72)</x:f>
        <x:v>70</x:v>
      </x:c>
      <x:c r="C153" s="523" t="n">
        <x:f>IF(ISBLANK('_INSTANCE'!C72),"",'_INSTANCE'!C72)</x:f>
        <x:v>2</x:v>
      </x:c>
      <x:c r="D153" s="530" t="n">
        <x:f>IF(ISBLANK('_INSTANCE'!D72),"",'_INSTANCE'!D72)</x:f>
        <x:v>90</x:v>
      </x:c>
      <x:c r="E153" s="530" t="n">
        <x:f>IF(ISBLANK('_INSTANCE'!E72),"",'_INSTANCE'!E72)</x:f>
        <x:v>0</x:v>
      </x:c>
      <x:c r="F153" s="530" t="n">
        <x:f>IF(ISBLANK('_INSTANCE'!F72),"",'_INSTANCE'!F72)</x:f>
        <x:v>2000</x:v>
      </x:c>
      <x:c r="G153" s="530" t="n">
        <x:f>IF(ISBLANK('_INSTANCE'!G72),"",'_INSTANCE'!G72)</x:f>
        <x:v>20000</x:v>
      </x:c>
      <x:c r="H153" s="530" t="n">
        <x:f>IF(ISBLANK('_INSTANCE'!H72),"",'_INSTANCE'!H72)</x:f>
        <x:v>4</x:v>
      </x:c>
      <x:c r="I153" s="530" t="n">
        <x:f>IF(ISBLANK('_INSTANCE'!I72),"",'_INSTANCE'!I72)</x:f>
        <x:v>100</x:v>
      </x:c>
      <x:c r="J153" s="530" t="n">
        <x:f>IF(ISBLANK('_INSTANCE'!J72),"",'_INSTANCE'!J72)</x:f>
        <x:v>1750</x:v>
      </x:c>
      <x:c r="K153" s="38"/>
      <x:c r="L153" s="38"/>
      <x:c r="M153" s="38"/>
      <x:c r="N153" s="38"/>
      <x:c r="O153" s="38"/>
      <x:c r="P153" s="38"/>
      <x:c r="Q153" s="38"/>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523" t="n">
        <x:f>IF(ISBLANK('_INSTANCE'!A73),"",'_INSTANCE'!A73)</x:f>
        <x:v>71</x:v>
      </x:c>
      <x:c r="B154" s="523" t="n">
        <x:f>IF(ISBLANK('_INSTANCE'!B73),"",'_INSTANCE'!B73)</x:f>
        <x:v>71</x:v>
      </x:c>
      <x:c r="C154" s="523" t="n">
        <x:f>IF(ISBLANK('_INSTANCE'!C73),"",'_INSTANCE'!C73)</x:f>
        <x:v>2</x:v>
      </x:c>
      <x:c r="D154" s="530" t="n">
        <x:f>IF(ISBLANK('_INSTANCE'!D73),"",'_INSTANCE'!D73)</x:f>
        <x:v>90</x:v>
      </x:c>
      <x:c r="E154" s="530" t="n">
        <x:f>IF(ISBLANK('_INSTANCE'!E73),"",'_INSTANCE'!E73)</x:f>
        <x:v>0</x:v>
      </x:c>
      <x:c r="F154" s="530" t="n">
        <x:f>IF(ISBLANK('_INSTANCE'!F73),"",'_INSTANCE'!F73)</x:f>
        <x:v>2000</x:v>
      </x:c>
      <x:c r="G154" s="530" t="n">
        <x:f>IF(ISBLANK('_INSTANCE'!G73),"",'_INSTANCE'!G73)</x:f>
        <x:v>20000</x:v>
      </x:c>
      <x:c r="H154" s="530" t="n">
        <x:f>IF(ISBLANK('_INSTANCE'!H73),"",'_INSTANCE'!H73)</x:f>
        <x:v>4</x:v>
      </x:c>
      <x:c r="I154" s="530" t="n">
        <x:f>IF(ISBLANK('_INSTANCE'!I73),"",'_INSTANCE'!I73)</x:f>
        <x:v>100</x:v>
      </x:c>
      <x:c r="J154" s="530" t="n">
        <x:f>IF(ISBLANK('_INSTANCE'!J73),"",'_INSTANCE'!J73)</x:f>
        <x:v>1750</x:v>
      </x:c>
      <x:c r="K154" s="38"/>
      <x:c r="L154" s="38"/>
      <x:c r="M154" s="38"/>
      <x:c r="N154" s="38"/>
      <x:c r="O154" s="38"/>
      <x:c r="P154" s="38"/>
      <x:c r="Q154" s="38"/>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523" t="n">
        <x:f>IF(ISBLANK('_INSTANCE'!A74),"",'_INSTANCE'!A74)</x:f>
        <x:v>72</x:v>
      </x:c>
      <x:c r="B155" s="523" t="n">
        <x:f>IF(ISBLANK('_INSTANCE'!B74),"",'_INSTANCE'!B74)</x:f>
        <x:v>72</x:v>
      </x:c>
      <x:c r="C155" s="523" t="n">
        <x:f>IF(ISBLANK('_INSTANCE'!C74),"",'_INSTANCE'!C74)</x:f>
        <x:v>2</x:v>
      </x:c>
      <x:c r="D155" s="530" t="n">
        <x:f>IF(ISBLANK('_INSTANCE'!D74),"",'_INSTANCE'!D74)</x:f>
        <x:v>90</x:v>
      </x:c>
      <x:c r="E155" s="530" t="n">
        <x:f>IF(ISBLANK('_INSTANCE'!E74),"",'_INSTANCE'!E74)</x:f>
        <x:v>0</x:v>
      </x:c>
      <x:c r="F155" s="530" t="n">
        <x:f>IF(ISBLANK('_INSTANCE'!F74),"",'_INSTANCE'!F74)</x:f>
        <x:v>2000</x:v>
      </x:c>
      <x:c r="G155" s="530" t="n">
        <x:f>IF(ISBLANK('_INSTANCE'!G74),"",'_INSTANCE'!G74)</x:f>
        <x:v>20000</x:v>
      </x:c>
      <x:c r="H155" s="530" t="n">
        <x:f>IF(ISBLANK('_INSTANCE'!H74),"",'_INSTANCE'!H74)</x:f>
        <x:v>4</x:v>
      </x:c>
      <x:c r="I155" s="530" t="n">
        <x:f>IF(ISBLANK('_INSTANCE'!I74),"",'_INSTANCE'!I74)</x:f>
        <x:v>100</x:v>
      </x:c>
      <x:c r="J155" s="530" t="n">
        <x:f>IF(ISBLANK('_INSTANCE'!J74),"",'_INSTANCE'!J74)</x:f>
        <x:v>1750</x:v>
      </x:c>
      <x:c r="K155" s="38"/>
      <x:c r="L155" s="38"/>
      <x:c r="M155" s="38"/>
      <x:c r="N155" s="38"/>
      <x:c r="O155" s="38"/>
      <x:c r="P155" s="38"/>
      <x:c r="Q155" s="38"/>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523" t="n">
        <x:f>IF(ISBLANK('_INSTANCE'!A75),"",'_INSTANCE'!A75)</x:f>
        <x:v>73</x:v>
      </x:c>
      <x:c r="B156" s="523" t="n">
        <x:f>IF(ISBLANK('_INSTANCE'!B75),"",'_INSTANCE'!B75)</x:f>
        <x:v>73</x:v>
      </x:c>
      <x:c r="C156" s="523" t="n">
        <x:f>IF(ISBLANK('_INSTANCE'!C75),"",'_INSTANCE'!C75)</x:f>
        <x:v>0</x:v>
      </x:c>
      <x:c r="D156" s="530" t="n">
        <x:f>IF(ISBLANK('_INSTANCE'!D75),"",'_INSTANCE'!D75)</x:f>
        <x:v>70</x:v>
      </x:c>
      <x:c r="E156" s="530" t="n">
        <x:f>IF(ISBLANK('_INSTANCE'!E75),"",'_INSTANCE'!E75)</x:f>
        <x:v>0</x:v>
      </x:c>
      <x:c r="F156" s="530" t="n">
        <x:f>IF(ISBLANK('_INSTANCE'!F75),"",'_INSTANCE'!F75)</x:f>
        <x:v>2500</x:v>
      </x:c>
      <x:c r="G156" s="530" t="n">
        <x:f>IF(ISBLANK('_INSTANCE'!G75),"",'_INSTANCE'!G75)</x:f>
        <x:v>20000</x:v>
      </x:c>
      <x:c r="H156" s="530" t="n">
        <x:f>IF(ISBLANK('_INSTANCE'!H75),"",'_INSTANCE'!H75)</x:f>
        <x:v>2</x:v>
      </x:c>
      <x:c r="I156" s="530" t="n">
        <x:f>IF(ISBLANK('_INSTANCE'!I75),"",'_INSTANCE'!I75)</x:f>
        <x:v>100</x:v>
      </x:c>
      <x:c r="J156" s="530" t="n">
        <x:f>IF(ISBLANK('_INSTANCE'!J75),"",'_INSTANCE'!J75)</x:f>
        <x:v>1450</x:v>
      </x:c>
      <x:c r="K156" s="38"/>
      <x:c r="L156" s="38"/>
      <x:c r="M156" s="38"/>
      <x:c r="N156" s="38"/>
      <x:c r="O156" s="38"/>
      <x:c r="P156" s="38"/>
      <x:c r="Q156" s="38"/>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523" t="n">
        <x:f>IF(ISBLANK('_INSTANCE'!A76),"",'_INSTANCE'!A76)</x:f>
        <x:v>74</x:v>
      </x:c>
      <x:c r="B157" s="523" t="n">
        <x:f>IF(ISBLANK('_INSTANCE'!B76),"",'_INSTANCE'!B76)</x:f>
        <x:v>74</x:v>
      </x:c>
      <x:c r="C157" s="523" t="n">
        <x:f>IF(ISBLANK('_INSTANCE'!C76),"",'_INSTANCE'!C76)</x:f>
        <x:v>0</x:v>
      </x:c>
      <x:c r="D157" s="530" t="n">
        <x:f>IF(ISBLANK('_INSTANCE'!D76),"",'_INSTANCE'!D76)</x:f>
        <x:v>70</x:v>
      </x:c>
      <x:c r="E157" s="530" t="n">
        <x:f>IF(ISBLANK('_INSTANCE'!E76),"",'_INSTANCE'!E76)</x:f>
        <x:v>0</x:v>
      </x:c>
      <x:c r="F157" s="530" t="n">
        <x:f>IF(ISBLANK('_INSTANCE'!F76),"",'_INSTANCE'!F76)</x:f>
        <x:v>2500</x:v>
      </x:c>
      <x:c r="G157" s="530" t="n">
        <x:f>IF(ISBLANK('_INSTANCE'!G76),"",'_INSTANCE'!G76)</x:f>
        <x:v>20000</x:v>
      </x:c>
      <x:c r="H157" s="530" t="n">
        <x:f>IF(ISBLANK('_INSTANCE'!H76),"",'_INSTANCE'!H76)</x:f>
        <x:v>2</x:v>
      </x:c>
      <x:c r="I157" s="530" t="n">
        <x:f>IF(ISBLANK('_INSTANCE'!I76),"",'_INSTANCE'!I76)</x:f>
        <x:v>100</x:v>
      </x:c>
      <x:c r="J157" s="530" t="n">
        <x:f>IF(ISBLANK('_INSTANCE'!J76),"",'_INSTANCE'!J76)</x:f>
        <x:v>1450</x:v>
      </x:c>
      <x:c r="K157" s="38"/>
      <x:c r="L157" s="38"/>
      <x:c r="M157" s="38"/>
      <x:c r="N157" s="38"/>
      <x:c r="O157" s="38"/>
      <x:c r="P157" s="38"/>
      <x:c r="Q157" s="38"/>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523" t="str">
        <x:f>IF(ISBLANK('_INSTANCE'!A77),"",'_INSTANCE'!A77)</x:f>
      </x:c>
      <x:c r="B158" s="523" t="str">
        <x:f>IF(ISBLANK('_INSTANCE'!B77),"",'_INSTANCE'!B77)</x:f>
      </x:c>
      <x:c r="C158" s="523" t="str">
        <x:f>IF(ISBLANK('_INSTANCE'!C77),"",'_INSTANCE'!C77)</x:f>
      </x:c>
      <x:c r="D158" s="530" t="str">
        <x:f>IF(ISBLANK('_INSTANCE'!D77),"",'_INSTANCE'!D77)</x:f>
      </x:c>
      <x:c r="E158" s="530" t="str">
        <x:f>IF(ISBLANK('_INSTANCE'!E77),"",'_INSTANCE'!E77)</x:f>
      </x:c>
      <x:c r="F158" s="530" t="str">
        <x:f>IF(ISBLANK('_INSTANCE'!F77),"",'_INSTANCE'!F77)</x:f>
      </x:c>
      <x:c r="G158" s="530" t="str">
        <x:f>IF(ISBLANK('_INSTANCE'!G77),"",'_INSTANCE'!G77)</x:f>
      </x:c>
      <x:c r="H158" s="530" t="str">
        <x:f>IF(ISBLANK('_INSTANCE'!H77),"",'_INSTANCE'!H77)</x:f>
      </x:c>
      <x:c r="I158" s="530" t="str">
        <x:f>IF(ISBLANK('_INSTANCE'!I77),"",'_INSTANCE'!I77)</x:f>
      </x:c>
      <x:c r="J158" s="530" t="str">
        <x:f>IF(ISBLANK('_INSTANCE'!J77),"",'_INSTANCE'!J77)</x:f>
      </x:c>
      <x:c r="K158" s="38"/>
      <x:c r="L158" s="38"/>
      <x:c r="M158" s="38"/>
      <x:c r="N158" s="38"/>
      <x:c r="O158" s="38"/>
      <x:c r="P158" s="38"/>
      <x:c r="Q158" s="38"/>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523" t="str">
        <x:f>IF(ISBLANK('_INSTANCE'!A78),"",'_INSTANCE'!A78)</x:f>
      </x:c>
      <x:c r="B159" s="523" t="str">
        <x:f>IF(ISBLANK('_INSTANCE'!B78),"",'_INSTANCE'!B78)</x:f>
      </x:c>
      <x:c r="C159" s="523" t="str">
        <x:f>IF(ISBLANK('_INSTANCE'!C78),"",'_INSTANCE'!C78)</x:f>
      </x:c>
      <x:c r="D159" s="530" t="str">
        <x:f>IF(ISBLANK('_INSTANCE'!D78),"",'_INSTANCE'!D78)</x:f>
      </x:c>
      <x:c r="E159" s="530" t="str">
        <x:f>IF(ISBLANK('_INSTANCE'!E78),"",'_INSTANCE'!E78)</x:f>
      </x:c>
      <x:c r="F159" s="530" t="str">
        <x:f>IF(ISBLANK('_INSTANCE'!F78),"",'_INSTANCE'!F78)</x:f>
      </x:c>
      <x:c r="G159" s="530" t="str">
        <x:f>IF(ISBLANK('_INSTANCE'!G78),"",'_INSTANCE'!G78)</x:f>
      </x:c>
      <x:c r="H159" s="530" t="str">
        <x:f>IF(ISBLANK('_INSTANCE'!H78),"",'_INSTANCE'!H78)</x:f>
      </x:c>
      <x:c r="I159" s="530" t="str">
        <x:f>IF(ISBLANK('_INSTANCE'!I78),"",'_INSTANCE'!I78)</x:f>
      </x:c>
      <x:c r="J159" s="530" t="str">
        <x:f>IF(ISBLANK('_INSTANCE'!J78),"",'_INSTANCE'!J78)</x:f>
      </x:c>
      <x:c r="K159" s="38"/>
      <x:c r="L159" s="38"/>
      <x:c r="M159" s="38"/>
      <x:c r="N159" s="38"/>
      <x:c r="O159" s="38"/>
      <x:c r="P159" s="38"/>
      <x:c r="Q159" s="38"/>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523" t="str">
        <x:f>IF(ISBLANK('_INSTANCE'!A79),"",'_INSTANCE'!A79)</x:f>
      </x:c>
      <x:c r="B160" s="523" t="str">
        <x:f>IF(ISBLANK('_INSTANCE'!B79),"",'_INSTANCE'!B79)</x:f>
      </x:c>
      <x:c r="C160" s="523" t="str">
        <x:f>IF(ISBLANK('_INSTANCE'!C79),"",'_INSTANCE'!C79)</x:f>
      </x:c>
      <x:c r="D160" s="530" t="str">
        <x:f>IF(ISBLANK('_INSTANCE'!D79),"",'_INSTANCE'!D79)</x:f>
      </x:c>
      <x:c r="E160" s="530" t="str">
        <x:f>IF(ISBLANK('_INSTANCE'!E79),"",'_INSTANCE'!E79)</x:f>
      </x:c>
      <x:c r="F160" s="530" t="str">
        <x:f>IF(ISBLANK('_INSTANCE'!F79),"",'_INSTANCE'!F79)</x:f>
      </x:c>
      <x:c r="G160" s="530" t="str">
        <x:f>IF(ISBLANK('_INSTANCE'!G79),"",'_INSTANCE'!G79)</x:f>
      </x:c>
      <x:c r="H160" s="530" t="str">
        <x:f>IF(ISBLANK('_INSTANCE'!H79),"",'_INSTANCE'!H79)</x:f>
      </x:c>
      <x:c r="I160" s="530" t="str">
        <x:f>IF(ISBLANK('_INSTANCE'!I79),"",'_INSTANCE'!I79)</x:f>
      </x:c>
      <x:c r="J160" s="530" t="str">
        <x:f>IF(ISBLANK('_INSTANCE'!J79),"",'_INSTANCE'!J79)</x:f>
      </x:c>
      <x:c r="K160" s="38"/>
      <x:c r="L160" s="38"/>
      <x:c r="M160" s="38"/>
      <x:c r="N160" s="38"/>
      <x:c r="O160" s="38"/>
      <x:c r="P160" s="38"/>
      <x:c r="Q160" s="38"/>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row r="161">
      <x:c r="A161" s="523" t="str">
        <x:f>IF(ISBLANK('_INSTANCE'!A80),"",'_INSTANCE'!A80)</x:f>
      </x:c>
      <x:c r="B161" s="523" t="str">
        <x:f>IF(ISBLANK('_INSTANCE'!B80),"",'_INSTANCE'!B80)</x:f>
      </x:c>
      <x:c r="C161" s="523" t="str">
        <x:f>IF(ISBLANK('_INSTANCE'!C80),"",'_INSTANCE'!C80)</x:f>
      </x:c>
      <x:c r="D161" s="530" t="str">
        <x:f>IF(ISBLANK('_INSTANCE'!D80),"",'_INSTANCE'!D80)</x:f>
      </x:c>
      <x:c r="E161" s="530" t="str">
        <x:f>IF(ISBLANK('_INSTANCE'!E80),"",'_INSTANCE'!E80)</x:f>
      </x:c>
      <x:c r="F161" s="530" t="str">
        <x:f>IF(ISBLANK('_INSTANCE'!F80),"",'_INSTANCE'!F80)</x:f>
      </x:c>
      <x:c r="G161" s="530" t="str">
        <x:f>IF(ISBLANK('_INSTANCE'!G80),"",'_INSTANCE'!G80)</x:f>
      </x:c>
      <x:c r="H161" s="530" t="str">
        <x:f>IF(ISBLANK('_INSTANCE'!H80),"",'_INSTANCE'!H80)</x:f>
      </x:c>
      <x:c r="I161" s="530" t="str">
        <x:f>IF(ISBLANK('_INSTANCE'!I80),"",'_INSTANCE'!I80)</x:f>
      </x:c>
      <x:c r="J161" s="530" t="str">
        <x:f>IF(ISBLANK('_INSTANCE'!J80),"",'_INSTANCE'!J80)</x:f>
      </x:c>
      <x:c r="K161" s="38"/>
      <x:c r="L161" s="38"/>
      <x:c r="M161" s="38"/>
      <x:c r="N161" s="38"/>
      <x:c r="O161" s="38"/>
      <x:c r="P161" s="38"/>
      <x:c r="Q161" s="38"/>
    </x:row>
    <x:row r="162">
      <x:c r="A162" s="523" t="str">
        <x:f>IF(ISBLANK('_INSTANCE'!A81),"",'_INSTANCE'!A81)</x:f>
      </x:c>
      <x:c r="B162" s="523" t="str">
        <x:f>IF(ISBLANK('_INSTANCE'!B81),"",'_INSTANCE'!B81)</x:f>
      </x:c>
      <x:c r="C162" s="523" t="str">
        <x:f>IF(ISBLANK('_INSTANCE'!C81),"",'_INSTANCE'!C81)</x:f>
      </x:c>
      <x:c r="D162" s="530" t="str">
        <x:f>IF(ISBLANK('_INSTANCE'!D81),"",'_INSTANCE'!D81)</x:f>
      </x:c>
      <x:c r="E162" s="530" t="str">
        <x:f>IF(ISBLANK('_INSTANCE'!E81),"",'_INSTANCE'!E81)</x:f>
      </x:c>
      <x:c r="F162" s="530" t="str">
        <x:f>IF(ISBLANK('_INSTANCE'!F81),"",'_INSTANCE'!F81)</x:f>
      </x:c>
      <x:c r="G162" s="530" t="str">
        <x:f>IF(ISBLANK('_INSTANCE'!G81),"",'_INSTANCE'!G81)</x:f>
      </x:c>
      <x:c r="H162" s="530" t="str">
        <x:f>IF(ISBLANK('_INSTANCE'!H81),"",'_INSTANCE'!H81)</x:f>
      </x:c>
      <x:c r="I162" s="530" t="str">
        <x:f>IF(ISBLANK('_INSTANCE'!I81),"",'_INSTANCE'!I81)</x:f>
      </x:c>
      <x:c r="J162" s="530" t="str">
        <x:f>IF(ISBLANK('_INSTANCE'!J81),"",'_INSTANCE'!J81)</x:f>
      </x:c>
      <x:c r="K162" s="38"/>
      <x:c r="L162" s="38"/>
      <x:c r="M162" s="38"/>
      <x:c r="N162" s="38"/>
      <x:c r="O162" s="38"/>
      <x:c r="P162" s="38"/>
      <x:c r="Q162" s="38"/>
    </x:row>
    <x:row r="163">
      <x:c r="A163" s="523" t="str">
        <x:f>IF(ISBLANK('_INSTANCE'!A82),"",'_INSTANCE'!A82)</x:f>
      </x:c>
      <x:c r="B163" s="523" t="str">
        <x:f>IF(ISBLANK('_INSTANCE'!B82),"",'_INSTANCE'!B82)</x:f>
      </x:c>
      <x:c r="C163" s="523" t="str">
        <x:f>IF(ISBLANK('_INSTANCE'!C82),"",'_INSTANCE'!C82)</x:f>
      </x:c>
      <x:c r="D163" s="530" t="str">
        <x:f>IF(ISBLANK('_INSTANCE'!D82),"",'_INSTANCE'!D82)</x:f>
      </x:c>
      <x:c r="E163" s="530" t="str">
        <x:f>IF(ISBLANK('_INSTANCE'!E82),"",'_INSTANCE'!E82)</x:f>
      </x:c>
      <x:c r="F163" s="530" t="str">
        <x:f>IF(ISBLANK('_INSTANCE'!F82),"",'_INSTANCE'!F82)</x:f>
      </x:c>
      <x:c r="G163" s="530" t="str">
        <x:f>IF(ISBLANK('_INSTANCE'!G82),"",'_INSTANCE'!G82)</x:f>
      </x:c>
      <x:c r="H163" s="530" t="str">
        <x:f>IF(ISBLANK('_INSTANCE'!H82),"",'_INSTANCE'!H82)</x:f>
      </x:c>
      <x:c r="I163" s="530" t="str">
        <x:f>IF(ISBLANK('_INSTANCE'!I82),"",'_INSTANCE'!I82)</x:f>
      </x:c>
      <x:c r="J163" s="530" t="str">
        <x:f>IF(ISBLANK('_INSTANCE'!J82),"",'_INSTANCE'!J82)</x:f>
      </x:c>
      <x:c r="K163" s="38"/>
      <x:c r="L163" s="38"/>
      <x:c r="M163" s="38"/>
      <x:c r="N163" s="38"/>
      <x:c r="O163" s="38"/>
      <x:c r="P163" s="38"/>
      <x:c r="Q163" s="38"/>
    </x:row>
    <x:row r="164">
      <x:c r="A164" s="523" t="str">
        <x:f>IF(ISBLANK('_INSTANCE'!A83),"",'_INSTANCE'!A83)</x:f>
      </x:c>
      <x:c r="B164" s="523" t="str">
        <x:f>IF(ISBLANK('_INSTANCE'!B83),"",'_INSTANCE'!B83)</x:f>
      </x:c>
      <x:c r="C164" s="523" t="str">
        <x:f>IF(ISBLANK('_INSTANCE'!C83),"",'_INSTANCE'!C83)</x:f>
      </x:c>
      <x:c r="D164" s="530" t="str">
        <x:f>IF(ISBLANK('_INSTANCE'!D83),"",'_INSTANCE'!D83)</x:f>
      </x:c>
      <x:c r="E164" s="530" t="str">
        <x:f>IF(ISBLANK('_INSTANCE'!E83),"",'_INSTANCE'!E83)</x:f>
      </x:c>
      <x:c r="F164" s="530" t="str">
        <x:f>IF(ISBLANK('_INSTANCE'!F83),"",'_INSTANCE'!F83)</x:f>
      </x:c>
      <x:c r="G164" s="530" t="str">
        <x:f>IF(ISBLANK('_INSTANCE'!G83),"",'_INSTANCE'!G83)</x:f>
      </x:c>
      <x:c r="H164" s="530" t="str">
        <x:f>IF(ISBLANK('_INSTANCE'!H83),"",'_INSTANCE'!H83)</x:f>
      </x:c>
      <x:c r="I164" s="530" t="str">
        <x:f>IF(ISBLANK('_INSTANCE'!I83),"",'_INSTANCE'!I83)</x:f>
      </x:c>
      <x:c r="J164" s="530" t="str">
        <x:f>IF(ISBLANK('_INSTANCE'!J83),"",'_INSTANCE'!J83)</x:f>
      </x:c>
      <x:c r="K164" s="38"/>
      <x:c r="L164" s="38"/>
      <x:c r="M164" s="38"/>
      <x:c r="N164" s="38"/>
      <x:c r="O164" s="38"/>
      <x:c r="P164" s="38"/>
      <x:c r="Q164" s="38"/>
    </x:row>
    <x:row r="165">
      <x:c r="A165" s="523" t="str">
        <x:f>IF(ISBLANK('_INSTANCE'!A84),"",'_INSTANCE'!A84)</x:f>
      </x:c>
      <x:c r="B165" s="523" t="str">
        <x:f>IF(ISBLANK('_INSTANCE'!B84),"",'_INSTANCE'!B84)</x:f>
      </x:c>
      <x:c r="C165" s="523" t="str">
        <x:f>IF(ISBLANK('_INSTANCE'!C84),"",'_INSTANCE'!C84)</x:f>
      </x:c>
      <x:c r="D165" s="530" t="str">
        <x:f>IF(ISBLANK('_INSTANCE'!D84),"",'_INSTANCE'!D84)</x:f>
      </x:c>
      <x:c r="E165" s="530" t="str">
        <x:f>IF(ISBLANK('_INSTANCE'!E84),"",'_INSTANCE'!E84)</x:f>
      </x:c>
      <x:c r="F165" s="530" t="str">
        <x:f>IF(ISBLANK('_INSTANCE'!F84),"",'_INSTANCE'!F84)</x:f>
      </x:c>
      <x:c r="G165" s="530" t="str">
        <x:f>IF(ISBLANK('_INSTANCE'!G84),"",'_INSTANCE'!G84)</x:f>
      </x:c>
      <x:c r="H165" s="530" t="str">
        <x:f>IF(ISBLANK('_INSTANCE'!H84),"",'_INSTANCE'!H84)</x:f>
      </x:c>
      <x:c r="I165" s="530" t="str">
        <x:f>IF(ISBLANK('_INSTANCE'!I84),"",'_INSTANCE'!I84)</x:f>
      </x:c>
      <x:c r="J165" s="530" t="str">
        <x:f>IF(ISBLANK('_INSTANCE'!J84),"",'_INSTANCE'!J84)</x:f>
      </x:c>
      <x:c r="K165" s="38"/>
      <x:c r="L165" s="38"/>
      <x:c r="M165" s="38"/>
      <x:c r="N165" s="38"/>
      <x:c r="O165" s="38"/>
      <x:c r="P165" s="38"/>
      <x:c r="Q165" s="38"/>
    </x:row>
    <x:row r="166">
      <x:c r="A166" s="523" t="str">
        <x:f>IF(ISBLANK('_INSTANCE'!A85),"",'_INSTANCE'!A85)</x:f>
      </x:c>
      <x:c r="B166" s="523" t="str">
        <x:f>IF(ISBLANK('_INSTANCE'!B85),"",'_INSTANCE'!B85)</x:f>
      </x:c>
      <x:c r="C166" s="523" t="str">
        <x:f>IF(ISBLANK('_INSTANCE'!C85),"",'_INSTANCE'!C85)</x:f>
      </x:c>
      <x:c r="D166" s="530" t="str">
        <x:f>IF(ISBLANK('_INSTANCE'!D85),"",'_INSTANCE'!D85)</x:f>
      </x:c>
      <x:c r="E166" s="530" t="str">
        <x:f>IF(ISBLANK('_INSTANCE'!E85),"",'_INSTANCE'!E85)</x:f>
      </x:c>
      <x:c r="F166" s="530" t="str">
        <x:f>IF(ISBLANK('_INSTANCE'!F85),"",'_INSTANCE'!F85)</x:f>
      </x:c>
      <x:c r="G166" s="530" t="str">
        <x:f>IF(ISBLANK('_INSTANCE'!G85),"",'_INSTANCE'!G85)</x:f>
      </x:c>
      <x:c r="H166" s="530" t="str">
        <x:f>IF(ISBLANK('_INSTANCE'!H85),"",'_INSTANCE'!H85)</x:f>
      </x:c>
      <x:c r="I166" s="530" t="str">
        <x:f>IF(ISBLANK('_INSTANCE'!I85),"",'_INSTANCE'!I85)</x:f>
      </x:c>
      <x:c r="J166" s="530" t="str">
        <x:f>IF(ISBLANK('_INSTANCE'!J85),"",'_INSTANCE'!J85)</x:f>
      </x:c>
      <x:c r="K166" s="38"/>
      <x:c r="L166" s="38"/>
      <x:c r="M166" s="38"/>
      <x:c r="N166" s="38"/>
      <x:c r="O166" s="38"/>
      <x:c r="P166" s="38"/>
      <x:c r="Q166" s="38"/>
    </x:row>
    <x:row r="167">
      <x:c r="A167" s="523" t="str">
        <x:f>IF(ISBLANK('_INSTANCE'!A86),"",'_INSTANCE'!A86)</x:f>
      </x:c>
      <x:c r="B167" s="523" t="str">
        <x:f>IF(ISBLANK('_INSTANCE'!B86),"",'_INSTANCE'!B86)</x:f>
      </x:c>
      <x:c r="C167" s="523" t="str">
        <x:f>IF(ISBLANK('_INSTANCE'!C86),"",'_INSTANCE'!C86)</x:f>
      </x:c>
      <x:c r="D167" s="530" t="str">
        <x:f>IF(ISBLANK('_INSTANCE'!D86),"",'_INSTANCE'!D86)</x:f>
      </x:c>
      <x:c r="E167" s="530" t="str">
        <x:f>IF(ISBLANK('_INSTANCE'!E86),"",'_INSTANCE'!E86)</x:f>
      </x:c>
      <x:c r="F167" s="530" t="str">
        <x:f>IF(ISBLANK('_INSTANCE'!F86),"",'_INSTANCE'!F86)</x:f>
      </x:c>
      <x:c r="G167" s="530" t="str">
        <x:f>IF(ISBLANK('_INSTANCE'!G86),"",'_INSTANCE'!G86)</x:f>
      </x:c>
      <x:c r="H167" s="530" t="str">
        <x:f>IF(ISBLANK('_INSTANCE'!H86),"",'_INSTANCE'!H86)</x:f>
      </x:c>
      <x:c r="I167" s="530" t="str">
        <x:f>IF(ISBLANK('_INSTANCE'!I86),"",'_INSTANCE'!I86)</x:f>
      </x:c>
      <x:c r="J167" s="530" t="str">
        <x:f>IF(ISBLANK('_INSTANCE'!J86),"",'_INSTANCE'!J86)</x:f>
      </x:c>
      <x:c r="K167" s="38"/>
      <x:c r="L167" s="38"/>
      <x:c r="M167" s="38"/>
      <x:c r="N167" s="38"/>
      <x:c r="O167" s="38"/>
      <x:c r="P167" s="38"/>
      <x:c r="Q167" s="38"/>
    </x:row>
    <x:row r="168">
      <x:c r="A168" s="523" t="str">
        <x:f>IF(ISBLANK('_INSTANCE'!A87),"",'_INSTANCE'!A87)</x:f>
      </x:c>
      <x:c r="B168" s="523" t="str">
        <x:f>IF(ISBLANK('_INSTANCE'!B87),"",'_INSTANCE'!B87)</x:f>
      </x:c>
      <x:c r="C168" s="523" t="str">
        <x:f>IF(ISBLANK('_INSTANCE'!C87),"",'_INSTANCE'!C87)</x:f>
      </x:c>
      <x:c r="D168" s="530" t="str">
        <x:f>IF(ISBLANK('_INSTANCE'!D87),"",'_INSTANCE'!D87)</x:f>
      </x:c>
      <x:c r="E168" s="530" t="str">
        <x:f>IF(ISBLANK('_INSTANCE'!E87),"",'_INSTANCE'!E87)</x:f>
      </x:c>
      <x:c r="F168" s="530" t="str">
        <x:f>IF(ISBLANK('_INSTANCE'!F87),"",'_INSTANCE'!F87)</x:f>
      </x:c>
      <x:c r="G168" s="530" t="str">
        <x:f>IF(ISBLANK('_INSTANCE'!G87),"",'_INSTANCE'!G87)</x:f>
      </x:c>
      <x:c r="H168" s="530" t="str">
        <x:f>IF(ISBLANK('_INSTANCE'!H87),"",'_INSTANCE'!H87)</x:f>
      </x:c>
      <x:c r="I168" s="530" t="str">
        <x:f>IF(ISBLANK('_INSTANCE'!I87),"",'_INSTANCE'!I87)</x:f>
      </x:c>
      <x:c r="J168" s="530" t="str">
        <x:f>IF(ISBLANK('_INSTANCE'!J87),"",'_INSTANCE'!J87)</x:f>
      </x:c>
      <x:c r="K168" s="38"/>
      <x:c r="L168" s="38"/>
      <x:c r="M168" s="38"/>
      <x:c r="N168" s="38"/>
      <x:c r="O168" s="38"/>
      <x:c r="P168" s="38"/>
      <x:c r="Q168" s="38"/>
    </x:row>
    <x:row r="169">
      <x:c r="A169" s="523" t="str">
        <x:f>IF(ISBLANK('_INSTANCE'!A88),"",'_INSTANCE'!A88)</x:f>
      </x:c>
      <x:c r="B169" s="523" t="str">
        <x:f>IF(ISBLANK('_INSTANCE'!B88),"",'_INSTANCE'!B88)</x:f>
      </x:c>
      <x:c r="C169" s="523" t="str">
        <x:f>IF(ISBLANK('_INSTANCE'!C88),"",'_INSTANCE'!C88)</x:f>
      </x:c>
      <x:c r="D169" s="530" t="str">
        <x:f>IF(ISBLANK('_INSTANCE'!D88),"",'_INSTANCE'!D88)</x:f>
      </x:c>
      <x:c r="E169" s="530" t="str">
        <x:f>IF(ISBLANK('_INSTANCE'!E88),"",'_INSTANCE'!E88)</x:f>
      </x:c>
      <x:c r="F169" s="530" t="str">
        <x:f>IF(ISBLANK('_INSTANCE'!F88),"",'_INSTANCE'!F88)</x:f>
      </x:c>
      <x:c r="G169" s="530" t="str">
        <x:f>IF(ISBLANK('_INSTANCE'!G88),"",'_INSTANCE'!G88)</x:f>
      </x:c>
      <x:c r="H169" s="530" t="str">
        <x:f>IF(ISBLANK('_INSTANCE'!H88),"",'_INSTANCE'!H88)</x:f>
      </x:c>
      <x:c r="I169" s="530" t="str">
        <x:f>IF(ISBLANK('_INSTANCE'!I88),"",'_INSTANCE'!I88)</x:f>
      </x:c>
      <x:c r="J169" s="530" t="str">
        <x:f>IF(ISBLANK('_INSTANCE'!J88),"",'_INSTANCE'!J88)</x:f>
      </x:c>
      <x:c r="K169" s="38"/>
      <x:c r="L169" s="38"/>
      <x:c r="M169" s="38"/>
      <x:c r="N169" s="38"/>
      <x:c r="O169" s="38"/>
      <x:c r="P169" s="38"/>
      <x:c r="Q169" s="38"/>
    </x:row>
    <x:row r="170">
      <x:c r="A170" s="523" t="str">
        <x:f>IF(ISBLANK('_INSTANCE'!A89),"",'_INSTANCE'!A89)</x:f>
      </x:c>
      <x:c r="B170" s="523" t="str">
        <x:f>IF(ISBLANK('_INSTANCE'!B89),"",'_INSTANCE'!B89)</x:f>
      </x:c>
      <x:c r="C170" s="523" t="str">
        <x:f>IF(ISBLANK('_INSTANCE'!C89),"",'_INSTANCE'!C89)</x:f>
      </x:c>
      <x:c r="D170" s="530" t="str">
        <x:f>IF(ISBLANK('_INSTANCE'!D89),"",'_INSTANCE'!D89)</x:f>
      </x:c>
      <x:c r="E170" s="530" t="str">
        <x:f>IF(ISBLANK('_INSTANCE'!E89),"",'_INSTANCE'!E89)</x:f>
      </x:c>
      <x:c r="F170" s="530" t="str">
        <x:f>IF(ISBLANK('_INSTANCE'!F89),"",'_INSTANCE'!F89)</x:f>
      </x:c>
      <x:c r="G170" s="530" t="str">
        <x:f>IF(ISBLANK('_INSTANCE'!G89),"",'_INSTANCE'!G89)</x:f>
      </x:c>
      <x:c r="H170" s="530" t="str">
        <x:f>IF(ISBLANK('_INSTANCE'!H89),"",'_INSTANCE'!H89)</x:f>
      </x:c>
      <x:c r="I170" s="530" t="str">
        <x:f>IF(ISBLANK('_INSTANCE'!I89),"",'_INSTANCE'!I89)</x:f>
      </x:c>
      <x:c r="J170" s="530" t="str">
        <x:f>IF(ISBLANK('_INSTANCE'!J89),"",'_INSTANCE'!J89)</x:f>
      </x:c>
      <x:c r="K170" s="38"/>
      <x:c r="L170" s="38"/>
      <x:c r="M170" s="38"/>
      <x:c r="N170" s="38"/>
      <x:c r="O170" s="38"/>
      <x:c r="P170" s="38"/>
      <x:c r="Q170" s="38"/>
    </x:row>
    <x:row r="171">
      <x:c r="A171" s="523" t="str">
        <x:f>IF(ISBLANK('_INSTANCE'!A90),"",'_INSTANCE'!A90)</x:f>
      </x:c>
      <x:c r="B171" s="523" t="str">
        <x:f>IF(ISBLANK('_INSTANCE'!B90),"",'_INSTANCE'!B90)</x:f>
      </x:c>
      <x:c r="C171" s="523" t="str">
        <x:f>IF(ISBLANK('_INSTANCE'!C90),"",'_INSTANCE'!C90)</x:f>
      </x:c>
      <x:c r="D171" s="530" t="str">
        <x:f>IF(ISBLANK('_INSTANCE'!D90),"",'_INSTANCE'!D90)</x:f>
      </x:c>
      <x:c r="E171" s="530" t="str">
        <x:f>IF(ISBLANK('_INSTANCE'!E90),"",'_INSTANCE'!E90)</x:f>
      </x:c>
      <x:c r="F171" s="530" t="str">
        <x:f>IF(ISBLANK('_INSTANCE'!F90),"",'_INSTANCE'!F90)</x:f>
      </x:c>
      <x:c r="G171" s="530" t="str">
        <x:f>IF(ISBLANK('_INSTANCE'!G90),"",'_INSTANCE'!G90)</x:f>
      </x:c>
      <x:c r="H171" s="530" t="str">
        <x:f>IF(ISBLANK('_INSTANCE'!H90),"",'_INSTANCE'!H90)</x:f>
      </x:c>
      <x:c r="I171" s="530" t="str">
        <x:f>IF(ISBLANK('_INSTANCE'!I90),"",'_INSTANCE'!I90)</x:f>
      </x:c>
      <x:c r="J171" s="530" t="str">
        <x:f>IF(ISBLANK('_INSTANCE'!J90),"",'_INSTANCE'!J90)</x:f>
      </x:c>
      <x:c r="K171" s="38"/>
      <x:c r="L171" s="38"/>
      <x:c r="M171" s="38"/>
      <x:c r="N171" s="38"/>
      <x:c r="O171" s="38"/>
      <x:c r="P171" s="38"/>
      <x:c r="Q171" s="38"/>
    </x:row>
    <x:row r="172">
      <x:c r="A172" s="523" t="str">
        <x:f>IF(ISBLANK('_INSTANCE'!A91),"",'_INSTANCE'!A91)</x:f>
      </x:c>
      <x:c r="B172" s="523" t="str">
        <x:f>IF(ISBLANK('_INSTANCE'!B91),"",'_INSTANCE'!B91)</x:f>
      </x:c>
      <x:c r="C172" s="523" t="str">
        <x:f>IF(ISBLANK('_INSTANCE'!C91),"",'_INSTANCE'!C91)</x:f>
      </x:c>
      <x:c r="D172" s="530" t="str">
        <x:f>IF(ISBLANK('_INSTANCE'!D91),"",'_INSTANCE'!D91)</x:f>
      </x:c>
      <x:c r="E172" s="530" t="str">
        <x:f>IF(ISBLANK('_INSTANCE'!E91),"",'_INSTANCE'!E91)</x:f>
      </x:c>
      <x:c r="F172" s="530" t="str">
        <x:f>IF(ISBLANK('_INSTANCE'!F91),"",'_INSTANCE'!F91)</x:f>
      </x:c>
      <x:c r="G172" s="530" t="str">
        <x:f>IF(ISBLANK('_INSTANCE'!G91),"",'_INSTANCE'!G91)</x:f>
      </x:c>
      <x:c r="H172" s="530" t="str">
        <x:f>IF(ISBLANK('_INSTANCE'!H91),"",'_INSTANCE'!H91)</x:f>
      </x:c>
      <x:c r="I172" s="530" t="str">
        <x:f>IF(ISBLANK('_INSTANCE'!I91),"",'_INSTANCE'!I91)</x:f>
      </x:c>
      <x:c r="J172" s="530" t="str">
        <x:f>IF(ISBLANK('_INSTANCE'!J91),"",'_INSTANCE'!J91)</x:f>
      </x:c>
      <x:c r="K172" s="38"/>
      <x:c r="L172" s="38"/>
      <x:c r="M172" s="38"/>
      <x:c r="N172" s="38"/>
      <x:c r="O172" s="38"/>
      <x:c r="P172" s="38"/>
      <x:c r="Q172" s="38"/>
    </x:row>
    <x:row r="173">
      <x:c r="A173" s="523" t="str">
        <x:f>IF(ISBLANK('_INSTANCE'!A92),"",'_INSTANCE'!A92)</x:f>
      </x:c>
      <x:c r="B173" s="523" t="str">
        <x:f>IF(ISBLANK('_INSTANCE'!B92),"",'_INSTANCE'!B92)</x:f>
      </x:c>
      <x:c r="C173" s="523" t="str">
        <x:f>IF(ISBLANK('_INSTANCE'!C92),"",'_INSTANCE'!C92)</x:f>
      </x:c>
      <x:c r="D173" s="530" t="str">
        <x:f>IF(ISBLANK('_INSTANCE'!D92),"",'_INSTANCE'!D92)</x:f>
      </x:c>
      <x:c r="E173" s="530" t="str">
        <x:f>IF(ISBLANK('_INSTANCE'!E92),"",'_INSTANCE'!E92)</x:f>
      </x:c>
      <x:c r="F173" s="530" t="str">
        <x:f>IF(ISBLANK('_INSTANCE'!F92),"",'_INSTANCE'!F92)</x:f>
      </x:c>
      <x:c r="G173" s="530" t="str">
        <x:f>IF(ISBLANK('_INSTANCE'!G92),"",'_INSTANCE'!G92)</x:f>
      </x:c>
      <x:c r="H173" s="530" t="str">
        <x:f>IF(ISBLANK('_INSTANCE'!H92),"",'_INSTANCE'!H92)</x:f>
      </x:c>
      <x:c r="I173" s="530" t="str">
        <x:f>IF(ISBLANK('_INSTANCE'!I92),"",'_INSTANCE'!I92)</x:f>
      </x:c>
      <x:c r="J173" s="530" t="str">
        <x:f>IF(ISBLANK('_INSTANCE'!J92),"",'_INSTANCE'!J92)</x:f>
      </x:c>
      <x:c r="K173" s="38"/>
      <x:c r="L173" s="38"/>
      <x:c r="M173" s="38"/>
      <x:c r="N173" s="38"/>
      <x:c r="O173" s="38"/>
      <x:c r="P173" s="38"/>
      <x:c r="Q173" s="38"/>
    </x:row>
    <x:row r="174">
      <x:c r="A174" s="523" t="str">
        <x:f>IF(ISBLANK('_INSTANCE'!A93),"",'_INSTANCE'!A93)</x:f>
      </x:c>
      <x:c r="B174" s="523" t="str">
        <x:f>IF(ISBLANK('_INSTANCE'!B93),"",'_INSTANCE'!B93)</x:f>
      </x:c>
      <x:c r="C174" s="523" t="str">
        <x:f>IF(ISBLANK('_INSTANCE'!C93),"",'_INSTANCE'!C93)</x:f>
      </x:c>
      <x:c r="D174" s="530" t="str">
        <x:f>IF(ISBLANK('_INSTANCE'!D93),"",'_INSTANCE'!D93)</x:f>
      </x:c>
      <x:c r="E174" s="530" t="str">
        <x:f>IF(ISBLANK('_INSTANCE'!E93),"",'_INSTANCE'!E93)</x:f>
      </x:c>
      <x:c r="F174" s="530" t="str">
        <x:f>IF(ISBLANK('_INSTANCE'!F93),"",'_INSTANCE'!F93)</x:f>
      </x:c>
      <x:c r="G174" s="530" t="str">
        <x:f>IF(ISBLANK('_INSTANCE'!G93),"",'_INSTANCE'!G93)</x:f>
      </x:c>
      <x:c r="H174" s="530" t="str">
        <x:f>IF(ISBLANK('_INSTANCE'!H93),"",'_INSTANCE'!H93)</x:f>
      </x:c>
      <x:c r="I174" s="530" t="str">
        <x:f>IF(ISBLANK('_INSTANCE'!I93),"",'_INSTANCE'!I93)</x:f>
      </x:c>
      <x:c r="J174" s="530" t="str">
        <x:f>IF(ISBLANK('_INSTANCE'!J93),"",'_INSTANCE'!J93)</x:f>
      </x:c>
      <x:c r="K174" s="38"/>
      <x:c r="L174" s="38"/>
      <x:c r="M174" s="38"/>
      <x:c r="N174" s="38"/>
      <x:c r="O174" s="38"/>
      <x:c r="P174" s="38"/>
      <x:c r="Q174" s="38"/>
    </x:row>
    <x:row r="175">
      <x:c r="A175" s="523" t="str">
        <x:f>IF(ISBLANK('_INSTANCE'!A94),"",'_INSTANCE'!A94)</x:f>
      </x:c>
      <x:c r="B175" s="523" t="str">
        <x:f>IF(ISBLANK('_INSTANCE'!B94),"",'_INSTANCE'!B94)</x:f>
      </x:c>
      <x:c r="C175" s="523" t="str">
        <x:f>IF(ISBLANK('_INSTANCE'!C94),"",'_INSTANCE'!C94)</x:f>
      </x:c>
      <x:c r="D175" s="530" t="str">
        <x:f>IF(ISBLANK('_INSTANCE'!D94),"",'_INSTANCE'!D94)</x:f>
      </x:c>
      <x:c r="E175" s="530" t="str">
        <x:f>IF(ISBLANK('_INSTANCE'!E94),"",'_INSTANCE'!E94)</x:f>
      </x:c>
      <x:c r="F175" s="530" t="str">
        <x:f>IF(ISBLANK('_INSTANCE'!F94),"",'_INSTANCE'!F94)</x:f>
      </x:c>
      <x:c r="G175" s="530" t="str">
        <x:f>IF(ISBLANK('_INSTANCE'!G94),"",'_INSTANCE'!G94)</x:f>
      </x:c>
      <x:c r="H175" s="530" t="str">
        <x:f>IF(ISBLANK('_INSTANCE'!H94),"",'_INSTANCE'!H94)</x:f>
      </x:c>
      <x:c r="I175" s="530" t="str">
        <x:f>IF(ISBLANK('_INSTANCE'!I94),"",'_INSTANCE'!I94)</x:f>
      </x:c>
      <x:c r="J175" s="530" t="str">
        <x:f>IF(ISBLANK('_INSTANCE'!J94),"",'_INSTANCE'!J94)</x:f>
      </x:c>
      <x:c r="K175" s="38"/>
      <x:c r="L175" s="38"/>
      <x:c r="M175" s="38"/>
      <x:c r="N175" s="38"/>
      <x:c r="O175" s="38"/>
      <x:c r="P175" s="38"/>
      <x:c r="Q175" s="38"/>
    </x:row>
    <x:row r="176">
      <x:c r="A176" s="523" t="str">
        <x:f>IF(ISBLANK('_INSTANCE'!A95),"",'_INSTANCE'!A95)</x:f>
      </x:c>
      <x:c r="B176" s="523" t="str">
        <x:f>IF(ISBLANK('_INSTANCE'!B95),"",'_INSTANCE'!B95)</x:f>
      </x:c>
      <x:c r="C176" s="523" t="str">
        <x:f>IF(ISBLANK('_INSTANCE'!C95),"",'_INSTANCE'!C95)</x:f>
      </x:c>
      <x:c r="D176" s="530" t="str">
        <x:f>IF(ISBLANK('_INSTANCE'!D95),"",'_INSTANCE'!D95)</x:f>
      </x:c>
      <x:c r="E176" s="530" t="str">
        <x:f>IF(ISBLANK('_INSTANCE'!E95),"",'_INSTANCE'!E95)</x:f>
      </x:c>
      <x:c r="F176" s="530" t="str">
        <x:f>IF(ISBLANK('_INSTANCE'!F95),"",'_INSTANCE'!F95)</x:f>
      </x:c>
      <x:c r="G176" s="530" t="str">
        <x:f>IF(ISBLANK('_INSTANCE'!G95),"",'_INSTANCE'!G95)</x:f>
      </x:c>
      <x:c r="H176" s="530" t="str">
        <x:f>IF(ISBLANK('_INSTANCE'!H95),"",'_INSTANCE'!H95)</x:f>
      </x:c>
      <x:c r="I176" s="530" t="str">
        <x:f>IF(ISBLANK('_INSTANCE'!I95),"",'_INSTANCE'!I95)</x:f>
      </x:c>
      <x:c r="J176" s="530" t="str">
        <x:f>IF(ISBLANK('_INSTANCE'!J95),"",'_INSTANCE'!J95)</x:f>
      </x:c>
      <x:c r="K176" s="38"/>
      <x:c r="L176" s="38"/>
      <x:c r="M176" s="38"/>
      <x:c r="N176" s="38"/>
      <x:c r="O176" s="38"/>
      <x:c r="P176" s="38"/>
      <x:c r="Q176" s="38"/>
    </x:row>
    <x:row r="177">
      <x:c r="A177" s="523" t="str">
        <x:f>IF(ISBLANK('_INSTANCE'!A96),"",'_INSTANCE'!A96)</x:f>
      </x:c>
      <x:c r="B177" s="523" t="str">
        <x:f>IF(ISBLANK('_INSTANCE'!B96),"",'_INSTANCE'!B96)</x:f>
      </x:c>
      <x:c r="C177" s="523" t="str">
        <x:f>IF(ISBLANK('_INSTANCE'!C96),"",'_INSTANCE'!C96)</x:f>
      </x:c>
      <x:c r="D177" s="530" t="str">
        <x:f>IF(ISBLANK('_INSTANCE'!D96),"",'_INSTANCE'!D96)</x:f>
      </x:c>
      <x:c r="E177" s="530" t="str">
        <x:f>IF(ISBLANK('_INSTANCE'!E96),"",'_INSTANCE'!E96)</x:f>
      </x:c>
      <x:c r="F177" s="530" t="str">
        <x:f>IF(ISBLANK('_INSTANCE'!F96),"",'_INSTANCE'!F96)</x:f>
      </x:c>
      <x:c r="G177" s="530" t="str">
        <x:f>IF(ISBLANK('_INSTANCE'!G96),"",'_INSTANCE'!G96)</x:f>
      </x:c>
      <x:c r="H177" s="530" t="str">
        <x:f>IF(ISBLANK('_INSTANCE'!H96),"",'_INSTANCE'!H96)</x:f>
      </x:c>
      <x:c r="I177" s="530" t="str">
        <x:f>IF(ISBLANK('_INSTANCE'!I96),"",'_INSTANCE'!I96)</x:f>
      </x:c>
      <x:c r="J177" s="530" t="str">
        <x:f>IF(ISBLANK('_INSTANCE'!J96),"",'_INSTANCE'!J96)</x:f>
      </x:c>
      <x:c r="K177" s="38"/>
      <x:c r="L177" s="38"/>
      <x:c r="M177" s="38"/>
      <x:c r="N177" s="38"/>
      <x:c r="O177" s="38"/>
      <x:c r="P177" s="38"/>
      <x:c r="Q177" s="38"/>
    </x:row>
    <x:row r="178">
      <x:c r="A178" s="523" t="str">
        <x:f>IF(ISBLANK('_INSTANCE'!A97),"",'_INSTANCE'!A97)</x:f>
      </x:c>
      <x:c r="B178" s="523" t="str">
        <x:f>IF(ISBLANK('_INSTANCE'!B97),"",'_INSTANCE'!B97)</x:f>
      </x:c>
      <x:c r="C178" s="523" t="str">
        <x:f>IF(ISBLANK('_INSTANCE'!C97),"",'_INSTANCE'!C97)</x:f>
      </x:c>
      <x:c r="D178" s="530" t="str">
        <x:f>IF(ISBLANK('_INSTANCE'!D97),"",'_INSTANCE'!D97)</x:f>
      </x:c>
      <x:c r="E178" s="530" t="str">
        <x:f>IF(ISBLANK('_INSTANCE'!E97),"",'_INSTANCE'!E97)</x:f>
      </x:c>
      <x:c r="F178" s="530" t="str">
        <x:f>IF(ISBLANK('_INSTANCE'!F97),"",'_INSTANCE'!F97)</x:f>
      </x:c>
      <x:c r="G178" s="530" t="str">
        <x:f>IF(ISBLANK('_INSTANCE'!G97),"",'_INSTANCE'!G97)</x:f>
      </x:c>
      <x:c r="H178" s="530" t="str">
        <x:f>IF(ISBLANK('_INSTANCE'!H97),"",'_INSTANCE'!H97)</x:f>
      </x:c>
      <x:c r="I178" s="530" t="str">
        <x:f>IF(ISBLANK('_INSTANCE'!I97),"",'_INSTANCE'!I97)</x:f>
      </x:c>
      <x:c r="J178" s="530" t="str">
        <x:f>IF(ISBLANK('_INSTANCE'!J97),"",'_INSTANCE'!J97)</x:f>
      </x:c>
      <x:c r="K178" s="38"/>
      <x:c r="L178" s="38"/>
      <x:c r="M178" s="38"/>
      <x:c r="N178" s="38"/>
      <x:c r="O178" s="38"/>
      <x:c r="P178" s="38"/>
      <x:c r="Q178" s="38"/>
    </x:row>
    <x:row r="179">
      <x:c r="A179" s="523" t="str">
        <x:f>IF(ISBLANK('_INSTANCE'!A98),"",'_INSTANCE'!A98)</x:f>
      </x:c>
      <x:c r="B179" s="523" t="str">
        <x:f>IF(ISBLANK('_INSTANCE'!B98),"",'_INSTANCE'!B98)</x:f>
      </x:c>
      <x:c r="C179" s="523" t="str">
        <x:f>IF(ISBLANK('_INSTANCE'!C98),"",'_INSTANCE'!C98)</x:f>
      </x:c>
      <x:c r="D179" s="530" t="str">
        <x:f>IF(ISBLANK('_INSTANCE'!D98),"",'_INSTANCE'!D98)</x:f>
      </x:c>
      <x:c r="E179" s="530" t="str">
        <x:f>IF(ISBLANK('_INSTANCE'!E98),"",'_INSTANCE'!E98)</x:f>
      </x:c>
      <x:c r="F179" s="530" t="str">
        <x:f>IF(ISBLANK('_INSTANCE'!F98),"",'_INSTANCE'!F98)</x:f>
      </x:c>
      <x:c r="G179" s="530" t="str">
        <x:f>IF(ISBLANK('_INSTANCE'!G98),"",'_INSTANCE'!G98)</x:f>
      </x:c>
      <x:c r="H179" s="530" t="str">
        <x:f>IF(ISBLANK('_INSTANCE'!H98),"",'_INSTANCE'!H98)</x:f>
      </x:c>
      <x:c r="I179" s="530" t="str">
        <x:f>IF(ISBLANK('_INSTANCE'!I98),"",'_INSTANCE'!I98)</x:f>
      </x:c>
      <x:c r="J179" s="530" t="str">
        <x:f>IF(ISBLANK('_INSTANCE'!J98),"",'_INSTANCE'!J98)</x:f>
      </x:c>
      <x:c r="K179" s="38"/>
      <x:c r="L179" s="38"/>
      <x:c r="M179" s="38"/>
      <x:c r="N179" s="38"/>
      <x:c r="O179" s="38"/>
      <x:c r="P179" s="38"/>
      <x:c r="Q179" s="38"/>
    </x:row>
    <x:row r="180">
      <x:c r="A180" s="523" t="str">
        <x:f>IF(ISBLANK('_INSTANCE'!A99),"",'_INSTANCE'!A99)</x:f>
      </x:c>
      <x:c r="B180" s="523" t="str">
        <x:f>IF(ISBLANK('_INSTANCE'!B99),"",'_INSTANCE'!B99)</x:f>
      </x:c>
      <x:c r="C180" s="523" t="str">
        <x:f>IF(ISBLANK('_INSTANCE'!C99),"",'_INSTANCE'!C99)</x:f>
      </x:c>
      <x:c r="D180" s="530" t="str">
        <x:f>IF(ISBLANK('_INSTANCE'!D99),"",'_INSTANCE'!D99)</x:f>
      </x:c>
      <x:c r="E180" s="530" t="str">
        <x:f>IF(ISBLANK('_INSTANCE'!E99),"",'_INSTANCE'!E99)</x:f>
      </x:c>
      <x:c r="F180" s="530" t="str">
        <x:f>IF(ISBLANK('_INSTANCE'!F99),"",'_INSTANCE'!F99)</x:f>
      </x:c>
      <x:c r="G180" s="530" t="str">
        <x:f>IF(ISBLANK('_INSTANCE'!G99),"",'_INSTANCE'!G99)</x:f>
      </x:c>
      <x:c r="H180" s="530" t="str">
        <x:f>IF(ISBLANK('_INSTANCE'!H99),"",'_INSTANCE'!H99)</x:f>
      </x:c>
      <x:c r="I180" s="530" t="str">
        <x:f>IF(ISBLANK('_INSTANCE'!I99),"",'_INSTANCE'!I99)</x:f>
      </x:c>
      <x:c r="J180" s="530" t="str">
        <x:f>IF(ISBLANK('_INSTANCE'!J99),"",'_INSTANCE'!J99)</x:f>
      </x:c>
      <x:c r="K180" s="38"/>
      <x:c r="L180" s="38"/>
      <x:c r="M180" s="38"/>
      <x:c r="N180" s="38"/>
      <x:c r="O180" s="38"/>
      <x:c r="P180" s="38"/>
      <x:c r="Q180" s="38"/>
    </x:row>
    <x:row r="181">
      <x:c r="A181" s="523" t="str">
        <x:f>IF(ISBLANK('_INSTANCE'!A100),"",'_INSTANCE'!A100)</x:f>
      </x:c>
      <x:c r="B181" s="523" t="str">
        <x:f>IF(ISBLANK('_INSTANCE'!B100),"",'_INSTANCE'!B100)</x:f>
      </x:c>
      <x:c r="C181" s="523" t="str">
        <x:f>IF(ISBLANK('_INSTANCE'!C100),"",'_INSTANCE'!C100)</x:f>
      </x:c>
      <x:c r="D181" s="530" t="str">
        <x:f>IF(ISBLANK('_INSTANCE'!D100),"",'_INSTANCE'!D100)</x:f>
      </x:c>
      <x:c r="E181" s="530" t="str">
        <x:f>IF(ISBLANK('_INSTANCE'!E100),"",'_INSTANCE'!E100)</x:f>
      </x:c>
      <x:c r="F181" s="530" t="str">
        <x:f>IF(ISBLANK('_INSTANCE'!F100),"",'_INSTANCE'!F100)</x:f>
      </x:c>
      <x:c r="G181" s="530" t="str">
        <x:f>IF(ISBLANK('_INSTANCE'!G100),"",'_INSTANCE'!G100)</x:f>
      </x:c>
      <x:c r="H181" s="530" t="str">
        <x:f>IF(ISBLANK('_INSTANCE'!H100),"",'_INSTANCE'!H100)</x:f>
      </x:c>
      <x:c r="I181" s="530" t="str">
        <x:f>IF(ISBLANK('_INSTANCE'!I100),"",'_INSTANCE'!I100)</x:f>
      </x:c>
      <x:c r="J181" s="530" t="str">
        <x:f>IF(ISBLANK('_INSTANCE'!J100),"",'_INSTANCE'!J100)</x:f>
      </x:c>
      <x:c r="K181" s="38"/>
      <x:c r="L181" s="38"/>
      <x:c r="M181" s="38"/>
      <x:c r="N181" s="38"/>
      <x:c r="O181" s="38"/>
      <x:c r="P181" s="38"/>
      <x:c r="Q181" s="38"/>
    </x:row>
    <x:row r="182">
      <x:c r="A182" s="523" t="str">
        <x:f>IF(ISBLANK('_INSTANCE'!A101),"",'_INSTANCE'!A101)</x:f>
      </x:c>
      <x:c r="B182" s="523" t="str">
        <x:f>IF(ISBLANK('_INSTANCE'!B101),"",'_INSTANCE'!B101)</x:f>
      </x:c>
      <x:c r="C182" s="523" t="str">
        <x:f>IF(ISBLANK('_INSTANCE'!C101),"",'_INSTANCE'!C101)</x:f>
      </x:c>
      <x:c r="D182" s="530" t="str">
        <x:f>IF(ISBLANK('_INSTANCE'!D101),"",'_INSTANCE'!D101)</x:f>
      </x:c>
      <x:c r="E182" s="530" t="str">
        <x:f>IF(ISBLANK('_INSTANCE'!E101),"",'_INSTANCE'!E101)</x:f>
      </x:c>
      <x:c r="F182" s="530" t="str">
        <x:f>IF(ISBLANK('_INSTANCE'!F101),"",'_INSTANCE'!F101)</x:f>
      </x:c>
      <x:c r="G182" s="530" t="str">
        <x:f>IF(ISBLANK('_INSTANCE'!G101),"",'_INSTANCE'!G101)</x:f>
      </x:c>
      <x:c r="H182" s="530" t="str">
        <x:f>IF(ISBLANK('_INSTANCE'!H101),"",'_INSTANCE'!H101)</x:f>
      </x:c>
      <x:c r="I182" s="530" t="str">
        <x:f>IF(ISBLANK('_INSTANCE'!I101),"",'_INSTANCE'!I101)</x:f>
      </x:c>
      <x:c r="J182" s="530" t="str">
        <x:f>IF(ISBLANK('_INSTANCE'!J101),"",'_INSTANCE'!J101)</x:f>
      </x:c>
      <x:c r="K182" s="38"/>
      <x:c r="L182" s="38"/>
      <x:c r="M182" s="38"/>
      <x:c r="N182" s="38"/>
      <x:c r="O182" s="38"/>
      <x:c r="P182" s="38"/>
      <x:c r="Q182" s="38"/>
    </x:row>
    <x:row r="183">
      <x:c r="A183" s="523" t="str">
        <x:f>IF(ISBLANK('_INSTANCE'!A102),"",'_INSTANCE'!A102)</x:f>
      </x:c>
      <x:c r="B183" s="523" t="str">
        <x:f>IF(ISBLANK('_INSTANCE'!B102),"",'_INSTANCE'!B102)</x:f>
      </x:c>
      <x:c r="C183" s="523" t="str">
        <x:f>IF(ISBLANK('_INSTANCE'!C102),"",'_INSTANCE'!C102)</x:f>
      </x:c>
      <x:c r="D183" s="530" t="str">
        <x:f>IF(ISBLANK('_INSTANCE'!D102),"",'_INSTANCE'!D102)</x:f>
      </x:c>
      <x:c r="E183" s="530" t="str">
        <x:f>IF(ISBLANK('_INSTANCE'!E102),"",'_INSTANCE'!E102)</x:f>
      </x:c>
      <x:c r="F183" s="530" t="str">
        <x:f>IF(ISBLANK('_INSTANCE'!F102),"",'_INSTANCE'!F102)</x:f>
      </x:c>
      <x:c r="G183" s="530" t="str">
        <x:f>IF(ISBLANK('_INSTANCE'!G102),"",'_INSTANCE'!G102)</x:f>
      </x:c>
      <x:c r="H183" s="530" t="str">
        <x:f>IF(ISBLANK('_INSTANCE'!H102),"",'_INSTANCE'!H102)</x:f>
      </x:c>
      <x:c r="I183" s="530" t="str">
        <x:f>IF(ISBLANK('_INSTANCE'!I102),"",'_INSTANCE'!I102)</x:f>
      </x:c>
      <x:c r="J183" s="530" t="str">
        <x:f>IF(ISBLANK('_INSTANCE'!J102),"",'_INSTANCE'!J102)</x:f>
      </x:c>
      <x:c r="K183" s="38"/>
      <x:c r="L183" s="38"/>
      <x:c r="M183" s="38"/>
      <x:c r="N183" s="38"/>
      <x:c r="O183" s="38"/>
      <x:c r="P183" s="38"/>
      <x:c r="Q183" s="38"/>
    </x:row>
    <x:row r="184">
      <x:c r="A184" s="523" t="str">
        <x:f>IF(ISBLANK('_INSTANCE'!A103),"",'_INSTANCE'!A103)</x:f>
      </x:c>
      <x:c r="B184" s="523" t="str">
        <x:f>IF(ISBLANK('_INSTANCE'!B103),"",'_INSTANCE'!B103)</x:f>
      </x:c>
      <x:c r="C184" s="523" t="str">
        <x:f>IF(ISBLANK('_INSTANCE'!C103),"",'_INSTANCE'!C103)</x:f>
      </x:c>
      <x:c r="D184" s="530" t="str">
        <x:f>IF(ISBLANK('_INSTANCE'!D103),"",'_INSTANCE'!D103)</x:f>
      </x:c>
      <x:c r="E184" s="530" t="str">
        <x:f>IF(ISBLANK('_INSTANCE'!E103),"",'_INSTANCE'!E103)</x:f>
      </x:c>
      <x:c r="F184" s="530" t="str">
        <x:f>IF(ISBLANK('_INSTANCE'!F103),"",'_INSTANCE'!F103)</x:f>
      </x:c>
      <x:c r="G184" s="530" t="str">
        <x:f>IF(ISBLANK('_INSTANCE'!G103),"",'_INSTANCE'!G103)</x:f>
      </x:c>
      <x:c r="H184" s="530" t="str">
        <x:f>IF(ISBLANK('_INSTANCE'!H103),"",'_INSTANCE'!H103)</x:f>
      </x:c>
      <x:c r="I184" s="530" t="str">
        <x:f>IF(ISBLANK('_INSTANCE'!I103),"",'_INSTANCE'!I103)</x:f>
      </x:c>
      <x:c r="J184" s="530" t="str">
        <x:f>IF(ISBLANK('_INSTANCE'!J103),"",'_INSTANCE'!J103)</x:f>
      </x:c>
      <x:c r="K184" s="38"/>
      <x:c r="L184" s="38"/>
      <x:c r="M184" s="38"/>
      <x:c r="N184" s="38"/>
      <x:c r="O184" s="38"/>
      <x:c r="P184" s="38"/>
      <x:c r="Q184" s="38"/>
    </x:row>
    <x:row r="185">
      <x:c r="A185" s="523" t="str">
        <x:f>IF(ISBLANK('_INSTANCE'!A104),"",'_INSTANCE'!A104)</x:f>
      </x:c>
      <x:c r="B185" s="523" t="str">
        <x:f>IF(ISBLANK('_INSTANCE'!B104),"",'_INSTANCE'!B104)</x:f>
      </x:c>
      <x:c r="C185" s="523" t="str">
        <x:f>IF(ISBLANK('_INSTANCE'!C104),"",'_INSTANCE'!C104)</x:f>
      </x:c>
      <x:c r="D185" s="530" t="str">
        <x:f>IF(ISBLANK('_INSTANCE'!D104),"",'_INSTANCE'!D104)</x:f>
      </x:c>
      <x:c r="E185" s="530" t="str">
        <x:f>IF(ISBLANK('_INSTANCE'!E104),"",'_INSTANCE'!E104)</x:f>
      </x:c>
      <x:c r="F185" s="530" t="str">
        <x:f>IF(ISBLANK('_INSTANCE'!F104),"",'_INSTANCE'!F104)</x:f>
      </x:c>
      <x:c r="G185" s="530" t="str">
        <x:f>IF(ISBLANK('_INSTANCE'!G104),"",'_INSTANCE'!G104)</x:f>
      </x:c>
      <x:c r="H185" s="530" t="str">
        <x:f>IF(ISBLANK('_INSTANCE'!H104),"",'_INSTANCE'!H104)</x:f>
      </x:c>
      <x:c r="I185" s="530" t="str">
        <x:f>IF(ISBLANK('_INSTANCE'!I104),"",'_INSTANCE'!I104)</x:f>
      </x:c>
      <x:c r="J185" s="530" t="str">
        <x:f>IF(ISBLANK('_INSTANCE'!J104),"",'_INSTANCE'!J104)</x:f>
      </x:c>
      <x:c r="K185" s="38"/>
      <x:c r="L185" s="38"/>
      <x:c r="M185" s="38"/>
      <x:c r="N185" s="38"/>
      <x:c r="O185" s="38"/>
      <x:c r="P185" s="38"/>
      <x:c r="Q185" s="38"/>
    </x:row>
    <x:row r="186">
      <x:c r="A186" s="523" t="str">
        <x:f>IF(ISBLANK('_INSTANCE'!A105),"",'_INSTANCE'!A105)</x:f>
      </x:c>
      <x:c r="B186" s="523" t="str">
        <x:f>IF(ISBLANK('_INSTANCE'!B105),"",'_INSTANCE'!B105)</x:f>
      </x:c>
      <x:c r="C186" s="523" t="str">
        <x:f>IF(ISBLANK('_INSTANCE'!C105),"",'_INSTANCE'!C105)</x:f>
      </x:c>
      <x:c r="D186" s="530" t="str">
        <x:f>IF(ISBLANK('_INSTANCE'!D105),"",'_INSTANCE'!D105)</x:f>
      </x:c>
      <x:c r="E186" s="530" t="str">
        <x:f>IF(ISBLANK('_INSTANCE'!E105),"",'_INSTANCE'!E105)</x:f>
      </x:c>
      <x:c r="F186" s="530" t="str">
        <x:f>IF(ISBLANK('_INSTANCE'!F105),"",'_INSTANCE'!F105)</x:f>
      </x:c>
      <x:c r="G186" s="530" t="str">
        <x:f>IF(ISBLANK('_INSTANCE'!G105),"",'_INSTANCE'!G105)</x:f>
      </x:c>
      <x:c r="H186" s="530" t="str">
        <x:f>IF(ISBLANK('_INSTANCE'!H105),"",'_INSTANCE'!H105)</x:f>
      </x:c>
      <x:c r="I186" s="530" t="str">
        <x:f>IF(ISBLANK('_INSTANCE'!I105),"",'_INSTANCE'!I105)</x:f>
      </x:c>
      <x:c r="J186" s="530" t="str">
        <x:f>IF(ISBLANK('_INSTANCE'!J105),"",'_INSTANCE'!J105)</x:f>
      </x:c>
      <x:c r="K186" s="38"/>
      <x:c r="L186" s="38"/>
      <x:c r="M186" s="38"/>
      <x:c r="N186" s="38"/>
      <x:c r="O186" s="38"/>
      <x:c r="P186" s="38"/>
      <x:c r="Q186" s="38"/>
    </x:row>
    <x:row r="187">
      <x:c r="A187" s="523" t="str">
        <x:f>IF(ISBLANK('_INSTANCE'!A106),"",'_INSTANCE'!A106)</x:f>
      </x:c>
      <x:c r="B187" s="523" t="str">
        <x:f>IF(ISBLANK('_INSTANCE'!B106),"",'_INSTANCE'!B106)</x:f>
      </x:c>
      <x:c r="C187" s="523" t="str">
        <x:f>IF(ISBLANK('_INSTANCE'!C106),"",'_INSTANCE'!C106)</x:f>
      </x:c>
      <x:c r="D187" s="530" t="str">
        <x:f>IF(ISBLANK('_INSTANCE'!D106),"",'_INSTANCE'!D106)</x:f>
      </x:c>
      <x:c r="E187" s="530" t="str">
        <x:f>IF(ISBLANK('_INSTANCE'!E106),"",'_INSTANCE'!E106)</x:f>
      </x:c>
      <x:c r="F187" s="530" t="str">
        <x:f>IF(ISBLANK('_INSTANCE'!F106),"",'_INSTANCE'!F106)</x:f>
      </x:c>
      <x:c r="G187" s="530" t="str">
        <x:f>IF(ISBLANK('_INSTANCE'!G106),"",'_INSTANCE'!G106)</x:f>
      </x:c>
      <x:c r="H187" s="530" t="str">
        <x:f>IF(ISBLANK('_INSTANCE'!H106),"",'_INSTANCE'!H106)</x:f>
      </x:c>
      <x:c r="I187" s="530" t="str">
        <x:f>IF(ISBLANK('_INSTANCE'!I106),"",'_INSTANCE'!I106)</x:f>
      </x:c>
      <x:c r="J187" s="530" t="str">
        <x:f>IF(ISBLANK('_INSTANCE'!J106),"",'_INSTANCE'!J106)</x:f>
      </x:c>
      <x:c r="K187" s="38"/>
      <x:c r="L187" s="38"/>
      <x:c r="M187" s="38"/>
      <x:c r="N187" s="38"/>
      <x:c r="O187" s="38"/>
      <x:c r="P187" s="38"/>
      <x:c r="Q187" s="38"/>
    </x:row>
    <x:row r="188">
      <x:c r="A188" s="523" t="str">
        <x:f>IF(ISBLANK('_INSTANCE'!A107),"",'_INSTANCE'!A107)</x:f>
      </x:c>
      <x:c r="B188" s="523" t="str">
        <x:f>IF(ISBLANK('_INSTANCE'!B107),"",'_INSTANCE'!B107)</x:f>
      </x:c>
      <x:c r="C188" s="523" t="str">
        <x:f>IF(ISBLANK('_INSTANCE'!C107),"",'_INSTANCE'!C107)</x:f>
      </x:c>
      <x:c r="D188" s="530" t="str">
        <x:f>IF(ISBLANK('_INSTANCE'!D107),"",'_INSTANCE'!D107)</x:f>
      </x:c>
      <x:c r="E188" s="530" t="str">
        <x:f>IF(ISBLANK('_INSTANCE'!E107),"",'_INSTANCE'!E107)</x:f>
      </x:c>
      <x:c r="F188" s="530" t="str">
        <x:f>IF(ISBLANK('_INSTANCE'!F107),"",'_INSTANCE'!F107)</x:f>
      </x:c>
      <x:c r="G188" s="530" t="str">
        <x:f>IF(ISBLANK('_INSTANCE'!G107),"",'_INSTANCE'!G107)</x:f>
      </x:c>
      <x:c r="H188" s="530" t="str">
        <x:f>IF(ISBLANK('_INSTANCE'!H107),"",'_INSTANCE'!H107)</x:f>
      </x:c>
      <x:c r="I188" s="530" t="str">
        <x:f>IF(ISBLANK('_INSTANCE'!I107),"",'_INSTANCE'!I107)</x:f>
      </x:c>
      <x:c r="J188" s="530" t="str">
        <x:f>IF(ISBLANK('_INSTANCE'!J107),"",'_INSTANCE'!J107)</x:f>
      </x:c>
      <x:c r="K188" s="38"/>
      <x:c r="L188" s="38"/>
      <x:c r="M188" s="38"/>
      <x:c r="N188" s="38"/>
      <x:c r="O188" s="38"/>
      <x:c r="P188" s="38"/>
      <x:c r="Q188" s="38"/>
    </x:row>
    <x:row r="189">
      <x:c r="A189" s="523" t="str">
        <x:f>IF(ISBLANK('_INSTANCE'!A108),"",'_INSTANCE'!A108)</x:f>
      </x:c>
      <x:c r="B189" s="523" t="str">
        <x:f>IF(ISBLANK('_INSTANCE'!B108),"",'_INSTANCE'!B108)</x:f>
      </x:c>
      <x:c r="C189" s="523" t="str">
        <x:f>IF(ISBLANK('_INSTANCE'!C108),"",'_INSTANCE'!C108)</x:f>
      </x:c>
      <x:c r="D189" s="530" t="str">
        <x:f>IF(ISBLANK('_INSTANCE'!D108),"",'_INSTANCE'!D108)</x:f>
      </x:c>
      <x:c r="E189" s="530" t="str">
        <x:f>IF(ISBLANK('_INSTANCE'!E108),"",'_INSTANCE'!E108)</x:f>
      </x:c>
      <x:c r="F189" s="530" t="str">
        <x:f>IF(ISBLANK('_INSTANCE'!F108),"",'_INSTANCE'!F108)</x:f>
      </x:c>
      <x:c r="G189" s="530" t="str">
        <x:f>IF(ISBLANK('_INSTANCE'!G108),"",'_INSTANCE'!G108)</x:f>
      </x:c>
      <x:c r="H189" s="530" t="str">
        <x:f>IF(ISBLANK('_INSTANCE'!H108),"",'_INSTANCE'!H108)</x:f>
      </x:c>
      <x:c r="I189" s="530" t="str">
        <x:f>IF(ISBLANK('_INSTANCE'!I108),"",'_INSTANCE'!I108)</x:f>
      </x:c>
      <x:c r="J189" s="530" t="str">
        <x:f>IF(ISBLANK('_INSTANCE'!J108),"",'_INSTANCE'!J108)</x:f>
      </x:c>
      <x:c r="K189" s="38"/>
      <x:c r="L189" s="38"/>
      <x:c r="M189" s="38"/>
      <x:c r="N189" s="38"/>
      <x:c r="O189" s="38"/>
      <x:c r="P189" s="38"/>
      <x:c r="Q189" s="38"/>
    </x:row>
    <x:row r="190">
      <x:c r="A190" s="523" t="str">
        <x:f>IF(ISBLANK('_INSTANCE'!A109),"",'_INSTANCE'!A109)</x:f>
      </x:c>
      <x:c r="B190" s="523" t="str">
        <x:f>IF(ISBLANK('_INSTANCE'!B109),"",'_INSTANCE'!B109)</x:f>
      </x:c>
      <x:c r="C190" s="523" t="str">
        <x:f>IF(ISBLANK('_INSTANCE'!C109),"",'_INSTANCE'!C109)</x:f>
      </x:c>
      <x:c r="D190" s="530" t="str">
        <x:f>IF(ISBLANK('_INSTANCE'!D109),"",'_INSTANCE'!D109)</x:f>
      </x:c>
      <x:c r="E190" s="530" t="str">
        <x:f>IF(ISBLANK('_INSTANCE'!E109),"",'_INSTANCE'!E109)</x:f>
      </x:c>
      <x:c r="F190" s="530" t="str">
        <x:f>IF(ISBLANK('_INSTANCE'!F109),"",'_INSTANCE'!F109)</x:f>
      </x:c>
      <x:c r="G190" s="530" t="str">
        <x:f>IF(ISBLANK('_INSTANCE'!G109),"",'_INSTANCE'!G109)</x:f>
      </x:c>
      <x:c r="H190" s="530" t="str">
        <x:f>IF(ISBLANK('_INSTANCE'!H109),"",'_INSTANCE'!H109)</x:f>
      </x:c>
      <x:c r="I190" s="530" t="str">
        <x:f>IF(ISBLANK('_INSTANCE'!I109),"",'_INSTANCE'!I109)</x:f>
      </x:c>
      <x:c r="J190" s="530" t="str">
        <x:f>IF(ISBLANK('_INSTANCE'!J109),"",'_INSTANCE'!J109)</x:f>
      </x:c>
      <x:c r="K190" s="38"/>
      <x:c r="L190" s="38"/>
      <x:c r="M190" s="38"/>
      <x:c r="N190" s="38"/>
      <x:c r="O190" s="38"/>
      <x:c r="P190" s="38"/>
      <x:c r="Q190" s="38"/>
    </x:row>
    <x:row r="191">
      <x:c r="A191" s="523" t="str">
        <x:f>IF(ISBLANK('_INSTANCE'!A110),"",'_INSTANCE'!A110)</x:f>
      </x:c>
      <x:c r="B191" s="523" t="str">
        <x:f>IF(ISBLANK('_INSTANCE'!B110),"",'_INSTANCE'!B110)</x:f>
      </x:c>
      <x:c r="C191" s="523" t="str">
        <x:f>IF(ISBLANK('_INSTANCE'!C110),"",'_INSTANCE'!C110)</x:f>
      </x:c>
      <x:c r="D191" s="530" t="str">
        <x:f>IF(ISBLANK('_INSTANCE'!D110),"",'_INSTANCE'!D110)</x:f>
      </x:c>
      <x:c r="E191" s="530" t="str">
        <x:f>IF(ISBLANK('_INSTANCE'!E110),"",'_INSTANCE'!E110)</x:f>
      </x:c>
      <x:c r="F191" s="530" t="str">
        <x:f>IF(ISBLANK('_INSTANCE'!F110),"",'_INSTANCE'!F110)</x:f>
      </x:c>
      <x:c r="G191" s="530" t="str">
        <x:f>IF(ISBLANK('_INSTANCE'!G110),"",'_INSTANCE'!G110)</x:f>
      </x:c>
      <x:c r="H191" s="530" t="str">
        <x:f>IF(ISBLANK('_INSTANCE'!H110),"",'_INSTANCE'!H110)</x:f>
      </x:c>
      <x:c r="I191" s="530" t="str">
        <x:f>IF(ISBLANK('_INSTANCE'!I110),"",'_INSTANCE'!I110)</x:f>
      </x:c>
      <x:c r="J191" s="530" t="str">
        <x:f>IF(ISBLANK('_INSTANCE'!J110),"",'_INSTANCE'!J110)</x:f>
      </x:c>
      <x:c r="K191" s="38"/>
      <x:c r="L191" s="38"/>
      <x:c r="M191" s="38"/>
      <x:c r="N191" s="38"/>
      <x:c r="O191" s="38"/>
      <x:c r="P191" s="38"/>
      <x:c r="Q191" s="38"/>
    </x:row>
    <x:row r="192">
      <x:c r="A192" s="523" t="str">
        <x:f>IF(ISBLANK('_INSTANCE'!A111),"",'_INSTANCE'!A111)</x:f>
      </x:c>
      <x:c r="B192" s="523" t="str">
        <x:f>IF(ISBLANK('_INSTANCE'!B111),"",'_INSTANCE'!B111)</x:f>
      </x:c>
      <x:c r="C192" s="523" t="str">
        <x:f>IF(ISBLANK('_INSTANCE'!C111),"",'_INSTANCE'!C111)</x:f>
      </x:c>
      <x:c r="D192" s="530" t="str">
        <x:f>IF(ISBLANK('_INSTANCE'!D111),"",'_INSTANCE'!D111)</x:f>
      </x:c>
      <x:c r="E192" s="530" t="str">
        <x:f>IF(ISBLANK('_INSTANCE'!E111),"",'_INSTANCE'!E111)</x:f>
      </x:c>
      <x:c r="F192" s="530" t="str">
        <x:f>IF(ISBLANK('_INSTANCE'!F111),"",'_INSTANCE'!F111)</x:f>
      </x:c>
      <x:c r="G192" s="530" t="str">
        <x:f>IF(ISBLANK('_INSTANCE'!G111),"",'_INSTANCE'!G111)</x:f>
      </x:c>
      <x:c r="H192" s="530" t="str">
        <x:f>IF(ISBLANK('_INSTANCE'!H111),"",'_INSTANCE'!H111)</x:f>
      </x:c>
      <x:c r="I192" s="530" t="str">
        <x:f>IF(ISBLANK('_INSTANCE'!I111),"",'_INSTANCE'!I111)</x:f>
      </x:c>
      <x:c r="J192" s="530" t="str">
        <x:f>IF(ISBLANK('_INSTANCE'!J111),"",'_INSTANCE'!J111)</x:f>
      </x:c>
      <x:c r="K192" s="38"/>
      <x:c r="L192" s="38"/>
      <x:c r="M192" s="38"/>
      <x:c r="N192" s="38"/>
      <x:c r="O192" s="38"/>
      <x:c r="P192" s="38"/>
      <x:c r="Q192" s="38"/>
    </x:row>
    <x:row r="193">
      <x:c r="A193" s="523" t="str">
        <x:f>IF(ISBLANK('_INSTANCE'!A112),"",'_INSTANCE'!A112)</x:f>
      </x:c>
      <x:c r="B193" s="523" t="str">
        <x:f>IF(ISBLANK('_INSTANCE'!B112),"",'_INSTANCE'!B112)</x:f>
      </x:c>
      <x:c r="C193" s="523" t="str">
        <x:f>IF(ISBLANK('_INSTANCE'!C112),"",'_INSTANCE'!C112)</x:f>
      </x:c>
      <x:c r="D193" s="530" t="str">
        <x:f>IF(ISBLANK('_INSTANCE'!D112),"",'_INSTANCE'!D112)</x:f>
      </x:c>
      <x:c r="E193" s="530" t="str">
        <x:f>IF(ISBLANK('_INSTANCE'!E112),"",'_INSTANCE'!E112)</x:f>
      </x:c>
      <x:c r="F193" s="530" t="str">
        <x:f>IF(ISBLANK('_INSTANCE'!F112),"",'_INSTANCE'!F112)</x:f>
      </x:c>
      <x:c r="G193" s="530" t="str">
        <x:f>IF(ISBLANK('_INSTANCE'!G112),"",'_INSTANCE'!G112)</x:f>
      </x:c>
      <x:c r="H193" s="530" t="str">
        <x:f>IF(ISBLANK('_INSTANCE'!H112),"",'_INSTANCE'!H112)</x:f>
      </x:c>
      <x:c r="I193" s="530" t="str">
        <x:f>IF(ISBLANK('_INSTANCE'!I112),"",'_INSTANCE'!I112)</x:f>
      </x:c>
      <x:c r="J193" s="530" t="str">
        <x:f>IF(ISBLANK('_INSTANCE'!J112),"",'_INSTANCE'!J112)</x:f>
      </x:c>
      <x:c r="K193" s="38"/>
      <x:c r="L193" s="38"/>
      <x:c r="M193" s="38"/>
      <x:c r="N193" s="38"/>
      <x:c r="O193" s="38"/>
      <x:c r="P193" s="38"/>
      <x:c r="Q193" s="38"/>
    </x:row>
    <x:row r="194">
      <x:c r="A194" s="523" t="str">
        <x:f>IF(ISBLANK('_INSTANCE'!A113),"",'_INSTANCE'!A113)</x:f>
      </x:c>
      <x:c r="B194" s="523" t="str">
        <x:f>IF(ISBLANK('_INSTANCE'!B113),"",'_INSTANCE'!B113)</x:f>
      </x:c>
      <x:c r="C194" s="523" t="str">
        <x:f>IF(ISBLANK('_INSTANCE'!C113),"",'_INSTANCE'!C113)</x:f>
      </x:c>
      <x:c r="D194" s="530" t="str">
        <x:f>IF(ISBLANK('_INSTANCE'!D113),"",'_INSTANCE'!D113)</x:f>
      </x:c>
      <x:c r="E194" s="530" t="str">
        <x:f>IF(ISBLANK('_INSTANCE'!E113),"",'_INSTANCE'!E113)</x:f>
      </x:c>
      <x:c r="F194" s="530" t="str">
        <x:f>IF(ISBLANK('_INSTANCE'!F113),"",'_INSTANCE'!F113)</x:f>
      </x:c>
      <x:c r="G194" s="530" t="str">
        <x:f>IF(ISBLANK('_INSTANCE'!G113),"",'_INSTANCE'!G113)</x:f>
      </x:c>
      <x:c r="H194" s="530" t="str">
        <x:f>IF(ISBLANK('_INSTANCE'!H113),"",'_INSTANCE'!H113)</x:f>
      </x:c>
      <x:c r="I194" s="530" t="str">
        <x:f>IF(ISBLANK('_INSTANCE'!I113),"",'_INSTANCE'!I113)</x:f>
      </x:c>
      <x:c r="J194" s="530" t="str">
        <x:f>IF(ISBLANK('_INSTANCE'!J113),"",'_INSTANCE'!J113)</x:f>
      </x:c>
      <x:c r="K194" s="38"/>
      <x:c r="L194" s="38"/>
      <x:c r="M194" s="38"/>
      <x:c r="N194" s="38"/>
      <x:c r="O194" s="38"/>
      <x:c r="P194" s="38"/>
      <x:c r="Q194" s="38"/>
    </x:row>
    <x:row r="195">
      <x:c r="A195" s="523" t="str">
        <x:f>IF(ISBLANK('_INSTANCE'!A114),"",'_INSTANCE'!A114)</x:f>
      </x:c>
      <x:c r="B195" s="523" t="str">
        <x:f>IF(ISBLANK('_INSTANCE'!B114),"",'_INSTANCE'!B114)</x:f>
      </x:c>
      <x:c r="C195" s="523" t="str">
        <x:f>IF(ISBLANK('_INSTANCE'!C114),"",'_INSTANCE'!C114)</x:f>
      </x:c>
      <x:c r="D195" s="530" t="str">
        <x:f>IF(ISBLANK('_INSTANCE'!D114),"",'_INSTANCE'!D114)</x:f>
      </x:c>
      <x:c r="E195" s="530" t="str">
        <x:f>IF(ISBLANK('_INSTANCE'!E114),"",'_INSTANCE'!E114)</x:f>
      </x:c>
      <x:c r="F195" s="530" t="str">
        <x:f>IF(ISBLANK('_INSTANCE'!F114),"",'_INSTANCE'!F114)</x:f>
      </x:c>
      <x:c r="G195" s="530" t="str">
        <x:f>IF(ISBLANK('_INSTANCE'!G114),"",'_INSTANCE'!G114)</x:f>
      </x:c>
      <x:c r="H195" s="530" t="str">
        <x:f>IF(ISBLANK('_INSTANCE'!H114),"",'_INSTANCE'!H114)</x:f>
      </x:c>
      <x:c r="I195" s="530" t="str">
        <x:f>IF(ISBLANK('_INSTANCE'!I114),"",'_INSTANCE'!I114)</x:f>
      </x:c>
      <x:c r="J195" s="530" t="str">
        <x:f>IF(ISBLANK('_INSTANCE'!J114),"",'_INSTANCE'!J114)</x:f>
      </x:c>
      <x:c r="K195" s="38"/>
      <x:c r="L195" s="38"/>
      <x:c r="M195" s="38"/>
      <x:c r="N195" s="38"/>
      <x:c r="O195" s="38"/>
      <x:c r="P195" s="38"/>
      <x:c r="Q195" s="38"/>
    </x:row>
    <x:row r="196">
      <x:c r="A196" s="523" t="str">
        <x:f>IF(ISBLANK('_INSTANCE'!A115),"",'_INSTANCE'!A115)</x:f>
      </x:c>
      <x:c r="B196" s="523" t="str">
        <x:f>IF(ISBLANK('_INSTANCE'!B115),"",'_INSTANCE'!B115)</x:f>
      </x:c>
      <x:c r="C196" s="523" t="str">
        <x:f>IF(ISBLANK('_INSTANCE'!C115),"",'_INSTANCE'!C115)</x:f>
      </x:c>
      <x:c r="D196" s="530" t="str">
        <x:f>IF(ISBLANK('_INSTANCE'!D115),"",'_INSTANCE'!D115)</x:f>
      </x:c>
      <x:c r="E196" s="530" t="str">
        <x:f>IF(ISBLANK('_INSTANCE'!E115),"",'_INSTANCE'!E115)</x:f>
      </x:c>
      <x:c r="F196" s="530" t="str">
        <x:f>IF(ISBLANK('_INSTANCE'!F115),"",'_INSTANCE'!F115)</x:f>
      </x:c>
      <x:c r="G196" s="530" t="str">
        <x:f>IF(ISBLANK('_INSTANCE'!G115),"",'_INSTANCE'!G115)</x:f>
      </x:c>
      <x:c r="H196" s="530" t="str">
        <x:f>IF(ISBLANK('_INSTANCE'!H115),"",'_INSTANCE'!H115)</x:f>
      </x:c>
      <x:c r="I196" s="530" t="str">
        <x:f>IF(ISBLANK('_INSTANCE'!I115),"",'_INSTANCE'!I115)</x:f>
      </x:c>
      <x:c r="J196" s="530" t="str">
        <x:f>IF(ISBLANK('_INSTANCE'!J115),"",'_INSTANCE'!J115)</x:f>
      </x:c>
      <x:c r="K196" s="38"/>
      <x:c r="L196" s="38"/>
      <x:c r="M196" s="38"/>
      <x:c r="N196" s="38"/>
      <x:c r="O196" s="38"/>
      <x:c r="P196" s="38"/>
      <x:c r="Q196" s="38"/>
    </x:row>
    <x:row r="197">
      <x:c r="A197" s="523" t="str">
        <x:f>IF(ISBLANK('_INSTANCE'!A116),"",'_INSTANCE'!A116)</x:f>
      </x:c>
      <x:c r="B197" s="523" t="str">
        <x:f>IF(ISBLANK('_INSTANCE'!B116),"",'_INSTANCE'!B116)</x:f>
      </x:c>
      <x:c r="C197" s="523" t="str">
        <x:f>IF(ISBLANK('_INSTANCE'!C116),"",'_INSTANCE'!C116)</x:f>
      </x:c>
      <x:c r="D197" s="530" t="str">
        <x:f>IF(ISBLANK('_INSTANCE'!D116),"",'_INSTANCE'!D116)</x:f>
      </x:c>
      <x:c r="E197" s="530" t="str">
        <x:f>IF(ISBLANK('_INSTANCE'!E116),"",'_INSTANCE'!E116)</x:f>
      </x:c>
      <x:c r="F197" s="530" t="str">
        <x:f>IF(ISBLANK('_INSTANCE'!F116),"",'_INSTANCE'!F116)</x:f>
      </x:c>
      <x:c r="G197" s="530" t="str">
        <x:f>IF(ISBLANK('_INSTANCE'!G116),"",'_INSTANCE'!G116)</x:f>
      </x:c>
      <x:c r="H197" s="530" t="str">
        <x:f>IF(ISBLANK('_INSTANCE'!H116),"",'_INSTANCE'!H116)</x:f>
      </x:c>
      <x:c r="I197" s="530" t="str">
        <x:f>IF(ISBLANK('_INSTANCE'!I116),"",'_INSTANCE'!I116)</x:f>
      </x:c>
      <x:c r="J197" s="530" t="str">
        <x:f>IF(ISBLANK('_INSTANCE'!J116),"",'_INSTANCE'!J116)</x:f>
      </x:c>
      <x:c r="K197" s="38"/>
      <x:c r="L197" s="38"/>
      <x:c r="M197" s="38"/>
      <x:c r="N197" s="38"/>
      <x:c r="O197" s="38"/>
      <x:c r="P197" s="38"/>
      <x:c r="Q197" s="38"/>
    </x:row>
    <x:row r="198">
      <x:c r="A198" s="523" t="str">
        <x:f>IF(ISBLANK('_INSTANCE'!A117),"",'_INSTANCE'!A117)</x:f>
      </x:c>
      <x:c r="B198" s="523" t="str">
        <x:f>IF(ISBLANK('_INSTANCE'!B117),"",'_INSTANCE'!B117)</x:f>
      </x:c>
      <x:c r="C198" s="523" t="str">
        <x:f>IF(ISBLANK('_INSTANCE'!C117),"",'_INSTANCE'!C117)</x:f>
      </x:c>
      <x:c r="D198" s="530" t="str">
        <x:f>IF(ISBLANK('_INSTANCE'!D117),"",'_INSTANCE'!D117)</x:f>
      </x:c>
      <x:c r="E198" s="530" t="str">
        <x:f>IF(ISBLANK('_INSTANCE'!E117),"",'_INSTANCE'!E117)</x:f>
      </x:c>
      <x:c r="F198" s="530" t="str">
        <x:f>IF(ISBLANK('_INSTANCE'!F117),"",'_INSTANCE'!F117)</x:f>
      </x:c>
      <x:c r="G198" s="530" t="str">
        <x:f>IF(ISBLANK('_INSTANCE'!G117),"",'_INSTANCE'!G117)</x:f>
      </x:c>
      <x:c r="H198" s="530" t="str">
        <x:f>IF(ISBLANK('_INSTANCE'!H117),"",'_INSTANCE'!H117)</x:f>
      </x:c>
      <x:c r="I198" s="530" t="str">
        <x:f>IF(ISBLANK('_INSTANCE'!I117),"",'_INSTANCE'!I117)</x:f>
      </x:c>
      <x:c r="J198" s="530" t="str">
        <x:f>IF(ISBLANK('_INSTANCE'!J117),"",'_INSTANCE'!J117)</x:f>
      </x:c>
      <x:c r="K198" s="38"/>
      <x:c r="L198" s="38"/>
      <x:c r="M198" s="38"/>
      <x:c r="N198" s="38"/>
      <x:c r="O198" s="38"/>
      <x:c r="P198" s="38"/>
      <x:c r="Q198" s="38"/>
    </x:row>
    <x:row r="199">
      <x:c r="A199" s="523" t="str">
        <x:f>IF(ISBLANK('_INSTANCE'!A118),"",'_INSTANCE'!A118)</x:f>
      </x:c>
      <x:c r="B199" s="523" t="str">
        <x:f>IF(ISBLANK('_INSTANCE'!B118),"",'_INSTANCE'!B118)</x:f>
      </x:c>
      <x:c r="C199" s="523" t="str">
        <x:f>IF(ISBLANK('_INSTANCE'!C118),"",'_INSTANCE'!C118)</x:f>
      </x:c>
      <x:c r="D199" s="530" t="str">
        <x:f>IF(ISBLANK('_INSTANCE'!D118),"",'_INSTANCE'!D118)</x:f>
      </x:c>
      <x:c r="E199" s="530" t="str">
        <x:f>IF(ISBLANK('_INSTANCE'!E118),"",'_INSTANCE'!E118)</x:f>
      </x:c>
      <x:c r="F199" s="530" t="str">
        <x:f>IF(ISBLANK('_INSTANCE'!F118),"",'_INSTANCE'!F118)</x:f>
      </x:c>
      <x:c r="G199" s="530" t="str">
        <x:f>IF(ISBLANK('_INSTANCE'!G118),"",'_INSTANCE'!G118)</x:f>
      </x:c>
      <x:c r="H199" s="530" t="str">
        <x:f>IF(ISBLANK('_INSTANCE'!H118),"",'_INSTANCE'!H118)</x:f>
      </x:c>
      <x:c r="I199" s="530" t="str">
        <x:f>IF(ISBLANK('_INSTANCE'!I118),"",'_INSTANCE'!I118)</x:f>
      </x:c>
      <x:c r="J199" s="530" t="str">
        <x:f>IF(ISBLANK('_INSTANCE'!J118),"",'_INSTANCE'!J118)</x:f>
      </x:c>
      <x:c r="K199" s="38"/>
      <x:c r="L199" s="38"/>
      <x:c r="M199" s="38"/>
      <x:c r="N199" s="38"/>
      <x:c r="O199" s="38"/>
      <x:c r="P199" s="38"/>
      <x:c r="Q199" s="38"/>
    </x:row>
    <x:row r="200">
      <x:c r="A200" s="523" t="str">
        <x:f>IF(ISBLANK('_INSTANCE'!A119),"",'_INSTANCE'!A119)</x:f>
      </x:c>
      <x:c r="B200" s="523" t="str">
        <x:f>IF(ISBLANK('_INSTANCE'!B119),"",'_INSTANCE'!B119)</x:f>
      </x:c>
      <x:c r="C200" s="523" t="str">
        <x:f>IF(ISBLANK('_INSTANCE'!C119),"",'_INSTANCE'!C119)</x:f>
      </x:c>
      <x:c r="D200" s="530" t="str">
        <x:f>IF(ISBLANK('_INSTANCE'!D119),"",'_INSTANCE'!D119)</x:f>
      </x:c>
      <x:c r="E200" s="530" t="str">
        <x:f>IF(ISBLANK('_INSTANCE'!E119),"",'_INSTANCE'!E119)</x:f>
      </x:c>
      <x:c r="F200" s="530" t="str">
        <x:f>IF(ISBLANK('_INSTANCE'!F119),"",'_INSTANCE'!F119)</x:f>
      </x:c>
      <x:c r="G200" s="530" t="str">
        <x:f>IF(ISBLANK('_INSTANCE'!G119),"",'_INSTANCE'!G119)</x:f>
      </x:c>
      <x:c r="H200" s="530" t="str">
        <x:f>IF(ISBLANK('_INSTANCE'!H119),"",'_INSTANCE'!H119)</x:f>
      </x:c>
      <x:c r="I200" s="530" t="str">
        <x:f>IF(ISBLANK('_INSTANCE'!I119),"",'_INSTANCE'!I119)</x:f>
      </x:c>
      <x:c r="J200" s="530" t="str">
        <x:f>IF(ISBLANK('_INSTANCE'!J119),"",'_INSTANCE'!J119)</x:f>
      </x:c>
      <x:c r="K200" s="38"/>
      <x:c r="L200" s="38"/>
      <x:c r="M200" s="38"/>
      <x:c r="N200" s="38"/>
      <x:c r="O200" s="38"/>
      <x:c r="P200" s="38"/>
      <x:c r="Q200" s="38"/>
    </x:row>
    <x:row r="201">
      <x:c r="A201" s="523" t="str">
        <x:f>IF(ISBLANK('_INSTANCE'!A120),"",'_INSTANCE'!A120)</x:f>
      </x:c>
      <x:c r="B201" s="523" t="str">
        <x:f>IF(ISBLANK('_INSTANCE'!B120),"",'_INSTANCE'!B120)</x:f>
      </x:c>
      <x:c r="C201" s="523" t="str">
        <x:f>IF(ISBLANK('_INSTANCE'!C120),"",'_INSTANCE'!C120)</x:f>
      </x:c>
      <x:c r="D201" s="530" t="str">
        <x:f>IF(ISBLANK('_INSTANCE'!D120),"",'_INSTANCE'!D120)</x:f>
      </x:c>
      <x:c r="E201" s="530" t="str">
        <x:f>IF(ISBLANK('_INSTANCE'!E120),"",'_INSTANCE'!E120)</x:f>
      </x:c>
      <x:c r="F201" s="530" t="str">
        <x:f>IF(ISBLANK('_INSTANCE'!F120),"",'_INSTANCE'!F120)</x:f>
      </x:c>
      <x:c r="G201" s="530" t="str">
        <x:f>IF(ISBLANK('_INSTANCE'!G120),"",'_INSTANCE'!G120)</x:f>
      </x:c>
      <x:c r="H201" s="530" t="str">
        <x:f>IF(ISBLANK('_INSTANCE'!H120),"",'_INSTANCE'!H120)</x:f>
      </x:c>
      <x:c r="I201" s="530" t="str">
        <x:f>IF(ISBLANK('_INSTANCE'!I120),"",'_INSTANCE'!I120)</x:f>
      </x:c>
      <x:c r="J201" s="530" t="str">
        <x:f>IF(ISBLANK('_INSTANCE'!J120),"",'_INSTANCE'!J120)</x:f>
      </x:c>
      <x:c r="K201" s="38"/>
      <x:c r="L201" s="38"/>
      <x:c r="M201" s="38"/>
      <x:c r="N201" s="38"/>
      <x:c r="O201" s="38"/>
      <x:c r="P201" s="38"/>
      <x:c r="Q201" s="38"/>
    </x:row>
    <x:row r="202">
      <x:c r="A202" s="523" t="str">
        <x:f>IF(ISBLANK('_INSTANCE'!A121),"",'_INSTANCE'!A121)</x:f>
      </x:c>
      <x:c r="B202" s="523" t="str">
        <x:f>IF(ISBLANK('_INSTANCE'!B121),"",'_INSTANCE'!B121)</x:f>
      </x:c>
      <x:c r="C202" s="523" t="str">
        <x:f>IF(ISBLANK('_INSTANCE'!C121),"",'_INSTANCE'!C121)</x:f>
      </x:c>
      <x:c r="D202" s="530" t="str">
        <x:f>IF(ISBLANK('_INSTANCE'!D121),"",'_INSTANCE'!D121)</x:f>
      </x:c>
      <x:c r="E202" s="530" t="str">
        <x:f>IF(ISBLANK('_INSTANCE'!E121),"",'_INSTANCE'!E121)</x:f>
      </x:c>
      <x:c r="F202" s="530" t="str">
        <x:f>IF(ISBLANK('_INSTANCE'!F121),"",'_INSTANCE'!F121)</x:f>
      </x:c>
      <x:c r="G202" s="530" t="str">
        <x:f>IF(ISBLANK('_INSTANCE'!G121),"",'_INSTANCE'!G121)</x:f>
      </x:c>
      <x:c r="H202" s="530" t="str">
        <x:f>IF(ISBLANK('_INSTANCE'!H121),"",'_INSTANCE'!H121)</x:f>
      </x:c>
      <x:c r="I202" s="530" t="str">
        <x:f>IF(ISBLANK('_INSTANCE'!I121),"",'_INSTANCE'!I121)</x:f>
      </x:c>
      <x:c r="J202" s="530" t="str">
        <x:f>IF(ISBLANK('_INSTANCE'!J121),"",'_INSTANCE'!J121)</x:f>
      </x:c>
      <x:c r="K202" s="38"/>
      <x:c r="L202" s="38"/>
      <x:c r="M202" s="38"/>
      <x:c r="N202" s="38"/>
      <x:c r="O202" s="38"/>
      <x:c r="P202" s="38"/>
      <x:c r="Q202" s="38"/>
    </x:row>
    <x:row r="203">
      <x:c r="A203" s="523" t="str">
        <x:f>IF(ISBLANK('_INSTANCE'!A122),"",'_INSTANCE'!A122)</x:f>
      </x:c>
      <x:c r="B203" s="523" t="str">
        <x:f>IF(ISBLANK('_INSTANCE'!B122),"",'_INSTANCE'!B122)</x:f>
      </x:c>
      <x:c r="C203" s="523" t="str">
        <x:f>IF(ISBLANK('_INSTANCE'!C122),"",'_INSTANCE'!C122)</x:f>
      </x:c>
      <x:c r="D203" s="530" t="str">
        <x:f>IF(ISBLANK('_INSTANCE'!D122),"",'_INSTANCE'!D122)</x:f>
      </x:c>
      <x:c r="E203" s="530" t="str">
        <x:f>IF(ISBLANK('_INSTANCE'!E122),"",'_INSTANCE'!E122)</x:f>
      </x:c>
      <x:c r="F203" s="530" t="str">
        <x:f>IF(ISBLANK('_INSTANCE'!F122),"",'_INSTANCE'!F122)</x:f>
      </x:c>
      <x:c r="G203" s="530" t="str">
        <x:f>IF(ISBLANK('_INSTANCE'!G122),"",'_INSTANCE'!G122)</x:f>
      </x:c>
      <x:c r="H203" s="530" t="str">
        <x:f>IF(ISBLANK('_INSTANCE'!H122),"",'_INSTANCE'!H122)</x:f>
      </x:c>
      <x:c r="I203" s="530" t="str">
        <x:f>IF(ISBLANK('_INSTANCE'!I122),"",'_INSTANCE'!I122)</x:f>
      </x:c>
      <x:c r="J203" s="530" t="str">
        <x:f>IF(ISBLANK('_INSTANCE'!J122),"",'_INSTANCE'!J122)</x:f>
      </x:c>
      <x:c r="K203" s="38"/>
      <x:c r="L203" s="38"/>
      <x:c r="M203" s="38"/>
      <x:c r="N203" s="38"/>
      <x:c r="O203" s="38"/>
      <x:c r="P203" s="38"/>
      <x:c r="Q203" s="38"/>
    </x:row>
    <x:row r="204">
      <x:c r="A204" s="523" t="str">
        <x:f>IF(ISBLANK('_INSTANCE'!A123),"",'_INSTANCE'!A123)</x:f>
      </x:c>
      <x:c r="B204" s="523" t="str">
        <x:f>IF(ISBLANK('_INSTANCE'!B123),"",'_INSTANCE'!B123)</x:f>
      </x:c>
      <x:c r="C204" s="523" t="str">
        <x:f>IF(ISBLANK('_INSTANCE'!C123),"",'_INSTANCE'!C123)</x:f>
      </x:c>
      <x:c r="D204" s="530" t="str">
        <x:f>IF(ISBLANK('_INSTANCE'!D123),"",'_INSTANCE'!D123)</x:f>
      </x:c>
      <x:c r="E204" s="530" t="str">
        <x:f>IF(ISBLANK('_INSTANCE'!E123),"",'_INSTANCE'!E123)</x:f>
      </x:c>
      <x:c r="F204" s="530" t="str">
        <x:f>IF(ISBLANK('_INSTANCE'!F123),"",'_INSTANCE'!F123)</x:f>
      </x:c>
      <x:c r="G204" s="530" t="str">
        <x:f>IF(ISBLANK('_INSTANCE'!G123),"",'_INSTANCE'!G123)</x:f>
      </x:c>
      <x:c r="H204" s="530" t="str">
        <x:f>IF(ISBLANK('_INSTANCE'!H123),"",'_INSTANCE'!H123)</x:f>
      </x:c>
      <x:c r="I204" s="530" t="str">
        <x:f>IF(ISBLANK('_INSTANCE'!I123),"",'_INSTANCE'!I123)</x:f>
      </x:c>
      <x:c r="J204" s="530" t="str">
        <x:f>IF(ISBLANK('_INSTANCE'!J123),"",'_INSTANCE'!J123)</x:f>
      </x:c>
      <x:c r="K204" s="38"/>
      <x:c r="L204" s="38"/>
      <x:c r="M204" s="38"/>
      <x:c r="N204" s="38"/>
      <x:c r="O204" s="38"/>
      <x:c r="P204" s="38"/>
      <x:c r="Q204" s="38"/>
    </x:row>
    <x:row r="205">
      <x:c r="A205" s="523" t="str">
        <x:f>IF(ISBLANK('_INSTANCE'!A124),"",'_INSTANCE'!A124)</x:f>
      </x:c>
      <x:c r="B205" s="523" t="str">
        <x:f>IF(ISBLANK('_INSTANCE'!B124),"",'_INSTANCE'!B124)</x:f>
      </x:c>
      <x:c r="C205" s="523" t="str">
        <x:f>IF(ISBLANK('_INSTANCE'!C124),"",'_INSTANCE'!C124)</x:f>
      </x:c>
      <x:c r="D205" s="530" t="str">
        <x:f>IF(ISBLANK('_INSTANCE'!D124),"",'_INSTANCE'!D124)</x:f>
      </x:c>
      <x:c r="E205" s="530" t="str">
        <x:f>IF(ISBLANK('_INSTANCE'!E124),"",'_INSTANCE'!E124)</x:f>
      </x:c>
      <x:c r="F205" s="530" t="str">
        <x:f>IF(ISBLANK('_INSTANCE'!F124),"",'_INSTANCE'!F124)</x:f>
      </x:c>
      <x:c r="G205" s="530" t="str">
        <x:f>IF(ISBLANK('_INSTANCE'!G124),"",'_INSTANCE'!G124)</x:f>
      </x:c>
      <x:c r="H205" s="530" t="str">
        <x:f>IF(ISBLANK('_INSTANCE'!H124),"",'_INSTANCE'!H124)</x:f>
      </x:c>
      <x:c r="I205" s="530" t="str">
        <x:f>IF(ISBLANK('_INSTANCE'!I124),"",'_INSTANCE'!I124)</x:f>
      </x:c>
      <x:c r="J205" s="530" t="str">
        <x:f>IF(ISBLANK('_INSTANCE'!J124),"",'_INSTANCE'!J124)</x:f>
      </x:c>
      <x:c r="K205" s="38"/>
      <x:c r="L205" s="38"/>
      <x:c r="M205" s="38"/>
      <x:c r="N205" s="38"/>
      <x:c r="O205" s="38"/>
      <x:c r="P205" s="38"/>
      <x:c r="Q205" s="38"/>
    </x:row>
    <x:row r="206">
      <x:c r="A206" s="523" t="str">
        <x:f>IF(ISBLANK('_INSTANCE'!A125),"",'_INSTANCE'!A125)</x:f>
      </x:c>
      <x:c r="B206" s="523" t="str">
        <x:f>IF(ISBLANK('_INSTANCE'!B125),"",'_INSTANCE'!B125)</x:f>
      </x:c>
      <x:c r="C206" s="523" t="str">
        <x:f>IF(ISBLANK('_INSTANCE'!C125),"",'_INSTANCE'!C125)</x:f>
      </x:c>
      <x:c r="D206" s="530" t="str">
        <x:f>IF(ISBLANK('_INSTANCE'!D125),"",'_INSTANCE'!D125)</x:f>
      </x:c>
      <x:c r="E206" s="530" t="str">
        <x:f>IF(ISBLANK('_INSTANCE'!E125),"",'_INSTANCE'!E125)</x:f>
      </x:c>
      <x:c r="F206" s="530" t="str">
        <x:f>IF(ISBLANK('_INSTANCE'!F125),"",'_INSTANCE'!F125)</x:f>
      </x:c>
      <x:c r="G206" s="530" t="str">
        <x:f>IF(ISBLANK('_INSTANCE'!G125),"",'_INSTANCE'!G125)</x:f>
      </x:c>
      <x:c r="H206" s="530" t="str">
        <x:f>IF(ISBLANK('_INSTANCE'!H125),"",'_INSTANCE'!H125)</x:f>
      </x:c>
      <x:c r="I206" s="530" t="str">
        <x:f>IF(ISBLANK('_INSTANCE'!I125),"",'_INSTANCE'!I125)</x:f>
      </x:c>
      <x:c r="J206" s="530" t="str">
        <x:f>IF(ISBLANK('_INSTANCE'!J125),"",'_INSTANCE'!J125)</x:f>
      </x:c>
      <x:c r="K206" s="38"/>
      <x:c r="L206" s="38"/>
      <x:c r="M206" s="38"/>
      <x:c r="N206" s="38"/>
      <x:c r="O206" s="38"/>
      <x:c r="P206" s="38"/>
      <x:c r="Q206" s="38"/>
    </x:row>
    <x:row r="207">
      <x:c r="A207" s="523" t="str">
        <x:f>IF(ISBLANK('_INSTANCE'!A126),"",'_INSTANCE'!A126)</x:f>
      </x:c>
      <x:c r="B207" s="523" t="str">
        <x:f>IF(ISBLANK('_INSTANCE'!B126),"",'_INSTANCE'!B126)</x:f>
      </x:c>
      <x:c r="C207" s="523" t="str">
        <x:f>IF(ISBLANK('_INSTANCE'!C126),"",'_INSTANCE'!C126)</x:f>
      </x:c>
      <x:c r="D207" s="530" t="str">
        <x:f>IF(ISBLANK('_INSTANCE'!D126),"",'_INSTANCE'!D126)</x:f>
      </x:c>
      <x:c r="E207" s="530" t="str">
        <x:f>IF(ISBLANK('_INSTANCE'!E126),"",'_INSTANCE'!E126)</x:f>
      </x:c>
      <x:c r="F207" s="530" t="str">
        <x:f>IF(ISBLANK('_INSTANCE'!F126),"",'_INSTANCE'!F126)</x:f>
      </x:c>
      <x:c r="G207" s="530" t="str">
        <x:f>IF(ISBLANK('_INSTANCE'!G126),"",'_INSTANCE'!G126)</x:f>
      </x:c>
      <x:c r="H207" s="530" t="str">
        <x:f>IF(ISBLANK('_INSTANCE'!H126),"",'_INSTANCE'!H126)</x:f>
      </x:c>
      <x:c r="I207" s="530" t="str">
        <x:f>IF(ISBLANK('_INSTANCE'!I126),"",'_INSTANCE'!I126)</x:f>
      </x:c>
      <x:c r="J207" s="530" t="str">
        <x:f>IF(ISBLANK('_INSTANCE'!J126),"",'_INSTANCE'!J126)</x:f>
      </x:c>
      <x:c r="K207" s="38"/>
      <x:c r="L207" s="38"/>
      <x:c r="M207" s="38"/>
      <x:c r="N207" s="38"/>
      <x:c r="O207" s="38"/>
      <x:c r="P207" s="38"/>
      <x:c r="Q207" s="38"/>
    </x:row>
    <x:row r="208">
      <x:c r="A208" s="523" t="str">
        <x:f>IF(ISBLANK('_INSTANCE'!A127),"",'_INSTANCE'!A127)</x:f>
      </x:c>
      <x:c r="B208" s="523" t="str">
        <x:f>IF(ISBLANK('_INSTANCE'!B127),"",'_INSTANCE'!B127)</x:f>
      </x:c>
      <x:c r="C208" s="523" t="str">
        <x:f>IF(ISBLANK('_INSTANCE'!C127),"",'_INSTANCE'!C127)</x:f>
      </x:c>
      <x:c r="D208" s="530" t="str">
        <x:f>IF(ISBLANK('_INSTANCE'!D127),"",'_INSTANCE'!D127)</x:f>
      </x:c>
      <x:c r="E208" s="530" t="str">
        <x:f>IF(ISBLANK('_INSTANCE'!E127),"",'_INSTANCE'!E127)</x:f>
      </x:c>
      <x:c r="F208" s="530" t="str">
        <x:f>IF(ISBLANK('_INSTANCE'!F127),"",'_INSTANCE'!F127)</x:f>
      </x:c>
      <x:c r="G208" s="530" t="str">
        <x:f>IF(ISBLANK('_INSTANCE'!G127),"",'_INSTANCE'!G127)</x:f>
      </x:c>
      <x:c r="H208" s="530" t="str">
        <x:f>IF(ISBLANK('_INSTANCE'!H127),"",'_INSTANCE'!H127)</x:f>
      </x:c>
      <x:c r="I208" s="530" t="str">
        <x:f>IF(ISBLANK('_INSTANCE'!I127),"",'_INSTANCE'!I127)</x:f>
      </x:c>
      <x:c r="J208" s="530" t="str">
        <x:f>IF(ISBLANK('_INSTANCE'!J127),"",'_INSTANCE'!J127)</x:f>
      </x:c>
      <x:c r="K208" s="38"/>
      <x:c r="L208" s="38"/>
      <x:c r="M208" s="38"/>
      <x:c r="N208" s="38"/>
      <x:c r="O208" s="38"/>
      <x:c r="P208" s="38"/>
      <x:c r="Q208" s="38"/>
    </x:row>
    <x:row r="209">
      <x:c r="A209" s="523" t="str">
        <x:f>IF(ISBLANK('_INSTANCE'!A128),"",'_INSTANCE'!A128)</x:f>
      </x:c>
      <x:c r="B209" s="523" t="str">
        <x:f>IF(ISBLANK('_INSTANCE'!B128),"",'_INSTANCE'!B128)</x:f>
      </x:c>
      <x:c r="C209" s="523" t="str">
        <x:f>IF(ISBLANK('_INSTANCE'!C128),"",'_INSTANCE'!C128)</x:f>
      </x:c>
      <x:c r="D209" s="530" t="str">
        <x:f>IF(ISBLANK('_INSTANCE'!D128),"",'_INSTANCE'!D128)</x:f>
      </x:c>
      <x:c r="E209" s="530" t="str">
        <x:f>IF(ISBLANK('_INSTANCE'!E128),"",'_INSTANCE'!E128)</x:f>
      </x:c>
      <x:c r="F209" s="530" t="str">
        <x:f>IF(ISBLANK('_INSTANCE'!F128),"",'_INSTANCE'!F128)</x:f>
      </x:c>
      <x:c r="G209" s="530" t="str">
        <x:f>IF(ISBLANK('_INSTANCE'!G128),"",'_INSTANCE'!G128)</x:f>
      </x:c>
      <x:c r="H209" s="530" t="str">
        <x:f>IF(ISBLANK('_INSTANCE'!H128),"",'_INSTANCE'!H128)</x:f>
      </x:c>
      <x:c r="I209" s="530" t="str">
        <x:f>IF(ISBLANK('_INSTANCE'!I128),"",'_INSTANCE'!I128)</x:f>
      </x:c>
      <x:c r="J209" s="530" t="str">
        <x:f>IF(ISBLANK('_INSTANCE'!J128),"",'_INSTANCE'!J128)</x:f>
      </x:c>
      <x:c r="K209" s="38"/>
      <x:c r="L209" s="38"/>
      <x:c r="M209" s="38"/>
      <x:c r="N209" s="38"/>
      <x:c r="O209" s="38"/>
      <x:c r="P209" s="38"/>
      <x:c r="Q209" s="38"/>
    </x:row>
    <x:row r="210">
      <x:c r="A210" s="523" t="str">
        <x:f>IF(ISBLANK('_INSTANCE'!A129),"",'_INSTANCE'!A129)</x:f>
      </x:c>
      <x:c r="B210" s="523" t="str">
        <x:f>IF(ISBLANK('_INSTANCE'!B129),"",'_INSTANCE'!B129)</x:f>
      </x:c>
      <x:c r="C210" s="523" t="str">
        <x:f>IF(ISBLANK('_INSTANCE'!C129),"",'_INSTANCE'!C129)</x:f>
      </x:c>
      <x:c r="D210" s="530" t="str">
        <x:f>IF(ISBLANK('_INSTANCE'!D129),"",'_INSTANCE'!D129)</x:f>
      </x:c>
      <x:c r="E210" s="530" t="str">
        <x:f>IF(ISBLANK('_INSTANCE'!E129),"",'_INSTANCE'!E129)</x:f>
      </x:c>
      <x:c r="F210" s="530" t="str">
        <x:f>IF(ISBLANK('_INSTANCE'!F129),"",'_INSTANCE'!F129)</x:f>
      </x:c>
      <x:c r="G210" s="530" t="str">
        <x:f>IF(ISBLANK('_INSTANCE'!G129),"",'_INSTANCE'!G129)</x:f>
      </x:c>
      <x:c r="H210" s="530" t="str">
        <x:f>IF(ISBLANK('_INSTANCE'!H129),"",'_INSTANCE'!H129)</x:f>
      </x:c>
      <x:c r="I210" s="530" t="str">
        <x:f>IF(ISBLANK('_INSTANCE'!I129),"",'_INSTANCE'!I129)</x:f>
      </x:c>
      <x:c r="J210" s="530" t="str">
        <x:f>IF(ISBLANK('_INSTANCE'!J129),"",'_INSTANCE'!J129)</x:f>
      </x:c>
      <x:c r="K210" s="38"/>
      <x:c r="L210" s="38"/>
      <x:c r="M210" s="38"/>
      <x:c r="N210" s="38"/>
      <x:c r="O210" s="38"/>
      <x:c r="P210" s="38"/>
      <x:c r="Q210" s="38"/>
    </x:row>
    <x:row r="211">
      <x:c r="A211" s="523" t="str">
        <x:f>IF(ISBLANK('_INSTANCE'!A130),"",'_INSTANCE'!A130)</x:f>
      </x:c>
      <x:c r="B211" s="523" t="str">
        <x:f>IF(ISBLANK('_INSTANCE'!B130),"",'_INSTANCE'!B130)</x:f>
      </x:c>
      <x:c r="C211" s="523" t="str">
        <x:f>IF(ISBLANK('_INSTANCE'!C130),"",'_INSTANCE'!C130)</x:f>
      </x:c>
      <x:c r="D211" s="530" t="str">
        <x:f>IF(ISBLANK('_INSTANCE'!D130),"",'_INSTANCE'!D130)</x:f>
      </x:c>
      <x:c r="E211" s="530" t="str">
        <x:f>IF(ISBLANK('_INSTANCE'!E130),"",'_INSTANCE'!E130)</x:f>
      </x:c>
      <x:c r="F211" s="530" t="str">
        <x:f>IF(ISBLANK('_INSTANCE'!F130),"",'_INSTANCE'!F130)</x:f>
      </x:c>
      <x:c r="G211" s="530" t="str">
        <x:f>IF(ISBLANK('_INSTANCE'!G130),"",'_INSTANCE'!G130)</x:f>
      </x:c>
      <x:c r="H211" s="530" t="str">
        <x:f>IF(ISBLANK('_INSTANCE'!H130),"",'_INSTANCE'!H130)</x:f>
      </x:c>
      <x:c r="I211" s="530" t="str">
        <x:f>IF(ISBLANK('_INSTANCE'!I130),"",'_INSTANCE'!I130)</x:f>
      </x:c>
      <x:c r="J211" s="530" t="str">
        <x:f>IF(ISBLANK('_INSTANCE'!J130),"",'_INSTANCE'!J130)</x:f>
      </x:c>
      <x:c r="K211" s="38"/>
      <x:c r="L211" s="38"/>
      <x:c r="M211" s="38"/>
      <x:c r="N211" s="38"/>
      <x:c r="O211" s="38"/>
      <x:c r="P211" s="38"/>
      <x:c r="Q211" s="38"/>
    </x:row>
    <x:row r="212">
      <x:c r="A212" s="523" t="str">
        <x:f>IF(ISBLANK('_INSTANCE'!A131),"",'_INSTANCE'!A131)</x:f>
      </x:c>
      <x:c r="B212" s="523" t="str">
        <x:f>IF(ISBLANK('_INSTANCE'!B131),"",'_INSTANCE'!B131)</x:f>
      </x:c>
      <x:c r="C212" s="523" t="str">
        <x:f>IF(ISBLANK('_INSTANCE'!C131),"",'_INSTANCE'!C131)</x:f>
      </x:c>
      <x:c r="D212" s="530" t="str">
        <x:f>IF(ISBLANK('_INSTANCE'!D131),"",'_INSTANCE'!D131)</x:f>
      </x:c>
      <x:c r="E212" s="530" t="str">
        <x:f>IF(ISBLANK('_INSTANCE'!E131),"",'_INSTANCE'!E131)</x:f>
      </x:c>
      <x:c r="F212" s="530" t="str">
        <x:f>IF(ISBLANK('_INSTANCE'!F131),"",'_INSTANCE'!F131)</x:f>
      </x:c>
      <x:c r="G212" s="530" t="str">
        <x:f>IF(ISBLANK('_INSTANCE'!G131),"",'_INSTANCE'!G131)</x:f>
      </x:c>
      <x:c r="H212" s="530" t="str">
        <x:f>IF(ISBLANK('_INSTANCE'!H131),"",'_INSTANCE'!H131)</x:f>
      </x:c>
      <x:c r="I212" s="530" t="str">
        <x:f>IF(ISBLANK('_INSTANCE'!I131),"",'_INSTANCE'!I131)</x:f>
      </x:c>
      <x:c r="J212" s="530" t="str">
        <x:f>IF(ISBLANK('_INSTANCE'!J131),"",'_INSTANCE'!J131)</x:f>
      </x:c>
      <x:c r="K212" s="38"/>
      <x:c r="L212" s="38"/>
      <x:c r="M212" s="38"/>
      <x:c r="N212" s="38"/>
      <x:c r="O212" s="38"/>
      <x:c r="P212" s="38"/>
      <x:c r="Q212" s="38"/>
    </x:row>
    <x:row r="213">
      <x:c r="A213" s="523" t="str">
        <x:f>IF(ISBLANK('_INSTANCE'!A132),"",'_INSTANCE'!A132)</x:f>
      </x:c>
      <x:c r="B213" s="523" t="str">
        <x:f>IF(ISBLANK('_INSTANCE'!B132),"",'_INSTANCE'!B132)</x:f>
      </x:c>
      <x:c r="C213" s="523" t="str">
        <x:f>IF(ISBLANK('_INSTANCE'!C132),"",'_INSTANCE'!C132)</x:f>
      </x:c>
      <x:c r="D213" s="530" t="str">
        <x:f>IF(ISBLANK('_INSTANCE'!D132),"",'_INSTANCE'!D132)</x:f>
      </x:c>
      <x:c r="E213" s="530" t="str">
        <x:f>IF(ISBLANK('_INSTANCE'!E132),"",'_INSTANCE'!E132)</x:f>
      </x:c>
      <x:c r="F213" s="530" t="str">
        <x:f>IF(ISBLANK('_INSTANCE'!F132),"",'_INSTANCE'!F132)</x:f>
      </x:c>
      <x:c r="G213" s="530" t="str">
        <x:f>IF(ISBLANK('_INSTANCE'!G132),"",'_INSTANCE'!G132)</x:f>
      </x:c>
      <x:c r="H213" s="530" t="str">
        <x:f>IF(ISBLANK('_INSTANCE'!H132),"",'_INSTANCE'!H132)</x:f>
      </x:c>
      <x:c r="I213" s="530" t="str">
        <x:f>IF(ISBLANK('_INSTANCE'!I132),"",'_INSTANCE'!I132)</x:f>
      </x:c>
      <x:c r="J213" s="530" t="str">
        <x:f>IF(ISBLANK('_INSTANCE'!J132),"",'_INSTANCE'!J132)</x:f>
      </x:c>
      <x:c r="K213" s="38"/>
      <x:c r="L213" s="38"/>
      <x:c r="M213" s="38"/>
      <x:c r="N213" s="38"/>
      <x:c r="O213" s="38"/>
      <x:c r="P213" s="38"/>
      <x:c r="Q213" s="38"/>
    </x:row>
    <x:row r="214">
      <x:c r="A214" s="523" t="str">
        <x:f>IF(ISBLANK('_INSTANCE'!A133),"",'_INSTANCE'!A133)</x:f>
      </x:c>
      <x:c r="B214" s="523" t="str">
        <x:f>IF(ISBLANK('_INSTANCE'!B133),"",'_INSTANCE'!B133)</x:f>
      </x:c>
      <x:c r="C214" s="523" t="str">
        <x:f>IF(ISBLANK('_INSTANCE'!C133),"",'_INSTANCE'!C133)</x:f>
      </x:c>
      <x:c r="D214" s="530" t="str">
        <x:f>IF(ISBLANK('_INSTANCE'!D133),"",'_INSTANCE'!D133)</x:f>
      </x:c>
      <x:c r="E214" s="530" t="str">
        <x:f>IF(ISBLANK('_INSTANCE'!E133),"",'_INSTANCE'!E133)</x:f>
      </x:c>
      <x:c r="F214" s="530" t="str">
        <x:f>IF(ISBLANK('_INSTANCE'!F133),"",'_INSTANCE'!F133)</x:f>
      </x:c>
      <x:c r="G214" s="530" t="str">
        <x:f>IF(ISBLANK('_INSTANCE'!G133),"",'_INSTANCE'!G133)</x:f>
      </x:c>
      <x:c r="H214" s="530" t="str">
        <x:f>IF(ISBLANK('_INSTANCE'!H133),"",'_INSTANCE'!H133)</x:f>
      </x:c>
      <x:c r="I214" s="530" t="str">
        <x:f>IF(ISBLANK('_INSTANCE'!I133),"",'_INSTANCE'!I133)</x:f>
      </x:c>
      <x:c r="J214" s="530" t="str">
        <x:f>IF(ISBLANK('_INSTANCE'!J133),"",'_INSTANCE'!J133)</x:f>
      </x:c>
      <x:c r="K214" s="38"/>
      <x:c r="L214" s="38"/>
      <x:c r="M214" s="38"/>
      <x:c r="N214" s="38"/>
      <x:c r="O214" s="38"/>
      <x:c r="P214" s="38"/>
      <x:c r="Q214" s="38"/>
    </x:row>
    <x:row r="215">
      <x:c r="A215" s="523" t="str">
        <x:f>IF(ISBLANK('_INSTANCE'!A134),"",'_INSTANCE'!A134)</x:f>
      </x:c>
      <x:c r="B215" s="523" t="str">
        <x:f>IF(ISBLANK('_INSTANCE'!B134),"",'_INSTANCE'!B134)</x:f>
      </x:c>
      <x:c r="C215" s="523" t="str">
        <x:f>IF(ISBLANK('_INSTANCE'!C134),"",'_INSTANCE'!C134)</x:f>
      </x:c>
      <x:c r="D215" s="530" t="str">
        <x:f>IF(ISBLANK('_INSTANCE'!D134),"",'_INSTANCE'!D134)</x:f>
      </x:c>
      <x:c r="E215" s="530" t="str">
        <x:f>IF(ISBLANK('_INSTANCE'!E134),"",'_INSTANCE'!E134)</x:f>
      </x:c>
      <x:c r="F215" s="530" t="str">
        <x:f>IF(ISBLANK('_INSTANCE'!F134),"",'_INSTANCE'!F134)</x:f>
      </x:c>
      <x:c r="G215" s="530" t="str">
        <x:f>IF(ISBLANK('_INSTANCE'!G134),"",'_INSTANCE'!G134)</x:f>
      </x:c>
      <x:c r="H215" s="530" t="str">
        <x:f>IF(ISBLANK('_INSTANCE'!H134),"",'_INSTANCE'!H134)</x:f>
      </x:c>
      <x:c r="I215" s="530" t="str">
        <x:f>IF(ISBLANK('_INSTANCE'!I134),"",'_INSTANCE'!I134)</x:f>
      </x:c>
      <x:c r="J215" s="530" t="str">
        <x:f>IF(ISBLANK('_INSTANCE'!J134),"",'_INSTANCE'!J134)</x:f>
      </x:c>
      <x:c r="K215" s="38"/>
      <x:c r="L215" s="38"/>
      <x:c r="M215" s="38"/>
      <x:c r="N215" s="38"/>
      <x:c r="O215" s="38"/>
      <x:c r="P215" s="38"/>
      <x:c r="Q215" s="38"/>
    </x:row>
    <x:row r="216">
      <x:c r="A216" s="523" t="str">
        <x:f>IF(ISBLANK('_INSTANCE'!A135),"",'_INSTANCE'!A135)</x:f>
      </x:c>
      <x:c r="B216" s="523" t="str">
        <x:f>IF(ISBLANK('_INSTANCE'!B135),"",'_INSTANCE'!B135)</x:f>
      </x:c>
      <x:c r="C216" s="523" t="str">
        <x:f>IF(ISBLANK('_INSTANCE'!C135),"",'_INSTANCE'!C135)</x:f>
      </x:c>
      <x:c r="D216" s="530" t="str">
        <x:f>IF(ISBLANK('_INSTANCE'!D135),"",'_INSTANCE'!D135)</x:f>
      </x:c>
      <x:c r="E216" s="530" t="str">
        <x:f>IF(ISBLANK('_INSTANCE'!E135),"",'_INSTANCE'!E135)</x:f>
      </x:c>
      <x:c r="F216" s="530" t="str">
        <x:f>IF(ISBLANK('_INSTANCE'!F135),"",'_INSTANCE'!F135)</x:f>
      </x:c>
      <x:c r="G216" s="530" t="str">
        <x:f>IF(ISBLANK('_INSTANCE'!G135),"",'_INSTANCE'!G135)</x:f>
      </x:c>
      <x:c r="H216" s="530" t="str">
        <x:f>IF(ISBLANK('_INSTANCE'!H135),"",'_INSTANCE'!H135)</x:f>
      </x:c>
      <x:c r="I216" s="530" t="str">
        <x:f>IF(ISBLANK('_INSTANCE'!I135),"",'_INSTANCE'!I135)</x:f>
      </x:c>
      <x:c r="J216" s="530" t="str">
        <x:f>IF(ISBLANK('_INSTANCE'!J135),"",'_INSTANCE'!J135)</x:f>
      </x:c>
      <x:c r="K216" s="38"/>
      <x:c r="L216" s="38"/>
      <x:c r="M216" s="38"/>
      <x:c r="N216" s="38"/>
      <x:c r="O216" s="38"/>
      <x:c r="P216" s="38"/>
      <x:c r="Q216" s="38"/>
    </x:row>
    <x:row r="217">
      <x:c r="A217" s="523" t="str">
        <x:f>IF(ISBLANK('_INSTANCE'!A136),"",'_INSTANCE'!A136)</x:f>
      </x:c>
      <x:c r="B217" s="523" t="str">
        <x:f>IF(ISBLANK('_INSTANCE'!B136),"",'_INSTANCE'!B136)</x:f>
      </x:c>
      <x:c r="C217" s="523" t="str">
        <x:f>IF(ISBLANK('_INSTANCE'!C136),"",'_INSTANCE'!C136)</x:f>
      </x:c>
      <x:c r="D217" s="530" t="str">
        <x:f>IF(ISBLANK('_INSTANCE'!D136),"",'_INSTANCE'!D136)</x:f>
      </x:c>
      <x:c r="E217" s="530" t="str">
        <x:f>IF(ISBLANK('_INSTANCE'!E136),"",'_INSTANCE'!E136)</x:f>
      </x:c>
      <x:c r="F217" s="530" t="str">
        <x:f>IF(ISBLANK('_INSTANCE'!F136),"",'_INSTANCE'!F136)</x:f>
      </x:c>
      <x:c r="G217" s="530" t="str">
        <x:f>IF(ISBLANK('_INSTANCE'!G136),"",'_INSTANCE'!G136)</x:f>
      </x:c>
      <x:c r="H217" s="530" t="str">
        <x:f>IF(ISBLANK('_INSTANCE'!H136),"",'_INSTANCE'!H136)</x:f>
      </x:c>
      <x:c r="I217" s="530" t="str">
        <x:f>IF(ISBLANK('_INSTANCE'!I136),"",'_INSTANCE'!I136)</x:f>
      </x:c>
      <x:c r="J217" s="530" t="str">
        <x:f>IF(ISBLANK('_INSTANCE'!J136),"",'_INSTANCE'!J136)</x:f>
      </x:c>
      <x:c r="K217" s="38"/>
      <x:c r="L217" s="38"/>
      <x:c r="M217" s="38"/>
      <x:c r="N217" s="38"/>
      <x:c r="O217" s="38"/>
      <x:c r="P217" s="38"/>
      <x:c r="Q217" s="38"/>
    </x:row>
    <x:row r="218">
      <x:c r="A218" s="523" t="str">
        <x:f>IF(ISBLANK('_INSTANCE'!A137),"",'_INSTANCE'!A137)</x:f>
      </x:c>
      <x:c r="B218" s="523" t="str">
        <x:f>IF(ISBLANK('_INSTANCE'!B137),"",'_INSTANCE'!B137)</x:f>
      </x:c>
      <x:c r="C218" s="523" t="str">
        <x:f>IF(ISBLANK('_INSTANCE'!C137),"",'_INSTANCE'!C137)</x:f>
      </x:c>
      <x:c r="D218" s="530" t="str">
        <x:f>IF(ISBLANK('_INSTANCE'!D137),"",'_INSTANCE'!D137)</x:f>
      </x:c>
      <x:c r="E218" s="530" t="str">
        <x:f>IF(ISBLANK('_INSTANCE'!E137),"",'_INSTANCE'!E137)</x:f>
      </x:c>
      <x:c r="F218" s="530" t="str">
        <x:f>IF(ISBLANK('_INSTANCE'!F137),"",'_INSTANCE'!F137)</x:f>
      </x:c>
      <x:c r="G218" s="530" t="str">
        <x:f>IF(ISBLANK('_INSTANCE'!G137),"",'_INSTANCE'!G137)</x:f>
      </x:c>
      <x:c r="H218" s="530" t="str">
        <x:f>IF(ISBLANK('_INSTANCE'!H137),"",'_INSTANCE'!H137)</x:f>
      </x:c>
      <x:c r="I218" s="530" t="str">
        <x:f>IF(ISBLANK('_INSTANCE'!I137),"",'_INSTANCE'!I137)</x:f>
      </x:c>
      <x:c r="J218" s="530" t="str">
        <x:f>IF(ISBLANK('_INSTANCE'!J137),"",'_INSTANCE'!J137)</x:f>
      </x:c>
      <x:c r="K218" s="38"/>
      <x:c r="L218" s="38"/>
      <x:c r="M218" s="38"/>
      <x:c r="N218" s="38"/>
      <x:c r="O218" s="38"/>
      <x:c r="P218" s="38"/>
      <x:c r="Q218" s="38"/>
    </x:row>
    <x:row r="219">
      <x:c r="A219" s="523" t="str">
        <x:f>IF(ISBLANK('_INSTANCE'!A138),"",'_INSTANCE'!A138)</x:f>
      </x:c>
      <x:c r="B219" s="523" t="str">
        <x:f>IF(ISBLANK('_INSTANCE'!B138),"",'_INSTANCE'!B138)</x:f>
      </x:c>
      <x:c r="C219" s="523" t="str">
        <x:f>IF(ISBLANK('_INSTANCE'!C138),"",'_INSTANCE'!C138)</x:f>
      </x:c>
      <x:c r="D219" s="530" t="str">
        <x:f>IF(ISBLANK('_INSTANCE'!D138),"",'_INSTANCE'!D138)</x:f>
      </x:c>
      <x:c r="E219" s="530" t="str">
        <x:f>IF(ISBLANK('_INSTANCE'!E138),"",'_INSTANCE'!E138)</x:f>
      </x:c>
      <x:c r="F219" s="530" t="str">
        <x:f>IF(ISBLANK('_INSTANCE'!F138),"",'_INSTANCE'!F138)</x:f>
      </x:c>
      <x:c r="G219" s="530" t="str">
        <x:f>IF(ISBLANK('_INSTANCE'!G138),"",'_INSTANCE'!G138)</x:f>
      </x:c>
      <x:c r="H219" s="530" t="str">
        <x:f>IF(ISBLANK('_INSTANCE'!H138),"",'_INSTANCE'!H138)</x:f>
      </x:c>
      <x:c r="I219" s="530" t="str">
        <x:f>IF(ISBLANK('_INSTANCE'!I138),"",'_INSTANCE'!I138)</x:f>
      </x:c>
      <x:c r="J219" s="530" t="str">
        <x:f>IF(ISBLANK('_INSTANCE'!J138),"",'_INSTANCE'!J138)</x:f>
      </x:c>
      <x:c r="K219" s="38"/>
      <x:c r="L219" s="38"/>
      <x:c r="M219" s="38"/>
      <x:c r="N219" s="38"/>
      <x:c r="O219" s="38"/>
      <x:c r="P219" s="38"/>
      <x:c r="Q219" s="38"/>
    </x:row>
    <x:row r="220">
      <x:c r="A220" s="523" t="str">
        <x:f>IF(ISBLANK('_INSTANCE'!A139),"",'_INSTANCE'!A139)</x:f>
      </x:c>
      <x:c r="B220" s="523" t="str">
        <x:f>IF(ISBLANK('_INSTANCE'!B139),"",'_INSTANCE'!B139)</x:f>
      </x:c>
      <x:c r="C220" s="523" t="str">
        <x:f>IF(ISBLANK('_INSTANCE'!C139),"",'_INSTANCE'!C139)</x:f>
      </x:c>
      <x:c r="D220" s="530" t="str">
        <x:f>IF(ISBLANK('_INSTANCE'!D139),"",'_INSTANCE'!D139)</x:f>
      </x:c>
      <x:c r="E220" s="530" t="str">
        <x:f>IF(ISBLANK('_INSTANCE'!E139),"",'_INSTANCE'!E139)</x:f>
      </x:c>
      <x:c r="F220" s="530" t="str">
        <x:f>IF(ISBLANK('_INSTANCE'!F139),"",'_INSTANCE'!F139)</x:f>
      </x:c>
      <x:c r="G220" s="530" t="str">
        <x:f>IF(ISBLANK('_INSTANCE'!G139),"",'_INSTANCE'!G139)</x:f>
      </x:c>
      <x:c r="H220" s="530" t="str">
        <x:f>IF(ISBLANK('_INSTANCE'!H139),"",'_INSTANCE'!H139)</x:f>
      </x:c>
      <x:c r="I220" s="530" t="str">
        <x:f>IF(ISBLANK('_INSTANCE'!I139),"",'_INSTANCE'!I139)</x:f>
      </x:c>
      <x:c r="J220" s="530" t="str">
        <x:f>IF(ISBLANK('_INSTANCE'!J139),"",'_INSTANCE'!J139)</x:f>
      </x:c>
      <x:c r="K220" s="38"/>
      <x:c r="L220" s="38"/>
      <x:c r="M220" s="38"/>
      <x:c r="N220" s="38"/>
      <x:c r="O220" s="38"/>
      <x:c r="P220" s="38"/>
      <x:c r="Q220" s="38"/>
    </x:row>
    <x:row r="221">
      <x:c r="A221" s="523" t="str">
        <x:f>IF(ISBLANK('_INSTANCE'!A140),"",'_INSTANCE'!A140)</x:f>
      </x:c>
      <x:c r="B221" s="523" t="str">
        <x:f>IF(ISBLANK('_INSTANCE'!B140),"",'_INSTANCE'!B140)</x:f>
      </x:c>
      <x:c r="C221" s="523" t="str">
        <x:f>IF(ISBLANK('_INSTANCE'!C140),"",'_INSTANCE'!C140)</x:f>
      </x:c>
      <x:c r="D221" s="530" t="str">
        <x:f>IF(ISBLANK('_INSTANCE'!D140),"",'_INSTANCE'!D140)</x:f>
      </x:c>
      <x:c r="E221" s="530" t="str">
        <x:f>IF(ISBLANK('_INSTANCE'!E140),"",'_INSTANCE'!E140)</x:f>
      </x:c>
      <x:c r="F221" s="530" t="str">
        <x:f>IF(ISBLANK('_INSTANCE'!F140),"",'_INSTANCE'!F140)</x:f>
      </x:c>
      <x:c r="G221" s="530" t="str">
        <x:f>IF(ISBLANK('_INSTANCE'!G140),"",'_INSTANCE'!G140)</x:f>
      </x:c>
      <x:c r="H221" s="530" t="str">
        <x:f>IF(ISBLANK('_INSTANCE'!H140),"",'_INSTANCE'!H140)</x:f>
      </x:c>
      <x:c r="I221" s="530" t="str">
        <x:f>IF(ISBLANK('_INSTANCE'!I140),"",'_INSTANCE'!I140)</x:f>
      </x:c>
      <x:c r="J221" s="530" t="str">
        <x:f>IF(ISBLANK('_INSTANCE'!J140),"",'_INSTANCE'!J140)</x:f>
      </x:c>
      <x:c r="K221" s="38"/>
      <x:c r="L221" s="38"/>
      <x:c r="M221" s="38"/>
      <x:c r="N221" s="38"/>
      <x:c r="O221" s="38"/>
      <x:c r="P221" s="38"/>
      <x:c r="Q221" s="38"/>
    </x:row>
    <x:row r="222">
      <x:c r="A222" s="523" t="str">
        <x:f>IF(ISBLANK('_INSTANCE'!A141),"",'_INSTANCE'!A141)</x:f>
      </x:c>
      <x:c r="B222" s="523" t="str">
        <x:f>IF(ISBLANK('_INSTANCE'!B141),"",'_INSTANCE'!B141)</x:f>
      </x:c>
      <x:c r="C222" s="523" t="str">
        <x:f>IF(ISBLANK('_INSTANCE'!C141),"",'_INSTANCE'!C141)</x:f>
      </x:c>
      <x:c r="D222" s="530" t="str">
        <x:f>IF(ISBLANK('_INSTANCE'!D141),"",'_INSTANCE'!D141)</x:f>
      </x:c>
      <x:c r="E222" s="530" t="str">
        <x:f>IF(ISBLANK('_INSTANCE'!E141),"",'_INSTANCE'!E141)</x:f>
      </x:c>
      <x:c r="F222" s="530" t="str">
        <x:f>IF(ISBLANK('_INSTANCE'!F141),"",'_INSTANCE'!F141)</x:f>
      </x:c>
      <x:c r="G222" s="530" t="str">
        <x:f>IF(ISBLANK('_INSTANCE'!G141),"",'_INSTANCE'!G141)</x:f>
      </x:c>
      <x:c r="H222" s="530" t="str">
        <x:f>IF(ISBLANK('_INSTANCE'!H141),"",'_INSTANCE'!H141)</x:f>
      </x:c>
      <x:c r="I222" s="530" t="str">
        <x:f>IF(ISBLANK('_INSTANCE'!I141),"",'_INSTANCE'!I141)</x:f>
      </x:c>
      <x:c r="J222" s="530" t="str">
        <x:f>IF(ISBLANK('_INSTANCE'!J141),"",'_INSTANCE'!J141)</x:f>
      </x:c>
      <x:c r="K222" s="38"/>
      <x:c r="L222" s="38"/>
      <x:c r="M222" s="38"/>
      <x:c r="N222" s="38"/>
      <x:c r="O222" s="38"/>
      <x:c r="P222" s="38"/>
      <x:c r="Q222" s="38"/>
    </x:row>
    <x:row r="223">
      <x:c r="A223" s="523" t="str">
        <x:f>IF(ISBLANK('_INSTANCE'!A142),"",'_INSTANCE'!A142)</x:f>
      </x:c>
      <x:c r="B223" s="523" t="str">
        <x:f>IF(ISBLANK('_INSTANCE'!B142),"",'_INSTANCE'!B142)</x:f>
      </x:c>
      <x:c r="C223" s="523" t="str">
        <x:f>IF(ISBLANK('_INSTANCE'!C142),"",'_INSTANCE'!C142)</x:f>
      </x:c>
      <x:c r="D223" s="530" t="str">
        <x:f>IF(ISBLANK('_INSTANCE'!D142),"",'_INSTANCE'!D142)</x:f>
      </x:c>
      <x:c r="E223" s="530" t="str">
        <x:f>IF(ISBLANK('_INSTANCE'!E142),"",'_INSTANCE'!E142)</x:f>
      </x:c>
      <x:c r="F223" s="530" t="str">
        <x:f>IF(ISBLANK('_INSTANCE'!F142),"",'_INSTANCE'!F142)</x:f>
      </x:c>
      <x:c r="G223" s="530" t="str">
        <x:f>IF(ISBLANK('_INSTANCE'!G142),"",'_INSTANCE'!G142)</x:f>
      </x:c>
      <x:c r="H223" s="530" t="str">
        <x:f>IF(ISBLANK('_INSTANCE'!H142),"",'_INSTANCE'!H142)</x:f>
      </x:c>
      <x:c r="I223" s="530" t="str">
        <x:f>IF(ISBLANK('_INSTANCE'!I142),"",'_INSTANCE'!I142)</x:f>
      </x:c>
      <x:c r="J223" s="530" t="str">
        <x:f>IF(ISBLANK('_INSTANCE'!J142),"",'_INSTANCE'!J142)</x:f>
      </x:c>
      <x:c r="K223" s="38"/>
      <x:c r="L223" s="38"/>
      <x:c r="M223" s="38"/>
      <x:c r="N223" s="38"/>
      <x:c r="O223" s="38"/>
      <x:c r="P223" s="38"/>
      <x:c r="Q223" s="38"/>
    </x:row>
    <x:row r="224">
      <x:c r="A224" s="523" t="str">
        <x:f>IF(ISBLANK('_INSTANCE'!A143),"",'_INSTANCE'!A143)</x:f>
      </x:c>
      <x:c r="B224" s="523" t="str">
        <x:f>IF(ISBLANK('_INSTANCE'!B143),"",'_INSTANCE'!B143)</x:f>
      </x:c>
      <x:c r="C224" s="523" t="str">
        <x:f>IF(ISBLANK('_INSTANCE'!C143),"",'_INSTANCE'!C143)</x:f>
      </x:c>
      <x:c r="D224" s="530" t="str">
        <x:f>IF(ISBLANK('_INSTANCE'!D143),"",'_INSTANCE'!D143)</x:f>
      </x:c>
      <x:c r="E224" s="530" t="str">
        <x:f>IF(ISBLANK('_INSTANCE'!E143),"",'_INSTANCE'!E143)</x:f>
      </x:c>
      <x:c r="F224" s="530" t="str">
        <x:f>IF(ISBLANK('_INSTANCE'!F143),"",'_INSTANCE'!F143)</x:f>
      </x:c>
      <x:c r="G224" s="530" t="str">
        <x:f>IF(ISBLANK('_INSTANCE'!G143),"",'_INSTANCE'!G143)</x:f>
      </x:c>
      <x:c r="H224" s="530" t="str">
        <x:f>IF(ISBLANK('_INSTANCE'!H143),"",'_INSTANCE'!H143)</x:f>
      </x:c>
      <x:c r="I224" s="530" t="str">
        <x:f>IF(ISBLANK('_INSTANCE'!I143),"",'_INSTANCE'!I143)</x:f>
      </x:c>
      <x:c r="J224" s="530" t="str">
        <x:f>IF(ISBLANK('_INSTANCE'!J143),"",'_INSTANCE'!J143)</x:f>
      </x:c>
      <x:c r="K224" s="38"/>
      <x:c r="L224" s="38"/>
      <x:c r="M224" s="38"/>
      <x:c r="N224" s="38"/>
      <x:c r="O224" s="38"/>
      <x:c r="P224" s="38"/>
      <x:c r="Q224" s="38"/>
    </x:row>
    <x:row r="225">
      <x:c r="A225" s="523" t="str">
        <x:f>IF(ISBLANK('_INSTANCE'!A144),"",'_INSTANCE'!A144)</x:f>
      </x:c>
      <x:c r="B225" s="523" t="str">
        <x:f>IF(ISBLANK('_INSTANCE'!B144),"",'_INSTANCE'!B144)</x:f>
      </x:c>
      <x:c r="C225" s="523" t="str">
        <x:f>IF(ISBLANK('_INSTANCE'!C144),"",'_INSTANCE'!C144)</x:f>
      </x:c>
      <x:c r="D225" s="530" t="str">
        <x:f>IF(ISBLANK('_INSTANCE'!D144),"",'_INSTANCE'!D144)</x:f>
      </x:c>
      <x:c r="E225" s="530" t="str">
        <x:f>IF(ISBLANK('_INSTANCE'!E144),"",'_INSTANCE'!E144)</x:f>
      </x:c>
      <x:c r="F225" s="530" t="str">
        <x:f>IF(ISBLANK('_INSTANCE'!F144),"",'_INSTANCE'!F144)</x:f>
      </x:c>
      <x:c r="G225" s="530" t="str">
        <x:f>IF(ISBLANK('_INSTANCE'!G144),"",'_INSTANCE'!G144)</x:f>
      </x:c>
      <x:c r="H225" s="530" t="str">
        <x:f>IF(ISBLANK('_INSTANCE'!H144),"",'_INSTANCE'!H144)</x:f>
      </x:c>
      <x:c r="I225" s="530" t="str">
        <x:f>IF(ISBLANK('_INSTANCE'!I144),"",'_INSTANCE'!I144)</x:f>
      </x:c>
      <x:c r="J225" s="530" t="str">
        <x:f>IF(ISBLANK('_INSTANCE'!J144),"",'_INSTANCE'!J144)</x:f>
      </x:c>
      <x:c r="K225" s="38"/>
      <x:c r="L225" s="38"/>
      <x:c r="M225" s="38"/>
      <x:c r="N225" s="38"/>
      <x:c r="O225" s="38"/>
      <x:c r="P225" s="38"/>
      <x:c r="Q225" s="38"/>
    </x:row>
    <x:row r="226">
      <x:c r="A226" s="523" t="str">
        <x:f>IF(ISBLANK('_INSTANCE'!A145),"",'_INSTANCE'!A145)</x:f>
      </x:c>
      <x:c r="B226" s="523" t="str">
        <x:f>IF(ISBLANK('_INSTANCE'!B145),"",'_INSTANCE'!B145)</x:f>
      </x:c>
      <x:c r="C226" s="523" t="str">
        <x:f>IF(ISBLANK('_INSTANCE'!C145),"",'_INSTANCE'!C145)</x:f>
      </x:c>
      <x:c r="D226" s="530" t="str">
        <x:f>IF(ISBLANK('_INSTANCE'!D145),"",'_INSTANCE'!D145)</x:f>
      </x:c>
      <x:c r="E226" s="530" t="str">
        <x:f>IF(ISBLANK('_INSTANCE'!E145),"",'_INSTANCE'!E145)</x:f>
      </x:c>
      <x:c r="F226" s="530" t="str">
        <x:f>IF(ISBLANK('_INSTANCE'!F145),"",'_INSTANCE'!F145)</x:f>
      </x:c>
      <x:c r="G226" s="530" t="str">
        <x:f>IF(ISBLANK('_INSTANCE'!G145),"",'_INSTANCE'!G145)</x:f>
      </x:c>
      <x:c r="H226" s="530" t="str">
        <x:f>IF(ISBLANK('_INSTANCE'!H145),"",'_INSTANCE'!H145)</x:f>
      </x:c>
      <x:c r="I226" s="530" t="str">
        <x:f>IF(ISBLANK('_INSTANCE'!I145),"",'_INSTANCE'!I145)</x:f>
      </x:c>
      <x:c r="J226" s="530" t="str">
        <x:f>IF(ISBLANK('_INSTANCE'!J145),"",'_INSTANCE'!J145)</x:f>
      </x:c>
      <x:c r="K226" s="38"/>
      <x:c r="L226" s="38"/>
      <x:c r="M226" s="38"/>
      <x:c r="N226" s="38"/>
      <x:c r="O226" s="38"/>
      <x:c r="P226" s="38"/>
      <x:c r="Q226" s="38"/>
    </x:row>
    <x:row r="227">
      <x:c r="A227" s="523" t="str">
        <x:f>IF(ISBLANK('_INSTANCE'!A146),"",'_INSTANCE'!A146)</x:f>
      </x:c>
      <x:c r="B227" s="523" t="str">
        <x:f>IF(ISBLANK('_INSTANCE'!B146),"",'_INSTANCE'!B146)</x:f>
      </x:c>
      <x:c r="C227" s="523" t="str">
        <x:f>IF(ISBLANK('_INSTANCE'!C146),"",'_INSTANCE'!C146)</x:f>
      </x:c>
      <x:c r="D227" s="530" t="str">
        <x:f>IF(ISBLANK('_INSTANCE'!D146),"",'_INSTANCE'!D146)</x:f>
      </x:c>
      <x:c r="E227" s="530" t="str">
        <x:f>IF(ISBLANK('_INSTANCE'!E146),"",'_INSTANCE'!E146)</x:f>
      </x:c>
      <x:c r="F227" s="530" t="str">
        <x:f>IF(ISBLANK('_INSTANCE'!F146),"",'_INSTANCE'!F146)</x:f>
      </x:c>
      <x:c r="G227" s="530" t="str">
        <x:f>IF(ISBLANK('_INSTANCE'!G146),"",'_INSTANCE'!G146)</x:f>
      </x:c>
      <x:c r="H227" s="530" t="str">
        <x:f>IF(ISBLANK('_INSTANCE'!H146),"",'_INSTANCE'!H146)</x:f>
      </x:c>
      <x:c r="I227" s="530" t="str">
        <x:f>IF(ISBLANK('_INSTANCE'!I146),"",'_INSTANCE'!I146)</x:f>
      </x:c>
      <x:c r="J227" s="530" t="str">
        <x:f>IF(ISBLANK('_INSTANCE'!J146),"",'_INSTANCE'!J146)</x:f>
      </x:c>
      <x:c r="K227" s="38"/>
      <x:c r="L227" s="38"/>
      <x:c r="M227" s="38"/>
      <x:c r="N227" s="38"/>
      <x:c r="O227" s="38"/>
      <x:c r="P227" s="38"/>
      <x:c r="Q227" s="38"/>
    </x:row>
    <x:row r="228">
      <x:c r="A228" s="523" t="str">
        <x:f>IF(ISBLANK('_INSTANCE'!A147),"",'_INSTANCE'!A147)</x:f>
      </x:c>
      <x:c r="B228" s="523" t="str">
        <x:f>IF(ISBLANK('_INSTANCE'!B147),"",'_INSTANCE'!B147)</x:f>
      </x:c>
      <x:c r="C228" s="523" t="str">
        <x:f>IF(ISBLANK('_INSTANCE'!C147),"",'_INSTANCE'!C147)</x:f>
      </x:c>
      <x:c r="D228" s="530" t="str">
        <x:f>IF(ISBLANK('_INSTANCE'!D147),"",'_INSTANCE'!D147)</x:f>
      </x:c>
      <x:c r="E228" s="530" t="str">
        <x:f>IF(ISBLANK('_INSTANCE'!E147),"",'_INSTANCE'!E147)</x:f>
      </x:c>
      <x:c r="F228" s="530" t="str">
        <x:f>IF(ISBLANK('_INSTANCE'!F147),"",'_INSTANCE'!F147)</x:f>
      </x:c>
      <x:c r="G228" s="530" t="str">
        <x:f>IF(ISBLANK('_INSTANCE'!G147),"",'_INSTANCE'!G147)</x:f>
      </x:c>
      <x:c r="H228" s="530" t="str">
        <x:f>IF(ISBLANK('_INSTANCE'!H147),"",'_INSTANCE'!H147)</x:f>
      </x:c>
      <x:c r="I228" s="530" t="str">
        <x:f>IF(ISBLANK('_INSTANCE'!I147),"",'_INSTANCE'!I147)</x:f>
      </x:c>
      <x:c r="J228" s="530" t="str">
        <x:f>IF(ISBLANK('_INSTANCE'!J147),"",'_INSTANCE'!J147)</x:f>
      </x:c>
      <x:c r="K228" s="38"/>
      <x:c r="L228" s="38"/>
      <x:c r="M228" s="38"/>
      <x:c r="N228" s="38"/>
      <x:c r="O228" s="38"/>
      <x:c r="P228" s="38"/>
      <x:c r="Q228" s="38"/>
    </x:row>
    <x:row r="229">
      <x:c r="A229" s="523" t="str">
        <x:f>IF(ISBLANK('_INSTANCE'!A148),"",'_INSTANCE'!A148)</x:f>
      </x:c>
      <x:c r="B229" s="523" t="str">
        <x:f>IF(ISBLANK('_INSTANCE'!B148),"",'_INSTANCE'!B148)</x:f>
      </x:c>
      <x:c r="C229" s="523" t="str">
        <x:f>IF(ISBLANK('_INSTANCE'!C148),"",'_INSTANCE'!C148)</x:f>
      </x:c>
      <x:c r="D229" s="530" t="str">
        <x:f>IF(ISBLANK('_INSTANCE'!D148),"",'_INSTANCE'!D148)</x:f>
      </x:c>
      <x:c r="E229" s="530" t="str">
        <x:f>IF(ISBLANK('_INSTANCE'!E148),"",'_INSTANCE'!E148)</x:f>
      </x:c>
      <x:c r="F229" s="530" t="str">
        <x:f>IF(ISBLANK('_INSTANCE'!F148),"",'_INSTANCE'!F148)</x:f>
      </x:c>
      <x:c r="G229" s="530" t="str">
        <x:f>IF(ISBLANK('_INSTANCE'!G148),"",'_INSTANCE'!G148)</x:f>
      </x:c>
      <x:c r="H229" s="530" t="str">
        <x:f>IF(ISBLANK('_INSTANCE'!H148),"",'_INSTANCE'!H148)</x:f>
      </x:c>
      <x:c r="I229" s="530" t="str">
        <x:f>IF(ISBLANK('_INSTANCE'!I148),"",'_INSTANCE'!I148)</x:f>
      </x:c>
      <x:c r="J229" s="530" t="str">
        <x:f>IF(ISBLANK('_INSTANCE'!J148),"",'_INSTANCE'!J148)</x:f>
      </x:c>
      <x:c r="K229" s="38"/>
      <x:c r="L229" s="38"/>
      <x:c r="M229" s="38"/>
      <x:c r="N229" s="38"/>
      <x:c r="O229" s="38"/>
      <x:c r="P229" s="38"/>
      <x:c r="Q229" s="38"/>
    </x:row>
    <x:row r="230">
      <x:c r="A230" s="523" t="str">
        <x:f>IF(ISBLANK('_INSTANCE'!A149),"",'_INSTANCE'!A149)</x:f>
      </x:c>
      <x:c r="B230" s="523" t="str">
        <x:f>IF(ISBLANK('_INSTANCE'!B149),"",'_INSTANCE'!B149)</x:f>
      </x:c>
      <x:c r="C230" s="523" t="str">
        <x:f>IF(ISBLANK('_INSTANCE'!C149),"",'_INSTANCE'!C149)</x:f>
      </x:c>
      <x:c r="D230" s="530" t="str">
        <x:f>IF(ISBLANK('_INSTANCE'!D149),"",'_INSTANCE'!D149)</x:f>
      </x:c>
      <x:c r="E230" s="530" t="str">
        <x:f>IF(ISBLANK('_INSTANCE'!E149),"",'_INSTANCE'!E149)</x:f>
      </x:c>
      <x:c r="F230" s="530" t="str">
        <x:f>IF(ISBLANK('_INSTANCE'!F149),"",'_INSTANCE'!F149)</x:f>
      </x:c>
      <x:c r="G230" s="530" t="str">
        <x:f>IF(ISBLANK('_INSTANCE'!G149),"",'_INSTANCE'!G149)</x:f>
      </x:c>
      <x:c r="H230" s="530" t="str">
        <x:f>IF(ISBLANK('_INSTANCE'!H149),"",'_INSTANCE'!H149)</x:f>
      </x:c>
      <x:c r="I230" s="530" t="str">
        <x:f>IF(ISBLANK('_INSTANCE'!I149),"",'_INSTANCE'!I149)</x:f>
      </x:c>
      <x:c r="J230" s="530" t="str">
        <x:f>IF(ISBLANK('_INSTANCE'!J149),"",'_INSTANCE'!J149)</x:f>
      </x:c>
      <x:c r="K230" s="38"/>
      <x:c r="L230" s="38"/>
      <x:c r="M230" s="38"/>
      <x:c r="N230" s="38"/>
      <x:c r="O230" s="38"/>
      <x:c r="P230" s="38"/>
      <x:c r="Q230" s="38"/>
    </x:row>
    <x:row r="231">
      <x:c r="A231" s="523" t="str">
        <x:f>IF(ISBLANK('_INSTANCE'!A150),"",'_INSTANCE'!A150)</x:f>
      </x:c>
      <x:c r="B231" s="523" t="str">
        <x:f>IF(ISBLANK('_INSTANCE'!B150),"",'_INSTANCE'!B150)</x:f>
      </x:c>
      <x:c r="C231" s="523" t="str">
        <x:f>IF(ISBLANK('_INSTANCE'!C150),"",'_INSTANCE'!C150)</x:f>
      </x:c>
      <x:c r="D231" s="530" t="str">
        <x:f>IF(ISBLANK('_INSTANCE'!D150),"",'_INSTANCE'!D150)</x:f>
      </x:c>
      <x:c r="E231" s="530" t="str">
        <x:f>IF(ISBLANK('_INSTANCE'!E150),"",'_INSTANCE'!E150)</x:f>
      </x:c>
      <x:c r="F231" s="530" t="str">
        <x:f>IF(ISBLANK('_INSTANCE'!F150),"",'_INSTANCE'!F150)</x:f>
      </x:c>
      <x:c r="G231" s="530" t="str">
        <x:f>IF(ISBLANK('_INSTANCE'!G150),"",'_INSTANCE'!G150)</x:f>
      </x:c>
      <x:c r="H231" s="530" t="str">
        <x:f>IF(ISBLANK('_INSTANCE'!H150),"",'_INSTANCE'!H150)</x:f>
      </x:c>
      <x:c r="I231" s="530" t="str">
        <x:f>IF(ISBLANK('_INSTANCE'!I150),"",'_INSTANCE'!I150)</x:f>
      </x:c>
      <x:c r="J231" s="530" t="str">
        <x:f>IF(ISBLANK('_INSTANCE'!J150),"",'_INSTANCE'!J150)</x:f>
      </x:c>
      <x:c r="K231" s="38"/>
      <x:c r="L231" s="38"/>
      <x:c r="M231" s="38"/>
      <x:c r="N231" s="38"/>
      <x:c r="O231" s="38"/>
      <x:c r="P231" s="38"/>
      <x:c r="Q231" s="38"/>
    </x:row>
    <x:row r="232">
      <x:c r="A232" s="523" t="str">
        <x:f>IF(ISBLANK('_INSTANCE'!A151),"",'_INSTANCE'!A151)</x:f>
      </x:c>
      <x:c r="B232" s="523" t="str">
        <x:f>IF(ISBLANK('_INSTANCE'!B151),"",'_INSTANCE'!B151)</x:f>
      </x:c>
      <x:c r="C232" s="523" t="str">
        <x:f>IF(ISBLANK('_INSTANCE'!C151),"",'_INSTANCE'!C151)</x:f>
      </x:c>
      <x:c r="D232" s="530" t="str">
        <x:f>IF(ISBLANK('_INSTANCE'!D151),"",'_INSTANCE'!D151)</x:f>
      </x:c>
      <x:c r="E232" s="530" t="str">
        <x:f>IF(ISBLANK('_INSTANCE'!E151),"",'_INSTANCE'!E151)</x:f>
      </x:c>
      <x:c r="F232" s="530" t="str">
        <x:f>IF(ISBLANK('_INSTANCE'!F151),"",'_INSTANCE'!F151)</x:f>
      </x:c>
      <x:c r="G232" s="530" t="str">
        <x:f>IF(ISBLANK('_INSTANCE'!G151),"",'_INSTANCE'!G151)</x:f>
      </x:c>
      <x:c r="H232" s="530" t="str">
        <x:f>IF(ISBLANK('_INSTANCE'!H151),"",'_INSTANCE'!H151)</x:f>
      </x:c>
      <x:c r="I232" s="530" t="str">
        <x:f>IF(ISBLANK('_INSTANCE'!I151),"",'_INSTANCE'!I151)</x:f>
      </x:c>
      <x:c r="J232" s="530" t="str">
        <x:f>IF(ISBLANK('_INSTANCE'!J151),"",'_INSTANCE'!J151)</x:f>
      </x:c>
      <x:c r="K232" s="38"/>
      <x:c r="L232" s="38"/>
      <x:c r="M232" s="38"/>
      <x:c r="N232" s="38"/>
      <x:c r="O232" s="38"/>
      <x:c r="P232" s="38"/>
      <x:c r="Q232" s="38"/>
    </x:row>
    <x:row r="233">
      <x:c r="A233" s="523" t="str">
        <x:f>IF(ISBLANK('_INSTANCE'!A152),"",'_INSTANCE'!A152)</x:f>
      </x:c>
      <x:c r="B233" s="523" t="str">
        <x:f>IF(ISBLANK('_INSTANCE'!B152),"",'_INSTANCE'!B152)</x:f>
      </x:c>
      <x:c r="C233" s="523" t="str">
        <x:f>IF(ISBLANK('_INSTANCE'!C152),"",'_INSTANCE'!C152)</x:f>
      </x:c>
      <x:c r="D233" s="530" t="str">
        <x:f>IF(ISBLANK('_INSTANCE'!D152),"",'_INSTANCE'!D152)</x:f>
      </x:c>
      <x:c r="E233" s="530" t="str">
        <x:f>IF(ISBLANK('_INSTANCE'!E152),"",'_INSTANCE'!E152)</x:f>
      </x:c>
      <x:c r="F233" s="530" t="str">
        <x:f>IF(ISBLANK('_INSTANCE'!F152),"",'_INSTANCE'!F152)</x:f>
      </x:c>
      <x:c r="G233" s="530" t="str">
        <x:f>IF(ISBLANK('_INSTANCE'!G152),"",'_INSTANCE'!G152)</x:f>
      </x:c>
      <x:c r="H233" s="530" t="str">
        <x:f>IF(ISBLANK('_INSTANCE'!H152),"",'_INSTANCE'!H152)</x:f>
      </x:c>
      <x:c r="I233" s="530" t="str">
        <x:f>IF(ISBLANK('_INSTANCE'!I152),"",'_INSTANCE'!I152)</x:f>
      </x:c>
      <x:c r="J233" s="530" t="str">
        <x:f>IF(ISBLANK('_INSTANCE'!J152),"",'_INSTANCE'!J152)</x:f>
      </x:c>
      <x:c r="K233" s="38"/>
      <x:c r="L233" s="38"/>
      <x:c r="M233" s="38"/>
      <x:c r="N233" s="38"/>
      <x:c r="O233" s="38"/>
      <x:c r="P233" s="38"/>
      <x:c r="Q233" s="38"/>
    </x:row>
    <x:row r="234">
      <x:c r="A234" s="523" t="str">
        <x:f>IF(ISBLANK('_INSTANCE'!A153),"",'_INSTANCE'!A153)</x:f>
      </x:c>
      <x:c r="B234" s="523" t="str">
        <x:f>IF(ISBLANK('_INSTANCE'!B153),"",'_INSTANCE'!B153)</x:f>
      </x:c>
      <x:c r="C234" s="523" t="str">
        <x:f>IF(ISBLANK('_INSTANCE'!C153),"",'_INSTANCE'!C153)</x:f>
      </x:c>
      <x:c r="D234" s="530" t="str">
        <x:f>IF(ISBLANK('_INSTANCE'!D153),"",'_INSTANCE'!D153)</x:f>
      </x:c>
      <x:c r="E234" s="530" t="str">
        <x:f>IF(ISBLANK('_INSTANCE'!E153),"",'_INSTANCE'!E153)</x:f>
      </x:c>
      <x:c r="F234" s="530" t="str">
        <x:f>IF(ISBLANK('_INSTANCE'!F153),"",'_INSTANCE'!F153)</x:f>
      </x:c>
      <x:c r="G234" s="530" t="str">
        <x:f>IF(ISBLANK('_INSTANCE'!G153),"",'_INSTANCE'!G153)</x:f>
      </x:c>
      <x:c r="H234" s="530" t="str">
        <x:f>IF(ISBLANK('_INSTANCE'!H153),"",'_INSTANCE'!H153)</x:f>
      </x:c>
      <x:c r="I234" s="530" t="str">
        <x:f>IF(ISBLANK('_INSTANCE'!I153),"",'_INSTANCE'!I153)</x:f>
      </x:c>
      <x:c r="J234" s="530" t="str">
        <x:f>IF(ISBLANK('_INSTANCE'!J153),"",'_INSTANCE'!J153)</x:f>
      </x:c>
      <x:c r="K234" s="38"/>
      <x:c r="L234" s="38"/>
      <x:c r="M234" s="38"/>
      <x:c r="N234" s="38"/>
      <x:c r="O234" s="38"/>
      <x:c r="P234" s="38"/>
      <x:c r="Q234" s="38"/>
    </x:row>
    <x:row r="235">
      <x:c r="A235" s="523" t="str">
        <x:f>IF(ISBLANK('_INSTANCE'!A154),"",'_INSTANCE'!A154)</x:f>
      </x:c>
      <x:c r="B235" s="523" t="str">
        <x:f>IF(ISBLANK('_INSTANCE'!B154),"",'_INSTANCE'!B154)</x:f>
      </x:c>
      <x:c r="C235" s="523" t="str">
        <x:f>IF(ISBLANK('_INSTANCE'!C154),"",'_INSTANCE'!C154)</x:f>
      </x:c>
      <x:c r="D235" s="530" t="str">
        <x:f>IF(ISBLANK('_INSTANCE'!D154),"",'_INSTANCE'!D154)</x:f>
      </x:c>
      <x:c r="E235" s="530" t="str">
        <x:f>IF(ISBLANK('_INSTANCE'!E154),"",'_INSTANCE'!E154)</x:f>
      </x:c>
      <x:c r="F235" s="530" t="str">
        <x:f>IF(ISBLANK('_INSTANCE'!F154),"",'_INSTANCE'!F154)</x:f>
      </x:c>
      <x:c r="G235" s="530" t="str">
        <x:f>IF(ISBLANK('_INSTANCE'!G154),"",'_INSTANCE'!G154)</x:f>
      </x:c>
      <x:c r="H235" s="530" t="str">
        <x:f>IF(ISBLANK('_INSTANCE'!H154),"",'_INSTANCE'!H154)</x:f>
      </x:c>
      <x:c r="I235" s="530" t="str">
        <x:f>IF(ISBLANK('_INSTANCE'!I154),"",'_INSTANCE'!I154)</x:f>
      </x:c>
      <x:c r="J235" s="530" t="str">
        <x:f>IF(ISBLANK('_INSTANCE'!J154),"",'_INSTANCE'!J154)</x:f>
      </x:c>
      <x:c r="K235" s="38"/>
      <x:c r="L235" s="38"/>
      <x:c r="M235" s="38"/>
      <x:c r="N235" s="38"/>
      <x:c r="O235" s="38"/>
      <x:c r="P235" s="38"/>
      <x:c r="Q235" s="38"/>
    </x:row>
    <x:row r="236">
      <x:c r="A236" s="523" t="str">
        <x:f>IF(ISBLANK('_INSTANCE'!A155),"",'_INSTANCE'!A155)</x:f>
      </x:c>
      <x:c r="B236" s="523" t="str">
        <x:f>IF(ISBLANK('_INSTANCE'!B155),"",'_INSTANCE'!B155)</x:f>
      </x:c>
      <x:c r="C236" s="523" t="str">
        <x:f>IF(ISBLANK('_INSTANCE'!C155),"",'_INSTANCE'!C155)</x:f>
      </x:c>
      <x:c r="D236" s="530" t="str">
        <x:f>IF(ISBLANK('_INSTANCE'!D155),"",'_INSTANCE'!D155)</x:f>
      </x:c>
      <x:c r="E236" s="530" t="str">
        <x:f>IF(ISBLANK('_INSTANCE'!E155),"",'_INSTANCE'!E155)</x:f>
      </x:c>
      <x:c r="F236" s="530" t="str">
        <x:f>IF(ISBLANK('_INSTANCE'!F155),"",'_INSTANCE'!F155)</x:f>
      </x:c>
      <x:c r="G236" s="530" t="str">
        <x:f>IF(ISBLANK('_INSTANCE'!G155),"",'_INSTANCE'!G155)</x:f>
      </x:c>
      <x:c r="H236" s="530" t="str">
        <x:f>IF(ISBLANK('_INSTANCE'!H155),"",'_INSTANCE'!H155)</x:f>
      </x:c>
      <x:c r="I236" s="530" t="str">
        <x:f>IF(ISBLANK('_INSTANCE'!I155),"",'_INSTANCE'!I155)</x:f>
      </x:c>
      <x:c r="J236" s="530" t="str">
        <x:f>IF(ISBLANK('_INSTANCE'!J155),"",'_INSTANCE'!J155)</x:f>
      </x:c>
      <x:c r="K236" s="38"/>
      <x:c r="L236" s="38"/>
      <x:c r="M236" s="38"/>
      <x:c r="N236" s="38"/>
      <x:c r="O236" s="38"/>
      <x:c r="P236" s="38"/>
      <x:c r="Q236" s="38"/>
    </x:row>
    <x:row r="237">
      <x:c r="A237" s="523" t="str">
        <x:f>IF(ISBLANK('_INSTANCE'!A156),"",'_INSTANCE'!A156)</x:f>
      </x:c>
      <x:c r="B237" s="523" t="str">
        <x:f>IF(ISBLANK('_INSTANCE'!B156),"",'_INSTANCE'!B156)</x:f>
      </x:c>
      <x:c r="C237" s="523" t="str">
        <x:f>IF(ISBLANK('_INSTANCE'!C156),"",'_INSTANCE'!C156)</x:f>
      </x:c>
      <x:c r="D237" s="530" t="str">
        <x:f>IF(ISBLANK('_INSTANCE'!D156),"",'_INSTANCE'!D156)</x:f>
      </x:c>
      <x:c r="E237" s="530" t="str">
        <x:f>IF(ISBLANK('_INSTANCE'!E156),"",'_INSTANCE'!E156)</x:f>
      </x:c>
      <x:c r="F237" s="530" t="str">
        <x:f>IF(ISBLANK('_INSTANCE'!F156),"",'_INSTANCE'!F156)</x:f>
      </x:c>
      <x:c r="G237" s="530" t="str">
        <x:f>IF(ISBLANK('_INSTANCE'!G156),"",'_INSTANCE'!G156)</x:f>
      </x:c>
      <x:c r="H237" s="530" t="str">
        <x:f>IF(ISBLANK('_INSTANCE'!H156),"",'_INSTANCE'!H156)</x:f>
      </x:c>
      <x:c r="I237" s="530" t="str">
        <x:f>IF(ISBLANK('_INSTANCE'!I156),"",'_INSTANCE'!I156)</x:f>
      </x:c>
      <x:c r="J237" s="530" t="str">
        <x:f>IF(ISBLANK('_INSTANCE'!J156),"",'_INSTANCE'!J156)</x:f>
      </x:c>
      <x:c r="K237" s="38"/>
      <x:c r="L237" s="38"/>
      <x:c r="M237" s="38"/>
      <x:c r="N237" s="38"/>
      <x:c r="O237" s="38"/>
      <x:c r="P237" s="38"/>
      <x:c r="Q237" s="38"/>
    </x:row>
    <x:row r="238">
      <x:c r="A238" s="523" t="str">
        <x:f>IF(ISBLANK('_INSTANCE'!A157),"",'_INSTANCE'!A157)</x:f>
      </x:c>
      <x:c r="B238" s="523" t="str">
        <x:f>IF(ISBLANK('_INSTANCE'!B157),"",'_INSTANCE'!B157)</x:f>
      </x:c>
      <x:c r="C238" s="523" t="str">
        <x:f>IF(ISBLANK('_INSTANCE'!C157),"",'_INSTANCE'!C157)</x:f>
      </x:c>
      <x:c r="D238" s="530" t="str">
        <x:f>IF(ISBLANK('_INSTANCE'!D157),"",'_INSTANCE'!D157)</x:f>
      </x:c>
      <x:c r="E238" s="530" t="str">
        <x:f>IF(ISBLANK('_INSTANCE'!E157),"",'_INSTANCE'!E157)</x:f>
      </x:c>
      <x:c r="F238" s="530" t="str">
        <x:f>IF(ISBLANK('_INSTANCE'!F157),"",'_INSTANCE'!F157)</x:f>
      </x:c>
      <x:c r="G238" s="530" t="str">
        <x:f>IF(ISBLANK('_INSTANCE'!G157),"",'_INSTANCE'!G157)</x:f>
      </x:c>
      <x:c r="H238" s="530" t="str">
        <x:f>IF(ISBLANK('_INSTANCE'!H157),"",'_INSTANCE'!H157)</x:f>
      </x:c>
      <x:c r="I238" s="530" t="str">
        <x:f>IF(ISBLANK('_INSTANCE'!I157),"",'_INSTANCE'!I157)</x:f>
      </x:c>
      <x:c r="J238" s="530" t="str">
        <x:f>IF(ISBLANK('_INSTANCE'!J157),"",'_INSTANCE'!J157)</x:f>
      </x:c>
      <x:c r="K238" s="38"/>
      <x:c r="L238" s="38"/>
      <x:c r="M238" s="38"/>
      <x:c r="N238" s="38"/>
      <x:c r="O238" s="38"/>
      <x:c r="P238" s="38"/>
      <x:c r="Q238" s="38"/>
    </x:row>
    <x:row r="239">
      <x:c r="A239" s="523" t="str">
        <x:f>IF(ISBLANK('_INSTANCE'!A158),"",'_INSTANCE'!A158)</x:f>
      </x:c>
      <x:c r="B239" s="523" t="str">
        <x:f>IF(ISBLANK('_INSTANCE'!B158),"",'_INSTANCE'!B158)</x:f>
      </x:c>
      <x:c r="C239" s="523" t="str">
        <x:f>IF(ISBLANK('_INSTANCE'!C158),"",'_INSTANCE'!C158)</x:f>
      </x:c>
      <x:c r="D239" s="530" t="str">
        <x:f>IF(ISBLANK('_INSTANCE'!D158),"",'_INSTANCE'!D158)</x:f>
      </x:c>
      <x:c r="E239" s="530" t="str">
        <x:f>IF(ISBLANK('_INSTANCE'!E158),"",'_INSTANCE'!E158)</x:f>
      </x:c>
      <x:c r="F239" s="530" t="str">
        <x:f>IF(ISBLANK('_INSTANCE'!F158),"",'_INSTANCE'!F158)</x:f>
      </x:c>
      <x:c r="G239" s="530" t="str">
        <x:f>IF(ISBLANK('_INSTANCE'!G158),"",'_INSTANCE'!G158)</x:f>
      </x:c>
      <x:c r="H239" s="530" t="str">
        <x:f>IF(ISBLANK('_INSTANCE'!H158),"",'_INSTANCE'!H158)</x:f>
      </x:c>
      <x:c r="I239" s="530" t="str">
        <x:f>IF(ISBLANK('_INSTANCE'!I158),"",'_INSTANCE'!I158)</x:f>
      </x:c>
      <x:c r="J239" s="530" t="str">
        <x:f>IF(ISBLANK('_INSTANCE'!J158),"",'_INSTANCE'!J158)</x:f>
      </x:c>
      <x:c r="K239" s="38"/>
      <x:c r="L239" s="38"/>
      <x:c r="M239" s="38"/>
      <x:c r="N239" s="38"/>
      <x:c r="O239" s="38"/>
      <x:c r="P239" s="38"/>
      <x:c r="Q239" s="38"/>
    </x:row>
    <x:row r="240">
      <x:c r="A240" s="523" t="str">
        <x:f>IF(ISBLANK('_INSTANCE'!A159),"",'_INSTANCE'!A159)</x:f>
      </x:c>
      <x:c r="B240" s="523" t="str">
        <x:f>IF(ISBLANK('_INSTANCE'!B159),"",'_INSTANCE'!B159)</x:f>
      </x:c>
      <x:c r="C240" s="523" t="str">
        <x:f>IF(ISBLANK('_INSTANCE'!C159),"",'_INSTANCE'!C159)</x:f>
      </x:c>
      <x:c r="D240" s="530" t="str">
        <x:f>IF(ISBLANK('_INSTANCE'!D159),"",'_INSTANCE'!D159)</x:f>
      </x:c>
      <x:c r="E240" s="530" t="str">
        <x:f>IF(ISBLANK('_INSTANCE'!E159),"",'_INSTANCE'!E159)</x:f>
      </x:c>
      <x:c r="F240" s="530" t="str">
        <x:f>IF(ISBLANK('_INSTANCE'!F159),"",'_INSTANCE'!F159)</x:f>
      </x:c>
      <x:c r="G240" s="530" t="str">
        <x:f>IF(ISBLANK('_INSTANCE'!G159),"",'_INSTANCE'!G159)</x:f>
      </x:c>
      <x:c r="H240" s="530" t="str">
        <x:f>IF(ISBLANK('_INSTANCE'!H159),"",'_INSTANCE'!H159)</x:f>
      </x:c>
      <x:c r="I240" s="530" t="str">
        <x:f>IF(ISBLANK('_INSTANCE'!I159),"",'_INSTANCE'!I159)</x:f>
      </x:c>
      <x:c r="J240" s="530" t="str">
        <x:f>IF(ISBLANK('_INSTANCE'!J159),"",'_INSTANCE'!J159)</x:f>
      </x:c>
      <x:c r="K240" s="38"/>
      <x:c r="L240" s="38"/>
      <x:c r="M240" s="38"/>
      <x:c r="N240" s="38"/>
      <x:c r="O240" s="38"/>
      <x:c r="P240" s="38"/>
      <x:c r="Q240" s="38"/>
    </x:row>
    <x:row r="241">
      <x:c r="A241" s="523" t="str">
        <x:f>IF(ISBLANK('_INSTANCE'!A160),"",'_INSTANCE'!A160)</x:f>
      </x:c>
      <x:c r="B241" s="523" t="str">
        <x:f>IF(ISBLANK('_INSTANCE'!B160),"",'_INSTANCE'!B160)</x:f>
      </x:c>
      <x:c r="C241" s="523" t="str">
        <x:f>IF(ISBLANK('_INSTANCE'!C160),"",'_INSTANCE'!C160)</x:f>
      </x:c>
      <x:c r="D241" s="530" t="str">
        <x:f>IF(ISBLANK('_INSTANCE'!D160),"",'_INSTANCE'!D160)</x:f>
      </x:c>
      <x:c r="E241" s="530" t="str">
        <x:f>IF(ISBLANK('_INSTANCE'!E160),"",'_INSTANCE'!E160)</x:f>
      </x:c>
      <x:c r="F241" s="530" t="str">
        <x:f>IF(ISBLANK('_INSTANCE'!F160),"",'_INSTANCE'!F160)</x:f>
      </x:c>
      <x:c r="G241" s="530" t="str">
        <x:f>IF(ISBLANK('_INSTANCE'!G160),"",'_INSTANCE'!G160)</x:f>
      </x:c>
      <x:c r="H241" s="530" t="str">
        <x:f>IF(ISBLANK('_INSTANCE'!H160),"",'_INSTANCE'!H160)</x:f>
      </x:c>
      <x:c r="I241" s="530" t="str">
        <x:f>IF(ISBLANK('_INSTANCE'!I160),"",'_INSTANCE'!I160)</x:f>
      </x:c>
      <x:c r="J241" s="530" t="str">
        <x:f>IF(ISBLANK('_INSTANCE'!J160),"",'_INSTANCE'!J160)</x:f>
      </x:c>
      <x:c r="K241" s="38"/>
      <x:c r="L241" s="38"/>
      <x:c r="M241" s="38"/>
      <x:c r="N241" s="38"/>
      <x:c r="O241" s="38"/>
      <x:c r="P241" s="38"/>
      <x:c r="Q241" s="38"/>
    </x:row>
    <x:row r="242">
      <x:c r="A242" s="523" t="str">
        <x:f>IF(ISBLANK('_INSTANCE'!A161),"",'_INSTANCE'!A161)</x:f>
      </x:c>
      <x:c r="B242" s="523" t="str">
        <x:f>IF(ISBLANK('_INSTANCE'!B161),"",'_INSTANCE'!B161)</x:f>
      </x:c>
      <x:c r="C242" s="523" t="str">
        <x:f>IF(ISBLANK('_INSTANCE'!C161),"",'_INSTANCE'!C161)</x:f>
      </x:c>
      <x:c r="D242" s="530" t="str">
        <x:f>IF(ISBLANK('_INSTANCE'!D161),"",'_INSTANCE'!D161)</x:f>
      </x:c>
      <x:c r="E242" s="530" t="str">
        <x:f>IF(ISBLANK('_INSTANCE'!E161),"",'_INSTANCE'!E161)</x:f>
      </x:c>
      <x:c r="F242" s="530" t="str">
        <x:f>IF(ISBLANK('_INSTANCE'!F161),"",'_INSTANCE'!F161)</x:f>
      </x:c>
      <x:c r="G242" s="530" t="str">
        <x:f>IF(ISBLANK('_INSTANCE'!G161),"",'_INSTANCE'!G161)</x:f>
      </x:c>
      <x:c r="H242" s="530" t="str">
        <x:f>IF(ISBLANK('_INSTANCE'!H161),"",'_INSTANCE'!H161)</x:f>
      </x:c>
      <x:c r="I242" s="530" t="str">
        <x:f>IF(ISBLANK('_INSTANCE'!I161),"",'_INSTANCE'!I161)</x:f>
      </x:c>
      <x:c r="J242" s="530" t="str">
        <x:f>IF(ISBLANK('_INSTANCE'!J161),"",'_INSTANCE'!J161)</x:f>
      </x:c>
      <x:c r="K242" s="38"/>
      <x:c r="L242" s="38"/>
      <x:c r="M242" s="38"/>
      <x:c r="N242" s="38"/>
      <x:c r="O242" s="38"/>
      <x:c r="P242" s="38"/>
      <x:c r="Q242" s="38"/>
    </x:row>
    <x:row r="243">
      <x:c r="A243" s="523" t="str">
        <x:f>IF(ISBLANK('_INSTANCE'!A162),"",'_INSTANCE'!A162)</x:f>
      </x:c>
      <x:c r="B243" s="523" t="str">
        <x:f>IF(ISBLANK('_INSTANCE'!B162),"",'_INSTANCE'!B162)</x:f>
      </x:c>
      <x:c r="C243" s="523" t="str">
        <x:f>IF(ISBLANK('_INSTANCE'!C162),"",'_INSTANCE'!C162)</x:f>
      </x:c>
      <x:c r="D243" s="530" t="str">
        <x:f>IF(ISBLANK('_INSTANCE'!D162),"",'_INSTANCE'!D162)</x:f>
      </x:c>
      <x:c r="E243" s="530" t="str">
        <x:f>IF(ISBLANK('_INSTANCE'!E162),"",'_INSTANCE'!E162)</x:f>
      </x:c>
      <x:c r="F243" s="530" t="str">
        <x:f>IF(ISBLANK('_INSTANCE'!F162),"",'_INSTANCE'!F162)</x:f>
      </x:c>
      <x:c r="G243" s="530" t="str">
        <x:f>IF(ISBLANK('_INSTANCE'!G162),"",'_INSTANCE'!G162)</x:f>
      </x:c>
      <x:c r="H243" s="530" t="str">
        <x:f>IF(ISBLANK('_INSTANCE'!H162),"",'_INSTANCE'!H162)</x:f>
      </x:c>
      <x:c r="I243" s="530" t="str">
        <x:f>IF(ISBLANK('_INSTANCE'!I162),"",'_INSTANCE'!I162)</x:f>
      </x:c>
      <x:c r="J243" s="530" t="str">
        <x:f>IF(ISBLANK('_INSTANCE'!J162),"",'_INSTANCE'!J162)</x:f>
      </x:c>
      <x:c r="K243" s="38"/>
      <x:c r="L243" s="38"/>
      <x:c r="M243" s="38"/>
      <x:c r="N243" s="38"/>
      <x:c r="O243" s="38"/>
      <x:c r="P243" s="38"/>
      <x:c r="Q243" s="38"/>
    </x:row>
    <x:row r="244">
      <x:c r="A244" s="523" t="str">
        <x:f>IF(ISBLANK('_INSTANCE'!A163),"",'_INSTANCE'!A163)</x:f>
      </x:c>
      <x:c r="B244" s="523" t="str">
        <x:f>IF(ISBLANK('_INSTANCE'!B163),"",'_INSTANCE'!B163)</x:f>
      </x:c>
      <x:c r="C244" s="523" t="str">
        <x:f>IF(ISBLANK('_INSTANCE'!C163),"",'_INSTANCE'!C163)</x:f>
      </x:c>
      <x:c r="D244" s="530" t="str">
        <x:f>IF(ISBLANK('_INSTANCE'!D163),"",'_INSTANCE'!D163)</x:f>
      </x:c>
      <x:c r="E244" s="530" t="str">
        <x:f>IF(ISBLANK('_INSTANCE'!E163),"",'_INSTANCE'!E163)</x:f>
      </x:c>
      <x:c r="F244" s="530" t="str">
        <x:f>IF(ISBLANK('_INSTANCE'!F163),"",'_INSTANCE'!F163)</x:f>
      </x:c>
      <x:c r="G244" s="530" t="str">
        <x:f>IF(ISBLANK('_INSTANCE'!G163),"",'_INSTANCE'!G163)</x:f>
      </x:c>
      <x:c r="H244" s="530" t="str">
        <x:f>IF(ISBLANK('_INSTANCE'!H163),"",'_INSTANCE'!H163)</x:f>
      </x:c>
      <x:c r="I244" s="530" t="str">
        <x:f>IF(ISBLANK('_INSTANCE'!I163),"",'_INSTANCE'!I163)</x:f>
      </x:c>
      <x:c r="J244" s="530" t="str">
        <x:f>IF(ISBLANK('_INSTANCE'!J163),"",'_INSTANCE'!J163)</x:f>
      </x:c>
      <x:c r="K244" s="38"/>
      <x:c r="L244" s="38"/>
      <x:c r="M244" s="38"/>
      <x:c r="N244" s="38"/>
      <x:c r="O244" s="38"/>
      <x:c r="P244" s="38"/>
      <x:c r="Q244" s="38"/>
    </x:row>
    <x:row r="245">
      <x:c r="A245" s="523" t="str">
        <x:f>IF(ISBLANK('_INSTANCE'!A164),"",'_INSTANCE'!A164)</x:f>
      </x:c>
      <x:c r="B245" s="523" t="str">
        <x:f>IF(ISBLANK('_INSTANCE'!B164),"",'_INSTANCE'!B164)</x:f>
      </x:c>
      <x:c r="C245" s="523" t="str">
        <x:f>IF(ISBLANK('_INSTANCE'!C164),"",'_INSTANCE'!C164)</x:f>
      </x:c>
      <x:c r="D245" s="530" t="str">
        <x:f>IF(ISBLANK('_INSTANCE'!D164),"",'_INSTANCE'!D164)</x:f>
      </x:c>
      <x:c r="E245" s="530" t="str">
        <x:f>IF(ISBLANK('_INSTANCE'!E164),"",'_INSTANCE'!E164)</x:f>
      </x:c>
      <x:c r="F245" s="530" t="str">
        <x:f>IF(ISBLANK('_INSTANCE'!F164),"",'_INSTANCE'!F164)</x:f>
      </x:c>
      <x:c r="G245" s="530" t="str">
        <x:f>IF(ISBLANK('_INSTANCE'!G164),"",'_INSTANCE'!G164)</x:f>
      </x:c>
      <x:c r="H245" s="530" t="str">
        <x:f>IF(ISBLANK('_INSTANCE'!H164),"",'_INSTANCE'!H164)</x:f>
      </x:c>
      <x:c r="I245" s="530" t="str">
        <x:f>IF(ISBLANK('_INSTANCE'!I164),"",'_INSTANCE'!I164)</x:f>
      </x:c>
      <x:c r="J245" s="530" t="str">
        <x:f>IF(ISBLANK('_INSTANCE'!J164),"",'_INSTANCE'!J164)</x:f>
      </x:c>
      <x:c r="K245" s="38"/>
      <x:c r="L245" s="38"/>
      <x:c r="M245" s="38"/>
      <x:c r="N245" s="38"/>
      <x:c r="O245" s="38"/>
      <x:c r="P245" s="38"/>
      <x:c r="Q245" s="38"/>
    </x:row>
    <x:row r="246">
      <x:c r="A246" s="523" t="str">
        <x:f>IF(ISBLANK('_INSTANCE'!A165),"",'_INSTANCE'!A165)</x:f>
      </x:c>
      <x:c r="B246" s="523" t="str">
        <x:f>IF(ISBLANK('_INSTANCE'!B165),"",'_INSTANCE'!B165)</x:f>
      </x:c>
      <x:c r="C246" s="523" t="str">
        <x:f>IF(ISBLANK('_INSTANCE'!C165),"",'_INSTANCE'!C165)</x:f>
      </x:c>
      <x:c r="D246" s="530" t="str">
        <x:f>IF(ISBLANK('_INSTANCE'!D165),"",'_INSTANCE'!D165)</x:f>
      </x:c>
      <x:c r="E246" s="530" t="str">
        <x:f>IF(ISBLANK('_INSTANCE'!E165),"",'_INSTANCE'!E165)</x:f>
      </x:c>
      <x:c r="F246" s="530" t="str">
        <x:f>IF(ISBLANK('_INSTANCE'!F165),"",'_INSTANCE'!F165)</x:f>
      </x:c>
      <x:c r="G246" s="530" t="str">
        <x:f>IF(ISBLANK('_INSTANCE'!G165),"",'_INSTANCE'!G165)</x:f>
      </x:c>
      <x:c r="H246" s="530" t="str">
        <x:f>IF(ISBLANK('_INSTANCE'!H165),"",'_INSTANCE'!H165)</x:f>
      </x:c>
      <x:c r="I246" s="530" t="str">
        <x:f>IF(ISBLANK('_INSTANCE'!I165),"",'_INSTANCE'!I165)</x:f>
      </x:c>
      <x:c r="J246" s="530" t="str">
        <x:f>IF(ISBLANK('_INSTANCE'!J165),"",'_INSTANCE'!J165)</x:f>
      </x:c>
      <x:c r="K246" s="38"/>
      <x:c r="L246" s="38"/>
      <x:c r="M246" s="38"/>
      <x:c r="N246" s="38"/>
      <x:c r="O246" s="38"/>
      <x:c r="P246" s="38"/>
      <x:c r="Q246" s="38"/>
    </x:row>
    <x:row r="247">
      <x:c r="A247" s="523" t="str">
        <x:f>IF(ISBLANK('_INSTANCE'!A166),"",'_INSTANCE'!A166)</x:f>
      </x:c>
      <x:c r="B247" s="523" t="str">
        <x:f>IF(ISBLANK('_INSTANCE'!B166),"",'_INSTANCE'!B166)</x:f>
      </x:c>
      <x:c r="C247" s="523" t="str">
        <x:f>IF(ISBLANK('_INSTANCE'!C166),"",'_INSTANCE'!C166)</x:f>
      </x:c>
      <x:c r="D247" s="530" t="str">
        <x:f>IF(ISBLANK('_INSTANCE'!D166),"",'_INSTANCE'!D166)</x:f>
      </x:c>
      <x:c r="E247" s="530" t="str">
        <x:f>IF(ISBLANK('_INSTANCE'!E166),"",'_INSTANCE'!E166)</x:f>
      </x:c>
      <x:c r="F247" s="530" t="str">
        <x:f>IF(ISBLANK('_INSTANCE'!F166),"",'_INSTANCE'!F166)</x:f>
      </x:c>
      <x:c r="G247" s="530" t="str">
        <x:f>IF(ISBLANK('_INSTANCE'!G166),"",'_INSTANCE'!G166)</x:f>
      </x:c>
      <x:c r="H247" s="530" t="str">
        <x:f>IF(ISBLANK('_INSTANCE'!H166),"",'_INSTANCE'!H166)</x:f>
      </x:c>
      <x:c r="I247" s="530" t="str">
        <x:f>IF(ISBLANK('_INSTANCE'!I166),"",'_INSTANCE'!I166)</x:f>
      </x:c>
      <x:c r="J247" s="530" t="str">
        <x:f>IF(ISBLANK('_INSTANCE'!J166),"",'_INSTANCE'!J166)</x:f>
      </x:c>
      <x:c r="K247" s="38"/>
      <x:c r="L247" s="38"/>
      <x:c r="M247" s="38"/>
      <x:c r="N247" s="38"/>
      <x:c r="O247" s="38"/>
      <x:c r="P247" s="38"/>
      <x:c r="Q247" s="38"/>
    </x:row>
    <x:row r="248">
      <x:c r="A248" s="523" t="str">
        <x:f>IF(ISBLANK('_INSTANCE'!A167),"",'_INSTANCE'!A167)</x:f>
      </x:c>
      <x:c r="B248" s="523" t="str">
        <x:f>IF(ISBLANK('_INSTANCE'!B167),"",'_INSTANCE'!B167)</x:f>
      </x:c>
      <x:c r="C248" s="523" t="str">
        <x:f>IF(ISBLANK('_INSTANCE'!C167),"",'_INSTANCE'!C167)</x:f>
      </x:c>
      <x:c r="D248" s="530" t="str">
        <x:f>IF(ISBLANK('_INSTANCE'!D167),"",'_INSTANCE'!D167)</x:f>
      </x:c>
      <x:c r="E248" s="530" t="str">
        <x:f>IF(ISBLANK('_INSTANCE'!E167),"",'_INSTANCE'!E167)</x:f>
      </x:c>
      <x:c r="F248" s="530" t="str">
        <x:f>IF(ISBLANK('_INSTANCE'!F167),"",'_INSTANCE'!F167)</x:f>
      </x:c>
      <x:c r="G248" s="530" t="str">
        <x:f>IF(ISBLANK('_INSTANCE'!G167),"",'_INSTANCE'!G167)</x:f>
      </x:c>
      <x:c r="H248" s="530" t="str">
        <x:f>IF(ISBLANK('_INSTANCE'!H167),"",'_INSTANCE'!H167)</x:f>
      </x:c>
      <x:c r="I248" s="530" t="str">
        <x:f>IF(ISBLANK('_INSTANCE'!I167),"",'_INSTANCE'!I167)</x:f>
      </x:c>
      <x:c r="J248" s="530" t="str">
        <x:f>IF(ISBLANK('_INSTANCE'!J167),"",'_INSTANCE'!J167)</x:f>
      </x:c>
      <x:c r="K248" s="38"/>
      <x:c r="L248" s="38"/>
      <x:c r="M248" s="38"/>
      <x:c r="N248" s="38"/>
      <x:c r="O248" s="38"/>
      <x:c r="P248" s="38"/>
      <x:c r="Q248" s="38"/>
    </x:row>
    <x:row r="249">
      <x:c r="A249" s="523" t="str">
        <x:f>IF(ISBLANK('_INSTANCE'!A168),"",'_INSTANCE'!A168)</x:f>
      </x:c>
      <x:c r="B249" s="523" t="str">
        <x:f>IF(ISBLANK('_INSTANCE'!B168),"",'_INSTANCE'!B168)</x:f>
      </x:c>
      <x:c r="C249" s="523" t="str">
        <x:f>IF(ISBLANK('_INSTANCE'!C168),"",'_INSTANCE'!C168)</x:f>
      </x:c>
      <x:c r="D249" s="530" t="str">
        <x:f>IF(ISBLANK('_INSTANCE'!D168),"",'_INSTANCE'!D168)</x:f>
      </x:c>
      <x:c r="E249" s="530" t="str">
        <x:f>IF(ISBLANK('_INSTANCE'!E168),"",'_INSTANCE'!E168)</x:f>
      </x:c>
      <x:c r="F249" s="530" t="str">
        <x:f>IF(ISBLANK('_INSTANCE'!F168),"",'_INSTANCE'!F168)</x:f>
      </x:c>
      <x:c r="G249" s="530" t="str">
        <x:f>IF(ISBLANK('_INSTANCE'!G168),"",'_INSTANCE'!G168)</x:f>
      </x:c>
      <x:c r="H249" s="530" t="str">
        <x:f>IF(ISBLANK('_INSTANCE'!H168),"",'_INSTANCE'!H168)</x:f>
      </x:c>
      <x:c r="I249" s="530" t="str">
        <x:f>IF(ISBLANK('_INSTANCE'!I168),"",'_INSTANCE'!I168)</x:f>
      </x:c>
      <x:c r="J249" s="530" t="str">
        <x:f>IF(ISBLANK('_INSTANCE'!J168),"",'_INSTANCE'!J168)</x:f>
      </x:c>
      <x:c r="K249" s="38"/>
      <x:c r="L249" s="38"/>
      <x:c r="M249" s="38"/>
      <x:c r="N249" s="38"/>
      <x:c r="O249" s="38"/>
      <x:c r="P249" s="38"/>
      <x:c r="Q249" s="38"/>
    </x:row>
    <x:row r="250">
      <x:c r="A250" s="523" t="str">
        <x:f>IF(ISBLANK('_INSTANCE'!A169),"",'_INSTANCE'!A169)</x:f>
      </x:c>
      <x:c r="B250" s="523" t="str">
        <x:f>IF(ISBLANK('_INSTANCE'!B169),"",'_INSTANCE'!B169)</x:f>
      </x:c>
      <x:c r="C250" s="523" t="str">
        <x:f>IF(ISBLANK('_INSTANCE'!C169),"",'_INSTANCE'!C169)</x:f>
      </x:c>
      <x:c r="D250" s="530" t="str">
        <x:f>IF(ISBLANK('_INSTANCE'!D169),"",'_INSTANCE'!D169)</x:f>
      </x:c>
      <x:c r="E250" s="530" t="str">
        <x:f>IF(ISBLANK('_INSTANCE'!E169),"",'_INSTANCE'!E169)</x:f>
      </x:c>
      <x:c r="F250" s="530" t="str">
        <x:f>IF(ISBLANK('_INSTANCE'!F169),"",'_INSTANCE'!F169)</x:f>
      </x:c>
      <x:c r="G250" s="530" t="str">
        <x:f>IF(ISBLANK('_INSTANCE'!G169),"",'_INSTANCE'!G169)</x:f>
      </x:c>
      <x:c r="H250" s="530" t="str">
        <x:f>IF(ISBLANK('_INSTANCE'!H169),"",'_INSTANCE'!H169)</x:f>
      </x:c>
      <x:c r="I250" s="530" t="str">
        <x:f>IF(ISBLANK('_INSTANCE'!I169),"",'_INSTANCE'!I169)</x:f>
      </x:c>
      <x:c r="J250" s="530" t="str">
        <x:f>IF(ISBLANK('_INSTANCE'!J169),"",'_INSTANCE'!J169)</x:f>
      </x:c>
      <x:c r="K250" s="38"/>
      <x:c r="L250" s="38"/>
      <x:c r="M250" s="38"/>
      <x:c r="N250" s="38"/>
      <x:c r="O250" s="38"/>
      <x:c r="P250" s="38"/>
      <x:c r="Q250" s="38"/>
    </x:row>
    <x:row r="251">
      <x:c r="A251" s="523" t="str">
        <x:f>IF(ISBLANK('_INSTANCE'!A170),"",'_INSTANCE'!A170)</x:f>
      </x:c>
      <x:c r="B251" s="523" t="str">
        <x:f>IF(ISBLANK('_INSTANCE'!B170),"",'_INSTANCE'!B170)</x:f>
      </x:c>
      <x:c r="C251" s="523" t="str">
        <x:f>IF(ISBLANK('_INSTANCE'!C170),"",'_INSTANCE'!C170)</x:f>
      </x:c>
      <x:c r="D251" s="530" t="str">
        <x:f>IF(ISBLANK('_INSTANCE'!D170),"",'_INSTANCE'!D170)</x:f>
      </x:c>
      <x:c r="E251" s="530" t="str">
        <x:f>IF(ISBLANK('_INSTANCE'!E170),"",'_INSTANCE'!E170)</x:f>
      </x:c>
      <x:c r="F251" s="530" t="str">
        <x:f>IF(ISBLANK('_INSTANCE'!F170),"",'_INSTANCE'!F170)</x:f>
      </x:c>
      <x:c r="G251" s="530" t="str">
        <x:f>IF(ISBLANK('_INSTANCE'!G170),"",'_INSTANCE'!G170)</x:f>
      </x:c>
      <x:c r="H251" s="530" t="str">
        <x:f>IF(ISBLANK('_INSTANCE'!H170),"",'_INSTANCE'!H170)</x:f>
      </x:c>
      <x:c r="I251" s="530" t="str">
        <x:f>IF(ISBLANK('_INSTANCE'!I170),"",'_INSTANCE'!I170)</x:f>
      </x:c>
      <x:c r="J251" s="530" t="str">
        <x:f>IF(ISBLANK('_INSTANCE'!J170),"",'_INSTANCE'!J170)</x:f>
      </x:c>
      <x:c r="K251" s="38"/>
      <x:c r="L251" s="38"/>
      <x:c r="M251" s="38"/>
      <x:c r="N251" s="38"/>
      <x:c r="O251" s="38"/>
      <x:c r="P251" s="38"/>
      <x:c r="Q251" s="38"/>
    </x:row>
    <x:row r="252">
      <x:c r="A252" s="523" t="str">
        <x:f>IF(ISBLANK('_INSTANCE'!A171),"",'_INSTANCE'!A171)</x:f>
      </x:c>
      <x:c r="B252" s="523" t="str">
        <x:f>IF(ISBLANK('_INSTANCE'!B171),"",'_INSTANCE'!B171)</x:f>
      </x:c>
      <x:c r="C252" s="523" t="str">
        <x:f>IF(ISBLANK('_INSTANCE'!C171),"",'_INSTANCE'!C171)</x:f>
      </x:c>
      <x:c r="D252" s="530" t="str">
        <x:f>IF(ISBLANK('_INSTANCE'!D171),"",'_INSTANCE'!D171)</x:f>
      </x:c>
      <x:c r="E252" s="530" t="str">
        <x:f>IF(ISBLANK('_INSTANCE'!E171),"",'_INSTANCE'!E171)</x:f>
      </x:c>
      <x:c r="F252" s="530" t="str">
        <x:f>IF(ISBLANK('_INSTANCE'!F171),"",'_INSTANCE'!F171)</x:f>
      </x:c>
      <x:c r="G252" s="530" t="str">
        <x:f>IF(ISBLANK('_INSTANCE'!G171),"",'_INSTANCE'!G171)</x:f>
      </x:c>
      <x:c r="H252" s="530" t="str">
        <x:f>IF(ISBLANK('_INSTANCE'!H171),"",'_INSTANCE'!H171)</x:f>
      </x:c>
      <x:c r="I252" s="530" t="str">
        <x:f>IF(ISBLANK('_INSTANCE'!I171),"",'_INSTANCE'!I171)</x:f>
      </x:c>
      <x:c r="J252" s="530" t="str">
        <x:f>IF(ISBLANK('_INSTANCE'!J171),"",'_INSTANCE'!J171)</x:f>
      </x:c>
      <x:c r="K252" s="38"/>
      <x:c r="L252" s="38"/>
      <x:c r="M252" s="38"/>
      <x:c r="N252" s="38"/>
      <x:c r="O252" s="38"/>
      <x:c r="P252" s="38"/>
      <x:c r="Q252" s="38"/>
    </x:row>
    <x:row r="253">
      <x:c r="A253" s="523" t="str">
        <x:f>IF(ISBLANK('_INSTANCE'!A172),"",'_INSTANCE'!A172)</x:f>
      </x:c>
      <x:c r="B253" s="523" t="str">
        <x:f>IF(ISBLANK('_INSTANCE'!B172),"",'_INSTANCE'!B172)</x:f>
      </x:c>
      <x:c r="C253" s="523" t="str">
        <x:f>IF(ISBLANK('_INSTANCE'!C172),"",'_INSTANCE'!C172)</x:f>
      </x:c>
      <x:c r="D253" s="530" t="str">
        <x:f>IF(ISBLANK('_INSTANCE'!D172),"",'_INSTANCE'!D172)</x:f>
      </x:c>
      <x:c r="E253" s="530" t="str">
        <x:f>IF(ISBLANK('_INSTANCE'!E172),"",'_INSTANCE'!E172)</x:f>
      </x:c>
      <x:c r="F253" s="530" t="str">
        <x:f>IF(ISBLANK('_INSTANCE'!F172),"",'_INSTANCE'!F172)</x:f>
      </x:c>
      <x:c r="G253" s="530" t="str">
        <x:f>IF(ISBLANK('_INSTANCE'!G172),"",'_INSTANCE'!G172)</x:f>
      </x:c>
      <x:c r="H253" s="530" t="str">
        <x:f>IF(ISBLANK('_INSTANCE'!H172),"",'_INSTANCE'!H172)</x:f>
      </x:c>
      <x:c r="I253" s="530" t="str">
        <x:f>IF(ISBLANK('_INSTANCE'!I172),"",'_INSTANCE'!I172)</x:f>
      </x:c>
      <x:c r="J253" s="530" t="str">
        <x:f>IF(ISBLANK('_INSTANCE'!J172),"",'_INSTANCE'!J172)</x:f>
      </x:c>
      <x:c r="K253" s="38"/>
      <x:c r="L253" s="38"/>
      <x:c r="M253" s="38"/>
      <x:c r="N253" s="38"/>
      <x:c r="O253" s="38"/>
      <x:c r="P253" s="38"/>
      <x:c r="Q253" s="38"/>
    </x:row>
    <x:row r="254">
      <x:c r="A254" s="523" t="str">
        <x:f>IF(ISBLANK('_INSTANCE'!A173),"",'_INSTANCE'!A173)</x:f>
      </x:c>
      <x:c r="B254" s="523" t="str">
        <x:f>IF(ISBLANK('_INSTANCE'!B173),"",'_INSTANCE'!B173)</x:f>
      </x:c>
      <x:c r="C254" s="523" t="str">
        <x:f>IF(ISBLANK('_INSTANCE'!C173),"",'_INSTANCE'!C173)</x:f>
      </x:c>
      <x:c r="D254" s="530" t="str">
        <x:f>IF(ISBLANK('_INSTANCE'!D173),"",'_INSTANCE'!D173)</x:f>
      </x:c>
      <x:c r="E254" s="530" t="str">
        <x:f>IF(ISBLANK('_INSTANCE'!E173),"",'_INSTANCE'!E173)</x:f>
      </x:c>
      <x:c r="F254" s="530" t="str">
        <x:f>IF(ISBLANK('_INSTANCE'!F173),"",'_INSTANCE'!F173)</x:f>
      </x:c>
      <x:c r="G254" s="530" t="str">
        <x:f>IF(ISBLANK('_INSTANCE'!G173),"",'_INSTANCE'!G173)</x:f>
      </x:c>
      <x:c r="H254" s="530" t="str">
        <x:f>IF(ISBLANK('_INSTANCE'!H173),"",'_INSTANCE'!H173)</x:f>
      </x:c>
      <x:c r="I254" s="530" t="str">
        <x:f>IF(ISBLANK('_INSTANCE'!I173),"",'_INSTANCE'!I173)</x:f>
      </x:c>
      <x:c r="J254" s="530" t="str">
        <x:f>IF(ISBLANK('_INSTANCE'!J173),"",'_INSTANCE'!J173)</x:f>
      </x:c>
      <x:c r="K254" s="38"/>
      <x:c r="L254" s="38"/>
      <x:c r="M254" s="38"/>
      <x:c r="N254" s="38"/>
      <x:c r="O254" s="38"/>
      <x:c r="P254" s="38"/>
      <x:c r="Q254" s="38"/>
    </x:row>
    <x:row r="255">
      <x:c r="A255" s="523" t="str">
        <x:f>IF(ISBLANK('_INSTANCE'!A174),"",'_INSTANCE'!A174)</x:f>
      </x:c>
      <x:c r="B255" s="523" t="str">
        <x:f>IF(ISBLANK('_INSTANCE'!B174),"",'_INSTANCE'!B174)</x:f>
      </x:c>
      <x:c r="C255" s="523" t="str">
        <x:f>IF(ISBLANK('_INSTANCE'!C174),"",'_INSTANCE'!C174)</x:f>
      </x:c>
      <x:c r="D255" s="530" t="str">
        <x:f>IF(ISBLANK('_INSTANCE'!D174),"",'_INSTANCE'!D174)</x:f>
      </x:c>
      <x:c r="E255" s="530" t="str">
        <x:f>IF(ISBLANK('_INSTANCE'!E174),"",'_INSTANCE'!E174)</x:f>
      </x:c>
      <x:c r="F255" s="530" t="str">
        <x:f>IF(ISBLANK('_INSTANCE'!F174),"",'_INSTANCE'!F174)</x:f>
      </x:c>
      <x:c r="G255" s="530" t="str">
        <x:f>IF(ISBLANK('_INSTANCE'!G174),"",'_INSTANCE'!G174)</x:f>
      </x:c>
      <x:c r="H255" s="530" t="str">
        <x:f>IF(ISBLANK('_INSTANCE'!H174),"",'_INSTANCE'!H174)</x:f>
      </x:c>
      <x:c r="I255" s="530" t="str">
        <x:f>IF(ISBLANK('_INSTANCE'!I174),"",'_INSTANCE'!I174)</x:f>
      </x:c>
      <x:c r="J255" s="530" t="str">
        <x:f>IF(ISBLANK('_INSTANCE'!J174),"",'_INSTANCE'!J174)</x:f>
      </x:c>
      <x:c r="K255" s="38"/>
      <x:c r="L255" s="38"/>
      <x:c r="M255" s="38"/>
      <x:c r="N255" s="38"/>
      <x:c r="O255" s="38"/>
      <x:c r="P255" s="38"/>
      <x:c r="Q255" s="38"/>
    </x:row>
    <x:row r="256">
      <x:c r="A256" s="523" t="str">
        <x:f>IF(ISBLANK('_INSTANCE'!A175),"",'_INSTANCE'!A175)</x:f>
      </x:c>
      <x:c r="B256" s="523" t="str">
        <x:f>IF(ISBLANK('_INSTANCE'!B175),"",'_INSTANCE'!B175)</x:f>
      </x:c>
      <x:c r="C256" s="523" t="str">
        <x:f>IF(ISBLANK('_INSTANCE'!C175),"",'_INSTANCE'!C175)</x:f>
      </x:c>
      <x:c r="D256" s="530" t="str">
        <x:f>IF(ISBLANK('_INSTANCE'!D175),"",'_INSTANCE'!D175)</x:f>
      </x:c>
      <x:c r="E256" s="530" t="str">
        <x:f>IF(ISBLANK('_INSTANCE'!E175),"",'_INSTANCE'!E175)</x:f>
      </x:c>
      <x:c r="F256" s="530" t="str">
        <x:f>IF(ISBLANK('_INSTANCE'!F175),"",'_INSTANCE'!F175)</x:f>
      </x:c>
      <x:c r="G256" s="530" t="str">
        <x:f>IF(ISBLANK('_INSTANCE'!G175),"",'_INSTANCE'!G175)</x:f>
      </x:c>
      <x:c r="H256" s="530" t="str">
        <x:f>IF(ISBLANK('_INSTANCE'!H175),"",'_INSTANCE'!H175)</x:f>
      </x:c>
      <x:c r="I256" s="530" t="str">
        <x:f>IF(ISBLANK('_INSTANCE'!I175),"",'_INSTANCE'!I175)</x:f>
      </x:c>
      <x:c r="J256" s="530" t="str">
        <x:f>IF(ISBLANK('_INSTANCE'!J175),"",'_INSTANCE'!J175)</x:f>
      </x:c>
      <x:c r="K256" s="38"/>
      <x:c r="L256" s="38"/>
      <x:c r="M256" s="38"/>
      <x:c r="N256" s="38"/>
      <x:c r="O256" s="38"/>
      <x:c r="P256" s="38"/>
      <x:c r="Q256" s="38"/>
    </x:row>
    <x:row r="257">
      <x:c r="A257" s="523" t="str">
        <x:f>IF(ISBLANK('_INSTANCE'!A176),"",'_INSTANCE'!A176)</x:f>
      </x:c>
      <x:c r="B257" s="523" t="str">
        <x:f>IF(ISBLANK('_INSTANCE'!B176),"",'_INSTANCE'!B176)</x:f>
      </x:c>
      <x:c r="C257" s="523" t="str">
        <x:f>IF(ISBLANK('_INSTANCE'!C176),"",'_INSTANCE'!C176)</x:f>
      </x:c>
      <x:c r="D257" s="530" t="str">
        <x:f>IF(ISBLANK('_INSTANCE'!D176),"",'_INSTANCE'!D176)</x:f>
      </x:c>
      <x:c r="E257" s="530" t="str">
        <x:f>IF(ISBLANK('_INSTANCE'!E176),"",'_INSTANCE'!E176)</x:f>
      </x:c>
      <x:c r="F257" s="530" t="str">
        <x:f>IF(ISBLANK('_INSTANCE'!F176),"",'_INSTANCE'!F176)</x:f>
      </x:c>
      <x:c r="G257" s="530" t="str">
        <x:f>IF(ISBLANK('_INSTANCE'!G176),"",'_INSTANCE'!G176)</x:f>
      </x:c>
      <x:c r="H257" s="530" t="str">
        <x:f>IF(ISBLANK('_INSTANCE'!H176),"",'_INSTANCE'!H176)</x:f>
      </x:c>
      <x:c r="I257" s="530" t="str">
        <x:f>IF(ISBLANK('_INSTANCE'!I176),"",'_INSTANCE'!I176)</x:f>
      </x:c>
      <x:c r="J257" s="530" t="str">
        <x:f>IF(ISBLANK('_INSTANCE'!J176),"",'_INSTANCE'!J176)</x:f>
      </x:c>
      <x:c r="K257" s="38"/>
      <x:c r="L257" s="38"/>
      <x:c r="M257" s="38"/>
      <x:c r="N257" s="38"/>
      <x:c r="O257" s="38"/>
      <x:c r="P257" s="38"/>
      <x:c r="Q257" s="38"/>
    </x:row>
    <x:row r="258">
      <x:c r="A258" s="523" t="str">
        <x:f>IF(ISBLANK('_INSTANCE'!A177),"",'_INSTANCE'!A177)</x:f>
      </x:c>
      <x:c r="B258" s="523" t="str">
        <x:f>IF(ISBLANK('_INSTANCE'!B177),"",'_INSTANCE'!B177)</x:f>
      </x:c>
      <x:c r="C258" s="523" t="str">
        <x:f>IF(ISBLANK('_INSTANCE'!C177),"",'_INSTANCE'!C177)</x:f>
      </x:c>
      <x:c r="D258" s="530" t="str">
        <x:f>IF(ISBLANK('_INSTANCE'!D177),"",'_INSTANCE'!D177)</x:f>
      </x:c>
      <x:c r="E258" s="530" t="str">
        <x:f>IF(ISBLANK('_INSTANCE'!E177),"",'_INSTANCE'!E177)</x:f>
      </x:c>
      <x:c r="F258" s="530" t="str">
        <x:f>IF(ISBLANK('_INSTANCE'!F177),"",'_INSTANCE'!F177)</x:f>
      </x:c>
      <x:c r="G258" s="530" t="str">
        <x:f>IF(ISBLANK('_INSTANCE'!G177),"",'_INSTANCE'!G177)</x:f>
      </x:c>
      <x:c r="H258" s="530" t="str">
        <x:f>IF(ISBLANK('_INSTANCE'!H177),"",'_INSTANCE'!H177)</x:f>
      </x:c>
      <x:c r="I258" s="530" t="str">
        <x:f>IF(ISBLANK('_INSTANCE'!I177),"",'_INSTANCE'!I177)</x:f>
      </x:c>
      <x:c r="J258" s="530" t="str">
        <x:f>IF(ISBLANK('_INSTANCE'!J177),"",'_INSTANCE'!J177)</x:f>
      </x:c>
      <x:c r="K258" s="38"/>
      <x:c r="L258" s="38"/>
      <x:c r="M258" s="38"/>
      <x:c r="N258" s="38"/>
      <x:c r="O258" s="38"/>
      <x:c r="P258" s="38"/>
      <x:c r="Q258" s="38"/>
    </x:row>
    <x:row r="259">
      <x:c r="A259" s="523" t="str">
        <x:f>IF(ISBLANK('_INSTANCE'!A178),"",'_INSTANCE'!A178)</x:f>
      </x:c>
      <x:c r="B259" s="523" t="str">
        <x:f>IF(ISBLANK('_INSTANCE'!B178),"",'_INSTANCE'!B178)</x:f>
      </x:c>
      <x:c r="C259" s="523" t="str">
        <x:f>IF(ISBLANK('_INSTANCE'!C178),"",'_INSTANCE'!C178)</x:f>
      </x:c>
      <x:c r="D259" s="530" t="str">
        <x:f>IF(ISBLANK('_INSTANCE'!D178),"",'_INSTANCE'!D178)</x:f>
      </x:c>
      <x:c r="E259" s="530" t="str">
        <x:f>IF(ISBLANK('_INSTANCE'!E178),"",'_INSTANCE'!E178)</x:f>
      </x:c>
      <x:c r="F259" s="530" t="str">
        <x:f>IF(ISBLANK('_INSTANCE'!F178),"",'_INSTANCE'!F178)</x:f>
      </x:c>
      <x:c r="G259" s="530" t="str">
        <x:f>IF(ISBLANK('_INSTANCE'!G178),"",'_INSTANCE'!G178)</x:f>
      </x:c>
      <x:c r="H259" s="530" t="str">
        <x:f>IF(ISBLANK('_INSTANCE'!H178),"",'_INSTANCE'!H178)</x:f>
      </x:c>
      <x:c r="I259" s="530" t="str">
        <x:f>IF(ISBLANK('_INSTANCE'!I178),"",'_INSTANCE'!I178)</x:f>
      </x:c>
      <x:c r="J259" s="530" t="str">
        <x:f>IF(ISBLANK('_INSTANCE'!J178),"",'_INSTANCE'!J178)</x:f>
      </x:c>
      <x:c r="K259" s="38"/>
      <x:c r="L259" s="38"/>
      <x:c r="M259" s="38"/>
      <x:c r="N259" s="38"/>
      <x:c r="O259" s="38"/>
      <x:c r="P259" s="38"/>
      <x:c r="Q259" s="38"/>
    </x:row>
    <x:row r="260">
      <x:c r="A260" s="523" t="str">
        <x:f>IF(ISBLANK('_INSTANCE'!A179),"",'_INSTANCE'!A179)</x:f>
      </x:c>
      <x:c r="B260" s="523" t="str">
        <x:f>IF(ISBLANK('_INSTANCE'!B179),"",'_INSTANCE'!B179)</x:f>
      </x:c>
      <x:c r="C260" s="523" t="str">
        <x:f>IF(ISBLANK('_INSTANCE'!C179),"",'_INSTANCE'!C179)</x:f>
      </x:c>
      <x:c r="D260" s="530" t="str">
        <x:f>IF(ISBLANK('_INSTANCE'!D179),"",'_INSTANCE'!D179)</x:f>
      </x:c>
      <x:c r="E260" s="530" t="str">
        <x:f>IF(ISBLANK('_INSTANCE'!E179),"",'_INSTANCE'!E179)</x:f>
      </x:c>
      <x:c r="F260" s="530" t="str">
        <x:f>IF(ISBLANK('_INSTANCE'!F179),"",'_INSTANCE'!F179)</x:f>
      </x:c>
      <x:c r="G260" s="530" t="str">
        <x:f>IF(ISBLANK('_INSTANCE'!G179),"",'_INSTANCE'!G179)</x:f>
      </x:c>
      <x:c r="H260" s="530" t="str">
        <x:f>IF(ISBLANK('_INSTANCE'!H179),"",'_INSTANCE'!H179)</x:f>
      </x:c>
      <x:c r="I260" s="530" t="str">
        <x:f>IF(ISBLANK('_INSTANCE'!I179),"",'_INSTANCE'!I179)</x:f>
      </x:c>
      <x:c r="J260" s="530" t="str">
        <x:f>IF(ISBLANK('_INSTANCE'!J179),"",'_INSTANCE'!J179)</x:f>
      </x:c>
      <x:c r="K260" s="38"/>
      <x:c r="L260" s="38"/>
      <x:c r="M260" s="38"/>
      <x:c r="N260" s="38"/>
      <x:c r="O260" s="38"/>
      <x:c r="P260" s="38"/>
      <x:c r="Q260" s="38"/>
    </x:row>
    <x:row r="261">
      <x:c r="A261" s="523" t="str">
        <x:f>IF(ISBLANK('_INSTANCE'!A180),"",'_INSTANCE'!A180)</x:f>
      </x:c>
      <x:c r="B261" s="523" t="str">
        <x:f>IF(ISBLANK('_INSTANCE'!B180),"",'_INSTANCE'!B180)</x:f>
      </x:c>
      <x:c r="C261" s="523" t="str">
        <x:f>IF(ISBLANK('_INSTANCE'!C180),"",'_INSTANCE'!C180)</x:f>
      </x:c>
      <x:c r="D261" s="530" t="str">
        <x:f>IF(ISBLANK('_INSTANCE'!D180),"",'_INSTANCE'!D180)</x:f>
      </x:c>
      <x:c r="E261" s="530" t="str">
        <x:f>IF(ISBLANK('_INSTANCE'!E180),"",'_INSTANCE'!E180)</x:f>
      </x:c>
      <x:c r="F261" s="530" t="str">
        <x:f>IF(ISBLANK('_INSTANCE'!F180),"",'_INSTANCE'!F180)</x:f>
      </x:c>
      <x:c r="G261" s="530" t="str">
        <x:f>IF(ISBLANK('_INSTANCE'!G180),"",'_INSTANCE'!G180)</x:f>
      </x:c>
      <x:c r="H261" s="530" t="str">
        <x:f>IF(ISBLANK('_INSTANCE'!H180),"",'_INSTANCE'!H180)</x:f>
      </x:c>
      <x:c r="I261" s="530" t="str">
        <x:f>IF(ISBLANK('_INSTANCE'!I180),"",'_INSTANCE'!I180)</x:f>
      </x:c>
      <x:c r="J261" s="530" t="str">
        <x:f>IF(ISBLANK('_INSTANCE'!J180),"",'_INSTANCE'!J180)</x:f>
      </x:c>
      <x:c r="K261" s="38"/>
      <x:c r="L261" s="38"/>
      <x:c r="M261" s="38"/>
      <x:c r="N261" s="38"/>
      <x:c r="O261" s="38"/>
      <x:c r="P261" s="38"/>
      <x:c r="Q261" s="38"/>
    </x:row>
    <x:row r="262">
      <x:c r="A262" s="523" t="str">
        <x:f>IF(ISBLANK('_INSTANCE'!A181),"",'_INSTANCE'!A181)</x:f>
      </x:c>
      <x:c r="B262" s="523" t="str">
        <x:f>IF(ISBLANK('_INSTANCE'!B181),"",'_INSTANCE'!B181)</x:f>
      </x:c>
      <x:c r="C262" s="523" t="str">
        <x:f>IF(ISBLANK('_INSTANCE'!C181),"",'_INSTANCE'!C181)</x:f>
      </x:c>
      <x:c r="D262" s="530" t="str">
        <x:f>IF(ISBLANK('_INSTANCE'!D181),"",'_INSTANCE'!D181)</x:f>
      </x:c>
      <x:c r="E262" s="530" t="str">
        <x:f>IF(ISBLANK('_INSTANCE'!E181),"",'_INSTANCE'!E181)</x:f>
      </x:c>
      <x:c r="F262" s="530" t="str">
        <x:f>IF(ISBLANK('_INSTANCE'!F181),"",'_INSTANCE'!F181)</x:f>
      </x:c>
      <x:c r="G262" s="530" t="str">
        <x:f>IF(ISBLANK('_INSTANCE'!G181),"",'_INSTANCE'!G181)</x:f>
      </x:c>
      <x:c r="H262" s="530" t="str">
        <x:f>IF(ISBLANK('_INSTANCE'!H181),"",'_INSTANCE'!H181)</x:f>
      </x:c>
      <x:c r="I262" s="530" t="str">
        <x:f>IF(ISBLANK('_INSTANCE'!I181),"",'_INSTANCE'!I181)</x:f>
      </x:c>
      <x:c r="J262" s="530" t="str">
        <x:f>IF(ISBLANK('_INSTANCE'!J181),"",'_INSTANCE'!J181)</x:f>
      </x:c>
      <x:c r="K262" s="38"/>
      <x:c r="L262" s="38"/>
      <x:c r="M262" s="38"/>
      <x:c r="N262" s="38"/>
      <x:c r="O262" s="38"/>
      <x:c r="P262" s="38"/>
      <x:c r="Q262" s="38"/>
    </x:row>
    <x:row r="263">
      <x:c r="A263" s="523" t="str">
        <x:f>IF(ISBLANK('_INSTANCE'!A182),"",'_INSTANCE'!A182)</x:f>
      </x:c>
      <x:c r="B263" s="523" t="str">
        <x:f>IF(ISBLANK('_INSTANCE'!B182),"",'_INSTANCE'!B182)</x:f>
      </x:c>
      <x:c r="C263" s="523" t="str">
        <x:f>IF(ISBLANK('_INSTANCE'!C182),"",'_INSTANCE'!C182)</x:f>
      </x:c>
      <x:c r="D263" s="530" t="str">
        <x:f>IF(ISBLANK('_INSTANCE'!D182),"",'_INSTANCE'!D182)</x:f>
      </x:c>
      <x:c r="E263" s="530" t="str">
        <x:f>IF(ISBLANK('_INSTANCE'!E182),"",'_INSTANCE'!E182)</x:f>
      </x:c>
      <x:c r="F263" s="530" t="str">
        <x:f>IF(ISBLANK('_INSTANCE'!F182),"",'_INSTANCE'!F182)</x:f>
      </x:c>
      <x:c r="G263" s="530" t="str">
        <x:f>IF(ISBLANK('_INSTANCE'!G182),"",'_INSTANCE'!G182)</x:f>
      </x:c>
      <x:c r="H263" s="530" t="str">
        <x:f>IF(ISBLANK('_INSTANCE'!H182),"",'_INSTANCE'!H182)</x:f>
      </x:c>
      <x:c r="I263" s="530" t="str">
        <x:f>IF(ISBLANK('_INSTANCE'!I182),"",'_INSTANCE'!I182)</x:f>
      </x:c>
      <x:c r="J263" s="530" t="str">
        <x:f>IF(ISBLANK('_INSTANCE'!J182),"",'_INSTANCE'!J182)</x:f>
      </x:c>
      <x:c r="K263" s="38"/>
      <x:c r="L263" s="38"/>
      <x:c r="M263" s="38"/>
      <x:c r="N263" s="38"/>
      <x:c r="O263" s="38"/>
      <x:c r="P263" s="38"/>
      <x:c r="Q263" s="38"/>
    </x:row>
    <x:row r="264">
      <x:c r="A264" s="523" t="str">
        <x:f>IF(ISBLANK('_INSTANCE'!A183),"",'_INSTANCE'!A183)</x:f>
      </x:c>
      <x:c r="B264" s="523" t="str">
        <x:f>IF(ISBLANK('_INSTANCE'!B183),"",'_INSTANCE'!B183)</x:f>
      </x:c>
      <x:c r="C264" s="523" t="str">
        <x:f>IF(ISBLANK('_INSTANCE'!C183),"",'_INSTANCE'!C183)</x:f>
      </x:c>
      <x:c r="D264" s="530" t="str">
        <x:f>IF(ISBLANK('_INSTANCE'!D183),"",'_INSTANCE'!D183)</x:f>
      </x:c>
      <x:c r="E264" s="530" t="str">
        <x:f>IF(ISBLANK('_INSTANCE'!E183),"",'_INSTANCE'!E183)</x:f>
      </x:c>
      <x:c r="F264" s="530" t="str">
        <x:f>IF(ISBLANK('_INSTANCE'!F183),"",'_INSTANCE'!F183)</x:f>
      </x:c>
      <x:c r="G264" s="530" t="str">
        <x:f>IF(ISBLANK('_INSTANCE'!G183),"",'_INSTANCE'!G183)</x:f>
      </x:c>
      <x:c r="H264" s="530" t="str">
        <x:f>IF(ISBLANK('_INSTANCE'!H183),"",'_INSTANCE'!H183)</x:f>
      </x:c>
      <x:c r="I264" s="530" t="str">
        <x:f>IF(ISBLANK('_INSTANCE'!I183),"",'_INSTANCE'!I183)</x:f>
      </x:c>
      <x:c r="J264" s="530" t="str">
        <x:f>IF(ISBLANK('_INSTANCE'!J183),"",'_INSTANCE'!J183)</x:f>
      </x:c>
      <x:c r="K264" s="38"/>
      <x:c r="L264" s="38"/>
      <x:c r="M264" s="38"/>
      <x:c r="N264" s="38"/>
      <x:c r="O264" s="38"/>
      <x:c r="P264" s="38"/>
      <x:c r="Q264" s="38"/>
    </x:row>
    <x:row r="265">
      <x:c r="A265" s="523" t="str">
        <x:f>IF(ISBLANK('_INSTANCE'!A184),"",'_INSTANCE'!A184)</x:f>
      </x:c>
      <x:c r="B265" s="523" t="str">
        <x:f>IF(ISBLANK('_INSTANCE'!B184),"",'_INSTANCE'!B184)</x:f>
      </x:c>
      <x:c r="C265" s="523" t="str">
        <x:f>IF(ISBLANK('_INSTANCE'!C184),"",'_INSTANCE'!C184)</x:f>
      </x:c>
      <x:c r="D265" s="530" t="str">
        <x:f>IF(ISBLANK('_INSTANCE'!D184),"",'_INSTANCE'!D184)</x:f>
      </x:c>
      <x:c r="E265" s="530" t="str">
        <x:f>IF(ISBLANK('_INSTANCE'!E184),"",'_INSTANCE'!E184)</x:f>
      </x:c>
      <x:c r="F265" s="530" t="str">
        <x:f>IF(ISBLANK('_INSTANCE'!F184),"",'_INSTANCE'!F184)</x:f>
      </x:c>
      <x:c r="G265" s="530" t="str">
        <x:f>IF(ISBLANK('_INSTANCE'!G184),"",'_INSTANCE'!G184)</x:f>
      </x:c>
      <x:c r="H265" s="530" t="str">
        <x:f>IF(ISBLANK('_INSTANCE'!H184),"",'_INSTANCE'!H184)</x:f>
      </x:c>
      <x:c r="I265" s="530" t="str">
        <x:f>IF(ISBLANK('_INSTANCE'!I184),"",'_INSTANCE'!I184)</x:f>
      </x:c>
      <x:c r="J265" s="530" t="str">
        <x:f>IF(ISBLANK('_INSTANCE'!J184),"",'_INSTANCE'!J184)</x:f>
      </x:c>
      <x:c r="K265" s="38"/>
      <x:c r="L265" s="38"/>
      <x:c r="M265" s="38"/>
      <x:c r="N265" s="38"/>
      <x:c r="O265" s="38"/>
      <x:c r="P265" s="38"/>
      <x:c r="Q265" s="38"/>
    </x:row>
    <x:row r="266">
      <x:c r="A266" s="523" t="str">
        <x:f>IF(ISBLANK('_INSTANCE'!A185),"",'_INSTANCE'!A185)</x:f>
      </x:c>
      <x:c r="B266" s="523" t="str">
        <x:f>IF(ISBLANK('_INSTANCE'!B185),"",'_INSTANCE'!B185)</x:f>
      </x:c>
      <x:c r="C266" s="523" t="str">
        <x:f>IF(ISBLANK('_INSTANCE'!C185),"",'_INSTANCE'!C185)</x:f>
      </x:c>
      <x:c r="D266" s="530" t="str">
        <x:f>IF(ISBLANK('_INSTANCE'!D185),"",'_INSTANCE'!D185)</x:f>
      </x:c>
      <x:c r="E266" s="530" t="str">
        <x:f>IF(ISBLANK('_INSTANCE'!E185),"",'_INSTANCE'!E185)</x:f>
      </x:c>
      <x:c r="F266" s="530" t="str">
        <x:f>IF(ISBLANK('_INSTANCE'!F185),"",'_INSTANCE'!F185)</x:f>
      </x:c>
      <x:c r="G266" s="530" t="str">
        <x:f>IF(ISBLANK('_INSTANCE'!G185),"",'_INSTANCE'!G185)</x:f>
      </x:c>
      <x:c r="H266" s="530" t="str">
        <x:f>IF(ISBLANK('_INSTANCE'!H185),"",'_INSTANCE'!H185)</x:f>
      </x:c>
      <x:c r="I266" s="530" t="str">
        <x:f>IF(ISBLANK('_INSTANCE'!I185),"",'_INSTANCE'!I185)</x:f>
      </x:c>
      <x:c r="J266" s="530" t="str">
        <x:f>IF(ISBLANK('_INSTANCE'!J185),"",'_INSTANCE'!J185)</x:f>
      </x:c>
      <x:c r="K266" s="38"/>
      <x:c r="L266" s="38"/>
      <x:c r="M266" s="38"/>
      <x:c r="N266" s="38"/>
      <x:c r="O266" s="38"/>
      <x:c r="P266" s="38"/>
      <x:c r="Q266" s="38"/>
    </x:row>
    <x:row r="267">
      <x:c r="A267" s="523" t="str">
        <x:f>IF(ISBLANK('_INSTANCE'!A186),"",'_INSTANCE'!A186)</x:f>
      </x:c>
      <x:c r="B267" s="523" t="str">
        <x:f>IF(ISBLANK('_INSTANCE'!B186),"",'_INSTANCE'!B186)</x:f>
      </x:c>
      <x:c r="C267" s="523" t="str">
        <x:f>IF(ISBLANK('_INSTANCE'!C186),"",'_INSTANCE'!C186)</x:f>
      </x:c>
      <x:c r="D267" s="530" t="str">
        <x:f>IF(ISBLANK('_INSTANCE'!D186),"",'_INSTANCE'!D186)</x:f>
      </x:c>
      <x:c r="E267" s="530" t="str">
        <x:f>IF(ISBLANK('_INSTANCE'!E186),"",'_INSTANCE'!E186)</x:f>
      </x:c>
      <x:c r="F267" s="530" t="str">
        <x:f>IF(ISBLANK('_INSTANCE'!F186),"",'_INSTANCE'!F186)</x:f>
      </x:c>
      <x:c r="G267" s="530" t="str">
        <x:f>IF(ISBLANK('_INSTANCE'!G186),"",'_INSTANCE'!G186)</x:f>
      </x:c>
      <x:c r="H267" s="530" t="str">
        <x:f>IF(ISBLANK('_INSTANCE'!H186),"",'_INSTANCE'!H186)</x:f>
      </x:c>
      <x:c r="I267" s="530" t="str">
        <x:f>IF(ISBLANK('_INSTANCE'!I186),"",'_INSTANCE'!I186)</x:f>
      </x:c>
      <x:c r="J267" s="530" t="str">
        <x:f>IF(ISBLANK('_INSTANCE'!J186),"",'_INSTANCE'!J186)</x:f>
      </x:c>
      <x:c r="K267" s="38"/>
      <x:c r="L267" s="38"/>
      <x:c r="M267" s="38"/>
      <x:c r="N267" s="38"/>
      <x:c r="O267" s="38"/>
      <x:c r="P267" s="38"/>
      <x:c r="Q267" s="38"/>
    </x:row>
    <x:row r="268">
      <x:c r="A268" s="523" t="str">
        <x:f>IF(ISBLANK('_INSTANCE'!A187),"",'_INSTANCE'!A187)</x:f>
      </x:c>
      <x:c r="B268" s="523" t="str">
        <x:f>IF(ISBLANK('_INSTANCE'!B187),"",'_INSTANCE'!B187)</x:f>
      </x:c>
      <x:c r="C268" s="523" t="str">
        <x:f>IF(ISBLANK('_INSTANCE'!C187),"",'_INSTANCE'!C187)</x:f>
      </x:c>
      <x:c r="D268" s="530" t="str">
        <x:f>IF(ISBLANK('_INSTANCE'!D187),"",'_INSTANCE'!D187)</x:f>
      </x:c>
      <x:c r="E268" s="530" t="str">
        <x:f>IF(ISBLANK('_INSTANCE'!E187),"",'_INSTANCE'!E187)</x:f>
      </x:c>
      <x:c r="F268" s="530" t="str">
        <x:f>IF(ISBLANK('_INSTANCE'!F187),"",'_INSTANCE'!F187)</x:f>
      </x:c>
      <x:c r="G268" s="530" t="str">
        <x:f>IF(ISBLANK('_INSTANCE'!G187),"",'_INSTANCE'!G187)</x:f>
      </x:c>
      <x:c r="H268" s="530" t="str">
        <x:f>IF(ISBLANK('_INSTANCE'!H187),"",'_INSTANCE'!H187)</x:f>
      </x:c>
      <x:c r="I268" s="530" t="str">
        <x:f>IF(ISBLANK('_INSTANCE'!I187),"",'_INSTANCE'!I187)</x:f>
      </x:c>
      <x:c r="J268" s="530" t="str">
        <x:f>IF(ISBLANK('_INSTANCE'!J187),"",'_INSTANCE'!J187)</x:f>
      </x:c>
      <x:c r="K268" s="38"/>
      <x:c r="L268" s="38"/>
      <x:c r="M268" s="38"/>
      <x:c r="N268" s="38"/>
      <x:c r="O268" s="38"/>
      <x:c r="P268" s="38"/>
      <x:c r="Q268" s="38"/>
    </x:row>
    <x:row r="269">
      <x:c r="A269" s="523" t="str">
        <x:f>IF(ISBLANK('_INSTANCE'!A188),"",'_INSTANCE'!A188)</x:f>
      </x:c>
      <x:c r="B269" s="523" t="str">
        <x:f>IF(ISBLANK('_INSTANCE'!B188),"",'_INSTANCE'!B188)</x:f>
      </x:c>
      <x:c r="C269" s="523" t="str">
        <x:f>IF(ISBLANK('_INSTANCE'!C188),"",'_INSTANCE'!C188)</x:f>
      </x:c>
      <x:c r="D269" s="530" t="str">
        <x:f>IF(ISBLANK('_INSTANCE'!D188),"",'_INSTANCE'!D188)</x:f>
      </x:c>
      <x:c r="E269" s="530" t="str">
        <x:f>IF(ISBLANK('_INSTANCE'!E188),"",'_INSTANCE'!E188)</x:f>
      </x:c>
      <x:c r="F269" s="530" t="str">
        <x:f>IF(ISBLANK('_INSTANCE'!F188),"",'_INSTANCE'!F188)</x:f>
      </x:c>
      <x:c r="G269" s="530" t="str">
        <x:f>IF(ISBLANK('_INSTANCE'!G188),"",'_INSTANCE'!G188)</x:f>
      </x:c>
      <x:c r="H269" s="530" t="str">
        <x:f>IF(ISBLANK('_INSTANCE'!H188),"",'_INSTANCE'!H188)</x:f>
      </x:c>
      <x:c r="I269" s="530" t="str">
        <x:f>IF(ISBLANK('_INSTANCE'!I188),"",'_INSTANCE'!I188)</x:f>
      </x:c>
      <x:c r="J269" s="530" t="str">
        <x:f>IF(ISBLANK('_INSTANCE'!J188),"",'_INSTANCE'!J188)</x:f>
      </x:c>
      <x:c r="K269" s="38"/>
      <x:c r="L269" s="38"/>
      <x:c r="M269" s="38"/>
      <x:c r="N269" s="38"/>
      <x:c r="O269" s="38"/>
      <x:c r="P269" s="38"/>
      <x:c r="Q269" s="38"/>
    </x:row>
    <x:row r="270">
      <x:c r="A270" s="523" t="str">
        <x:f>IF(ISBLANK('_INSTANCE'!A189),"",'_INSTANCE'!A189)</x:f>
      </x:c>
      <x:c r="B270" s="523" t="str">
        <x:f>IF(ISBLANK('_INSTANCE'!B189),"",'_INSTANCE'!B189)</x:f>
      </x:c>
      <x:c r="C270" s="523" t="str">
        <x:f>IF(ISBLANK('_INSTANCE'!C189),"",'_INSTANCE'!C189)</x:f>
      </x:c>
      <x:c r="D270" s="530" t="str">
        <x:f>IF(ISBLANK('_INSTANCE'!D189),"",'_INSTANCE'!D189)</x:f>
      </x:c>
      <x:c r="E270" s="530" t="str">
        <x:f>IF(ISBLANK('_INSTANCE'!E189),"",'_INSTANCE'!E189)</x:f>
      </x:c>
      <x:c r="F270" s="530" t="str">
        <x:f>IF(ISBLANK('_INSTANCE'!F189),"",'_INSTANCE'!F189)</x:f>
      </x:c>
      <x:c r="G270" s="530" t="str">
        <x:f>IF(ISBLANK('_INSTANCE'!G189),"",'_INSTANCE'!G189)</x:f>
      </x:c>
      <x:c r="H270" s="530" t="str">
        <x:f>IF(ISBLANK('_INSTANCE'!H189),"",'_INSTANCE'!H189)</x:f>
      </x:c>
      <x:c r="I270" s="530" t="str">
        <x:f>IF(ISBLANK('_INSTANCE'!I189),"",'_INSTANCE'!I189)</x:f>
      </x:c>
      <x:c r="J270" s="530" t="str">
        <x:f>IF(ISBLANK('_INSTANCE'!J189),"",'_INSTANCE'!J189)</x:f>
      </x:c>
      <x:c r="K270" s="38"/>
      <x:c r="L270" s="38"/>
      <x:c r="M270" s="38"/>
      <x:c r="N270" s="38"/>
      <x:c r="O270" s="38"/>
      <x:c r="P270" s="38"/>
      <x:c r="Q270" s="38"/>
    </x:row>
    <x:row r="271">
      <x:c r="A271" s="523" t="str">
        <x:f>IF(ISBLANK('_INSTANCE'!A190),"",'_INSTANCE'!A190)</x:f>
      </x:c>
      <x:c r="B271" s="523" t="str">
        <x:f>IF(ISBLANK('_INSTANCE'!B190),"",'_INSTANCE'!B190)</x:f>
      </x:c>
      <x:c r="C271" s="523" t="str">
        <x:f>IF(ISBLANK('_INSTANCE'!C190),"",'_INSTANCE'!C190)</x:f>
      </x:c>
      <x:c r="D271" s="530" t="str">
        <x:f>IF(ISBLANK('_INSTANCE'!D190),"",'_INSTANCE'!D190)</x:f>
      </x:c>
      <x:c r="E271" s="530" t="str">
        <x:f>IF(ISBLANK('_INSTANCE'!E190),"",'_INSTANCE'!E190)</x:f>
      </x:c>
      <x:c r="F271" s="530" t="str">
        <x:f>IF(ISBLANK('_INSTANCE'!F190),"",'_INSTANCE'!F190)</x:f>
      </x:c>
      <x:c r="G271" s="530" t="str">
        <x:f>IF(ISBLANK('_INSTANCE'!G190),"",'_INSTANCE'!G190)</x:f>
      </x:c>
      <x:c r="H271" s="530" t="str">
        <x:f>IF(ISBLANK('_INSTANCE'!H190),"",'_INSTANCE'!H190)</x:f>
      </x:c>
      <x:c r="I271" s="530" t="str">
        <x:f>IF(ISBLANK('_INSTANCE'!I190),"",'_INSTANCE'!I190)</x:f>
      </x:c>
      <x:c r="J271" s="530" t="str">
        <x:f>IF(ISBLANK('_INSTANCE'!J190),"",'_INSTANCE'!J190)</x:f>
      </x:c>
      <x:c r="K271" s="38"/>
      <x:c r="L271" s="38"/>
      <x:c r="M271" s="38"/>
      <x:c r="N271" s="38"/>
      <x:c r="O271" s="38"/>
      <x:c r="P271" s="38"/>
      <x:c r="Q271" s="38"/>
    </x:row>
    <x:row r="272">
      <x:c r="A272" s="523" t="str">
        <x:f>IF(ISBLANK('_INSTANCE'!A191),"",'_INSTANCE'!A191)</x:f>
      </x:c>
      <x:c r="B272" s="523" t="str">
        <x:f>IF(ISBLANK('_INSTANCE'!B191),"",'_INSTANCE'!B191)</x:f>
      </x:c>
      <x:c r="C272" s="523" t="str">
        <x:f>IF(ISBLANK('_INSTANCE'!C191),"",'_INSTANCE'!C191)</x:f>
      </x:c>
      <x:c r="D272" s="530" t="str">
        <x:f>IF(ISBLANK('_INSTANCE'!D191),"",'_INSTANCE'!D191)</x:f>
      </x:c>
      <x:c r="E272" s="530" t="str">
        <x:f>IF(ISBLANK('_INSTANCE'!E191),"",'_INSTANCE'!E191)</x:f>
      </x:c>
      <x:c r="F272" s="530" t="str">
        <x:f>IF(ISBLANK('_INSTANCE'!F191),"",'_INSTANCE'!F191)</x:f>
      </x:c>
      <x:c r="G272" s="530" t="str">
        <x:f>IF(ISBLANK('_INSTANCE'!G191),"",'_INSTANCE'!G191)</x:f>
      </x:c>
      <x:c r="H272" s="530" t="str">
        <x:f>IF(ISBLANK('_INSTANCE'!H191),"",'_INSTANCE'!H191)</x:f>
      </x:c>
      <x:c r="I272" s="530" t="str">
        <x:f>IF(ISBLANK('_INSTANCE'!I191),"",'_INSTANCE'!I191)</x:f>
      </x:c>
      <x:c r="J272" s="530" t="str">
        <x:f>IF(ISBLANK('_INSTANCE'!J191),"",'_INSTANCE'!J191)</x:f>
      </x:c>
      <x:c r="K272" s="38"/>
      <x:c r="L272" s="38"/>
      <x:c r="M272" s="38"/>
      <x:c r="N272" s="38"/>
      <x:c r="O272" s="38"/>
      <x:c r="P272" s="38"/>
      <x:c r="Q272" s="38"/>
    </x:row>
    <x:row r="273">
      <x:c r="A273" s="523" t="str">
        <x:f>IF(ISBLANK('_INSTANCE'!A192),"",'_INSTANCE'!A192)</x:f>
      </x:c>
      <x:c r="B273" s="523" t="str">
        <x:f>IF(ISBLANK('_INSTANCE'!B192),"",'_INSTANCE'!B192)</x:f>
      </x:c>
      <x:c r="C273" s="523" t="str">
        <x:f>IF(ISBLANK('_INSTANCE'!C192),"",'_INSTANCE'!C192)</x:f>
      </x:c>
      <x:c r="D273" s="530" t="str">
        <x:f>IF(ISBLANK('_INSTANCE'!D192),"",'_INSTANCE'!D192)</x:f>
      </x:c>
      <x:c r="E273" s="530" t="str">
        <x:f>IF(ISBLANK('_INSTANCE'!E192),"",'_INSTANCE'!E192)</x:f>
      </x:c>
      <x:c r="F273" s="530" t="str">
        <x:f>IF(ISBLANK('_INSTANCE'!F192),"",'_INSTANCE'!F192)</x:f>
      </x:c>
      <x:c r="G273" s="530" t="str">
        <x:f>IF(ISBLANK('_INSTANCE'!G192),"",'_INSTANCE'!G192)</x:f>
      </x:c>
      <x:c r="H273" s="530" t="str">
        <x:f>IF(ISBLANK('_INSTANCE'!H192),"",'_INSTANCE'!H192)</x:f>
      </x:c>
      <x:c r="I273" s="530" t="str">
        <x:f>IF(ISBLANK('_INSTANCE'!I192),"",'_INSTANCE'!I192)</x:f>
      </x:c>
      <x:c r="J273" s="530" t="str">
        <x:f>IF(ISBLANK('_INSTANCE'!J192),"",'_INSTANCE'!J192)</x:f>
      </x:c>
      <x:c r="K273" s="38"/>
      <x:c r="L273" s="38"/>
      <x:c r="M273" s="38"/>
      <x:c r="N273" s="38"/>
      <x:c r="O273" s="38"/>
      <x:c r="P273" s="38"/>
      <x:c r="Q273" s="38"/>
    </x:row>
    <x:row r="274">
      <x:c r="A274" s="523" t="str">
        <x:f>IF(ISBLANK('_INSTANCE'!A193),"",'_INSTANCE'!A193)</x:f>
      </x:c>
      <x:c r="B274" s="523" t="str">
        <x:f>IF(ISBLANK('_INSTANCE'!B193),"",'_INSTANCE'!B193)</x:f>
      </x:c>
      <x:c r="C274" s="523" t="str">
        <x:f>IF(ISBLANK('_INSTANCE'!C193),"",'_INSTANCE'!C193)</x:f>
      </x:c>
      <x:c r="D274" s="530" t="str">
        <x:f>IF(ISBLANK('_INSTANCE'!D193),"",'_INSTANCE'!D193)</x:f>
      </x:c>
      <x:c r="E274" s="530" t="str">
        <x:f>IF(ISBLANK('_INSTANCE'!E193),"",'_INSTANCE'!E193)</x:f>
      </x:c>
      <x:c r="F274" s="530" t="str">
        <x:f>IF(ISBLANK('_INSTANCE'!F193),"",'_INSTANCE'!F193)</x:f>
      </x:c>
      <x:c r="G274" s="530" t="str">
        <x:f>IF(ISBLANK('_INSTANCE'!G193),"",'_INSTANCE'!G193)</x:f>
      </x:c>
      <x:c r="H274" s="530" t="str">
        <x:f>IF(ISBLANK('_INSTANCE'!H193),"",'_INSTANCE'!H193)</x:f>
      </x:c>
      <x:c r="I274" s="530" t="str">
        <x:f>IF(ISBLANK('_INSTANCE'!I193),"",'_INSTANCE'!I193)</x:f>
      </x:c>
      <x:c r="J274" s="530" t="str">
        <x:f>IF(ISBLANK('_INSTANCE'!J193),"",'_INSTANCE'!J193)</x:f>
      </x:c>
      <x:c r="K274" s="38"/>
      <x:c r="L274" s="38"/>
      <x:c r="M274" s="38"/>
      <x:c r="N274" s="38"/>
      <x:c r="O274" s="38"/>
      <x:c r="P274" s="38"/>
      <x:c r="Q274" s="38"/>
    </x:row>
    <x:row r="275">
      <x:c r="A275" s="523" t="str">
        <x:f>IF(ISBLANK('_INSTANCE'!A194),"",'_INSTANCE'!A194)</x:f>
      </x:c>
      <x:c r="B275" s="523" t="str">
        <x:f>IF(ISBLANK('_INSTANCE'!B194),"",'_INSTANCE'!B194)</x:f>
      </x:c>
      <x:c r="C275" s="523" t="str">
        <x:f>IF(ISBLANK('_INSTANCE'!C194),"",'_INSTANCE'!C194)</x:f>
      </x:c>
      <x:c r="D275" s="530" t="str">
        <x:f>IF(ISBLANK('_INSTANCE'!D194),"",'_INSTANCE'!D194)</x:f>
      </x:c>
      <x:c r="E275" s="530" t="str">
        <x:f>IF(ISBLANK('_INSTANCE'!E194),"",'_INSTANCE'!E194)</x:f>
      </x:c>
      <x:c r="F275" s="530" t="str">
        <x:f>IF(ISBLANK('_INSTANCE'!F194),"",'_INSTANCE'!F194)</x:f>
      </x:c>
      <x:c r="G275" s="530" t="str">
        <x:f>IF(ISBLANK('_INSTANCE'!G194),"",'_INSTANCE'!G194)</x:f>
      </x:c>
      <x:c r="H275" s="530" t="str">
        <x:f>IF(ISBLANK('_INSTANCE'!H194),"",'_INSTANCE'!H194)</x:f>
      </x:c>
      <x:c r="I275" s="530" t="str">
        <x:f>IF(ISBLANK('_INSTANCE'!I194),"",'_INSTANCE'!I194)</x:f>
      </x:c>
      <x:c r="J275" s="530" t="str">
        <x:f>IF(ISBLANK('_INSTANCE'!J194),"",'_INSTANCE'!J194)</x:f>
      </x:c>
      <x:c r="K275" s="38"/>
      <x:c r="L275" s="38"/>
      <x:c r="M275" s="38"/>
      <x:c r="N275" s="38"/>
      <x:c r="O275" s="38"/>
      <x:c r="P275" s="38"/>
      <x:c r="Q275" s="38"/>
    </x:row>
    <x:row r="276">
      <x:c r="A276" s="523" t="str">
        <x:f>IF(ISBLANK('_INSTANCE'!A195),"",'_INSTANCE'!A195)</x:f>
      </x:c>
      <x:c r="B276" s="523" t="str">
        <x:f>IF(ISBLANK('_INSTANCE'!B195),"",'_INSTANCE'!B195)</x:f>
      </x:c>
      <x:c r="C276" s="523" t="str">
        <x:f>IF(ISBLANK('_INSTANCE'!C195),"",'_INSTANCE'!C195)</x:f>
      </x:c>
      <x:c r="D276" s="530" t="str">
        <x:f>IF(ISBLANK('_INSTANCE'!D195),"",'_INSTANCE'!D195)</x:f>
      </x:c>
      <x:c r="E276" s="530" t="str">
        <x:f>IF(ISBLANK('_INSTANCE'!E195),"",'_INSTANCE'!E195)</x:f>
      </x:c>
      <x:c r="F276" s="530" t="str">
        <x:f>IF(ISBLANK('_INSTANCE'!F195),"",'_INSTANCE'!F195)</x:f>
      </x:c>
      <x:c r="G276" s="530" t="str">
        <x:f>IF(ISBLANK('_INSTANCE'!G195),"",'_INSTANCE'!G195)</x:f>
      </x:c>
      <x:c r="H276" s="530" t="str">
        <x:f>IF(ISBLANK('_INSTANCE'!H195),"",'_INSTANCE'!H195)</x:f>
      </x:c>
      <x:c r="I276" s="530" t="str">
        <x:f>IF(ISBLANK('_INSTANCE'!I195),"",'_INSTANCE'!I195)</x:f>
      </x:c>
      <x:c r="J276" s="530" t="str">
        <x:f>IF(ISBLANK('_INSTANCE'!J195),"",'_INSTANCE'!J195)</x:f>
      </x:c>
      <x:c r="K276" s="38"/>
      <x:c r="L276" s="38"/>
      <x:c r="M276" s="38"/>
      <x:c r="N276" s="38"/>
      <x:c r="O276" s="38"/>
      <x:c r="P276" s="38"/>
      <x:c r="Q276" s="38"/>
    </x:row>
    <x:row r="277">
      <x:c r="A277" s="523" t="str">
        <x:f>IF(ISBLANK('_INSTANCE'!A196),"",'_INSTANCE'!A196)</x:f>
      </x:c>
      <x:c r="B277" s="523" t="str">
        <x:f>IF(ISBLANK('_INSTANCE'!B196),"",'_INSTANCE'!B196)</x:f>
      </x:c>
      <x:c r="C277" s="523" t="str">
        <x:f>IF(ISBLANK('_INSTANCE'!C196),"",'_INSTANCE'!C196)</x:f>
      </x:c>
      <x:c r="D277" s="530" t="str">
        <x:f>IF(ISBLANK('_INSTANCE'!D196),"",'_INSTANCE'!D196)</x:f>
      </x:c>
      <x:c r="E277" s="530" t="str">
        <x:f>IF(ISBLANK('_INSTANCE'!E196),"",'_INSTANCE'!E196)</x:f>
      </x:c>
      <x:c r="F277" s="530" t="str">
        <x:f>IF(ISBLANK('_INSTANCE'!F196),"",'_INSTANCE'!F196)</x:f>
      </x:c>
      <x:c r="G277" s="530" t="str">
        <x:f>IF(ISBLANK('_INSTANCE'!G196),"",'_INSTANCE'!G196)</x:f>
      </x:c>
      <x:c r="H277" s="530" t="str">
        <x:f>IF(ISBLANK('_INSTANCE'!H196),"",'_INSTANCE'!H196)</x:f>
      </x:c>
      <x:c r="I277" s="530" t="str">
        <x:f>IF(ISBLANK('_INSTANCE'!I196),"",'_INSTANCE'!I196)</x:f>
      </x:c>
      <x:c r="J277" s="530" t="str">
        <x:f>IF(ISBLANK('_INSTANCE'!J196),"",'_INSTANCE'!J196)</x:f>
      </x:c>
      <x:c r="K277" s="38"/>
      <x:c r="L277" s="38"/>
      <x:c r="M277" s="38"/>
      <x:c r="N277" s="38"/>
      <x:c r="O277" s="38"/>
      <x:c r="P277" s="38"/>
      <x:c r="Q277" s="38"/>
    </x:row>
    <x:row r="278">
      <x:c r="A278" s="523" t="str">
        <x:f>IF(ISBLANK('_INSTANCE'!A197),"",'_INSTANCE'!A197)</x:f>
      </x:c>
      <x:c r="B278" s="523" t="str">
        <x:f>IF(ISBLANK('_INSTANCE'!B197),"",'_INSTANCE'!B197)</x:f>
      </x:c>
      <x:c r="C278" s="523" t="str">
        <x:f>IF(ISBLANK('_INSTANCE'!C197),"",'_INSTANCE'!C197)</x:f>
      </x:c>
      <x:c r="D278" s="530" t="str">
        <x:f>IF(ISBLANK('_INSTANCE'!D197),"",'_INSTANCE'!D197)</x:f>
      </x:c>
      <x:c r="E278" s="530" t="str">
        <x:f>IF(ISBLANK('_INSTANCE'!E197),"",'_INSTANCE'!E197)</x:f>
      </x:c>
      <x:c r="F278" s="530" t="str">
        <x:f>IF(ISBLANK('_INSTANCE'!F197),"",'_INSTANCE'!F197)</x:f>
      </x:c>
      <x:c r="G278" s="530" t="str">
        <x:f>IF(ISBLANK('_INSTANCE'!G197),"",'_INSTANCE'!G197)</x:f>
      </x:c>
      <x:c r="H278" s="530" t="str">
        <x:f>IF(ISBLANK('_INSTANCE'!H197),"",'_INSTANCE'!H197)</x:f>
      </x:c>
      <x:c r="I278" s="530" t="str">
        <x:f>IF(ISBLANK('_INSTANCE'!I197),"",'_INSTANCE'!I197)</x:f>
      </x:c>
      <x:c r="J278" s="530" t="str">
        <x:f>IF(ISBLANK('_INSTANCE'!J197),"",'_INSTANCE'!J197)</x:f>
      </x:c>
      <x:c r="K278" s="38"/>
      <x:c r="L278" s="38"/>
      <x:c r="M278" s="38"/>
      <x:c r="N278" s="38"/>
      <x:c r="O278" s="38"/>
      <x:c r="P278" s="38"/>
      <x:c r="Q278" s="38"/>
    </x:row>
    <x:row r="279">
      <x:c r="A279" s="523" t="str">
        <x:f>IF(ISBLANK('_INSTANCE'!A198),"",'_INSTANCE'!A198)</x:f>
      </x:c>
      <x:c r="B279" s="523" t="str">
        <x:f>IF(ISBLANK('_INSTANCE'!B198),"",'_INSTANCE'!B198)</x:f>
      </x:c>
      <x:c r="C279" s="523" t="str">
        <x:f>IF(ISBLANK('_INSTANCE'!C198),"",'_INSTANCE'!C198)</x:f>
      </x:c>
      <x:c r="D279" s="530" t="str">
        <x:f>IF(ISBLANK('_INSTANCE'!D198),"",'_INSTANCE'!D198)</x:f>
      </x:c>
      <x:c r="E279" s="530" t="str">
        <x:f>IF(ISBLANK('_INSTANCE'!E198),"",'_INSTANCE'!E198)</x:f>
      </x:c>
      <x:c r="F279" s="530" t="str">
        <x:f>IF(ISBLANK('_INSTANCE'!F198),"",'_INSTANCE'!F198)</x:f>
      </x:c>
      <x:c r="G279" s="530" t="str">
        <x:f>IF(ISBLANK('_INSTANCE'!G198),"",'_INSTANCE'!G198)</x:f>
      </x:c>
      <x:c r="H279" s="530" t="str">
        <x:f>IF(ISBLANK('_INSTANCE'!H198),"",'_INSTANCE'!H198)</x:f>
      </x:c>
      <x:c r="I279" s="530" t="str">
        <x:f>IF(ISBLANK('_INSTANCE'!I198),"",'_INSTANCE'!I198)</x:f>
      </x:c>
      <x:c r="J279" s="530" t="str">
        <x:f>IF(ISBLANK('_INSTANCE'!J198),"",'_INSTANCE'!J198)</x:f>
      </x:c>
      <x:c r="K279" s="38"/>
      <x:c r="L279" s="38"/>
      <x:c r="M279" s="38"/>
      <x:c r="N279" s="38"/>
      <x:c r="O279" s="38"/>
      <x:c r="P279" s="38"/>
      <x:c r="Q279" s="38"/>
    </x:row>
    <x:row r="280">
      <x:c r="A280" s="523" t="str">
        <x:f>IF(ISBLANK('_INSTANCE'!A199),"",'_INSTANCE'!A199)</x:f>
      </x:c>
      <x:c r="B280" s="523" t="str">
        <x:f>IF(ISBLANK('_INSTANCE'!B199),"",'_INSTANCE'!B199)</x:f>
      </x:c>
      <x:c r="C280" s="523" t="str">
        <x:f>IF(ISBLANK('_INSTANCE'!C199),"",'_INSTANCE'!C199)</x:f>
      </x:c>
      <x:c r="D280" s="530" t="str">
        <x:f>IF(ISBLANK('_INSTANCE'!D199),"",'_INSTANCE'!D199)</x:f>
      </x:c>
      <x:c r="E280" s="530" t="str">
        <x:f>IF(ISBLANK('_INSTANCE'!E199),"",'_INSTANCE'!E199)</x:f>
      </x:c>
      <x:c r="F280" s="530" t="str">
        <x:f>IF(ISBLANK('_INSTANCE'!F199),"",'_INSTANCE'!F199)</x:f>
      </x:c>
      <x:c r="G280" s="530" t="str">
        <x:f>IF(ISBLANK('_INSTANCE'!G199),"",'_INSTANCE'!G199)</x:f>
      </x:c>
      <x:c r="H280" s="530" t="str">
        <x:f>IF(ISBLANK('_INSTANCE'!H199),"",'_INSTANCE'!H199)</x:f>
      </x:c>
      <x:c r="I280" s="530" t="str">
        <x:f>IF(ISBLANK('_INSTANCE'!I199),"",'_INSTANCE'!I199)</x:f>
      </x:c>
      <x:c r="J280" s="530" t="str">
        <x:f>IF(ISBLANK('_INSTANCE'!J199),"",'_INSTANCE'!J199)</x:f>
      </x:c>
      <x:c r="K280" s="38"/>
      <x:c r="L280" s="38"/>
      <x:c r="M280" s="38"/>
      <x:c r="N280" s="38"/>
      <x:c r="O280" s="38"/>
      <x:c r="P280" s="38"/>
      <x:c r="Q280" s="38"/>
    </x:row>
    <x:row r="281">
      <x:c r="A281" s="523" t="str">
        <x:f>IF(ISBLANK('_INSTANCE'!A200),"",'_INSTANCE'!A200)</x:f>
      </x:c>
      <x:c r="B281" s="523" t="str">
        <x:f>IF(ISBLANK('_INSTANCE'!B200),"",'_INSTANCE'!B200)</x:f>
      </x:c>
      <x:c r="C281" s="523" t="str">
        <x:f>IF(ISBLANK('_INSTANCE'!C200),"",'_INSTANCE'!C200)</x:f>
      </x:c>
      <x:c r="D281" s="530" t="str">
        <x:f>IF(ISBLANK('_INSTANCE'!D200),"",'_INSTANCE'!D200)</x:f>
      </x:c>
      <x:c r="E281" s="530" t="str">
        <x:f>IF(ISBLANK('_INSTANCE'!E200),"",'_INSTANCE'!E200)</x:f>
      </x:c>
      <x:c r="F281" s="530" t="str">
        <x:f>IF(ISBLANK('_INSTANCE'!F200),"",'_INSTANCE'!F200)</x:f>
      </x:c>
      <x:c r="G281" s="530" t="str">
        <x:f>IF(ISBLANK('_INSTANCE'!G200),"",'_INSTANCE'!G200)</x:f>
      </x:c>
      <x:c r="H281" s="530" t="str">
        <x:f>IF(ISBLANK('_INSTANCE'!H200),"",'_INSTANCE'!H200)</x:f>
      </x:c>
      <x:c r="I281" s="530" t="str">
        <x:f>IF(ISBLANK('_INSTANCE'!I200),"",'_INSTANCE'!I200)</x:f>
      </x:c>
      <x:c r="J281" s="530" t="str">
        <x:f>IF(ISBLANK('_INSTANCE'!J200),"",'_INSTANCE'!J200)</x:f>
      </x:c>
      <x:c r="K281" s="38"/>
      <x:c r="L281" s="38"/>
      <x:c r="M281" s="38"/>
      <x:c r="N281" s="38"/>
      <x:c r="O281" s="38"/>
      <x:c r="P281" s="38"/>
      <x:c r="Q281" s="38"/>
    </x:row>
    <x:row r="282">
      <x:c r="A282" s="523" t="str">
        <x:f>IF(ISBLANK('_INSTANCE'!A201),"",'_INSTANCE'!A201)</x:f>
      </x:c>
      <x:c r="B282" s="523" t="str">
        <x:f>IF(ISBLANK('_INSTANCE'!B201),"",'_INSTANCE'!B201)</x:f>
      </x:c>
      <x:c r="C282" s="523" t="str">
        <x:f>IF(ISBLANK('_INSTANCE'!C201),"",'_INSTANCE'!C201)</x:f>
      </x:c>
      <x:c r="D282" s="530" t="str">
        <x:f>IF(ISBLANK('_INSTANCE'!D201),"",'_INSTANCE'!D201)</x:f>
      </x:c>
      <x:c r="E282" s="530" t="str">
        <x:f>IF(ISBLANK('_INSTANCE'!E201),"",'_INSTANCE'!E201)</x:f>
      </x:c>
      <x:c r="F282" s="530" t="str">
        <x:f>IF(ISBLANK('_INSTANCE'!F201),"",'_INSTANCE'!F201)</x:f>
      </x:c>
      <x:c r="G282" s="530" t="str">
        <x:f>IF(ISBLANK('_INSTANCE'!G201),"",'_INSTANCE'!G201)</x:f>
      </x:c>
      <x:c r="H282" s="530" t="str">
        <x:f>IF(ISBLANK('_INSTANCE'!H201),"",'_INSTANCE'!H201)</x:f>
      </x:c>
      <x:c r="I282" s="530" t="str">
        <x:f>IF(ISBLANK('_INSTANCE'!I201),"",'_INSTANCE'!I201)</x:f>
      </x:c>
      <x:c r="J282" s="530" t="str">
        <x:f>IF(ISBLANK('_INSTANCE'!J201),"",'_INSTANCE'!J201)</x:f>
      </x:c>
      <x:c r="K282" s="38"/>
      <x:c r="L282" s="38"/>
      <x:c r="M282" s="38"/>
      <x:c r="N282" s="38"/>
      <x:c r="O282" s="38"/>
      <x:c r="P282" s="38"/>
      <x:c r="Q282" s="38"/>
    </x:row>
    <x:row r="283">
      <x:c r="A283" s="523" t="str">
        <x:f>IF(ISBLANK('_INSTANCE'!A202),"",'_INSTANCE'!A202)</x:f>
      </x:c>
      <x:c r="B283" s="523" t="str">
        <x:f>IF(ISBLANK('_INSTANCE'!B202),"",'_INSTANCE'!B202)</x:f>
      </x:c>
      <x:c r="C283" s="523" t="str">
        <x:f>IF(ISBLANK('_INSTANCE'!C202),"",'_INSTANCE'!C202)</x:f>
      </x:c>
      <x:c r="D283" s="530" t="str">
        <x:f>IF(ISBLANK('_INSTANCE'!D202),"",'_INSTANCE'!D202)</x:f>
      </x:c>
      <x:c r="E283" s="530" t="str">
        <x:f>IF(ISBLANK('_INSTANCE'!E202),"",'_INSTANCE'!E202)</x:f>
      </x:c>
      <x:c r="F283" s="530" t="str">
        <x:f>IF(ISBLANK('_INSTANCE'!F202),"",'_INSTANCE'!F202)</x:f>
      </x:c>
      <x:c r="G283" s="530" t="str">
        <x:f>IF(ISBLANK('_INSTANCE'!G202),"",'_INSTANCE'!G202)</x:f>
      </x:c>
      <x:c r="H283" s="530" t="str">
        <x:f>IF(ISBLANK('_INSTANCE'!H202),"",'_INSTANCE'!H202)</x:f>
      </x:c>
      <x:c r="I283" s="530" t="str">
        <x:f>IF(ISBLANK('_INSTANCE'!I202),"",'_INSTANCE'!I202)</x:f>
      </x:c>
      <x:c r="J283" s="530" t="str">
        <x:f>IF(ISBLANK('_INSTANCE'!J202),"",'_INSTANCE'!J202)</x:f>
      </x:c>
      <x:c r="K283" s="38"/>
      <x:c r="L283" s="38"/>
      <x:c r="M283" s="38"/>
      <x:c r="N283" s="38"/>
      <x:c r="O283" s="38"/>
      <x:c r="P283" s="38"/>
      <x:c r="Q283" s="38"/>
    </x:row>
    <x:row r="284">
      <x:c r="A284" s="523" t="str">
        <x:f>IF(ISBLANK('_INSTANCE'!A203),"",'_INSTANCE'!A203)</x:f>
      </x:c>
      <x:c r="B284" s="523" t="str">
        <x:f>IF(ISBLANK('_INSTANCE'!B203),"",'_INSTANCE'!B203)</x:f>
      </x:c>
      <x:c r="C284" s="523" t="str">
        <x:f>IF(ISBLANK('_INSTANCE'!C203),"",'_INSTANCE'!C203)</x:f>
      </x:c>
      <x:c r="D284" s="530" t="str">
        <x:f>IF(ISBLANK('_INSTANCE'!D203),"",'_INSTANCE'!D203)</x:f>
      </x:c>
      <x:c r="E284" s="530" t="str">
        <x:f>IF(ISBLANK('_INSTANCE'!E203),"",'_INSTANCE'!E203)</x:f>
      </x:c>
      <x:c r="F284" s="530" t="str">
        <x:f>IF(ISBLANK('_INSTANCE'!F203),"",'_INSTANCE'!F203)</x:f>
      </x:c>
      <x:c r="G284" s="530" t="str">
        <x:f>IF(ISBLANK('_INSTANCE'!G203),"",'_INSTANCE'!G203)</x:f>
      </x:c>
      <x:c r="H284" s="530" t="str">
        <x:f>IF(ISBLANK('_INSTANCE'!H203),"",'_INSTANCE'!H203)</x:f>
      </x:c>
      <x:c r="I284" s="530" t="str">
        <x:f>IF(ISBLANK('_INSTANCE'!I203),"",'_INSTANCE'!I203)</x:f>
      </x:c>
      <x:c r="J284" s="530" t="str">
        <x:f>IF(ISBLANK('_INSTANCE'!J203),"",'_INSTANCE'!J203)</x:f>
      </x:c>
      <x:c r="K284" s="38"/>
      <x:c r="L284" s="38"/>
      <x:c r="M284" s="38"/>
      <x:c r="N284" s="38"/>
      <x:c r="O284" s="38"/>
      <x:c r="P284" s="38"/>
      <x:c r="Q284" s="38"/>
    </x:row>
    <x:row r="285">
      <x:c r="A285" s="523" t="str">
        <x:f>IF(ISBLANK('_INSTANCE'!A204),"",'_INSTANCE'!A204)</x:f>
      </x:c>
      <x:c r="B285" s="523" t="str">
        <x:f>IF(ISBLANK('_INSTANCE'!B204),"",'_INSTANCE'!B204)</x:f>
      </x:c>
      <x:c r="C285" s="523" t="str">
        <x:f>IF(ISBLANK('_INSTANCE'!C204),"",'_INSTANCE'!C204)</x:f>
      </x:c>
      <x:c r="D285" s="530" t="str">
        <x:f>IF(ISBLANK('_INSTANCE'!D204),"",'_INSTANCE'!D204)</x:f>
      </x:c>
      <x:c r="E285" s="530" t="str">
        <x:f>IF(ISBLANK('_INSTANCE'!E204),"",'_INSTANCE'!E204)</x:f>
      </x:c>
      <x:c r="F285" s="530" t="str">
        <x:f>IF(ISBLANK('_INSTANCE'!F204),"",'_INSTANCE'!F204)</x:f>
      </x:c>
      <x:c r="G285" s="530" t="str">
        <x:f>IF(ISBLANK('_INSTANCE'!G204),"",'_INSTANCE'!G204)</x:f>
      </x:c>
      <x:c r="H285" s="530" t="str">
        <x:f>IF(ISBLANK('_INSTANCE'!H204),"",'_INSTANCE'!H204)</x:f>
      </x:c>
      <x:c r="I285" s="530" t="str">
        <x:f>IF(ISBLANK('_INSTANCE'!I204),"",'_INSTANCE'!I204)</x:f>
      </x:c>
      <x:c r="J285" s="530" t="str">
        <x:f>IF(ISBLANK('_INSTANCE'!J204),"",'_INSTANCE'!J204)</x:f>
      </x:c>
      <x:c r="K285" s="38"/>
      <x:c r="L285" s="38"/>
      <x:c r="M285" s="38"/>
      <x:c r="N285" s="38"/>
      <x:c r="O285" s="38"/>
      <x:c r="P285" s="38"/>
      <x:c r="Q285" s="38"/>
    </x:row>
    <x:row r="286">
      <x:c r="A286" s="523" t="str">
        <x:f>IF(ISBLANK('_INSTANCE'!A205),"",'_INSTANCE'!A205)</x:f>
      </x:c>
      <x:c r="B286" s="523" t="str">
        <x:f>IF(ISBLANK('_INSTANCE'!B205),"",'_INSTANCE'!B205)</x:f>
      </x:c>
      <x:c r="C286" s="523" t="str">
        <x:f>IF(ISBLANK('_INSTANCE'!C205),"",'_INSTANCE'!C205)</x:f>
      </x:c>
      <x:c r="D286" s="530" t="str">
        <x:f>IF(ISBLANK('_INSTANCE'!D205),"",'_INSTANCE'!D205)</x:f>
      </x:c>
      <x:c r="E286" s="530" t="str">
        <x:f>IF(ISBLANK('_INSTANCE'!E205),"",'_INSTANCE'!E205)</x:f>
      </x:c>
      <x:c r="F286" s="530" t="str">
        <x:f>IF(ISBLANK('_INSTANCE'!F205),"",'_INSTANCE'!F205)</x:f>
      </x:c>
      <x:c r="G286" s="530" t="str">
        <x:f>IF(ISBLANK('_INSTANCE'!G205),"",'_INSTANCE'!G205)</x:f>
      </x:c>
      <x:c r="H286" s="530" t="str">
        <x:f>IF(ISBLANK('_INSTANCE'!H205),"",'_INSTANCE'!H205)</x:f>
      </x:c>
      <x:c r="I286" s="530" t="str">
        <x:f>IF(ISBLANK('_INSTANCE'!I205),"",'_INSTANCE'!I205)</x:f>
      </x:c>
      <x:c r="J286" s="530" t="str">
        <x:f>IF(ISBLANK('_INSTANCE'!J205),"",'_INSTANCE'!J205)</x:f>
      </x:c>
      <x:c r="K286" s="38"/>
      <x:c r="L286" s="38"/>
      <x:c r="M286" s="38"/>
      <x:c r="N286" s="38"/>
      <x:c r="O286" s="38"/>
      <x:c r="P286" s="38"/>
      <x:c r="Q286" s="38"/>
    </x:row>
    <x:row r="287">
      <x:c r="A287" s="523" t="str">
        <x:f>IF(ISBLANK('_INSTANCE'!A206),"",'_INSTANCE'!A206)</x:f>
      </x:c>
      <x:c r="B287" s="523" t="str">
        <x:f>IF(ISBLANK('_INSTANCE'!B206),"",'_INSTANCE'!B206)</x:f>
      </x:c>
      <x:c r="C287" s="523" t="str">
        <x:f>IF(ISBLANK('_INSTANCE'!C206),"",'_INSTANCE'!C206)</x:f>
      </x:c>
      <x:c r="D287" s="530" t="str">
        <x:f>IF(ISBLANK('_INSTANCE'!D206),"",'_INSTANCE'!D206)</x:f>
      </x:c>
      <x:c r="E287" s="530" t="str">
        <x:f>IF(ISBLANK('_INSTANCE'!E206),"",'_INSTANCE'!E206)</x:f>
      </x:c>
      <x:c r="F287" s="530" t="str">
        <x:f>IF(ISBLANK('_INSTANCE'!F206),"",'_INSTANCE'!F206)</x:f>
      </x:c>
      <x:c r="G287" s="530" t="str">
        <x:f>IF(ISBLANK('_INSTANCE'!G206),"",'_INSTANCE'!G206)</x:f>
      </x:c>
      <x:c r="H287" s="530" t="str">
        <x:f>IF(ISBLANK('_INSTANCE'!H206),"",'_INSTANCE'!H206)</x:f>
      </x:c>
      <x:c r="I287" s="530" t="str">
        <x:f>IF(ISBLANK('_INSTANCE'!I206),"",'_INSTANCE'!I206)</x:f>
      </x:c>
      <x:c r="J287" s="530" t="str">
        <x:f>IF(ISBLANK('_INSTANCE'!J206),"",'_INSTANCE'!J206)</x:f>
      </x:c>
      <x:c r="K287" s="38"/>
      <x:c r="L287" s="38"/>
      <x:c r="M287" s="38"/>
      <x:c r="N287" s="38"/>
      <x:c r="O287" s="38"/>
      <x:c r="P287" s="38"/>
      <x:c r="Q287" s="38"/>
    </x:row>
    <x:row r="288">
      <x:c r="A288" s="523" t="str">
        <x:f>IF(ISBLANK('_INSTANCE'!A207),"",'_INSTANCE'!A207)</x:f>
      </x:c>
      <x:c r="B288" s="523" t="str">
        <x:f>IF(ISBLANK('_INSTANCE'!B207),"",'_INSTANCE'!B207)</x:f>
      </x:c>
      <x:c r="C288" s="523" t="str">
        <x:f>IF(ISBLANK('_INSTANCE'!C207),"",'_INSTANCE'!C207)</x:f>
      </x:c>
      <x:c r="D288" s="530" t="str">
        <x:f>IF(ISBLANK('_INSTANCE'!D207),"",'_INSTANCE'!D207)</x:f>
      </x:c>
      <x:c r="E288" s="530" t="str">
        <x:f>IF(ISBLANK('_INSTANCE'!E207),"",'_INSTANCE'!E207)</x:f>
      </x:c>
      <x:c r="F288" s="530" t="str">
        <x:f>IF(ISBLANK('_INSTANCE'!F207),"",'_INSTANCE'!F207)</x:f>
      </x:c>
      <x:c r="G288" s="530" t="str">
        <x:f>IF(ISBLANK('_INSTANCE'!G207),"",'_INSTANCE'!G207)</x:f>
      </x:c>
      <x:c r="H288" s="530" t="str">
        <x:f>IF(ISBLANK('_INSTANCE'!H207),"",'_INSTANCE'!H207)</x:f>
      </x:c>
      <x:c r="I288" s="530" t="str">
        <x:f>IF(ISBLANK('_INSTANCE'!I207),"",'_INSTANCE'!I207)</x:f>
      </x:c>
      <x:c r="J288" s="530" t="str">
        <x:f>IF(ISBLANK('_INSTANCE'!J207),"",'_INSTANCE'!J207)</x:f>
      </x:c>
      <x:c r="K288" s="38"/>
      <x:c r="L288" s="38"/>
      <x:c r="M288" s="38"/>
      <x:c r="N288" s="38"/>
      <x:c r="O288" s="38"/>
      <x:c r="P288" s="38"/>
      <x:c r="Q288" s="38"/>
    </x:row>
    <x:row r="289">
      <x:c r="A289" s="523" t="str">
        <x:f>IF(ISBLANK('_INSTANCE'!A208),"",'_INSTANCE'!A208)</x:f>
      </x:c>
      <x:c r="B289" s="523" t="str">
        <x:f>IF(ISBLANK('_INSTANCE'!B208),"",'_INSTANCE'!B208)</x:f>
      </x:c>
      <x:c r="C289" s="523" t="str">
        <x:f>IF(ISBLANK('_INSTANCE'!C208),"",'_INSTANCE'!C208)</x:f>
      </x:c>
      <x:c r="D289" s="530" t="str">
        <x:f>IF(ISBLANK('_INSTANCE'!D208),"",'_INSTANCE'!D208)</x:f>
      </x:c>
      <x:c r="E289" s="530" t="str">
        <x:f>IF(ISBLANK('_INSTANCE'!E208),"",'_INSTANCE'!E208)</x:f>
      </x:c>
      <x:c r="F289" s="530" t="str">
        <x:f>IF(ISBLANK('_INSTANCE'!F208),"",'_INSTANCE'!F208)</x:f>
      </x:c>
      <x:c r="G289" s="530" t="str">
        <x:f>IF(ISBLANK('_INSTANCE'!G208),"",'_INSTANCE'!G208)</x:f>
      </x:c>
      <x:c r="H289" s="530" t="str">
        <x:f>IF(ISBLANK('_INSTANCE'!H208),"",'_INSTANCE'!H208)</x:f>
      </x:c>
      <x:c r="I289" s="530" t="str">
        <x:f>IF(ISBLANK('_INSTANCE'!I208),"",'_INSTANCE'!I208)</x:f>
      </x:c>
      <x:c r="J289" s="530" t="str">
        <x:f>IF(ISBLANK('_INSTANCE'!J208),"",'_INSTANCE'!J208)</x:f>
      </x:c>
      <x:c r="K289" s="38"/>
      <x:c r="L289" s="38"/>
      <x:c r="M289" s="38"/>
      <x:c r="N289" s="38"/>
      <x:c r="O289" s="38"/>
      <x:c r="P289" s="38"/>
      <x:c r="Q289" s="38"/>
    </x:row>
    <x:row r="290">
      <x:c r="A290" s="523" t="str">
        <x:f>IF(ISBLANK('_INSTANCE'!A209),"",'_INSTANCE'!A209)</x:f>
      </x:c>
      <x:c r="B290" s="523" t="str">
        <x:f>IF(ISBLANK('_INSTANCE'!B209),"",'_INSTANCE'!B209)</x:f>
      </x:c>
      <x:c r="C290" s="523" t="str">
        <x:f>IF(ISBLANK('_INSTANCE'!C209),"",'_INSTANCE'!C209)</x:f>
      </x:c>
      <x:c r="D290" s="530" t="str">
        <x:f>IF(ISBLANK('_INSTANCE'!D209),"",'_INSTANCE'!D209)</x:f>
      </x:c>
      <x:c r="E290" s="530" t="str">
        <x:f>IF(ISBLANK('_INSTANCE'!E209),"",'_INSTANCE'!E209)</x:f>
      </x:c>
      <x:c r="F290" s="530" t="str">
        <x:f>IF(ISBLANK('_INSTANCE'!F209),"",'_INSTANCE'!F209)</x:f>
      </x:c>
      <x:c r="G290" s="530" t="str">
        <x:f>IF(ISBLANK('_INSTANCE'!G209),"",'_INSTANCE'!G209)</x:f>
      </x:c>
      <x:c r="H290" s="530" t="str">
        <x:f>IF(ISBLANK('_INSTANCE'!H209),"",'_INSTANCE'!H209)</x:f>
      </x:c>
      <x:c r="I290" s="530" t="str">
        <x:f>IF(ISBLANK('_INSTANCE'!I209),"",'_INSTANCE'!I209)</x:f>
      </x:c>
      <x:c r="J290" s="530" t="str">
        <x:f>IF(ISBLANK('_INSTANCE'!J209),"",'_INSTANCE'!J209)</x:f>
      </x:c>
      <x:c r="K290" s="38"/>
      <x:c r="L290" s="38"/>
      <x:c r="M290" s="38"/>
      <x:c r="N290" s="38"/>
      <x:c r="O290" s="38"/>
      <x:c r="P290" s="38"/>
      <x:c r="Q290" s="38"/>
    </x:row>
    <x:row r="291">
      <x:c r="A291" s="523" t="str">
        <x:f>IF(ISBLANK('_INSTANCE'!A210),"",'_INSTANCE'!A210)</x:f>
      </x:c>
      <x:c r="B291" s="523" t="str">
        <x:f>IF(ISBLANK('_INSTANCE'!B210),"",'_INSTANCE'!B210)</x:f>
      </x:c>
      <x:c r="C291" s="523" t="str">
        <x:f>IF(ISBLANK('_INSTANCE'!C210),"",'_INSTANCE'!C210)</x:f>
      </x:c>
      <x:c r="D291" s="530" t="str">
        <x:f>IF(ISBLANK('_INSTANCE'!D210),"",'_INSTANCE'!D210)</x:f>
      </x:c>
      <x:c r="E291" s="530" t="str">
        <x:f>IF(ISBLANK('_INSTANCE'!E210),"",'_INSTANCE'!E210)</x:f>
      </x:c>
      <x:c r="F291" s="530" t="str">
        <x:f>IF(ISBLANK('_INSTANCE'!F210),"",'_INSTANCE'!F210)</x:f>
      </x:c>
      <x:c r="G291" s="530" t="str">
        <x:f>IF(ISBLANK('_INSTANCE'!G210),"",'_INSTANCE'!G210)</x:f>
      </x:c>
      <x:c r="H291" s="530" t="str">
        <x:f>IF(ISBLANK('_INSTANCE'!H210),"",'_INSTANCE'!H210)</x:f>
      </x:c>
      <x:c r="I291" s="530" t="str">
        <x:f>IF(ISBLANK('_INSTANCE'!I210),"",'_INSTANCE'!I210)</x:f>
      </x:c>
      <x:c r="J291" s="530" t="str">
        <x:f>IF(ISBLANK('_INSTANCE'!J210),"",'_INSTANCE'!J210)</x:f>
      </x:c>
      <x:c r="K291" s="38"/>
      <x:c r="L291" s="38"/>
      <x:c r="M291" s="38"/>
      <x:c r="N291" s="38"/>
      <x:c r="O291" s="38"/>
      <x:c r="P291" s="38"/>
      <x:c r="Q291" s="38"/>
    </x:row>
    <x:row r="292">
      <x:c r="A292" s="523" t="str">
        <x:f>IF(ISBLANK('_INSTANCE'!A211),"",'_INSTANCE'!A211)</x:f>
      </x:c>
      <x:c r="B292" s="523" t="str">
        <x:f>IF(ISBLANK('_INSTANCE'!B211),"",'_INSTANCE'!B211)</x:f>
      </x:c>
      <x:c r="C292" s="523" t="str">
        <x:f>IF(ISBLANK('_INSTANCE'!C211),"",'_INSTANCE'!C211)</x:f>
      </x:c>
      <x:c r="D292" s="530" t="str">
        <x:f>IF(ISBLANK('_INSTANCE'!D211),"",'_INSTANCE'!D211)</x:f>
      </x:c>
      <x:c r="E292" s="530" t="str">
        <x:f>IF(ISBLANK('_INSTANCE'!E211),"",'_INSTANCE'!E211)</x:f>
      </x:c>
      <x:c r="F292" s="530" t="str">
        <x:f>IF(ISBLANK('_INSTANCE'!F211),"",'_INSTANCE'!F211)</x:f>
      </x:c>
      <x:c r="G292" s="530" t="str">
        <x:f>IF(ISBLANK('_INSTANCE'!G211),"",'_INSTANCE'!G211)</x:f>
      </x:c>
      <x:c r="H292" s="530" t="str">
        <x:f>IF(ISBLANK('_INSTANCE'!H211),"",'_INSTANCE'!H211)</x:f>
      </x:c>
      <x:c r="I292" s="530" t="str">
        <x:f>IF(ISBLANK('_INSTANCE'!I211),"",'_INSTANCE'!I211)</x:f>
      </x:c>
      <x:c r="J292" s="530" t="str">
        <x:f>IF(ISBLANK('_INSTANCE'!J211),"",'_INSTANCE'!J211)</x:f>
      </x:c>
      <x:c r="K292" s="38"/>
      <x:c r="L292" s="38"/>
      <x:c r="M292" s="38"/>
      <x:c r="N292" s="38"/>
      <x:c r="O292" s="38"/>
      <x:c r="P292" s="38"/>
      <x:c r="Q292" s="38"/>
    </x:row>
    <x:row r="293">
      <x:c r="A293" s="523" t="str">
        <x:f>IF(ISBLANK('_INSTANCE'!A212),"",'_INSTANCE'!A212)</x:f>
      </x:c>
      <x:c r="B293" s="523" t="str">
        <x:f>IF(ISBLANK('_INSTANCE'!B212),"",'_INSTANCE'!B212)</x:f>
      </x:c>
      <x:c r="C293" s="523" t="str">
        <x:f>IF(ISBLANK('_INSTANCE'!C212),"",'_INSTANCE'!C212)</x:f>
      </x:c>
      <x:c r="D293" s="530" t="str">
        <x:f>IF(ISBLANK('_INSTANCE'!D212),"",'_INSTANCE'!D212)</x:f>
      </x:c>
      <x:c r="E293" s="530" t="str">
        <x:f>IF(ISBLANK('_INSTANCE'!E212),"",'_INSTANCE'!E212)</x:f>
      </x:c>
      <x:c r="F293" s="530" t="str">
        <x:f>IF(ISBLANK('_INSTANCE'!F212),"",'_INSTANCE'!F212)</x:f>
      </x:c>
      <x:c r="G293" s="530" t="str">
        <x:f>IF(ISBLANK('_INSTANCE'!G212),"",'_INSTANCE'!G212)</x:f>
      </x:c>
      <x:c r="H293" s="530" t="str">
        <x:f>IF(ISBLANK('_INSTANCE'!H212),"",'_INSTANCE'!H212)</x:f>
      </x:c>
      <x:c r="I293" s="530" t="str">
        <x:f>IF(ISBLANK('_INSTANCE'!I212),"",'_INSTANCE'!I212)</x:f>
      </x:c>
      <x:c r="J293" s="530" t="str">
        <x:f>IF(ISBLANK('_INSTANCE'!J212),"",'_INSTANCE'!J212)</x:f>
      </x:c>
      <x:c r="K293" s="38"/>
      <x:c r="L293" s="38"/>
      <x:c r="M293" s="38"/>
      <x:c r="N293" s="38"/>
      <x:c r="O293" s="38"/>
      <x:c r="P293" s="38"/>
      <x:c r="Q293" s="38"/>
    </x:row>
    <x:row r="294">
      <x:c r="A294" s="523" t="str">
        <x:f>IF(ISBLANK('_INSTANCE'!A213),"",'_INSTANCE'!A213)</x:f>
      </x:c>
      <x:c r="B294" s="523" t="str">
        <x:f>IF(ISBLANK('_INSTANCE'!B213),"",'_INSTANCE'!B213)</x:f>
      </x:c>
      <x:c r="C294" s="523" t="str">
        <x:f>IF(ISBLANK('_INSTANCE'!C213),"",'_INSTANCE'!C213)</x:f>
      </x:c>
      <x:c r="D294" s="530" t="str">
        <x:f>IF(ISBLANK('_INSTANCE'!D213),"",'_INSTANCE'!D213)</x:f>
      </x:c>
      <x:c r="E294" s="530" t="str">
        <x:f>IF(ISBLANK('_INSTANCE'!E213),"",'_INSTANCE'!E213)</x:f>
      </x:c>
      <x:c r="F294" s="530" t="str">
        <x:f>IF(ISBLANK('_INSTANCE'!F213),"",'_INSTANCE'!F213)</x:f>
      </x:c>
      <x:c r="G294" s="530" t="str">
        <x:f>IF(ISBLANK('_INSTANCE'!G213),"",'_INSTANCE'!G213)</x:f>
      </x:c>
      <x:c r="H294" s="530" t="str">
        <x:f>IF(ISBLANK('_INSTANCE'!H213),"",'_INSTANCE'!H213)</x:f>
      </x:c>
      <x:c r="I294" s="530" t="str">
        <x:f>IF(ISBLANK('_INSTANCE'!I213),"",'_INSTANCE'!I213)</x:f>
      </x:c>
      <x:c r="J294" s="530" t="str">
        <x:f>IF(ISBLANK('_INSTANCE'!J213),"",'_INSTANCE'!J213)</x:f>
      </x:c>
      <x:c r="K294" s="38"/>
      <x:c r="L294" s="38"/>
      <x:c r="M294" s="38"/>
      <x:c r="N294" s="38"/>
      <x:c r="O294" s="38"/>
      <x:c r="P294" s="38"/>
      <x:c r="Q294" s="38"/>
    </x:row>
    <x:row r="295">
      <x:c r="A295" s="523" t="str">
        <x:f>IF(ISBLANK('_INSTANCE'!A214),"",'_INSTANCE'!A214)</x:f>
      </x:c>
      <x:c r="B295" s="523" t="str">
        <x:f>IF(ISBLANK('_INSTANCE'!B214),"",'_INSTANCE'!B214)</x:f>
      </x:c>
      <x:c r="C295" s="523" t="str">
        <x:f>IF(ISBLANK('_INSTANCE'!C214),"",'_INSTANCE'!C214)</x:f>
      </x:c>
      <x:c r="D295" s="530" t="str">
        <x:f>IF(ISBLANK('_INSTANCE'!D214),"",'_INSTANCE'!D214)</x:f>
      </x:c>
      <x:c r="E295" s="530" t="str">
        <x:f>IF(ISBLANK('_INSTANCE'!E214),"",'_INSTANCE'!E214)</x:f>
      </x:c>
      <x:c r="F295" s="530" t="str">
        <x:f>IF(ISBLANK('_INSTANCE'!F214),"",'_INSTANCE'!F214)</x:f>
      </x:c>
      <x:c r="G295" s="530" t="str">
        <x:f>IF(ISBLANK('_INSTANCE'!G214),"",'_INSTANCE'!G214)</x:f>
      </x:c>
      <x:c r="H295" s="530" t="str">
        <x:f>IF(ISBLANK('_INSTANCE'!H214),"",'_INSTANCE'!H214)</x:f>
      </x:c>
      <x:c r="I295" s="530" t="str">
        <x:f>IF(ISBLANK('_INSTANCE'!I214),"",'_INSTANCE'!I214)</x:f>
      </x:c>
      <x:c r="J295" s="530" t="str">
        <x:f>IF(ISBLANK('_INSTANCE'!J214),"",'_INSTANCE'!J214)</x:f>
      </x:c>
      <x:c r="K295" s="38"/>
      <x:c r="L295" s="38"/>
      <x:c r="M295" s="38"/>
      <x:c r="N295" s="38"/>
      <x:c r="O295" s="38"/>
      <x:c r="P295" s="38"/>
      <x:c r="Q295" s="38"/>
    </x:row>
    <x:row r="296">
      <x:c r="A296" s="523" t="str">
        <x:f>IF(ISBLANK('_INSTANCE'!A215),"",'_INSTANCE'!A215)</x:f>
      </x:c>
      <x:c r="B296" s="523" t="str">
        <x:f>IF(ISBLANK('_INSTANCE'!B215),"",'_INSTANCE'!B215)</x:f>
      </x:c>
      <x:c r="C296" s="523" t="str">
        <x:f>IF(ISBLANK('_INSTANCE'!C215),"",'_INSTANCE'!C215)</x:f>
      </x:c>
      <x:c r="D296" s="530" t="str">
        <x:f>IF(ISBLANK('_INSTANCE'!D215),"",'_INSTANCE'!D215)</x:f>
      </x:c>
      <x:c r="E296" s="530" t="str">
        <x:f>IF(ISBLANK('_INSTANCE'!E215),"",'_INSTANCE'!E215)</x:f>
      </x:c>
      <x:c r="F296" s="530" t="str">
        <x:f>IF(ISBLANK('_INSTANCE'!F215),"",'_INSTANCE'!F215)</x:f>
      </x:c>
      <x:c r="G296" s="530" t="str">
        <x:f>IF(ISBLANK('_INSTANCE'!G215),"",'_INSTANCE'!G215)</x:f>
      </x:c>
      <x:c r="H296" s="530" t="str">
        <x:f>IF(ISBLANK('_INSTANCE'!H215),"",'_INSTANCE'!H215)</x:f>
      </x:c>
      <x:c r="I296" s="530" t="str">
        <x:f>IF(ISBLANK('_INSTANCE'!I215),"",'_INSTANCE'!I215)</x:f>
      </x:c>
      <x:c r="J296" s="530" t="str">
        <x:f>IF(ISBLANK('_INSTANCE'!J215),"",'_INSTANCE'!J215)</x:f>
      </x:c>
      <x:c r="K296" s="38"/>
      <x:c r="L296" s="38"/>
      <x:c r="M296" s="38"/>
      <x:c r="N296" s="38"/>
      <x:c r="O296" s="38"/>
      <x:c r="P296" s="38"/>
      <x:c r="Q296" s="38"/>
    </x:row>
    <x:row r="297">
      <x:c r="A297" s="523" t="str">
        <x:f>IF(ISBLANK('_INSTANCE'!A216),"",'_INSTANCE'!A216)</x:f>
      </x:c>
      <x:c r="B297" s="523" t="str">
        <x:f>IF(ISBLANK('_INSTANCE'!B216),"",'_INSTANCE'!B216)</x:f>
      </x:c>
      <x:c r="C297" s="523" t="str">
        <x:f>IF(ISBLANK('_INSTANCE'!C216),"",'_INSTANCE'!C216)</x:f>
      </x:c>
      <x:c r="D297" s="530" t="str">
        <x:f>IF(ISBLANK('_INSTANCE'!D216),"",'_INSTANCE'!D216)</x:f>
      </x:c>
      <x:c r="E297" s="530" t="str">
        <x:f>IF(ISBLANK('_INSTANCE'!E216),"",'_INSTANCE'!E216)</x:f>
      </x:c>
      <x:c r="F297" s="530" t="str">
        <x:f>IF(ISBLANK('_INSTANCE'!F216),"",'_INSTANCE'!F216)</x:f>
      </x:c>
      <x:c r="G297" s="530" t="str">
        <x:f>IF(ISBLANK('_INSTANCE'!G216),"",'_INSTANCE'!G216)</x:f>
      </x:c>
      <x:c r="H297" s="530" t="str">
        <x:f>IF(ISBLANK('_INSTANCE'!H216),"",'_INSTANCE'!H216)</x:f>
      </x:c>
      <x:c r="I297" s="530" t="str">
        <x:f>IF(ISBLANK('_INSTANCE'!I216),"",'_INSTANCE'!I216)</x:f>
      </x:c>
      <x:c r="J297" s="530" t="str">
        <x:f>IF(ISBLANK('_INSTANCE'!J216),"",'_INSTANCE'!J216)</x:f>
      </x:c>
      <x:c r="K297" s="38"/>
      <x:c r="L297" s="38"/>
      <x:c r="M297" s="38"/>
      <x:c r="N297" s="38"/>
      <x:c r="O297" s="38"/>
      <x:c r="P297" s="38"/>
      <x:c r="Q297" s="38"/>
    </x:row>
    <x:row r="298">
      <x:c r="A298" s="523" t="str">
        <x:f>IF(ISBLANK('_INSTANCE'!A217),"",'_INSTANCE'!A217)</x:f>
      </x:c>
      <x:c r="B298" s="523" t="str">
        <x:f>IF(ISBLANK('_INSTANCE'!B217),"",'_INSTANCE'!B217)</x:f>
      </x:c>
      <x:c r="C298" s="523" t="str">
        <x:f>IF(ISBLANK('_INSTANCE'!C217),"",'_INSTANCE'!C217)</x:f>
      </x:c>
      <x:c r="D298" s="530" t="str">
        <x:f>IF(ISBLANK('_INSTANCE'!D217),"",'_INSTANCE'!D217)</x:f>
      </x:c>
      <x:c r="E298" s="530" t="str">
        <x:f>IF(ISBLANK('_INSTANCE'!E217),"",'_INSTANCE'!E217)</x:f>
      </x:c>
      <x:c r="F298" s="530" t="str">
        <x:f>IF(ISBLANK('_INSTANCE'!F217),"",'_INSTANCE'!F217)</x:f>
      </x:c>
      <x:c r="G298" s="530" t="str">
        <x:f>IF(ISBLANK('_INSTANCE'!G217),"",'_INSTANCE'!G217)</x:f>
      </x:c>
      <x:c r="H298" s="530" t="str">
        <x:f>IF(ISBLANK('_INSTANCE'!H217),"",'_INSTANCE'!H217)</x:f>
      </x:c>
      <x:c r="I298" s="530" t="str">
        <x:f>IF(ISBLANK('_INSTANCE'!I217),"",'_INSTANCE'!I217)</x:f>
      </x:c>
      <x:c r="J298" s="530" t="str">
        <x:f>IF(ISBLANK('_INSTANCE'!J217),"",'_INSTANCE'!J217)</x:f>
      </x:c>
      <x:c r="K298" s="38"/>
      <x:c r="L298" s="38"/>
      <x:c r="M298" s="38"/>
      <x:c r="N298" s="38"/>
      <x:c r="O298" s="38"/>
      <x:c r="P298" s="38"/>
      <x:c r="Q298" s="38"/>
    </x:row>
    <x:row r="299">
      <x:c r="A299" s="523" t="str">
        <x:f>IF(ISBLANK('_INSTANCE'!A218),"",'_INSTANCE'!A218)</x:f>
      </x:c>
      <x:c r="B299" s="523" t="str">
        <x:f>IF(ISBLANK('_INSTANCE'!B218),"",'_INSTANCE'!B218)</x:f>
      </x:c>
      <x:c r="C299" s="523" t="str">
        <x:f>IF(ISBLANK('_INSTANCE'!C218),"",'_INSTANCE'!C218)</x:f>
      </x:c>
      <x:c r="D299" s="530" t="str">
        <x:f>IF(ISBLANK('_INSTANCE'!D218),"",'_INSTANCE'!D218)</x:f>
      </x:c>
      <x:c r="E299" s="530" t="str">
        <x:f>IF(ISBLANK('_INSTANCE'!E218),"",'_INSTANCE'!E218)</x:f>
      </x:c>
      <x:c r="F299" s="530" t="str">
        <x:f>IF(ISBLANK('_INSTANCE'!F218),"",'_INSTANCE'!F218)</x:f>
      </x:c>
      <x:c r="G299" s="530" t="str">
        <x:f>IF(ISBLANK('_INSTANCE'!G218),"",'_INSTANCE'!G218)</x:f>
      </x:c>
      <x:c r="H299" s="530" t="str">
        <x:f>IF(ISBLANK('_INSTANCE'!H218),"",'_INSTANCE'!H218)</x:f>
      </x:c>
      <x:c r="I299" s="530" t="str">
        <x:f>IF(ISBLANK('_INSTANCE'!I218),"",'_INSTANCE'!I218)</x:f>
      </x:c>
      <x:c r="J299" s="530" t="str">
        <x:f>IF(ISBLANK('_INSTANCE'!J218),"",'_INSTANCE'!J218)</x:f>
      </x:c>
      <x:c r="K299" s="38"/>
      <x:c r="L299" s="38"/>
      <x:c r="M299" s="38"/>
      <x:c r="N299" s="38"/>
      <x:c r="O299" s="38"/>
      <x:c r="P299" s="38"/>
      <x:c r="Q299" s="38"/>
    </x:row>
    <x:row r="300">
      <x:c r="A300" s="523" t="str">
        <x:f>IF(ISBLANK('_INSTANCE'!A219),"",'_INSTANCE'!A219)</x:f>
      </x:c>
      <x:c r="B300" s="523" t="str">
        <x:f>IF(ISBLANK('_INSTANCE'!B219),"",'_INSTANCE'!B219)</x:f>
      </x:c>
      <x:c r="C300" s="523" t="str">
        <x:f>IF(ISBLANK('_INSTANCE'!C219),"",'_INSTANCE'!C219)</x:f>
      </x:c>
      <x:c r="D300" s="530" t="str">
        <x:f>IF(ISBLANK('_INSTANCE'!D219),"",'_INSTANCE'!D219)</x:f>
      </x:c>
      <x:c r="E300" s="530" t="str">
        <x:f>IF(ISBLANK('_INSTANCE'!E219),"",'_INSTANCE'!E219)</x:f>
      </x:c>
      <x:c r="F300" s="530" t="str">
        <x:f>IF(ISBLANK('_INSTANCE'!F219),"",'_INSTANCE'!F219)</x:f>
      </x:c>
      <x:c r="G300" s="530" t="str">
        <x:f>IF(ISBLANK('_INSTANCE'!G219),"",'_INSTANCE'!G219)</x:f>
      </x:c>
      <x:c r="H300" s="530" t="str">
        <x:f>IF(ISBLANK('_INSTANCE'!H219),"",'_INSTANCE'!H219)</x:f>
      </x:c>
      <x:c r="I300" s="530" t="str">
        <x:f>IF(ISBLANK('_INSTANCE'!I219),"",'_INSTANCE'!I219)</x:f>
      </x:c>
      <x:c r="J300" s="530" t="str">
        <x:f>IF(ISBLANK('_INSTANCE'!J219),"",'_INSTANCE'!J219)</x:f>
      </x:c>
      <x:c r="K300" s="38"/>
      <x:c r="L300" s="38"/>
      <x:c r="M300" s="38"/>
      <x:c r="N300" s="38"/>
      <x:c r="O300" s="38"/>
      <x:c r="P300" s="38"/>
      <x:c r="Q300" s="38"/>
    </x:row>
    <x:row r="301">
      <x:c r="A301" s="523" t="str">
        <x:f>IF(ISBLANK('_INSTANCE'!A220),"",'_INSTANCE'!A220)</x:f>
      </x:c>
      <x:c r="B301" s="523" t="str">
        <x:f>IF(ISBLANK('_INSTANCE'!B220),"",'_INSTANCE'!B220)</x:f>
      </x:c>
      <x:c r="C301" s="523" t="str">
        <x:f>IF(ISBLANK('_INSTANCE'!C220),"",'_INSTANCE'!C220)</x:f>
      </x:c>
      <x:c r="D301" s="530" t="str">
        <x:f>IF(ISBLANK('_INSTANCE'!D220),"",'_INSTANCE'!D220)</x:f>
      </x:c>
      <x:c r="E301" s="530" t="str">
        <x:f>IF(ISBLANK('_INSTANCE'!E220),"",'_INSTANCE'!E220)</x:f>
      </x:c>
      <x:c r="F301" s="530" t="str">
        <x:f>IF(ISBLANK('_INSTANCE'!F220),"",'_INSTANCE'!F220)</x:f>
      </x:c>
      <x:c r="G301" s="530" t="str">
        <x:f>IF(ISBLANK('_INSTANCE'!G220),"",'_INSTANCE'!G220)</x:f>
      </x:c>
      <x:c r="H301" s="530" t="str">
        <x:f>IF(ISBLANK('_INSTANCE'!H220),"",'_INSTANCE'!H220)</x:f>
      </x:c>
      <x:c r="I301" s="530" t="str">
        <x:f>IF(ISBLANK('_INSTANCE'!I220),"",'_INSTANCE'!I220)</x:f>
      </x:c>
      <x:c r="J301" s="530" t="str">
        <x:f>IF(ISBLANK('_INSTANCE'!J220),"",'_INSTANCE'!J220)</x:f>
      </x:c>
      <x:c r="K301" s="38"/>
      <x:c r="L301" s="38"/>
      <x:c r="M301" s="38"/>
      <x:c r="N301" s="38"/>
      <x:c r="O301" s="38"/>
      <x:c r="P301" s="38"/>
      <x:c r="Q301" s="38"/>
    </x:row>
    <x:row r="302">
      <x:c r="A302" s="523" t="str">
        <x:f>IF(ISBLANK('_INSTANCE'!A221),"",'_INSTANCE'!A221)</x:f>
      </x:c>
      <x:c r="B302" s="523" t="str">
        <x:f>IF(ISBLANK('_INSTANCE'!B221),"",'_INSTANCE'!B221)</x:f>
      </x:c>
      <x:c r="C302" s="523" t="str">
        <x:f>IF(ISBLANK('_INSTANCE'!C221),"",'_INSTANCE'!C221)</x:f>
      </x:c>
      <x:c r="D302" s="530" t="str">
        <x:f>IF(ISBLANK('_INSTANCE'!D221),"",'_INSTANCE'!D221)</x:f>
      </x:c>
      <x:c r="E302" s="530" t="str">
        <x:f>IF(ISBLANK('_INSTANCE'!E221),"",'_INSTANCE'!E221)</x:f>
      </x:c>
      <x:c r="F302" s="530" t="str">
        <x:f>IF(ISBLANK('_INSTANCE'!F221),"",'_INSTANCE'!F221)</x:f>
      </x:c>
      <x:c r="G302" s="530" t="str">
        <x:f>IF(ISBLANK('_INSTANCE'!G221),"",'_INSTANCE'!G221)</x:f>
      </x:c>
      <x:c r="H302" s="530" t="str">
        <x:f>IF(ISBLANK('_INSTANCE'!H221),"",'_INSTANCE'!H221)</x:f>
      </x:c>
      <x:c r="I302" s="530" t="str">
        <x:f>IF(ISBLANK('_INSTANCE'!I221),"",'_INSTANCE'!I221)</x:f>
      </x:c>
      <x:c r="J302" s="530" t="str">
        <x:f>IF(ISBLANK('_INSTANCE'!J221),"",'_INSTANCE'!J221)</x:f>
      </x:c>
      <x:c r="K302" s="38"/>
      <x:c r="L302" s="38"/>
      <x:c r="M302" s="38"/>
      <x:c r="N302" s="38"/>
      <x:c r="O302" s="38"/>
      <x:c r="P302" s="38"/>
      <x:c r="Q302" s="38"/>
    </x:row>
    <x:row r="303">
      <x:c r="A303" s="523" t="str">
        <x:f>IF(ISBLANK('_INSTANCE'!A222),"",'_INSTANCE'!A222)</x:f>
      </x:c>
      <x:c r="B303" s="523" t="str">
        <x:f>IF(ISBLANK('_INSTANCE'!B222),"",'_INSTANCE'!B222)</x:f>
      </x:c>
      <x:c r="C303" s="523" t="str">
        <x:f>IF(ISBLANK('_INSTANCE'!C222),"",'_INSTANCE'!C222)</x:f>
      </x:c>
      <x:c r="D303" s="530" t="str">
        <x:f>IF(ISBLANK('_INSTANCE'!D222),"",'_INSTANCE'!D222)</x:f>
      </x:c>
      <x:c r="E303" s="530" t="str">
        <x:f>IF(ISBLANK('_INSTANCE'!E222),"",'_INSTANCE'!E222)</x:f>
      </x:c>
      <x:c r="F303" s="530" t="str">
        <x:f>IF(ISBLANK('_INSTANCE'!F222),"",'_INSTANCE'!F222)</x:f>
      </x:c>
      <x:c r="G303" s="530" t="str">
        <x:f>IF(ISBLANK('_INSTANCE'!G222),"",'_INSTANCE'!G222)</x:f>
      </x:c>
      <x:c r="H303" s="530" t="str">
        <x:f>IF(ISBLANK('_INSTANCE'!H222),"",'_INSTANCE'!H222)</x:f>
      </x:c>
      <x:c r="I303" s="530" t="str">
        <x:f>IF(ISBLANK('_INSTANCE'!I222),"",'_INSTANCE'!I222)</x:f>
      </x:c>
      <x:c r="J303" s="530" t="str">
        <x:f>IF(ISBLANK('_INSTANCE'!J222),"",'_INSTANCE'!J222)</x:f>
      </x:c>
      <x:c r="K303" s="38"/>
      <x:c r="L303" s="38"/>
      <x:c r="M303" s="38"/>
      <x:c r="N303" s="38"/>
      <x:c r="O303" s="38"/>
      <x:c r="P303" s="38"/>
      <x:c r="Q303" s="38"/>
    </x:row>
    <x:row r="304">
      <x:c r="A304" s="523" t="str">
        <x:f>IF(ISBLANK('_INSTANCE'!A223),"",'_INSTANCE'!A223)</x:f>
      </x:c>
      <x:c r="B304" s="523" t="str">
        <x:f>IF(ISBLANK('_INSTANCE'!B223),"",'_INSTANCE'!B223)</x:f>
      </x:c>
      <x:c r="C304" s="523" t="str">
        <x:f>IF(ISBLANK('_INSTANCE'!C223),"",'_INSTANCE'!C223)</x:f>
      </x:c>
      <x:c r="D304" s="530" t="str">
        <x:f>IF(ISBLANK('_INSTANCE'!D223),"",'_INSTANCE'!D223)</x:f>
      </x:c>
      <x:c r="E304" s="530" t="str">
        <x:f>IF(ISBLANK('_INSTANCE'!E223),"",'_INSTANCE'!E223)</x:f>
      </x:c>
      <x:c r="F304" s="530" t="str">
        <x:f>IF(ISBLANK('_INSTANCE'!F223),"",'_INSTANCE'!F223)</x:f>
      </x:c>
      <x:c r="G304" s="530" t="str">
        <x:f>IF(ISBLANK('_INSTANCE'!G223),"",'_INSTANCE'!G223)</x:f>
      </x:c>
      <x:c r="H304" s="530" t="str">
        <x:f>IF(ISBLANK('_INSTANCE'!H223),"",'_INSTANCE'!H223)</x:f>
      </x:c>
      <x:c r="I304" s="530" t="str">
        <x:f>IF(ISBLANK('_INSTANCE'!I223),"",'_INSTANCE'!I223)</x:f>
      </x:c>
      <x:c r="J304" s="530" t="str">
        <x:f>IF(ISBLANK('_INSTANCE'!J223),"",'_INSTANCE'!J223)</x:f>
      </x:c>
      <x:c r="K304" s="38"/>
      <x:c r="L304" s="38"/>
      <x:c r="M304" s="38"/>
      <x:c r="N304" s="38"/>
      <x:c r="O304" s="38"/>
      <x:c r="P304" s="38"/>
      <x:c r="Q304" s="38"/>
    </x:row>
    <x:row r="305">
      <x:c r="A305" s="523" t="str">
        <x:f>IF(ISBLANK('_INSTANCE'!A224),"",'_INSTANCE'!A224)</x:f>
      </x:c>
      <x:c r="B305" s="523" t="str">
        <x:f>IF(ISBLANK('_INSTANCE'!B224),"",'_INSTANCE'!B224)</x:f>
      </x:c>
      <x:c r="C305" s="523" t="str">
        <x:f>IF(ISBLANK('_INSTANCE'!C224),"",'_INSTANCE'!C224)</x:f>
      </x:c>
      <x:c r="D305" s="530" t="str">
        <x:f>IF(ISBLANK('_INSTANCE'!D224),"",'_INSTANCE'!D224)</x:f>
      </x:c>
      <x:c r="E305" s="530" t="str">
        <x:f>IF(ISBLANK('_INSTANCE'!E224),"",'_INSTANCE'!E224)</x:f>
      </x:c>
      <x:c r="F305" s="530" t="str">
        <x:f>IF(ISBLANK('_INSTANCE'!F224),"",'_INSTANCE'!F224)</x:f>
      </x:c>
      <x:c r="G305" s="530" t="str">
        <x:f>IF(ISBLANK('_INSTANCE'!G224),"",'_INSTANCE'!G224)</x:f>
      </x:c>
      <x:c r="H305" s="530" t="str">
        <x:f>IF(ISBLANK('_INSTANCE'!H224),"",'_INSTANCE'!H224)</x:f>
      </x:c>
      <x:c r="I305" s="530" t="str">
        <x:f>IF(ISBLANK('_INSTANCE'!I224),"",'_INSTANCE'!I224)</x:f>
      </x:c>
      <x:c r="J305" s="530" t="str">
        <x:f>IF(ISBLANK('_INSTANCE'!J224),"",'_INSTANCE'!J224)</x:f>
      </x:c>
      <x:c r="K305" s="38"/>
      <x:c r="L305" s="38"/>
      <x:c r="M305" s="38"/>
      <x:c r="N305" s="38"/>
      <x:c r="O305" s="38"/>
      <x:c r="P305" s="38"/>
      <x:c r="Q305" s="38"/>
    </x:row>
    <x:row r="306">
      <x:c r="A306" s="523" t="str">
        <x:f>IF(ISBLANK('_INSTANCE'!A225),"",'_INSTANCE'!A225)</x:f>
      </x:c>
      <x:c r="B306" s="523" t="str">
        <x:f>IF(ISBLANK('_INSTANCE'!B225),"",'_INSTANCE'!B225)</x:f>
      </x:c>
      <x:c r="C306" s="523" t="str">
        <x:f>IF(ISBLANK('_INSTANCE'!C225),"",'_INSTANCE'!C225)</x:f>
      </x:c>
      <x:c r="D306" s="530" t="str">
        <x:f>IF(ISBLANK('_INSTANCE'!D225),"",'_INSTANCE'!D225)</x:f>
      </x:c>
      <x:c r="E306" s="530" t="str">
        <x:f>IF(ISBLANK('_INSTANCE'!E225),"",'_INSTANCE'!E225)</x:f>
      </x:c>
      <x:c r="F306" s="530" t="str">
        <x:f>IF(ISBLANK('_INSTANCE'!F225),"",'_INSTANCE'!F225)</x:f>
      </x:c>
      <x:c r="G306" s="530" t="str">
        <x:f>IF(ISBLANK('_INSTANCE'!G225),"",'_INSTANCE'!G225)</x:f>
      </x:c>
      <x:c r="H306" s="530" t="str">
        <x:f>IF(ISBLANK('_INSTANCE'!H225),"",'_INSTANCE'!H225)</x:f>
      </x:c>
      <x:c r="I306" s="530" t="str">
        <x:f>IF(ISBLANK('_INSTANCE'!I225),"",'_INSTANCE'!I225)</x:f>
      </x:c>
      <x:c r="J306" s="530" t="str">
        <x:f>IF(ISBLANK('_INSTANCE'!J225),"",'_INSTANCE'!J225)</x:f>
      </x:c>
      <x:c r="K306" s="38"/>
      <x:c r="L306" s="38"/>
      <x:c r="M306" s="38"/>
      <x:c r="N306" s="38"/>
      <x:c r="O306" s="38"/>
      <x:c r="P306" s="38"/>
      <x:c r="Q306" s="38"/>
    </x:row>
    <x:row r="307">
      <x:c r="A307" s="523" t="str">
        <x:f>IF(ISBLANK('_INSTANCE'!A226),"",'_INSTANCE'!A226)</x:f>
      </x:c>
      <x:c r="B307" s="523" t="str">
        <x:f>IF(ISBLANK('_INSTANCE'!B226),"",'_INSTANCE'!B226)</x:f>
      </x:c>
      <x:c r="C307" s="523" t="str">
        <x:f>IF(ISBLANK('_INSTANCE'!C226),"",'_INSTANCE'!C226)</x:f>
      </x:c>
      <x:c r="D307" s="530" t="str">
        <x:f>IF(ISBLANK('_INSTANCE'!D226),"",'_INSTANCE'!D226)</x:f>
      </x:c>
      <x:c r="E307" s="530" t="str">
        <x:f>IF(ISBLANK('_INSTANCE'!E226),"",'_INSTANCE'!E226)</x:f>
      </x:c>
      <x:c r="F307" s="530" t="str">
        <x:f>IF(ISBLANK('_INSTANCE'!F226),"",'_INSTANCE'!F226)</x:f>
      </x:c>
      <x:c r="G307" s="530" t="str">
        <x:f>IF(ISBLANK('_INSTANCE'!G226),"",'_INSTANCE'!G226)</x:f>
      </x:c>
      <x:c r="H307" s="530" t="str">
        <x:f>IF(ISBLANK('_INSTANCE'!H226),"",'_INSTANCE'!H226)</x:f>
      </x:c>
      <x:c r="I307" s="530" t="str">
        <x:f>IF(ISBLANK('_INSTANCE'!I226),"",'_INSTANCE'!I226)</x:f>
      </x:c>
      <x:c r="J307" s="530" t="str">
        <x:f>IF(ISBLANK('_INSTANCE'!J226),"",'_INSTANCE'!J226)</x:f>
      </x:c>
      <x:c r="K307" s="38"/>
      <x:c r="L307" s="38"/>
      <x:c r="M307" s="38"/>
      <x:c r="N307" s="38"/>
      <x:c r="O307" s="38"/>
      <x:c r="P307" s="38"/>
      <x:c r="Q307" s="38"/>
    </x:row>
    <x:row r="308">
      <x:c r="A308" s="523" t="str">
        <x:f>IF(ISBLANK('_INSTANCE'!A227),"",'_INSTANCE'!A227)</x:f>
      </x:c>
      <x:c r="B308" s="523" t="str">
        <x:f>IF(ISBLANK('_INSTANCE'!B227),"",'_INSTANCE'!B227)</x:f>
      </x:c>
      <x:c r="C308" s="523" t="str">
        <x:f>IF(ISBLANK('_INSTANCE'!C227),"",'_INSTANCE'!C227)</x:f>
      </x:c>
      <x:c r="D308" s="530" t="str">
        <x:f>IF(ISBLANK('_INSTANCE'!D227),"",'_INSTANCE'!D227)</x:f>
      </x:c>
      <x:c r="E308" s="530" t="str">
        <x:f>IF(ISBLANK('_INSTANCE'!E227),"",'_INSTANCE'!E227)</x:f>
      </x:c>
      <x:c r="F308" s="530" t="str">
        <x:f>IF(ISBLANK('_INSTANCE'!F227),"",'_INSTANCE'!F227)</x:f>
      </x:c>
      <x:c r="G308" s="530" t="str">
        <x:f>IF(ISBLANK('_INSTANCE'!G227),"",'_INSTANCE'!G227)</x:f>
      </x:c>
      <x:c r="H308" s="530" t="str">
        <x:f>IF(ISBLANK('_INSTANCE'!H227),"",'_INSTANCE'!H227)</x:f>
      </x:c>
      <x:c r="I308" s="530" t="str">
        <x:f>IF(ISBLANK('_INSTANCE'!I227),"",'_INSTANCE'!I227)</x:f>
      </x:c>
      <x:c r="J308" s="530" t="str">
        <x:f>IF(ISBLANK('_INSTANCE'!J227),"",'_INSTANCE'!J227)</x:f>
      </x:c>
      <x:c r="K308" s="38"/>
      <x:c r="L308" s="38"/>
      <x:c r="M308" s="38"/>
      <x:c r="N308" s="38"/>
      <x:c r="O308" s="38"/>
      <x:c r="P308" s="38"/>
      <x:c r="Q308" s="38"/>
    </x:row>
    <x:row r="309">
      <x:c r="A309" s="523" t="str">
        <x:f>IF(ISBLANK('_INSTANCE'!A228),"",'_INSTANCE'!A228)</x:f>
      </x:c>
      <x:c r="B309" s="523" t="str">
        <x:f>IF(ISBLANK('_INSTANCE'!B228),"",'_INSTANCE'!B228)</x:f>
      </x:c>
      <x:c r="C309" s="523" t="str">
        <x:f>IF(ISBLANK('_INSTANCE'!C228),"",'_INSTANCE'!C228)</x:f>
      </x:c>
      <x:c r="D309" s="530" t="str">
        <x:f>IF(ISBLANK('_INSTANCE'!D228),"",'_INSTANCE'!D228)</x:f>
      </x:c>
      <x:c r="E309" s="530" t="str">
        <x:f>IF(ISBLANK('_INSTANCE'!E228),"",'_INSTANCE'!E228)</x:f>
      </x:c>
      <x:c r="F309" s="530" t="str">
        <x:f>IF(ISBLANK('_INSTANCE'!F228),"",'_INSTANCE'!F228)</x:f>
      </x:c>
      <x:c r="G309" s="530" t="str">
        <x:f>IF(ISBLANK('_INSTANCE'!G228),"",'_INSTANCE'!G228)</x:f>
      </x:c>
      <x:c r="H309" s="530" t="str">
        <x:f>IF(ISBLANK('_INSTANCE'!H228),"",'_INSTANCE'!H228)</x:f>
      </x:c>
      <x:c r="I309" s="530" t="str">
        <x:f>IF(ISBLANK('_INSTANCE'!I228),"",'_INSTANCE'!I228)</x:f>
      </x:c>
      <x:c r="J309" s="530" t="str">
        <x:f>IF(ISBLANK('_INSTANCE'!J228),"",'_INSTANCE'!J228)</x:f>
      </x:c>
      <x:c r="K309" s="38"/>
      <x:c r="L309" s="38"/>
      <x:c r="M309" s="38"/>
      <x:c r="N309" s="38"/>
      <x:c r="O309" s="38"/>
      <x:c r="P309" s="38"/>
      <x:c r="Q309" s="38"/>
    </x:row>
    <x:row r="310">
      <x:c r="A310" s="523" t="str">
        <x:f>IF(ISBLANK('_INSTANCE'!A229),"",'_INSTANCE'!A229)</x:f>
      </x:c>
      <x:c r="B310" s="523" t="str">
        <x:f>IF(ISBLANK('_INSTANCE'!B229),"",'_INSTANCE'!B229)</x:f>
      </x:c>
      <x:c r="C310" s="523" t="str">
        <x:f>IF(ISBLANK('_INSTANCE'!C229),"",'_INSTANCE'!C229)</x:f>
      </x:c>
      <x:c r="D310" s="530" t="str">
        <x:f>IF(ISBLANK('_INSTANCE'!D229),"",'_INSTANCE'!D229)</x:f>
      </x:c>
      <x:c r="E310" s="530" t="str">
        <x:f>IF(ISBLANK('_INSTANCE'!E229),"",'_INSTANCE'!E229)</x:f>
      </x:c>
      <x:c r="F310" s="530" t="str">
        <x:f>IF(ISBLANK('_INSTANCE'!F229),"",'_INSTANCE'!F229)</x:f>
      </x:c>
      <x:c r="G310" s="530" t="str">
        <x:f>IF(ISBLANK('_INSTANCE'!G229),"",'_INSTANCE'!G229)</x:f>
      </x:c>
      <x:c r="H310" s="530" t="str">
        <x:f>IF(ISBLANK('_INSTANCE'!H229),"",'_INSTANCE'!H229)</x:f>
      </x:c>
      <x:c r="I310" s="530" t="str">
        <x:f>IF(ISBLANK('_INSTANCE'!I229),"",'_INSTANCE'!I229)</x:f>
      </x:c>
      <x:c r="J310" s="530" t="str">
        <x:f>IF(ISBLANK('_INSTANCE'!J229),"",'_INSTANCE'!J229)</x:f>
      </x:c>
      <x:c r="K310" s="38"/>
      <x:c r="L310" s="38"/>
      <x:c r="M310" s="38"/>
      <x:c r="N310" s="38"/>
      <x:c r="O310" s="38"/>
      <x:c r="P310" s="38"/>
      <x:c r="Q310" s="38"/>
    </x:row>
    <x:row r="311">
      <x:c r="A311" s="523" t="str">
        <x:f>IF(ISBLANK('_INSTANCE'!A230),"",'_INSTANCE'!A230)</x:f>
      </x:c>
      <x:c r="B311" s="523" t="str">
        <x:f>IF(ISBLANK('_INSTANCE'!B230),"",'_INSTANCE'!B230)</x:f>
      </x:c>
      <x:c r="C311" s="523" t="str">
        <x:f>IF(ISBLANK('_INSTANCE'!C230),"",'_INSTANCE'!C230)</x:f>
      </x:c>
      <x:c r="D311" s="530" t="str">
        <x:f>IF(ISBLANK('_INSTANCE'!D230),"",'_INSTANCE'!D230)</x:f>
      </x:c>
      <x:c r="E311" s="530" t="str">
        <x:f>IF(ISBLANK('_INSTANCE'!E230),"",'_INSTANCE'!E230)</x:f>
      </x:c>
      <x:c r="F311" s="530" t="str">
        <x:f>IF(ISBLANK('_INSTANCE'!F230),"",'_INSTANCE'!F230)</x:f>
      </x:c>
      <x:c r="G311" s="530" t="str">
        <x:f>IF(ISBLANK('_INSTANCE'!G230),"",'_INSTANCE'!G230)</x:f>
      </x:c>
      <x:c r="H311" s="530" t="str">
        <x:f>IF(ISBLANK('_INSTANCE'!H230),"",'_INSTANCE'!H230)</x:f>
      </x:c>
      <x:c r="I311" s="530" t="str">
        <x:f>IF(ISBLANK('_INSTANCE'!I230),"",'_INSTANCE'!I230)</x:f>
      </x:c>
      <x:c r="J311" s="530" t="str">
        <x:f>IF(ISBLANK('_INSTANCE'!J230),"",'_INSTANCE'!J230)</x:f>
      </x:c>
      <x:c r="K311" s="38"/>
      <x:c r="L311" s="38"/>
      <x:c r="M311" s="38"/>
      <x:c r="N311" s="38"/>
      <x:c r="O311" s="38"/>
      <x:c r="P311" s="38"/>
      <x:c r="Q311" s="38"/>
    </x:row>
    <x:row r="312">
      <x:c r="A312" s="523" t="str">
        <x:f>IF(ISBLANK('_INSTANCE'!A231),"",'_INSTANCE'!A231)</x:f>
      </x:c>
      <x:c r="B312" s="523" t="str">
        <x:f>IF(ISBLANK('_INSTANCE'!B231),"",'_INSTANCE'!B231)</x:f>
      </x:c>
      <x:c r="C312" s="523" t="str">
        <x:f>IF(ISBLANK('_INSTANCE'!C231),"",'_INSTANCE'!C231)</x:f>
      </x:c>
      <x:c r="D312" s="530" t="str">
        <x:f>IF(ISBLANK('_INSTANCE'!D231),"",'_INSTANCE'!D231)</x:f>
      </x:c>
      <x:c r="E312" s="530" t="str">
        <x:f>IF(ISBLANK('_INSTANCE'!E231),"",'_INSTANCE'!E231)</x:f>
      </x:c>
      <x:c r="F312" s="530" t="str">
        <x:f>IF(ISBLANK('_INSTANCE'!F231),"",'_INSTANCE'!F231)</x:f>
      </x:c>
      <x:c r="G312" s="530" t="str">
        <x:f>IF(ISBLANK('_INSTANCE'!G231),"",'_INSTANCE'!G231)</x:f>
      </x:c>
      <x:c r="H312" s="530" t="str">
        <x:f>IF(ISBLANK('_INSTANCE'!H231),"",'_INSTANCE'!H231)</x:f>
      </x:c>
      <x:c r="I312" s="530" t="str">
        <x:f>IF(ISBLANK('_INSTANCE'!I231),"",'_INSTANCE'!I231)</x:f>
      </x:c>
      <x:c r="J312" s="530" t="str">
        <x:f>IF(ISBLANK('_INSTANCE'!J231),"",'_INSTANCE'!J231)</x:f>
      </x:c>
      <x:c r="K312" s="38"/>
      <x:c r="L312" s="38"/>
      <x:c r="M312" s="38"/>
      <x:c r="N312" s="38"/>
      <x:c r="O312" s="38"/>
      <x:c r="P312" s="38"/>
      <x:c r="Q312" s="38"/>
    </x:row>
    <x:row r="313">
      <x:c r="A313" s="523" t="str">
        <x:f>IF(ISBLANK('_INSTANCE'!A232),"",'_INSTANCE'!A232)</x:f>
      </x:c>
      <x:c r="B313" s="523" t="str">
        <x:f>IF(ISBLANK('_INSTANCE'!B232),"",'_INSTANCE'!B232)</x:f>
      </x:c>
      <x:c r="C313" s="523" t="str">
        <x:f>IF(ISBLANK('_INSTANCE'!C232),"",'_INSTANCE'!C232)</x:f>
      </x:c>
      <x:c r="D313" s="530" t="str">
        <x:f>IF(ISBLANK('_INSTANCE'!D232),"",'_INSTANCE'!D232)</x:f>
      </x:c>
      <x:c r="E313" s="530" t="str">
        <x:f>IF(ISBLANK('_INSTANCE'!E232),"",'_INSTANCE'!E232)</x:f>
      </x:c>
      <x:c r="F313" s="530" t="str">
        <x:f>IF(ISBLANK('_INSTANCE'!F232),"",'_INSTANCE'!F232)</x:f>
      </x:c>
      <x:c r="G313" s="530" t="str">
        <x:f>IF(ISBLANK('_INSTANCE'!G232),"",'_INSTANCE'!G232)</x:f>
      </x:c>
      <x:c r="H313" s="530" t="str">
        <x:f>IF(ISBLANK('_INSTANCE'!H232),"",'_INSTANCE'!H232)</x:f>
      </x:c>
      <x:c r="I313" s="530" t="str">
        <x:f>IF(ISBLANK('_INSTANCE'!I232),"",'_INSTANCE'!I232)</x:f>
      </x:c>
      <x:c r="J313" s="530" t="str">
        <x:f>IF(ISBLANK('_INSTANCE'!J232),"",'_INSTANCE'!J232)</x:f>
      </x:c>
      <x:c r="K313" s="38"/>
      <x:c r="L313" s="38"/>
      <x:c r="M313" s="38"/>
      <x:c r="N313" s="38"/>
      <x:c r="O313" s="38"/>
      <x:c r="P313" s="38"/>
      <x:c r="Q313" s="38"/>
    </x:row>
    <x:row r="314">
      <x:c r="A314" s="523" t="str">
        <x:f>IF(ISBLANK('_INSTANCE'!A233),"",'_INSTANCE'!A233)</x:f>
      </x:c>
      <x:c r="B314" s="523" t="str">
        <x:f>IF(ISBLANK('_INSTANCE'!B233),"",'_INSTANCE'!B233)</x:f>
      </x:c>
      <x:c r="C314" s="523" t="str">
        <x:f>IF(ISBLANK('_INSTANCE'!C233),"",'_INSTANCE'!C233)</x:f>
      </x:c>
      <x:c r="D314" s="530" t="str">
        <x:f>IF(ISBLANK('_INSTANCE'!D233),"",'_INSTANCE'!D233)</x:f>
      </x:c>
      <x:c r="E314" s="530" t="str">
        <x:f>IF(ISBLANK('_INSTANCE'!E233),"",'_INSTANCE'!E233)</x:f>
      </x:c>
      <x:c r="F314" s="530" t="str">
        <x:f>IF(ISBLANK('_INSTANCE'!F233),"",'_INSTANCE'!F233)</x:f>
      </x:c>
      <x:c r="G314" s="530" t="str">
        <x:f>IF(ISBLANK('_INSTANCE'!G233),"",'_INSTANCE'!G233)</x:f>
      </x:c>
      <x:c r="H314" s="530" t="str">
        <x:f>IF(ISBLANK('_INSTANCE'!H233),"",'_INSTANCE'!H233)</x:f>
      </x:c>
      <x:c r="I314" s="530" t="str">
        <x:f>IF(ISBLANK('_INSTANCE'!I233),"",'_INSTANCE'!I233)</x:f>
      </x:c>
      <x:c r="J314" s="530" t="str">
        <x:f>IF(ISBLANK('_INSTANCE'!J233),"",'_INSTANCE'!J233)</x:f>
      </x:c>
      <x:c r="K314" s="38"/>
      <x:c r="L314" s="38"/>
      <x:c r="M314" s="38"/>
      <x:c r="N314" s="38"/>
      <x:c r="O314" s="38"/>
      <x:c r="P314" s="38"/>
      <x:c r="Q314" s="38"/>
    </x:row>
    <x:row r="315">
      <x:c r="A315" s="523" t="str">
        <x:f>IF(ISBLANK('_INSTANCE'!A234),"",'_INSTANCE'!A234)</x:f>
      </x:c>
      <x:c r="B315" s="523" t="str">
        <x:f>IF(ISBLANK('_INSTANCE'!B234),"",'_INSTANCE'!B234)</x:f>
      </x:c>
      <x:c r="C315" s="523" t="str">
        <x:f>IF(ISBLANK('_INSTANCE'!C234),"",'_INSTANCE'!C234)</x:f>
      </x:c>
      <x:c r="D315" s="530" t="str">
        <x:f>IF(ISBLANK('_INSTANCE'!D234),"",'_INSTANCE'!D234)</x:f>
      </x:c>
      <x:c r="E315" s="530" t="str">
        <x:f>IF(ISBLANK('_INSTANCE'!E234),"",'_INSTANCE'!E234)</x:f>
      </x:c>
      <x:c r="F315" s="530" t="str">
        <x:f>IF(ISBLANK('_INSTANCE'!F234),"",'_INSTANCE'!F234)</x:f>
      </x:c>
      <x:c r="G315" s="530" t="str">
        <x:f>IF(ISBLANK('_INSTANCE'!G234),"",'_INSTANCE'!G234)</x:f>
      </x:c>
      <x:c r="H315" s="530" t="str">
        <x:f>IF(ISBLANK('_INSTANCE'!H234),"",'_INSTANCE'!H234)</x:f>
      </x:c>
      <x:c r="I315" s="530" t="str">
        <x:f>IF(ISBLANK('_INSTANCE'!I234),"",'_INSTANCE'!I234)</x:f>
      </x:c>
      <x:c r="J315" s="530" t="str">
        <x:f>IF(ISBLANK('_INSTANCE'!J234),"",'_INSTANCE'!J234)</x:f>
      </x:c>
      <x:c r="K315" s="38"/>
      <x:c r="L315" s="38"/>
      <x:c r="M315" s="38"/>
      <x:c r="N315" s="38"/>
      <x:c r="O315" s="38"/>
      <x:c r="P315" s="38"/>
      <x:c r="Q315" s="38"/>
    </x:row>
    <x:row r="316">
      <x:c r="A316" s="523" t="str">
        <x:f>IF(ISBLANK('_INSTANCE'!A235),"",'_INSTANCE'!A235)</x:f>
      </x:c>
      <x:c r="B316" s="523" t="str">
        <x:f>IF(ISBLANK('_INSTANCE'!B235),"",'_INSTANCE'!B235)</x:f>
      </x:c>
      <x:c r="C316" s="523" t="str">
        <x:f>IF(ISBLANK('_INSTANCE'!C235),"",'_INSTANCE'!C235)</x:f>
      </x:c>
      <x:c r="D316" s="530" t="str">
        <x:f>IF(ISBLANK('_INSTANCE'!D235),"",'_INSTANCE'!D235)</x:f>
      </x:c>
      <x:c r="E316" s="530" t="str">
        <x:f>IF(ISBLANK('_INSTANCE'!E235),"",'_INSTANCE'!E235)</x:f>
      </x:c>
      <x:c r="F316" s="530" t="str">
        <x:f>IF(ISBLANK('_INSTANCE'!F235),"",'_INSTANCE'!F235)</x:f>
      </x:c>
      <x:c r="G316" s="530" t="str">
        <x:f>IF(ISBLANK('_INSTANCE'!G235),"",'_INSTANCE'!G235)</x:f>
      </x:c>
      <x:c r="H316" s="530" t="str">
        <x:f>IF(ISBLANK('_INSTANCE'!H235),"",'_INSTANCE'!H235)</x:f>
      </x:c>
      <x:c r="I316" s="530" t="str">
        <x:f>IF(ISBLANK('_INSTANCE'!I235),"",'_INSTANCE'!I235)</x:f>
      </x:c>
      <x:c r="J316" s="530" t="str">
        <x:f>IF(ISBLANK('_INSTANCE'!J235),"",'_INSTANCE'!J235)</x:f>
      </x:c>
      <x:c r="K316" s="38"/>
      <x:c r="L316" s="38"/>
      <x:c r="M316" s="38"/>
      <x:c r="N316" s="38"/>
      <x:c r="O316" s="38"/>
      <x:c r="P316" s="38"/>
      <x:c r="Q316" s="38"/>
    </x:row>
    <x:row r="317">
      <x:c r="A317" s="523" t="str">
        <x:f>IF(ISBLANK('_INSTANCE'!A236),"",'_INSTANCE'!A236)</x:f>
      </x:c>
      <x:c r="B317" s="523" t="str">
        <x:f>IF(ISBLANK('_INSTANCE'!B236),"",'_INSTANCE'!B236)</x:f>
      </x:c>
      <x:c r="C317" s="523" t="str">
        <x:f>IF(ISBLANK('_INSTANCE'!C236),"",'_INSTANCE'!C236)</x:f>
      </x:c>
      <x:c r="D317" s="530" t="str">
        <x:f>IF(ISBLANK('_INSTANCE'!D236),"",'_INSTANCE'!D236)</x:f>
      </x:c>
      <x:c r="E317" s="530" t="str">
        <x:f>IF(ISBLANK('_INSTANCE'!E236),"",'_INSTANCE'!E236)</x:f>
      </x:c>
      <x:c r="F317" s="530" t="str">
        <x:f>IF(ISBLANK('_INSTANCE'!F236),"",'_INSTANCE'!F236)</x:f>
      </x:c>
      <x:c r="G317" s="530" t="str">
        <x:f>IF(ISBLANK('_INSTANCE'!G236),"",'_INSTANCE'!G236)</x:f>
      </x:c>
      <x:c r="H317" s="530" t="str">
        <x:f>IF(ISBLANK('_INSTANCE'!H236),"",'_INSTANCE'!H236)</x:f>
      </x:c>
      <x:c r="I317" s="530" t="str">
        <x:f>IF(ISBLANK('_INSTANCE'!I236),"",'_INSTANCE'!I236)</x:f>
      </x:c>
      <x:c r="J317" s="530" t="str">
        <x:f>IF(ISBLANK('_INSTANCE'!J236),"",'_INSTANCE'!J236)</x:f>
      </x:c>
      <x:c r="K317" s="38"/>
      <x:c r="L317" s="38"/>
      <x:c r="M317" s="38"/>
      <x:c r="N317" s="38"/>
      <x:c r="O317" s="38"/>
      <x:c r="P317" s="38"/>
      <x:c r="Q317" s="38"/>
    </x:row>
    <x:row r="318">
      <x:c r="A318" s="523" t="str">
        <x:f>IF(ISBLANK('_INSTANCE'!A237),"",'_INSTANCE'!A237)</x:f>
      </x:c>
      <x:c r="B318" s="523" t="str">
        <x:f>IF(ISBLANK('_INSTANCE'!B237),"",'_INSTANCE'!B237)</x:f>
      </x:c>
      <x:c r="C318" s="523" t="str">
        <x:f>IF(ISBLANK('_INSTANCE'!C237),"",'_INSTANCE'!C237)</x:f>
      </x:c>
      <x:c r="D318" s="530" t="str">
        <x:f>IF(ISBLANK('_INSTANCE'!D237),"",'_INSTANCE'!D237)</x:f>
      </x:c>
      <x:c r="E318" s="530" t="str">
        <x:f>IF(ISBLANK('_INSTANCE'!E237),"",'_INSTANCE'!E237)</x:f>
      </x:c>
      <x:c r="F318" s="530" t="str">
        <x:f>IF(ISBLANK('_INSTANCE'!F237),"",'_INSTANCE'!F237)</x:f>
      </x:c>
      <x:c r="G318" s="530" t="str">
        <x:f>IF(ISBLANK('_INSTANCE'!G237),"",'_INSTANCE'!G237)</x:f>
      </x:c>
      <x:c r="H318" s="530" t="str">
        <x:f>IF(ISBLANK('_INSTANCE'!H237),"",'_INSTANCE'!H237)</x:f>
      </x:c>
      <x:c r="I318" s="530" t="str">
        <x:f>IF(ISBLANK('_INSTANCE'!I237),"",'_INSTANCE'!I237)</x:f>
      </x:c>
      <x:c r="J318" s="530" t="str">
        <x:f>IF(ISBLANK('_INSTANCE'!J237),"",'_INSTANCE'!J237)</x:f>
      </x:c>
      <x:c r="K318" s="38"/>
      <x:c r="L318" s="38"/>
      <x:c r="M318" s="38"/>
      <x:c r="N318" s="38"/>
      <x:c r="O318" s="38"/>
      <x:c r="P318" s="38"/>
      <x:c r="Q318" s="38"/>
    </x:row>
    <x:row r="319">
      <x:c r="A319" s="523" t="str">
        <x:f>IF(ISBLANK('_INSTANCE'!A238),"",'_INSTANCE'!A238)</x:f>
      </x:c>
      <x:c r="B319" s="523" t="str">
        <x:f>IF(ISBLANK('_INSTANCE'!B238),"",'_INSTANCE'!B238)</x:f>
      </x:c>
      <x:c r="C319" s="523" t="str">
        <x:f>IF(ISBLANK('_INSTANCE'!C238),"",'_INSTANCE'!C238)</x:f>
      </x:c>
      <x:c r="D319" s="530" t="str">
        <x:f>IF(ISBLANK('_INSTANCE'!D238),"",'_INSTANCE'!D238)</x:f>
      </x:c>
      <x:c r="E319" s="530" t="str">
        <x:f>IF(ISBLANK('_INSTANCE'!E238),"",'_INSTANCE'!E238)</x:f>
      </x:c>
      <x:c r="F319" s="530" t="str">
        <x:f>IF(ISBLANK('_INSTANCE'!F238),"",'_INSTANCE'!F238)</x:f>
      </x:c>
      <x:c r="G319" s="530" t="str">
        <x:f>IF(ISBLANK('_INSTANCE'!G238),"",'_INSTANCE'!G238)</x:f>
      </x:c>
      <x:c r="H319" s="530" t="str">
        <x:f>IF(ISBLANK('_INSTANCE'!H238),"",'_INSTANCE'!H238)</x:f>
      </x:c>
      <x:c r="I319" s="530" t="str">
        <x:f>IF(ISBLANK('_INSTANCE'!I238),"",'_INSTANCE'!I238)</x:f>
      </x:c>
      <x:c r="J319" s="530" t="str">
        <x:f>IF(ISBLANK('_INSTANCE'!J238),"",'_INSTANCE'!J238)</x:f>
      </x:c>
      <x:c r="K319" s="38"/>
      <x:c r="L319" s="38"/>
      <x:c r="M319" s="38"/>
      <x:c r="N319" s="38"/>
      <x:c r="O319" s="38"/>
      <x:c r="P319" s="38"/>
      <x:c r="Q319" s="38"/>
    </x:row>
    <x:row r="320">
      <x:c r="A320" s="523" t="str">
        <x:f>IF(ISBLANK('_INSTANCE'!A239),"",'_INSTANCE'!A239)</x:f>
      </x:c>
      <x:c r="B320" s="523" t="str">
        <x:f>IF(ISBLANK('_INSTANCE'!B239),"",'_INSTANCE'!B239)</x:f>
      </x:c>
      <x:c r="C320" s="523" t="str">
        <x:f>IF(ISBLANK('_INSTANCE'!C239),"",'_INSTANCE'!C239)</x:f>
      </x:c>
      <x:c r="D320" s="530" t="str">
        <x:f>IF(ISBLANK('_INSTANCE'!D239),"",'_INSTANCE'!D239)</x:f>
      </x:c>
      <x:c r="E320" s="530" t="str">
        <x:f>IF(ISBLANK('_INSTANCE'!E239),"",'_INSTANCE'!E239)</x:f>
      </x:c>
      <x:c r="F320" s="530" t="str">
        <x:f>IF(ISBLANK('_INSTANCE'!F239),"",'_INSTANCE'!F239)</x:f>
      </x:c>
      <x:c r="G320" s="530" t="str">
        <x:f>IF(ISBLANK('_INSTANCE'!G239),"",'_INSTANCE'!G239)</x:f>
      </x:c>
      <x:c r="H320" s="530" t="str">
        <x:f>IF(ISBLANK('_INSTANCE'!H239),"",'_INSTANCE'!H239)</x:f>
      </x:c>
      <x:c r="I320" s="530" t="str">
        <x:f>IF(ISBLANK('_INSTANCE'!I239),"",'_INSTANCE'!I239)</x:f>
      </x:c>
      <x:c r="J320" s="530" t="str">
        <x:f>IF(ISBLANK('_INSTANCE'!J239),"",'_INSTANCE'!J239)</x:f>
      </x:c>
      <x:c r="K320" s="38"/>
      <x:c r="L320" s="38"/>
      <x:c r="M320" s="38"/>
      <x:c r="N320" s="38"/>
      <x:c r="O320" s="38"/>
      <x:c r="P320" s="38"/>
      <x:c r="Q320" s="38"/>
    </x:row>
    <x:row r="321">
      <x:c r="A321" s="523" t="str">
        <x:f>IF(ISBLANK('_INSTANCE'!A240),"",'_INSTANCE'!A240)</x:f>
      </x:c>
      <x:c r="B321" s="523" t="str">
        <x:f>IF(ISBLANK('_INSTANCE'!B240),"",'_INSTANCE'!B240)</x:f>
      </x:c>
      <x:c r="C321" s="523" t="str">
        <x:f>IF(ISBLANK('_INSTANCE'!C240),"",'_INSTANCE'!C240)</x:f>
      </x:c>
      <x:c r="D321" s="530" t="str">
        <x:f>IF(ISBLANK('_INSTANCE'!D240),"",'_INSTANCE'!D240)</x:f>
      </x:c>
      <x:c r="E321" s="530" t="str">
        <x:f>IF(ISBLANK('_INSTANCE'!E240),"",'_INSTANCE'!E240)</x:f>
      </x:c>
      <x:c r="F321" s="530" t="str">
        <x:f>IF(ISBLANK('_INSTANCE'!F240),"",'_INSTANCE'!F240)</x:f>
      </x:c>
      <x:c r="G321" s="530" t="str">
        <x:f>IF(ISBLANK('_INSTANCE'!G240),"",'_INSTANCE'!G240)</x:f>
      </x:c>
      <x:c r="H321" s="530" t="str">
        <x:f>IF(ISBLANK('_INSTANCE'!H240),"",'_INSTANCE'!H240)</x:f>
      </x:c>
      <x:c r="I321" s="530" t="str">
        <x:f>IF(ISBLANK('_INSTANCE'!I240),"",'_INSTANCE'!I240)</x:f>
      </x:c>
      <x:c r="J321" s="530" t="str">
        <x:f>IF(ISBLANK('_INSTANCE'!J240),"",'_INSTANCE'!J240)</x:f>
      </x:c>
      <x:c r="K321" s="38"/>
      <x:c r="L321" s="38"/>
      <x:c r="M321" s="38"/>
      <x:c r="N321" s="38"/>
      <x:c r="O321" s="38"/>
      <x:c r="P321" s="38"/>
      <x:c r="Q321" s="38"/>
    </x:row>
    <x:row r="322">
      <x:c r="A322" s="523" t="str">
        <x:f>IF(ISBLANK('_INSTANCE'!A241),"",'_INSTANCE'!A241)</x:f>
      </x:c>
      <x:c r="B322" s="523" t="str">
        <x:f>IF(ISBLANK('_INSTANCE'!B241),"",'_INSTANCE'!B241)</x:f>
      </x:c>
      <x:c r="C322" s="523" t="str">
        <x:f>IF(ISBLANK('_INSTANCE'!C241),"",'_INSTANCE'!C241)</x:f>
      </x:c>
      <x:c r="D322" s="530" t="str">
        <x:f>IF(ISBLANK('_INSTANCE'!D241),"",'_INSTANCE'!D241)</x:f>
      </x:c>
      <x:c r="E322" s="530" t="str">
        <x:f>IF(ISBLANK('_INSTANCE'!E241),"",'_INSTANCE'!E241)</x:f>
      </x:c>
      <x:c r="F322" s="530" t="str">
        <x:f>IF(ISBLANK('_INSTANCE'!F241),"",'_INSTANCE'!F241)</x:f>
      </x:c>
      <x:c r="G322" s="530" t="str">
        <x:f>IF(ISBLANK('_INSTANCE'!G241),"",'_INSTANCE'!G241)</x:f>
      </x:c>
      <x:c r="H322" s="530" t="str">
        <x:f>IF(ISBLANK('_INSTANCE'!H241),"",'_INSTANCE'!H241)</x:f>
      </x:c>
      <x:c r="I322" s="530" t="str">
        <x:f>IF(ISBLANK('_INSTANCE'!I241),"",'_INSTANCE'!I241)</x:f>
      </x:c>
      <x:c r="J322" s="530" t="str">
        <x:f>IF(ISBLANK('_INSTANCE'!J241),"",'_INSTANCE'!J241)</x:f>
      </x:c>
      <x:c r="K322" s="38"/>
      <x:c r="L322" s="38"/>
      <x:c r="M322" s="38"/>
      <x:c r="N322" s="38"/>
      <x:c r="O322" s="38"/>
      <x:c r="P322" s="38"/>
      <x:c r="Q322" s="38"/>
    </x:row>
    <x:row r="323">
      <x:c r="A323" s="523" t="str">
        <x:f>IF(ISBLANK('_INSTANCE'!A242),"",'_INSTANCE'!A242)</x:f>
      </x:c>
      <x:c r="B323" s="523" t="str">
        <x:f>IF(ISBLANK('_INSTANCE'!B242),"",'_INSTANCE'!B242)</x:f>
      </x:c>
      <x:c r="C323" s="523" t="str">
        <x:f>IF(ISBLANK('_INSTANCE'!C242),"",'_INSTANCE'!C242)</x:f>
      </x:c>
      <x:c r="D323" s="530" t="str">
        <x:f>IF(ISBLANK('_INSTANCE'!D242),"",'_INSTANCE'!D242)</x:f>
      </x:c>
      <x:c r="E323" s="530" t="str">
        <x:f>IF(ISBLANK('_INSTANCE'!E242),"",'_INSTANCE'!E242)</x:f>
      </x:c>
      <x:c r="F323" s="530" t="str">
        <x:f>IF(ISBLANK('_INSTANCE'!F242),"",'_INSTANCE'!F242)</x:f>
      </x:c>
      <x:c r="G323" s="530" t="str">
        <x:f>IF(ISBLANK('_INSTANCE'!G242),"",'_INSTANCE'!G242)</x:f>
      </x:c>
      <x:c r="H323" s="530" t="str">
        <x:f>IF(ISBLANK('_INSTANCE'!H242),"",'_INSTANCE'!H242)</x:f>
      </x:c>
      <x:c r="I323" s="530" t="str">
        <x:f>IF(ISBLANK('_INSTANCE'!I242),"",'_INSTANCE'!I242)</x:f>
      </x:c>
      <x:c r="J323" s="530" t="str">
        <x:f>IF(ISBLANK('_INSTANCE'!J242),"",'_INSTANCE'!J242)</x:f>
      </x:c>
      <x:c r="K323" s="38"/>
      <x:c r="L323" s="38"/>
      <x:c r="M323" s="38"/>
      <x:c r="N323" s="38"/>
      <x:c r="O323" s="38"/>
      <x:c r="P323" s="38"/>
      <x:c r="Q323" s="38"/>
    </x:row>
    <x:row r="324">
      <x:c r="A324" s="523" t="str">
        <x:f>IF(ISBLANK('_INSTANCE'!A243),"",'_INSTANCE'!A243)</x:f>
      </x:c>
      <x:c r="B324" s="523" t="str">
        <x:f>IF(ISBLANK('_INSTANCE'!B243),"",'_INSTANCE'!B243)</x:f>
      </x:c>
      <x:c r="C324" s="523" t="str">
        <x:f>IF(ISBLANK('_INSTANCE'!C243),"",'_INSTANCE'!C243)</x:f>
      </x:c>
      <x:c r="D324" s="530" t="str">
        <x:f>IF(ISBLANK('_INSTANCE'!D243),"",'_INSTANCE'!D243)</x:f>
      </x:c>
      <x:c r="E324" s="530" t="str">
        <x:f>IF(ISBLANK('_INSTANCE'!E243),"",'_INSTANCE'!E243)</x:f>
      </x:c>
      <x:c r="F324" s="530" t="str">
        <x:f>IF(ISBLANK('_INSTANCE'!F243),"",'_INSTANCE'!F243)</x:f>
      </x:c>
      <x:c r="G324" s="530" t="str">
        <x:f>IF(ISBLANK('_INSTANCE'!G243),"",'_INSTANCE'!G243)</x:f>
      </x:c>
      <x:c r="H324" s="530" t="str">
        <x:f>IF(ISBLANK('_INSTANCE'!H243),"",'_INSTANCE'!H243)</x:f>
      </x:c>
      <x:c r="I324" s="530" t="str">
        <x:f>IF(ISBLANK('_INSTANCE'!I243),"",'_INSTANCE'!I243)</x:f>
      </x:c>
      <x:c r="J324" s="530" t="str">
        <x:f>IF(ISBLANK('_INSTANCE'!J243),"",'_INSTANCE'!J243)</x:f>
      </x:c>
      <x:c r="K324" s="38"/>
      <x:c r="L324" s="38"/>
      <x:c r="M324" s="38"/>
      <x:c r="N324" s="38"/>
      <x:c r="O324" s="38"/>
      <x:c r="P324" s="38"/>
      <x:c r="Q324" s="38"/>
    </x:row>
    <x:row r="325">
      <x:c r="A325" s="523" t="str">
        <x:f>IF(ISBLANK('_INSTANCE'!A244),"",'_INSTANCE'!A244)</x:f>
      </x:c>
      <x:c r="B325" s="523" t="str">
        <x:f>IF(ISBLANK('_INSTANCE'!B244),"",'_INSTANCE'!B244)</x:f>
      </x:c>
      <x:c r="C325" s="523" t="str">
        <x:f>IF(ISBLANK('_INSTANCE'!C244),"",'_INSTANCE'!C244)</x:f>
      </x:c>
      <x:c r="D325" s="530" t="str">
        <x:f>IF(ISBLANK('_INSTANCE'!D244),"",'_INSTANCE'!D244)</x:f>
      </x:c>
      <x:c r="E325" s="530" t="str">
        <x:f>IF(ISBLANK('_INSTANCE'!E244),"",'_INSTANCE'!E244)</x:f>
      </x:c>
      <x:c r="F325" s="530" t="str">
        <x:f>IF(ISBLANK('_INSTANCE'!F244),"",'_INSTANCE'!F244)</x:f>
      </x:c>
      <x:c r="G325" s="530" t="str">
        <x:f>IF(ISBLANK('_INSTANCE'!G244),"",'_INSTANCE'!G244)</x:f>
      </x:c>
      <x:c r="H325" s="530" t="str">
        <x:f>IF(ISBLANK('_INSTANCE'!H244),"",'_INSTANCE'!H244)</x:f>
      </x:c>
      <x:c r="I325" s="530" t="str">
        <x:f>IF(ISBLANK('_INSTANCE'!I244),"",'_INSTANCE'!I244)</x:f>
      </x:c>
      <x:c r="J325" s="530" t="str">
        <x:f>IF(ISBLANK('_INSTANCE'!J244),"",'_INSTANCE'!J244)</x:f>
      </x:c>
      <x:c r="K325" s="38"/>
      <x:c r="L325" s="38"/>
      <x:c r="M325" s="38"/>
      <x:c r="N325" s="38"/>
      <x:c r="O325" s="38"/>
      <x:c r="P325" s="38"/>
      <x:c r="Q325" s="38"/>
    </x:row>
    <x:row r="326">
      <x:c r="A326" s="523" t="str">
        <x:f>IF(ISBLANK('_INSTANCE'!A245),"",'_INSTANCE'!A245)</x:f>
      </x:c>
      <x:c r="B326" s="523" t="str">
        <x:f>IF(ISBLANK('_INSTANCE'!B245),"",'_INSTANCE'!B245)</x:f>
      </x:c>
      <x:c r="C326" s="523" t="str">
        <x:f>IF(ISBLANK('_INSTANCE'!C245),"",'_INSTANCE'!C245)</x:f>
      </x:c>
      <x:c r="D326" s="530" t="str">
        <x:f>IF(ISBLANK('_INSTANCE'!D245),"",'_INSTANCE'!D245)</x:f>
      </x:c>
      <x:c r="E326" s="530" t="str">
        <x:f>IF(ISBLANK('_INSTANCE'!E245),"",'_INSTANCE'!E245)</x:f>
      </x:c>
      <x:c r="F326" s="530" t="str">
        <x:f>IF(ISBLANK('_INSTANCE'!F245),"",'_INSTANCE'!F245)</x:f>
      </x:c>
      <x:c r="G326" s="530" t="str">
        <x:f>IF(ISBLANK('_INSTANCE'!G245),"",'_INSTANCE'!G245)</x:f>
      </x:c>
      <x:c r="H326" s="530" t="str">
        <x:f>IF(ISBLANK('_INSTANCE'!H245),"",'_INSTANCE'!H245)</x:f>
      </x:c>
      <x:c r="I326" s="530" t="str">
        <x:f>IF(ISBLANK('_INSTANCE'!I245),"",'_INSTANCE'!I245)</x:f>
      </x:c>
      <x:c r="J326" s="530" t="str">
        <x:f>IF(ISBLANK('_INSTANCE'!J245),"",'_INSTANCE'!J245)</x:f>
      </x:c>
      <x:c r="K326" s="38"/>
      <x:c r="L326" s="38"/>
      <x:c r="M326" s="38"/>
      <x:c r="N326" s="38"/>
      <x:c r="O326" s="38"/>
      <x:c r="P326" s="38"/>
      <x:c r="Q326" s="38"/>
    </x:row>
    <x:row r="327">
      <x:c r="A327" s="523" t="str">
        <x:f>IF(ISBLANK('_INSTANCE'!A246),"",'_INSTANCE'!A246)</x:f>
      </x:c>
      <x:c r="B327" s="523" t="str">
        <x:f>IF(ISBLANK('_INSTANCE'!B246),"",'_INSTANCE'!B246)</x:f>
      </x:c>
      <x:c r="C327" s="523" t="str">
        <x:f>IF(ISBLANK('_INSTANCE'!C246),"",'_INSTANCE'!C246)</x:f>
      </x:c>
      <x:c r="D327" s="530" t="str">
        <x:f>IF(ISBLANK('_INSTANCE'!D246),"",'_INSTANCE'!D246)</x:f>
      </x:c>
      <x:c r="E327" s="530" t="str">
        <x:f>IF(ISBLANK('_INSTANCE'!E246),"",'_INSTANCE'!E246)</x:f>
      </x:c>
      <x:c r="F327" s="530" t="str">
        <x:f>IF(ISBLANK('_INSTANCE'!F246),"",'_INSTANCE'!F246)</x:f>
      </x:c>
      <x:c r="G327" s="530" t="str">
        <x:f>IF(ISBLANK('_INSTANCE'!G246),"",'_INSTANCE'!G246)</x:f>
      </x:c>
      <x:c r="H327" s="530" t="str">
        <x:f>IF(ISBLANK('_INSTANCE'!H246),"",'_INSTANCE'!H246)</x:f>
      </x:c>
      <x:c r="I327" s="530" t="str">
        <x:f>IF(ISBLANK('_INSTANCE'!I246),"",'_INSTANCE'!I246)</x:f>
      </x:c>
      <x:c r="J327" s="530" t="str">
        <x:f>IF(ISBLANK('_INSTANCE'!J246),"",'_INSTANCE'!J246)</x:f>
      </x:c>
      <x:c r="K327" s="38"/>
      <x:c r="L327" s="38"/>
      <x:c r="M327" s="38"/>
      <x:c r="N327" s="38"/>
      <x:c r="O327" s="38"/>
      <x:c r="P327" s="38"/>
      <x:c r="Q327" s="38"/>
    </x:row>
    <x:row r="328">
      <x:c r="A328" s="523" t="str">
        <x:f>IF(ISBLANK('_INSTANCE'!A247),"",'_INSTANCE'!A247)</x:f>
      </x:c>
      <x:c r="B328" s="523" t="str">
        <x:f>IF(ISBLANK('_INSTANCE'!B247),"",'_INSTANCE'!B247)</x:f>
      </x:c>
      <x:c r="C328" s="523" t="str">
        <x:f>IF(ISBLANK('_INSTANCE'!C247),"",'_INSTANCE'!C247)</x:f>
      </x:c>
      <x:c r="D328" s="530" t="str">
        <x:f>IF(ISBLANK('_INSTANCE'!D247),"",'_INSTANCE'!D247)</x:f>
      </x:c>
      <x:c r="E328" s="530" t="str">
        <x:f>IF(ISBLANK('_INSTANCE'!E247),"",'_INSTANCE'!E247)</x:f>
      </x:c>
      <x:c r="F328" s="530" t="str">
        <x:f>IF(ISBLANK('_INSTANCE'!F247),"",'_INSTANCE'!F247)</x:f>
      </x:c>
      <x:c r="G328" s="530" t="str">
        <x:f>IF(ISBLANK('_INSTANCE'!G247),"",'_INSTANCE'!G247)</x:f>
      </x:c>
      <x:c r="H328" s="530" t="str">
        <x:f>IF(ISBLANK('_INSTANCE'!H247),"",'_INSTANCE'!H247)</x:f>
      </x:c>
      <x:c r="I328" s="530" t="str">
        <x:f>IF(ISBLANK('_INSTANCE'!I247),"",'_INSTANCE'!I247)</x:f>
      </x:c>
      <x:c r="J328" s="530" t="str">
        <x:f>IF(ISBLANK('_INSTANCE'!J247),"",'_INSTANCE'!J247)</x:f>
      </x:c>
      <x:c r="K328" s="38"/>
      <x:c r="L328" s="38"/>
      <x:c r="M328" s="38"/>
      <x:c r="N328" s="38"/>
      <x:c r="O328" s="38"/>
      <x:c r="P328" s="38"/>
      <x:c r="Q328" s="38"/>
    </x:row>
    <x:row r="329">
      <x:c r="A329" s="523" t="str">
        <x:f>IF(ISBLANK('_INSTANCE'!A248),"",'_INSTANCE'!A248)</x:f>
      </x:c>
      <x:c r="B329" s="523" t="str">
        <x:f>IF(ISBLANK('_INSTANCE'!B248),"",'_INSTANCE'!B248)</x:f>
      </x:c>
      <x:c r="C329" s="523" t="str">
        <x:f>IF(ISBLANK('_INSTANCE'!C248),"",'_INSTANCE'!C248)</x:f>
      </x:c>
      <x:c r="D329" s="530" t="str">
        <x:f>IF(ISBLANK('_INSTANCE'!D248),"",'_INSTANCE'!D248)</x:f>
      </x:c>
      <x:c r="E329" s="530" t="str">
        <x:f>IF(ISBLANK('_INSTANCE'!E248),"",'_INSTANCE'!E248)</x:f>
      </x:c>
      <x:c r="F329" s="530" t="str">
        <x:f>IF(ISBLANK('_INSTANCE'!F248),"",'_INSTANCE'!F248)</x:f>
      </x:c>
      <x:c r="G329" s="530" t="str">
        <x:f>IF(ISBLANK('_INSTANCE'!G248),"",'_INSTANCE'!G248)</x:f>
      </x:c>
      <x:c r="H329" s="530" t="str">
        <x:f>IF(ISBLANK('_INSTANCE'!H248),"",'_INSTANCE'!H248)</x:f>
      </x:c>
      <x:c r="I329" s="530" t="str">
        <x:f>IF(ISBLANK('_INSTANCE'!I248),"",'_INSTANCE'!I248)</x:f>
      </x:c>
      <x:c r="J329" s="530" t="str">
        <x:f>IF(ISBLANK('_INSTANCE'!J248),"",'_INSTANCE'!J248)</x:f>
      </x:c>
      <x:c r="K329" s="38"/>
      <x:c r="L329" s="38"/>
      <x:c r="M329" s="38"/>
      <x:c r="N329" s="38"/>
      <x:c r="O329" s="38"/>
      <x:c r="P329" s="38"/>
      <x:c r="Q329" s="38"/>
    </x:row>
    <x:row r="330">
      <x:c r="A330" s="523" t="str">
        <x:f>IF(ISBLANK('_INSTANCE'!A249),"",'_INSTANCE'!A249)</x:f>
      </x:c>
      <x:c r="B330" s="523" t="str">
        <x:f>IF(ISBLANK('_INSTANCE'!B249),"",'_INSTANCE'!B249)</x:f>
      </x:c>
      <x:c r="C330" s="523" t="str">
        <x:f>IF(ISBLANK('_INSTANCE'!C249),"",'_INSTANCE'!C249)</x:f>
      </x:c>
      <x:c r="D330" s="530" t="str">
        <x:f>IF(ISBLANK('_INSTANCE'!D249),"",'_INSTANCE'!D249)</x:f>
      </x:c>
      <x:c r="E330" s="530" t="str">
        <x:f>IF(ISBLANK('_INSTANCE'!E249),"",'_INSTANCE'!E249)</x:f>
      </x:c>
      <x:c r="F330" s="530" t="str">
        <x:f>IF(ISBLANK('_INSTANCE'!F249),"",'_INSTANCE'!F249)</x:f>
      </x:c>
      <x:c r="G330" s="530" t="str">
        <x:f>IF(ISBLANK('_INSTANCE'!G249),"",'_INSTANCE'!G249)</x:f>
      </x:c>
      <x:c r="H330" s="530" t="str">
        <x:f>IF(ISBLANK('_INSTANCE'!H249),"",'_INSTANCE'!H249)</x:f>
      </x:c>
      <x:c r="I330" s="530" t="str">
        <x:f>IF(ISBLANK('_INSTANCE'!I249),"",'_INSTANCE'!I249)</x:f>
      </x:c>
      <x:c r="J330" s="530" t="str">
        <x:f>IF(ISBLANK('_INSTANCE'!J249),"",'_INSTANCE'!J249)</x:f>
      </x:c>
      <x:c r="K330" s="38"/>
      <x:c r="L330" s="38"/>
      <x:c r="M330" s="38"/>
      <x:c r="N330" s="38"/>
      <x:c r="O330" s="38"/>
      <x:c r="P330" s="38"/>
      <x:c r="Q330" s="38"/>
    </x:row>
    <x:row r="331">
      <x:c r="A331" s="523" t="str">
        <x:f>IF(ISBLANK('_INSTANCE'!A250),"",'_INSTANCE'!A250)</x:f>
      </x:c>
      <x:c r="B331" s="523" t="str">
        <x:f>IF(ISBLANK('_INSTANCE'!B250),"",'_INSTANCE'!B250)</x:f>
      </x:c>
      <x:c r="C331" s="523" t="str">
        <x:f>IF(ISBLANK('_INSTANCE'!C250),"",'_INSTANCE'!C250)</x:f>
      </x:c>
      <x:c r="D331" s="530" t="str">
        <x:f>IF(ISBLANK('_INSTANCE'!D250),"",'_INSTANCE'!D250)</x:f>
      </x:c>
      <x:c r="E331" s="530" t="str">
        <x:f>IF(ISBLANK('_INSTANCE'!E250),"",'_INSTANCE'!E250)</x:f>
      </x:c>
      <x:c r="F331" s="530" t="str">
        <x:f>IF(ISBLANK('_INSTANCE'!F250),"",'_INSTANCE'!F250)</x:f>
      </x:c>
      <x:c r="G331" s="530" t="str">
        <x:f>IF(ISBLANK('_INSTANCE'!G250),"",'_INSTANCE'!G250)</x:f>
      </x:c>
      <x:c r="H331" s="530" t="str">
        <x:f>IF(ISBLANK('_INSTANCE'!H250),"",'_INSTANCE'!H250)</x:f>
      </x:c>
      <x:c r="I331" s="530" t="str">
        <x:f>IF(ISBLANK('_INSTANCE'!I250),"",'_INSTANCE'!I250)</x:f>
      </x:c>
      <x:c r="J331" s="530" t="str">
        <x:f>IF(ISBLANK('_INSTANCE'!J250),"",'_INSTANCE'!J250)</x:f>
      </x:c>
      <x:c r="K331" s="38"/>
      <x:c r="L331" s="38"/>
      <x:c r="M331" s="38"/>
      <x:c r="N331" s="38"/>
      <x:c r="O331" s="38"/>
      <x:c r="P331" s="38"/>
      <x:c r="Q331" s="38"/>
    </x:row>
    <x:row r="332">
      <x:c r="A332" s="523" t="str">
        <x:f>IF(ISBLANK('_INSTANCE'!A251),"",'_INSTANCE'!A251)</x:f>
      </x:c>
      <x:c r="B332" s="523" t="str">
        <x:f>IF(ISBLANK('_INSTANCE'!B251),"",'_INSTANCE'!B251)</x:f>
      </x:c>
      <x:c r="C332" s="523" t="str">
        <x:f>IF(ISBLANK('_INSTANCE'!C251),"",'_INSTANCE'!C251)</x:f>
      </x:c>
      <x:c r="D332" s="530" t="str">
        <x:f>IF(ISBLANK('_INSTANCE'!D251),"",'_INSTANCE'!D251)</x:f>
      </x:c>
      <x:c r="E332" s="530" t="str">
        <x:f>IF(ISBLANK('_INSTANCE'!E251),"",'_INSTANCE'!E251)</x:f>
      </x:c>
      <x:c r="F332" s="530" t="str">
        <x:f>IF(ISBLANK('_INSTANCE'!F251),"",'_INSTANCE'!F251)</x:f>
      </x:c>
      <x:c r="G332" s="530" t="str">
        <x:f>IF(ISBLANK('_INSTANCE'!G251),"",'_INSTANCE'!G251)</x:f>
      </x:c>
      <x:c r="H332" s="530" t="str">
        <x:f>IF(ISBLANK('_INSTANCE'!H251),"",'_INSTANCE'!H251)</x:f>
      </x:c>
      <x:c r="I332" s="530" t="str">
        <x:f>IF(ISBLANK('_INSTANCE'!I251),"",'_INSTANCE'!I251)</x:f>
      </x:c>
      <x:c r="J332" s="530" t="str">
        <x:f>IF(ISBLANK('_INSTANCE'!J251),"",'_INSTANCE'!J251)</x:f>
      </x:c>
      <x:c r="K332" s="38"/>
      <x:c r="L332" s="38"/>
      <x:c r="M332" s="38"/>
      <x:c r="N332" s="38"/>
      <x:c r="O332" s="38"/>
      <x:c r="P332" s="38"/>
      <x:c r="Q332" s="38"/>
    </x:row>
    <x:row r="333">
      <x:c r="A333" s="523" t="str">
        <x:f>IF(ISBLANK('_INSTANCE'!A252),"",'_INSTANCE'!A252)</x:f>
      </x:c>
      <x:c r="B333" s="523" t="str">
        <x:f>IF(ISBLANK('_INSTANCE'!B252),"",'_INSTANCE'!B252)</x:f>
      </x:c>
      <x:c r="C333" s="523" t="str">
        <x:f>IF(ISBLANK('_INSTANCE'!C252),"",'_INSTANCE'!C252)</x:f>
      </x:c>
      <x:c r="D333" s="530" t="str">
        <x:f>IF(ISBLANK('_INSTANCE'!D252),"",'_INSTANCE'!D252)</x:f>
      </x:c>
      <x:c r="E333" s="530" t="str">
        <x:f>IF(ISBLANK('_INSTANCE'!E252),"",'_INSTANCE'!E252)</x:f>
      </x:c>
      <x:c r="F333" s="530" t="str">
        <x:f>IF(ISBLANK('_INSTANCE'!F252),"",'_INSTANCE'!F252)</x:f>
      </x:c>
      <x:c r="G333" s="530" t="str">
        <x:f>IF(ISBLANK('_INSTANCE'!G252),"",'_INSTANCE'!G252)</x:f>
      </x:c>
      <x:c r="H333" s="530" t="str">
        <x:f>IF(ISBLANK('_INSTANCE'!H252),"",'_INSTANCE'!H252)</x:f>
      </x:c>
      <x:c r="I333" s="530" t="str">
        <x:f>IF(ISBLANK('_INSTANCE'!I252),"",'_INSTANCE'!I252)</x:f>
      </x:c>
      <x:c r="J333" s="530" t="str">
        <x:f>IF(ISBLANK('_INSTANCE'!J252),"",'_INSTANCE'!J252)</x:f>
      </x:c>
      <x:c r="K333" s="38"/>
      <x:c r="L333" s="38"/>
      <x:c r="M333" s="38"/>
      <x:c r="N333" s="38"/>
      <x:c r="O333" s="38"/>
      <x:c r="P333" s="38"/>
      <x:c r="Q333" s="38"/>
    </x:row>
    <x:row r="334">
      <x:c r="A334" s="523" t="str">
        <x:f>IF(ISBLANK('_INSTANCE'!A253),"",'_INSTANCE'!A253)</x:f>
      </x:c>
      <x:c r="B334" s="523" t="str">
        <x:f>IF(ISBLANK('_INSTANCE'!B253),"",'_INSTANCE'!B253)</x:f>
      </x:c>
      <x:c r="C334" s="523" t="str">
        <x:f>IF(ISBLANK('_INSTANCE'!C253),"",'_INSTANCE'!C253)</x:f>
      </x:c>
      <x:c r="D334" s="530" t="str">
        <x:f>IF(ISBLANK('_INSTANCE'!D253),"",'_INSTANCE'!D253)</x:f>
      </x:c>
      <x:c r="E334" s="530" t="str">
        <x:f>IF(ISBLANK('_INSTANCE'!E253),"",'_INSTANCE'!E253)</x:f>
      </x:c>
      <x:c r="F334" s="530" t="str">
        <x:f>IF(ISBLANK('_INSTANCE'!F253),"",'_INSTANCE'!F253)</x:f>
      </x:c>
      <x:c r="G334" s="530" t="str">
        <x:f>IF(ISBLANK('_INSTANCE'!G253),"",'_INSTANCE'!G253)</x:f>
      </x:c>
      <x:c r="H334" s="530" t="str">
        <x:f>IF(ISBLANK('_INSTANCE'!H253),"",'_INSTANCE'!H253)</x:f>
      </x:c>
      <x:c r="I334" s="530" t="str">
        <x:f>IF(ISBLANK('_INSTANCE'!I253),"",'_INSTANCE'!I253)</x:f>
      </x:c>
      <x:c r="J334" s="530" t="str">
        <x:f>IF(ISBLANK('_INSTANCE'!J253),"",'_INSTANCE'!J253)</x:f>
      </x:c>
      <x:c r="K334" s="38"/>
      <x:c r="L334" s="38"/>
      <x:c r="M334" s="38"/>
      <x:c r="N334" s="38"/>
      <x:c r="O334" s="38"/>
      <x:c r="P334" s="38"/>
      <x:c r="Q334" s="38"/>
    </x:row>
    <x:row r="335">
      <x:c r="A335" s="523" t="str">
        <x:f>IF(ISBLANK('_INSTANCE'!A254),"",'_INSTANCE'!A254)</x:f>
      </x:c>
      <x:c r="B335" s="523" t="str">
        <x:f>IF(ISBLANK('_INSTANCE'!B254),"",'_INSTANCE'!B254)</x:f>
      </x:c>
      <x:c r="C335" s="523" t="str">
        <x:f>IF(ISBLANK('_INSTANCE'!C254),"",'_INSTANCE'!C254)</x:f>
      </x:c>
      <x:c r="D335" s="530" t="str">
        <x:f>IF(ISBLANK('_INSTANCE'!D254),"",'_INSTANCE'!D254)</x:f>
      </x:c>
      <x:c r="E335" s="530" t="str">
        <x:f>IF(ISBLANK('_INSTANCE'!E254),"",'_INSTANCE'!E254)</x:f>
      </x:c>
      <x:c r="F335" s="530" t="str">
        <x:f>IF(ISBLANK('_INSTANCE'!F254),"",'_INSTANCE'!F254)</x:f>
      </x:c>
      <x:c r="G335" s="530" t="str">
        <x:f>IF(ISBLANK('_INSTANCE'!G254),"",'_INSTANCE'!G254)</x:f>
      </x:c>
      <x:c r="H335" s="530" t="str">
        <x:f>IF(ISBLANK('_INSTANCE'!H254),"",'_INSTANCE'!H254)</x:f>
      </x:c>
      <x:c r="I335" s="530" t="str">
        <x:f>IF(ISBLANK('_INSTANCE'!I254),"",'_INSTANCE'!I254)</x:f>
      </x:c>
      <x:c r="J335" s="530" t="str">
        <x:f>IF(ISBLANK('_INSTANCE'!J254),"",'_INSTANCE'!J254)</x:f>
      </x:c>
      <x:c r="K335" s="38"/>
      <x:c r="L335" s="38"/>
      <x:c r="M335" s="38"/>
      <x:c r="N335" s="38"/>
      <x:c r="O335" s="38"/>
      <x:c r="P335" s="38"/>
      <x:c r="Q335" s="38"/>
    </x:row>
    <x:row r="336">
      <x:c r="A336" s="523" t="str">
        <x:f>IF(ISBLANK('_INSTANCE'!A255),"",'_INSTANCE'!A255)</x:f>
      </x:c>
      <x:c r="B336" s="523" t="str">
        <x:f>IF(ISBLANK('_INSTANCE'!B255),"",'_INSTANCE'!B255)</x:f>
      </x:c>
      <x:c r="C336" s="523" t="str">
        <x:f>IF(ISBLANK('_INSTANCE'!C255),"",'_INSTANCE'!C255)</x:f>
      </x:c>
      <x:c r="D336" s="530" t="str">
        <x:f>IF(ISBLANK('_INSTANCE'!D255),"",'_INSTANCE'!D255)</x:f>
      </x:c>
      <x:c r="E336" s="530" t="str">
        <x:f>IF(ISBLANK('_INSTANCE'!E255),"",'_INSTANCE'!E255)</x:f>
      </x:c>
      <x:c r="F336" s="530" t="str">
        <x:f>IF(ISBLANK('_INSTANCE'!F255),"",'_INSTANCE'!F255)</x:f>
      </x:c>
      <x:c r="G336" s="530" t="str">
        <x:f>IF(ISBLANK('_INSTANCE'!G255),"",'_INSTANCE'!G255)</x:f>
      </x:c>
      <x:c r="H336" s="530" t="str">
        <x:f>IF(ISBLANK('_INSTANCE'!H255),"",'_INSTANCE'!H255)</x:f>
      </x:c>
      <x:c r="I336" s="530" t="str">
        <x:f>IF(ISBLANK('_INSTANCE'!I255),"",'_INSTANCE'!I255)</x:f>
      </x:c>
      <x:c r="J336" s="530" t="str">
        <x:f>IF(ISBLANK('_INSTANCE'!J255),"",'_INSTANCE'!J255)</x:f>
      </x:c>
      <x:c r="K336" s="38"/>
      <x:c r="L336" s="38"/>
      <x:c r="M336" s="38"/>
      <x:c r="N336" s="38"/>
      <x:c r="O336" s="38"/>
      <x:c r="P336" s="38"/>
      <x:c r="Q336" s="38"/>
    </x:row>
    <x:row r="337">
      <x:c r="A337" s="523" t="str">
        <x:f>IF(ISBLANK('_INSTANCE'!A256),"",'_INSTANCE'!A256)</x:f>
      </x:c>
      <x:c r="B337" s="523" t="str">
        <x:f>IF(ISBLANK('_INSTANCE'!B256),"",'_INSTANCE'!B256)</x:f>
      </x:c>
      <x:c r="C337" s="523" t="str">
        <x:f>IF(ISBLANK('_INSTANCE'!C256),"",'_INSTANCE'!C256)</x:f>
      </x:c>
      <x:c r="D337" s="530" t="str">
        <x:f>IF(ISBLANK('_INSTANCE'!D256),"",'_INSTANCE'!D256)</x:f>
      </x:c>
      <x:c r="E337" s="530" t="str">
        <x:f>IF(ISBLANK('_INSTANCE'!E256),"",'_INSTANCE'!E256)</x:f>
      </x:c>
      <x:c r="F337" s="530" t="str">
        <x:f>IF(ISBLANK('_INSTANCE'!F256),"",'_INSTANCE'!F256)</x:f>
      </x:c>
      <x:c r="G337" s="530" t="str">
        <x:f>IF(ISBLANK('_INSTANCE'!G256),"",'_INSTANCE'!G256)</x:f>
      </x:c>
      <x:c r="H337" s="530" t="str">
        <x:f>IF(ISBLANK('_INSTANCE'!H256),"",'_INSTANCE'!H256)</x:f>
      </x:c>
      <x:c r="I337" s="530" t="str">
        <x:f>IF(ISBLANK('_INSTANCE'!I256),"",'_INSTANCE'!I256)</x:f>
      </x:c>
      <x:c r="J337" s="530" t="str">
        <x:f>IF(ISBLANK('_INSTANCE'!J256),"",'_INSTANCE'!J256)</x:f>
      </x:c>
      <x:c r="K337" s="38"/>
      <x:c r="L337" s="38"/>
      <x:c r="M337" s="38"/>
      <x:c r="N337" s="38"/>
      <x:c r="O337" s="38"/>
      <x:c r="P337" s="38"/>
      <x:c r="Q337" s="38"/>
    </x:row>
    <x:row r="338">
      <x:c r="A338" s="523" t="str">
        <x:f>IF(ISBLANK('_INSTANCE'!A257),"",'_INSTANCE'!A257)</x:f>
      </x:c>
      <x:c r="B338" s="523" t="str">
        <x:f>IF(ISBLANK('_INSTANCE'!B257),"",'_INSTANCE'!B257)</x:f>
      </x:c>
      <x:c r="C338" s="523" t="str">
        <x:f>IF(ISBLANK('_INSTANCE'!C257),"",'_INSTANCE'!C257)</x:f>
      </x:c>
      <x:c r="D338" s="530" t="str">
        <x:f>IF(ISBLANK('_INSTANCE'!D257),"",'_INSTANCE'!D257)</x:f>
      </x:c>
      <x:c r="E338" s="530" t="str">
        <x:f>IF(ISBLANK('_INSTANCE'!E257),"",'_INSTANCE'!E257)</x:f>
      </x:c>
      <x:c r="F338" s="530" t="str">
        <x:f>IF(ISBLANK('_INSTANCE'!F257),"",'_INSTANCE'!F257)</x:f>
      </x:c>
      <x:c r="G338" s="530" t="str">
        <x:f>IF(ISBLANK('_INSTANCE'!G257),"",'_INSTANCE'!G257)</x:f>
      </x:c>
      <x:c r="H338" s="530" t="str">
        <x:f>IF(ISBLANK('_INSTANCE'!H257),"",'_INSTANCE'!H257)</x:f>
      </x:c>
      <x:c r="I338" s="530" t="str">
        <x:f>IF(ISBLANK('_INSTANCE'!I257),"",'_INSTANCE'!I257)</x:f>
      </x:c>
      <x:c r="J338" s="530" t="str">
        <x:f>IF(ISBLANK('_INSTANCE'!J257),"",'_INSTANCE'!J257)</x:f>
      </x:c>
      <x:c r="K338" s="38"/>
      <x:c r="L338" s="38"/>
      <x:c r="M338" s="38"/>
      <x:c r="N338" s="38"/>
      <x:c r="O338" s="38"/>
      <x:c r="P338" s="38"/>
      <x:c r="Q338" s="38"/>
    </x:row>
    <x:row r="339">
      <x:c r="A339" s="523" t="str">
        <x:f>IF(ISBLANK('_INSTANCE'!A258),"",'_INSTANCE'!A258)</x:f>
      </x:c>
      <x:c r="B339" s="523" t="str">
        <x:f>IF(ISBLANK('_INSTANCE'!B258),"",'_INSTANCE'!B258)</x:f>
      </x:c>
      <x:c r="C339" s="523" t="str">
        <x:f>IF(ISBLANK('_INSTANCE'!C258),"",'_INSTANCE'!C258)</x:f>
      </x:c>
      <x:c r="D339" s="530" t="str">
        <x:f>IF(ISBLANK('_INSTANCE'!D258),"",'_INSTANCE'!D258)</x:f>
      </x:c>
      <x:c r="E339" s="530" t="str">
        <x:f>IF(ISBLANK('_INSTANCE'!E258),"",'_INSTANCE'!E258)</x:f>
      </x:c>
      <x:c r="F339" s="530" t="str">
        <x:f>IF(ISBLANK('_INSTANCE'!F258),"",'_INSTANCE'!F258)</x:f>
      </x:c>
      <x:c r="G339" s="530" t="str">
        <x:f>IF(ISBLANK('_INSTANCE'!G258),"",'_INSTANCE'!G258)</x:f>
      </x:c>
      <x:c r="H339" s="530" t="str">
        <x:f>IF(ISBLANK('_INSTANCE'!H258),"",'_INSTANCE'!H258)</x:f>
      </x:c>
      <x:c r="I339" s="530" t="str">
        <x:f>IF(ISBLANK('_INSTANCE'!I258),"",'_INSTANCE'!I258)</x:f>
      </x:c>
      <x:c r="J339" s="530" t="str">
        <x:f>IF(ISBLANK('_INSTANCE'!J258),"",'_INSTANCE'!J258)</x:f>
      </x:c>
      <x:c r="K339" s="38"/>
      <x:c r="L339" s="38"/>
      <x:c r="M339" s="38"/>
      <x:c r="N339" s="38"/>
      <x:c r="O339" s="38"/>
      <x:c r="P339" s="38"/>
      <x:c r="Q339" s="38"/>
    </x:row>
    <x:row r="340">
      <x:c r="A340" s="523" t="str">
        <x:f>IF(ISBLANK('_INSTANCE'!A259),"",'_INSTANCE'!A259)</x:f>
      </x:c>
      <x:c r="B340" s="523" t="str">
        <x:f>IF(ISBLANK('_INSTANCE'!B259),"",'_INSTANCE'!B259)</x:f>
      </x:c>
      <x:c r="C340" s="523" t="str">
        <x:f>IF(ISBLANK('_INSTANCE'!C259),"",'_INSTANCE'!C259)</x:f>
      </x:c>
      <x:c r="D340" s="530" t="str">
        <x:f>IF(ISBLANK('_INSTANCE'!D259),"",'_INSTANCE'!D259)</x:f>
      </x:c>
      <x:c r="E340" s="530" t="str">
        <x:f>IF(ISBLANK('_INSTANCE'!E259),"",'_INSTANCE'!E259)</x:f>
      </x:c>
      <x:c r="F340" s="530" t="str">
        <x:f>IF(ISBLANK('_INSTANCE'!F259),"",'_INSTANCE'!F259)</x:f>
      </x:c>
      <x:c r="G340" s="530" t="str">
        <x:f>IF(ISBLANK('_INSTANCE'!G259),"",'_INSTANCE'!G259)</x:f>
      </x:c>
      <x:c r="H340" s="530" t="str">
        <x:f>IF(ISBLANK('_INSTANCE'!H259),"",'_INSTANCE'!H259)</x:f>
      </x:c>
      <x:c r="I340" s="530" t="str">
        <x:f>IF(ISBLANK('_INSTANCE'!I259),"",'_INSTANCE'!I259)</x:f>
      </x:c>
      <x:c r="J340" s="530" t="str">
        <x:f>IF(ISBLANK('_INSTANCE'!J259),"",'_INSTANCE'!J259)</x:f>
      </x:c>
      <x:c r="K340" s="38"/>
      <x:c r="L340" s="38"/>
      <x:c r="M340" s="38"/>
      <x:c r="N340" s="38"/>
      <x:c r="O340" s="38"/>
      <x:c r="P340" s="38"/>
      <x:c r="Q340" s="38"/>
    </x:row>
    <x:row r="341">
      <x:c r="A341" s="523" t="str">
        <x:f>IF(ISBLANK('_INSTANCE'!A260),"",'_INSTANCE'!A260)</x:f>
      </x:c>
      <x:c r="B341" s="523" t="str">
        <x:f>IF(ISBLANK('_INSTANCE'!B260),"",'_INSTANCE'!B260)</x:f>
      </x:c>
      <x:c r="C341" s="523" t="str">
        <x:f>IF(ISBLANK('_INSTANCE'!C260),"",'_INSTANCE'!C260)</x:f>
      </x:c>
      <x:c r="D341" s="530" t="str">
        <x:f>IF(ISBLANK('_INSTANCE'!D260),"",'_INSTANCE'!D260)</x:f>
      </x:c>
      <x:c r="E341" s="530" t="str">
        <x:f>IF(ISBLANK('_INSTANCE'!E260),"",'_INSTANCE'!E260)</x:f>
      </x:c>
      <x:c r="F341" s="530" t="str">
        <x:f>IF(ISBLANK('_INSTANCE'!F260),"",'_INSTANCE'!F260)</x:f>
      </x:c>
      <x:c r="G341" s="530" t="str">
        <x:f>IF(ISBLANK('_INSTANCE'!G260),"",'_INSTANCE'!G260)</x:f>
      </x:c>
      <x:c r="H341" s="530" t="str">
        <x:f>IF(ISBLANK('_INSTANCE'!H260),"",'_INSTANCE'!H260)</x:f>
      </x:c>
      <x:c r="I341" s="530" t="str">
        <x:f>IF(ISBLANK('_INSTANCE'!I260),"",'_INSTANCE'!I260)</x:f>
      </x:c>
      <x:c r="J341" s="530" t="str">
        <x:f>IF(ISBLANK('_INSTANCE'!J260),"",'_INSTANCE'!J260)</x:f>
      </x:c>
      <x:c r="K341" s="38"/>
      <x:c r="L341" s="38"/>
      <x:c r="M341" s="38"/>
      <x:c r="N341" s="38"/>
      <x:c r="O341" s="38"/>
      <x:c r="P341" s="38"/>
      <x:c r="Q341" s="38"/>
    </x:row>
    <x:row r="342">
      <x:c r="A342" s="523" t="str">
        <x:f>IF(ISBLANK('_INSTANCE'!A261),"",'_INSTANCE'!A261)</x:f>
      </x:c>
      <x:c r="B342" s="523" t="str">
        <x:f>IF(ISBLANK('_INSTANCE'!B261),"",'_INSTANCE'!B261)</x:f>
      </x:c>
      <x:c r="C342" s="523" t="str">
        <x:f>IF(ISBLANK('_INSTANCE'!C261),"",'_INSTANCE'!C261)</x:f>
      </x:c>
      <x:c r="D342" s="530" t="str">
        <x:f>IF(ISBLANK('_INSTANCE'!D261),"",'_INSTANCE'!D261)</x:f>
      </x:c>
      <x:c r="E342" s="530" t="str">
        <x:f>IF(ISBLANK('_INSTANCE'!E261),"",'_INSTANCE'!E261)</x:f>
      </x:c>
      <x:c r="F342" s="530" t="str">
        <x:f>IF(ISBLANK('_INSTANCE'!F261),"",'_INSTANCE'!F261)</x:f>
      </x:c>
      <x:c r="G342" s="530" t="str">
        <x:f>IF(ISBLANK('_INSTANCE'!G261),"",'_INSTANCE'!G261)</x:f>
      </x:c>
      <x:c r="H342" s="530" t="str">
        <x:f>IF(ISBLANK('_INSTANCE'!H261),"",'_INSTANCE'!H261)</x:f>
      </x:c>
      <x:c r="I342" s="530" t="str">
        <x:f>IF(ISBLANK('_INSTANCE'!I261),"",'_INSTANCE'!I261)</x:f>
      </x:c>
      <x:c r="J342" s="530" t="str">
        <x:f>IF(ISBLANK('_INSTANCE'!J261),"",'_INSTANCE'!J261)</x:f>
      </x:c>
      <x:c r="K342" s="38"/>
      <x:c r="L342" s="38"/>
      <x:c r="M342" s="38"/>
      <x:c r="N342" s="38"/>
      <x:c r="O342" s="38"/>
      <x:c r="P342" s="38"/>
      <x:c r="Q342" s="38"/>
    </x:row>
    <x:row r="343">
      <x:c r="A343" s="523" t="str">
        <x:f>IF(ISBLANK('_INSTANCE'!A262),"",'_INSTANCE'!A262)</x:f>
      </x:c>
      <x:c r="B343" s="523" t="str">
        <x:f>IF(ISBLANK('_INSTANCE'!B262),"",'_INSTANCE'!B262)</x:f>
      </x:c>
      <x:c r="C343" s="523" t="str">
        <x:f>IF(ISBLANK('_INSTANCE'!C262),"",'_INSTANCE'!C262)</x:f>
      </x:c>
      <x:c r="D343" s="530" t="str">
        <x:f>IF(ISBLANK('_INSTANCE'!D262),"",'_INSTANCE'!D262)</x:f>
      </x:c>
      <x:c r="E343" s="530" t="str">
        <x:f>IF(ISBLANK('_INSTANCE'!E262),"",'_INSTANCE'!E262)</x:f>
      </x:c>
      <x:c r="F343" s="530" t="str">
        <x:f>IF(ISBLANK('_INSTANCE'!F262),"",'_INSTANCE'!F262)</x:f>
      </x:c>
      <x:c r="G343" s="530" t="str">
        <x:f>IF(ISBLANK('_INSTANCE'!G262),"",'_INSTANCE'!G262)</x:f>
      </x:c>
      <x:c r="H343" s="530" t="str">
        <x:f>IF(ISBLANK('_INSTANCE'!H262),"",'_INSTANCE'!H262)</x:f>
      </x:c>
      <x:c r="I343" s="530" t="str">
        <x:f>IF(ISBLANK('_INSTANCE'!I262),"",'_INSTANCE'!I262)</x:f>
      </x:c>
      <x:c r="J343" s="530" t="str">
        <x:f>IF(ISBLANK('_INSTANCE'!J262),"",'_INSTANCE'!J262)</x:f>
      </x:c>
      <x:c r="K343" s="38"/>
      <x:c r="L343" s="38"/>
      <x:c r="M343" s="38"/>
      <x:c r="N343" s="38"/>
      <x:c r="O343" s="38"/>
      <x:c r="P343" s="38"/>
      <x:c r="Q343" s="38"/>
    </x:row>
    <x:row r="344">
      <x:c r="A344" s="523" t="str">
        <x:f>IF(ISBLANK('_INSTANCE'!A263),"",'_INSTANCE'!A263)</x:f>
      </x:c>
      <x:c r="B344" s="523" t="str">
        <x:f>IF(ISBLANK('_INSTANCE'!B263),"",'_INSTANCE'!B263)</x:f>
      </x:c>
      <x:c r="C344" s="523" t="str">
        <x:f>IF(ISBLANK('_INSTANCE'!C263),"",'_INSTANCE'!C263)</x:f>
      </x:c>
      <x:c r="D344" s="530" t="str">
        <x:f>IF(ISBLANK('_INSTANCE'!D263),"",'_INSTANCE'!D263)</x:f>
      </x:c>
      <x:c r="E344" s="530" t="str">
        <x:f>IF(ISBLANK('_INSTANCE'!E263),"",'_INSTANCE'!E263)</x:f>
      </x:c>
      <x:c r="F344" s="530" t="str">
        <x:f>IF(ISBLANK('_INSTANCE'!F263),"",'_INSTANCE'!F263)</x:f>
      </x:c>
      <x:c r="G344" s="530" t="str">
        <x:f>IF(ISBLANK('_INSTANCE'!G263),"",'_INSTANCE'!G263)</x:f>
      </x:c>
      <x:c r="H344" s="530" t="str">
        <x:f>IF(ISBLANK('_INSTANCE'!H263),"",'_INSTANCE'!H263)</x:f>
      </x:c>
      <x:c r="I344" s="530" t="str">
        <x:f>IF(ISBLANK('_INSTANCE'!I263),"",'_INSTANCE'!I263)</x:f>
      </x:c>
      <x:c r="J344" s="530" t="str">
        <x:f>IF(ISBLANK('_INSTANCE'!J263),"",'_INSTANCE'!J263)</x:f>
      </x:c>
      <x:c r="K344" s="38"/>
      <x:c r="L344" s="38"/>
      <x:c r="M344" s="38"/>
      <x:c r="N344" s="38"/>
      <x:c r="O344" s="38"/>
      <x:c r="P344" s="38"/>
      <x:c r="Q344" s="38"/>
    </x:row>
    <x:row r="345">
      <x:c r="A345" s="523" t="str">
        <x:f>IF(ISBLANK('_INSTANCE'!A264),"",'_INSTANCE'!A264)</x:f>
      </x:c>
      <x:c r="B345" s="523" t="str">
        <x:f>IF(ISBLANK('_INSTANCE'!B264),"",'_INSTANCE'!B264)</x:f>
      </x:c>
      <x:c r="C345" s="523" t="str">
        <x:f>IF(ISBLANK('_INSTANCE'!C264),"",'_INSTANCE'!C264)</x:f>
      </x:c>
      <x:c r="D345" s="530" t="str">
        <x:f>IF(ISBLANK('_INSTANCE'!D264),"",'_INSTANCE'!D264)</x:f>
      </x:c>
      <x:c r="E345" s="530" t="str">
        <x:f>IF(ISBLANK('_INSTANCE'!E264),"",'_INSTANCE'!E264)</x:f>
      </x:c>
      <x:c r="F345" s="530" t="str">
        <x:f>IF(ISBLANK('_INSTANCE'!F264),"",'_INSTANCE'!F264)</x:f>
      </x:c>
      <x:c r="G345" s="530" t="str">
        <x:f>IF(ISBLANK('_INSTANCE'!G264),"",'_INSTANCE'!G264)</x:f>
      </x:c>
      <x:c r="H345" s="530" t="str">
        <x:f>IF(ISBLANK('_INSTANCE'!H264),"",'_INSTANCE'!H264)</x:f>
      </x:c>
      <x:c r="I345" s="530" t="str">
        <x:f>IF(ISBLANK('_INSTANCE'!I264),"",'_INSTANCE'!I264)</x:f>
      </x:c>
      <x:c r="J345" s="530" t="str">
        <x:f>IF(ISBLANK('_INSTANCE'!J264),"",'_INSTANCE'!J264)</x:f>
      </x:c>
      <x:c r="K345" s="38"/>
      <x:c r="L345" s="38"/>
      <x:c r="M345" s="38"/>
      <x:c r="N345" s="38"/>
      <x:c r="O345" s="38"/>
      <x:c r="P345" s="38"/>
      <x:c r="Q345" s="38"/>
    </x:row>
    <x:row r="346">
      <x:c r="A346" s="523" t="str">
        <x:f>IF(ISBLANK('_INSTANCE'!A265),"",'_INSTANCE'!A265)</x:f>
      </x:c>
      <x:c r="B346" s="523" t="str">
        <x:f>IF(ISBLANK('_INSTANCE'!B265),"",'_INSTANCE'!B265)</x:f>
      </x:c>
      <x:c r="C346" s="523" t="str">
        <x:f>IF(ISBLANK('_INSTANCE'!C265),"",'_INSTANCE'!C265)</x:f>
      </x:c>
      <x:c r="D346" s="530" t="str">
        <x:f>IF(ISBLANK('_INSTANCE'!D265),"",'_INSTANCE'!D265)</x:f>
      </x:c>
      <x:c r="E346" s="530" t="str">
        <x:f>IF(ISBLANK('_INSTANCE'!E265),"",'_INSTANCE'!E265)</x:f>
      </x:c>
      <x:c r="F346" s="530" t="str">
        <x:f>IF(ISBLANK('_INSTANCE'!F265),"",'_INSTANCE'!F265)</x:f>
      </x:c>
      <x:c r="G346" s="530" t="str">
        <x:f>IF(ISBLANK('_INSTANCE'!G265),"",'_INSTANCE'!G265)</x:f>
      </x:c>
      <x:c r="H346" s="530" t="str">
        <x:f>IF(ISBLANK('_INSTANCE'!H265),"",'_INSTANCE'!H265)</x:f>
      </x:c>
      <x:c r="I346" s="530" t="str">
        <x:f>IF(ISBLANK('_INSTANCE'!I265),"",'_INSTANCE'!I265)</x:f>
      </x:c>
      <x:c r="J346" s="530" t="str">
        <x:f>IF(ISBLANK('_INSTANCE'!J265),"",'_INSTANCE'!J265)</x:f>
      </x:c>
      <x:c r="K346" s="38"/>
      <x:c r="L346" s="38"/>
      <x:c r="M346" s="38"/>
      <x:c r="N346" s="38"/>
      <x:c r="O346" s="38"/>
      <x:c r="P346" s="38"/>
      <x:c r="Q346" s="38"/>
    </x:row>
    <x:row r="347">
      <x:c r="A347" s="523" t="str">
        <x:f>IF(ISBLANK('_INSTANCE'!A266),"",'_INSTANCE'!A266)</x:f>
      </x:c>
      <x:c r="B347" s="523" t="str">
        <x:f>IF(ISBLANK('_INSTANCE'!B266),"",'_INSTANCE'!B266)</x:f>
      </x:c>
      <x:c r="C347" s="523" t="str">
        <x:f>IF(ISBLANK('_INSTANCE'!C266),"",'_INSTANCE'!C266)</x:f>
      </x:c>
      <x:c r="D347" s="530" t="str">
        <x:f>IF(ISBLANK('_INSTANCE'!D266),"",'_INSTANCE'!D266)</x:f>
      </x:c>
      <x:c r="E347" s="530" t="str">
        <x:f>IF(ISBLANK('_INSTANCE'!E266),"",'_INSTANCE'!E266)</x:f>
      </x:c>
      <x:c r="F347" s="530" t="str">
        <x:f>IF(ISBLANK('_INSTANCE'!F266),"",'_INSTANCE'!F266)</x:f>
      </x:c>
      <x:c r="G347" s="530" t="str">
        <x:f>IF(ISBLANK('_INSTANCE'!G266),"",'_INSTANCE'!G266)</x:f>
      </x:c>
      <x:c r="H347" s="530" t="str">
        <x:f>IF(ISBLANK('_INSTANCE'!H266),"",'_INSTANCE'!H266)</x:f>
      </x:c>
      <x:c r="I347" s="530" t="str">
        <x:f>IF(ISBLANK('_INSTANCE'!I266),"",'_INSTANCE'!I266)</x:f>
      </x:c>
      <x:c r="J347" s="530" t="str">
        <x:f>IF(ISBLANK('_INSTANCE'!J266),"",'_INSTANCE'!J266)</x:f>
      </x:c>
      <x:c r="K347" s="38"/>
      <x:c r="L347" s="38"/>
      <x:c r="M347" s="38"/>
      <x:c r="N347" s="38"/>
      <x:c r="O347" s="38"/>
      <x:c r="P347" s="38"/>
      <x:c r="Q347" s="38"/>
    </x:row>
    <x:row r="348">
      <x:c r="A348" s="523" t="str">
        <x:f>IF(ISBLANK('_INSTANCE'!A267),"",'_INSTANCE'!A267)</x:f>
      </x:c>
      <x:c r="B348" s="523" t="str">
        <x:f>IF(ISBLANK('_INSTANCE'!B267),"",'_INSTANCE'!B267)</x:f>
      </x:c>
      <x:c r="C348" s="523" t="str">
        <x:f>IF(ISBLANK('_INSTANCE'!C267),"",'_INSTANCE'!C267)</x:f>
      </x:c>
      <x:c r="D348" s="530" t="str">
        <x:f>IF(ISBLANK('_INSTANCE'!D267),"",'_INSTANCE'!D267)</x:f>
      </x:c>
      <x:c r="E348" s="530" t="str">
        <x:f>IF(ISBLANK('_INSTANCE'!E267),"",'_INSTANCE'!E267)</x:f>
      </x:c>
      <x:c r="F348" s="530" t="str">
        <x:f>IF(ISBLANK('_INSTANCE'!F267),"",'_INSTANCE'!F267)</x:f>
      </x:c>
      <x:c r="G348" s="530" t="str">
        <x:f>IF(ISBLANK('_INSTANCE'!G267),"",'_INSTANCE'!G267)</x:f>
      </x:c>
      <x:c r="H348" s="530" t="str">
        <x:f>IF(ISBLANK('_INSTANCE'!H267),"",'_INSTANCE'!H267)</x:f>
      </x:c>
      <x:c r="I348" s="530" t="str">
        <x:f>IF(ISBLANK('_INSTANCE'!I267),"",'_INSTANCE'!I267)</x:f>
      </x:c>
      <x:c r="J348" s="530" t="str">
        <x:f>IF(ISBLANK('_INSTANCE'!J267),"",'_INSTANCE'!J267)</x:f>
      </x:c>
      <x:c r="K348" s="38"/>
      <x:c r="L348" s="38"/>
      <x:c r="M348" s="38"/>
      <x:c r="N348" s="38"/>
      <x:c r="O348" s="38"/>
      <x:c r="P348" s="38"/>
      <x:c r="Q348" s="38"/>
    </x:row>
    <x:row r="349">
      <x:c r="A349" s="523" t="str">
        <x:f>IF(ISBLANK('_INSTANCE'!A268),"",'_INSTANCE'!A268)</x:f>
      </x:c>
      <x:c r="B349" s="523" t="str">
        <x:f>IF(ISBLANK('_INSTANCE'!B268),"",'_INSTANCE'!B268)</x:f>
      </x:c>
      <x:c r="C349" s="523" t="str">
        <x:f>IF(ISBLANK('_INSTANCE'!C268),"",'_INSTANCE'!C268)</x:f>
      </x:c>
      <x:c r="D349" s="530" t="str">
        <x:f>IF(ISBLANK('_INSTANCE'!D268),"",'_INSTANCE'!D268)</x:f>
      </x:c>
      <x:c r="E349" s="530" t="str">
        <x:f>IF(ISBLANK('_INSTANCE'!E268),"",'_INSTANCE'!E268)</x:f>
      </x:c>
      <x:c r="F349" s="530" t="str">
        <x:f>IF(ISBLANK('_INSTANCE'!F268),"",'_INSTANCE'!F268)</x:f>
      </x:c>
      <x:c r="G349" s="530" t="str">
        <x:f>IF(ISBLANK('_INSTANCE'!G268),"",'_INSTANCE'!G268)</x:f>
      </x:c>
      <x:c r="H349" s="530" t="str">
        <x:f>IF(ISBLANK('_INSTANCE'!H268),"",'_INSTANCE'!H268)</x:f>
      </x:c>
      <x:c r="I349" s="530" t="str">
        <x:f>IF(ISBLANK('_INSTANCE'!I268),"",'_INSTANCE'!I268)</x:f>
      </x:c>
      <x:c r="J349" s="530" t="str">
        <x:f>IF(ISBLANK('_INSTANCE'!J268),"",'_INSTANCE'!J268)</x:f>
      </x:c>
      <x:c r="K349" s="38"/>
      <x:c r="L349" s="38"/>
      <x:c r="M349" s="38"/>
      <x:c r="N349" s="38"/>
      <x:c r="O349" s="38"/>
      <x:c r="P349" s="38"/>
      <x:c r="Q349" s="38"/>
    </x:row>
    <x:row r="350">
      <x:c r="A350" s="523" t="str">
        <x:f>IF(ISBLANK('_INSTANCE'!A269),"",'_INSTANCE'!A269)</x:f>
      </x:c>
      <x:c r="B350" s="523" t="str">
        <x:f>IF(ISBLANK('_INSTANCE'!B269),"",'_INSTANCE'!B269)</x:f>
      </x:c>
      <x:c r="C350" s="523" t="str">
        <x:f>IF(ISBLANK('_INSTANCE'!C269),"",'_INSTANCE'!C269)</x:f>
      </x:c>
      <x:c r="D350" s="530" t="str">
        <x:f>IF(ISBLANK('_INSTANCE'!D269),"",'_INSTANCE'!D269)</x:f>
      </x:c>
      <x:c r="E350" s="530" t="str">
        <x:f>IF(ISBLANK('_INSTANCE'!E269),"",'_INSTANCE'!E269)</x:f>
      </x:c>
      <x:c r="F350" s="530" t="str">
        <x:f>IF(ISBLANK('_INSTANCE'!F269),"",'_INSTANCE'!F269)</x:f>
      </x:c>
      <x:c r="G350" s="530" t="str">
        <x:f>IF(ISBLANK('_INSTANCE'!G269),"",'_INSTANCE'!G269)</x:f>
      </x:c>
      <x:c r="H350" s="530" t="str">
        <x:f>IF(ISBLANK('_INSTANCE'!H269),"",'_INSTANCE'!H269)</x:f>
      </x:c>
      <x:c r="I350" s="530" t="str">
        <x:f>IF(ISBLANK('_INSTANCE'!I269),"",'_INSTANCE'!I269)</x:f>
      </x:c>
      <x:c r="J350" s="530" t="str">
        <x:f>IF(ISBLANK('_INSTANCE'!J269),"",'_INSTANCE'!J269)</x:f>
      </x:c>
      <x:c r="K350" s="38"/>
      <x:c r="L350" s="38"/>
      <x:c r="M350" s="38"/>
      <x:c r="N350" s="38"/>
      <x:c r="O350" s="38"/>
      <x:c r="P350" s="38"/>
      <x:c r="Q350" s="38"/>
    </x:row>
    <x:row r="351">
      <x:c r="A351" s="523" t="str">
        <x:f>IF(ISBLANK('_INSTANCE'!A270),"",'_INSTANCE'!A270)</x:f>
      </x:c>
      <x:c r="B351" s="523" t="str">
        <x:f>IF(ISBLANK('_INSTANCE'!B270),"",'_INSTANCE'!B270)</x:f>
      </x:c>
      <x:c r="C351" s="523" t="str">
        <x:f>IF(ISBLANK('_INSTANCE'!C270),"",'_INSTANCE'!C270)</x:f>
      </x:c>
      <x:c r="D351" s="530" t="str">
        <x:f>IF(ISBLANK('_INSTANCE'!D270),"",'_INSTANCE'!D270)</x:f>
      </x:c>
      <x:c r="E351" s="530" t="str">
        <x:f>IF(ISBLANK('_INSTANCE'!E270),"",'_INSTANCE'!E270)</x:f>
      </x:c>
      <x:c r="F351" s="530" t="str">
        <x:f>IF(ISBLANK('_INSTANCE'!F270),"",'_INSTANCE'!F270)</x:f>
      </x:c>
      <x:c r="G351" s="530" t="str">
        <x:f>IF(ISBLANK('_INSTANCE'!G270),"",'_INSTANCE'!G270)</x:f>
      </x:c>
      <x:c r="H351" s="530" t="str">
        <x:f>IF(ISBLANK('_INSTANCE'!H270),"",'_INSTANCE'!H270)</x:f>
      </x:c>
      <x:c r="I351" s="530" t="str">
        <x:f>IF(ISBLANK('_INSTANCE'!I270),"",'_INSTANCE'!I270)</x:f>
      </x:c>
      <x:c r="J351" s="530" t="str">
        <x:f>IF(ISBLANK('_INSTANCE'!J270),"",'_INSTANCE'!J270)</x:f>
      </x:c>
      <x:c r="K351" s="38"/>
      <x:c r="L351" s="38"/>
      <x:c r="M351" s="38"/>
      <x:c r="N351" s="38"/>
      <x:c r="O351" s="38"/>
      <x:c r="P351" s="38"/>
      <x:c r="Q351" s="38"/>
    </x:row>
    <x:row r="352">
      <x:c r="A352" s="523" t="str">
        <x:f>IF(ISBLANK('_INSTANCE'!A271),"",'_INSTANCE'!A271)</x:f>
      </x:c>
      <x:c r="B352" s="523" t="str">
        <x:f>IF(ISBLANK('_INSTANCE'!B271),"",'_INSTANCE'!B271)</x:f>
      </x:c>
      <x:c r="C352" s="523" t="str">
        <x:f>IF(ISBLANK('_INSTANCE'!C271),"",'_INSTANCE'!C271)</x:f>
      </x:c>
      <x:c r="D352" s="530" t="str">
        <x:f>IF(ISBLANK('_INSTANCE'!D271),"",'_INSTANCE'!D271)</x:f>
      </x:c>
      <x:c r="E352" s="530" t="str">
        <x:f>IF(ISBLANK('_INSTANCE'!E271),"",'_INSTANCE'!E271)</x:f>
      </x:c>
      <x:c r="F352" s="530" t="str">
        <x:f>IF(ISBLANK('_INSTANCE'!F271),"",'_INSTANCE'!F271)</x:f>
      </x:c>
      <x:c r="G352" s="530" t="str">
        <x:f>IF(ISBLANK('_INSTANCE'!G271),"",'_INSTANCE'!G271)</x:f>
      </x:c>
      <x:c r="H352" s="530" t="str">
        <x:f>IF(ISBLANK('_INSTANCE'!H271),"",'_INSTANCE'!H271)</x:f>
      </x:c>
      <x:c r="I352" s="530" t="str">
        <x:f>IF(ISBLANK('_INSTANCE'!I271),"",'_INSTANCE'!I271)</x:f>
      </x:c>
      <x:c r="J352" s="530" t="str">
        <x:f>IF(ISBLANK('_INSTANCE'!J271),"",'_INSTANCE'!J271)</x:f>
      </x:c>
      <x:c r="K352" s="38"/>
      <x:c r="L352" s="38"/>
      <x:c r="M352" s="38"/>
      <x:c r="N352" s="38"/>
      <x:c r="O352" s="38"/>
      <x:c r="P352" s="38"/>
      <x:c r="Q352" s="38"/>
    </x:row>
    <x:row r="353">
      <x:c r="A353" s="523" t="str">
        <x:f>IF(ISBLANK('_INSTANCE'!A272),"",'_INSTANCE'!A272)</x:f>
      </x:c>
      <x:c r="B353" s="523" t="str">
        <x:f>IF(ISBLANK('_INSTANCE'!B272),"",'_INSTANCE'!B272)</x:f>
      </x:c>
      <x:c r="C353" s="523" t="str">
        <x:f>IF(ISBLANK('_INSTANCE'!C272),"",'_INSTANCE'!C272)</x:f>
      </x:c>
      <x:c r="D353" s="530" t="str">
        <x:f>IF(ISBLANK('_INSTANCE'!D272),"",'_INSTANCE'!D272)</x:f>
      </x:c>
      <x:c r="E353" s="530" t="str">
        <x:f>IF(ISBLANK('_INSTANCE'!E272),"",'_INSTANCE'!E272)</x:f>
      </x:c>
      <x:c r="F353" s="530" t="str">
        <x:f>IF(ISBLANK('_INSTANCE'!F272),"",'_INSTANCE'!F272)</x:f>
      </x:c>
      <x:c r="G353" s="530" t="str">
        <x:f>IF(ISBLANK('_INSTANCE'!G272),"",'_INSTANCE'!G272)</x:f>
      </x:c>
      <x:c r="H353" s="530" t="str">
        <x:f>IF(ISBLANK('_INSTANCE'!H272),"",'_INSTANCE'!H272)</x:f>
      </x:c>
      <x:c r="I353" s="530" t="str">
        <x:f>IF(ISBLANK('_INSTANCE'!I272),"",'_INSTANCE'!I272)</x:f>
      </x:c>
      <x:c r="J353" s="530" t="str">
        <x:f>IF(ISBLANK('_INSTANCE'!J272),"",'_INSTANCE'!J272)</x:f>
      </x:c>
      <x:c r="K353" s="38"/>
      <x:c r="L353" s="38"/>
      <x:c r="M353" s="38"/>
      <x:c r="N353" s="38"/>
      <x:c r="O353" s="38"/>
      <x:c r="P353" s="38"/>
      <x:c r="Q353" s="38"/>
    </x:row>
    <x:row r="354">
      <x:c r="A354" s="523" t="str">
        <x:f>IF(ISBLANK('_INSTANCE'!A273),"",'_INSTANCE'!A273)</x:f>
      </x:c>
      <x:c r="B354" s="523" t="str">
        <x:f>IF(ISBLANK('_INSTANCE'!B273),"",'_INSTANCE'!B273)</x:f>
      </x:c>
      <x:c r="C354" s="523" t="str">
        <x:f>IF(ISBLANK('_INSTANCE'!C273),"",'_INSTANCE'!C273)</x:f>
      </x:c>
      <x:c r="D354" s="530" t="str">
        <x:f>IF(ISBLANK('_INSTANCE'!D273),"",'_INSTANCE'!D273)</x:f>
      </x:c>
      <x:c r="E354" s="530" t="str">
        <x:f>IF(ISBLANK('_INSTANCE'!E273),"",'_INSTANCE'!E273)</x:f>
      </x:c>
      <x:c r="F354" s="530" t="str">
        <x:f>IF(ISBLANK('_INSTANCE'!F273),"",'_INSTANCE'!F273)</x:f>
      </x:c>
      <x:c r="G354" s="530" t="str">
        <x:f>IF(ISBLANK('_INSTANCE'!G273),"",'_INSTANCE'!G273)</x:f>
      </x:c>
      <x:c r="H354" s="530" t="str">
        <x:f>IF(ISBLANK('_INSTANCE'!H273),"",'_INSTANCE'!H273)</x:f>
      </x:c>
      <x:c r="I354" s="530" t="str">
        <x:f>IF(ISBLANK('_INSTANCE'!I273),"",'_INSTANCE'!I273)</x:f>
      </x:c>
      <x:c r="J354" s="530" t="str">
        <x:f>IF(ISBLANK('_INSTANCE'!J273),"",'_INSTANCE'!J273)</x:f>
      </x:c>
      <x:c r="K354" s="38"/>
      <x:c r="L354" s="38"/>
      <x:c r="M354" s="38"/>
      <x:c r="N354" s="38"/>
      <x:c r="O354" s="38"/>
      <x:c r="P354" s="38"/>
      <x:c r="Q354" s="38"/>
    </x:row>
    <x:row r="355">
      <x:c r="A355" s="523" t="str">
        <x:f>IF(ISBLANK('_INSTANCE'!A274),"",'_INSTANCE'!A274)</x:f>
      </x:c>
      <x:c r="B355" s="523" t="str">
        <x:f>IF(ISBLANK('_INSTANCE'!B274),"",'_INSTANCE'!B274)</x:f>
      </x:c>
      <x:c r="C355" s="523" t="str">
        <x:f>IF(ISBLANK('_INSTANCE'!C274),"",'_INSTANCE'!C274)</x:f>
      </x:c>
      <x:c r="D355" s="530" t="str">
        <x:f>IF(ISBLANK('_INSTANCE'!D274),"",'_INSTANCE'!D274)</x:f>
      </x:c>
      <x:c r="E355" s="530" t="str">
        <x:f>IF(ISBLANK('_INSTANCE'!E274),"",'_INSTANCE'!E274)</x:f>
      </x:c>
      <x:c r="F355" s="530" t="str">
        <x:f>IF(ISBLANK('_INSTANCE'!F274),"",'_INSTANCE'!F274)</x:f>
      </x:c>
      <x:c r="G355" s="530" t="str">
        <x:f>IF(ISBLANK('_INSTANCE'!G274),"",'_INSTANCE'!G274)</x:f>
      </x:c>
      <x:c r="H355" s="530" t="str">
        <x:f>IF(ISBLANK('_INSTANCE'!H274),"",'_INSTANCE'!H274)</x:f>
      </x:c>
      <x:c r="I355" s="530" t="str">
        <x:f>IF(ISBLANK('_INSTANCE'!I274),"",'_INSTANCE'!I274)</x:f>
      </x:c>
      <x:c r="J355" s="530" t="str">
        <x:f>IF(ISBLANK('_INSTANCE'!J274),"",'_INSTANCE'!J274)</x:f>
      </x:c>
      <x:c r="K355" s="38"/>
      <x:c r="L355" s="38"/>
      <x:c r="M355" s="38"/>
      <x:c r="N355" s="38"/>
      <x:c r="O355" s="38"/>
      <x:c r="P355" s="38"/>
      <x:c r="Q355" s="38"/>
    </x:row>
    <x:row r="356">
      <x:c r="A356" s="523" t="str">
        <x:f>IF(ISBLANK('_INSTANCE'!A275),"",'_INSTANCE'!A275)</x:f>
      </x:c>
      <x:c r="B356" s="523" t="str">
        <x:f>IF(ISBLANK('_INSTANCE'!B275),"",'_INSTANCE'!B275)</x:f>
      </x:c>
      <x:c r="C356" s="523" t="str">
        <x:f>IF(ISBLANK('_INSTANCE'!C275),"",'_INSTANCE'!C275)</x:f>
      </x:c>
      <x:c r="D356" s="530" t="str">
        <x:f>IF(ISBLANK('_INSTANCE'!D275),"",'_INSTANCE'!D275)</x:f>
      </x:c>
      <x:c r="E356" s="530" t="str">
        <x:f>IF(ISBLANK('_INSTANCE'!E275),"",'_INSTANCE'!E275)</x:f>
      </x:c>
      <x:c r="F356" s="530" t="str">
        <x:f>IF(ISBLANK('_INSTANCE'!F275),"",'_INSTANCE'!F275)</x:f>
      </x:c>
      <x:c r="G356" s="530" t="str">
        <x:f>IF(ISBLANK('_INSTANCE'!G275),"",'_INSTANCE'!G275)</x:f>
      </x:c>
      <x:c r="H356" s="530" t="str">
        <x:f>IF(ISBLANK('_INSTANCE'!H275),"",'_INSTANCE'!H275)</x:f>
      </x:c>
      <x:c r="I356" s="530" t="str">
        <x:f>IF(ISBLANK('_INSTANCE'!I275),"",'_INSTANCE'!I275)</x:f>
      </x:c>
      <x:c r="J356" s="530" t="str">
        <x:f>IF(ISBLANK('_INSTANCE'!J275),"",'_INSTANCE'!J275)</x:f>
      </x:c>
      <x:c r="K356" s="38"/>
      <x:c r="L356" s="38"/>
      <x:c r="M356" s="38"/>
      <x:c r="N356" s="38"/>
      <x:c r="O356" s="38"/>
      <x:c r="P356" s="38"/>
      <x:c r="Q356" s="38"/>
    </x:row>
    <x:row r="357">
      <x:c r="A357" s="523" t="str">
        <x:f>IF(ISBLANK('_INSTANCE'!A276),"",'_INSTANCE'!A276)</x:f>
      </x:c>
      <x:c r="B357" s="523" t="str">
        <x:f>IF(ISBLANK('_INSTANCE'!B276),"",'_INSTANCE'!B276)</x:f>
      </x:c>
      <x:c r="C357" s="523" t="str">
        <x:f>IF(ISBLANK('_INSTANCE'!C276),"",'_INSTANCE'!C276)</x:f>
      </x:c>
      <x:c r="D357" s="530" t="str">
        <x:f>IF(ISBLANK('_INSTANCE'!D276),"",'_INSTANCE'!D276)</x:f>
      </x:c>
      <x:c r="E357" s="530" t="str">
        <x:f>IF(ISBLANK('_INSTANCE'!E276),"",'_INSTANCE'!E276)</x:f>
      </x:c>
      <x:c r="F357" s="530" t="str">
        <x:f>IF(ISBLANK('_INSTANCE'!F276),"",'_INSTANCE'!F276)</x:f>
      </x:c>
      <x:c r="G357" s="530" t="str">
        <x:f>IF(ISBLANK('_INSTANCE'!G276),"",'_INSTANCE'!G276)</x:f>
      </x:c>
      <x:c r="H357" s="530" t="str">
        <x:f>IF(ISBLANK('_INSTANCE'!H276),"",'_INSTANCE'!H276)</x:f>
      </x:c>
      <x:c r="I357" s="530" t="str">
        <x:f>IF(ISBLANK('_INSTANCE'!I276),"",'_INSTANCE'!I276)</x:f>
      </x:c>
      <x:c r="J357" s="530" t="str">
        <x:f>IF(ISBLANK('_INSTANCE'!J276),"",'_INSTANCE'!J276)</x:f>
      </x:c>
      <x:c r="K357" s="38"/>
      <x:c r="L357" s="38"/>
      <x:c r="M357" s="38"/>
      <x:c r="N357" s="38"/>
      <x:c r="O357" s="38"/>
      <x:c r="P357" s="38"/>
      <x:c r="Q357" s="38"/>
    </x:row>
    <x:row r="358">
      <x:c r="A358" s="523" t="str">
        <x:f>IF(ISBLANK('_INSTANCE'!A277),"",'_INSTANCE'!A277)</x:f>
      </x:c>
      <x:c r="B358" s="523" t="str">
        <x:f>IF(ISBLANK('_INSTANCE'!B277),"",'_INSTANCE'!B277)</x:f>
      </x:c>
      <x:c r="C358" s="523" t="str">
        <x:f>IF(ISBLANK('_INSTANCE'!C277),"",'_INSTANCE'!C277)</x:f>
      </x:c>
      <x:c r="D358" s="530" t="str">
        <x:f>IF(ISBLANK('_INSTANCE'!D277),"",'_INSTANCE'!D277)</x:f>
      </x:c>
      <x:c r="E358" s="530" t="str">
        <x:f>IF(ISBLANK('_INSTANCE'!E277),"",'_INSTANCE'!E277)</x:f>
      </x:c>
      <x:c r="F358" s="530" t="str">
        <x:f>IF(ISBLANK('_INSTANCE'!F277),"",'_INSTANCE'!F277)</x:f>
      </x:c>
      <x:c r="G358" s="530" t="str">
        <x:f>IF(ISBLANK('_INSTANCE'!G277),"",'_INSTANCE'!G277)</x:f>
      </x:c>
      <x:c r="H358" s="530" t="str">
        <x:f>IF(ISBLANK('_INSTANCE'!H277),"",'_INSTANCE'!H277)</x:f>
      </x:c>
      <x:c r="I358" s="530" t="str">
        <x:f>IF(ISBLANK('_INSTANCE'!I277),"",'_INSTANCE'!I277)</x:f>
      </x:c>
      <x:c r="J358" s="530" t="str">
        <x:f>IF(ISBLANK('_INSTANCE'!J277),"",'_INSTANCE'!J277)</x:f>
      </x:c>
      <x:c r="K358" s="38"/>
      <x:c r="L358" s="38"/>
      <x:c r="M358" s="38"/>
      <x:c r="N358" s="38"/>
      <x:c r="O358" s="38"/>
      <x:c r="P358" s="38"/>
      <x:c r="Q358" s="38"/>
    </x:row>
    <x:row r="359">
      <x:c r="A359" s="523" t="str">
        <x:f>IF(ISBLANK('_INSTANCE'!A278),"",'_INSTANCE'!A278)</x:f>
      </x:c>
      <x:c r="B359" s="523" t="str">
        <x:f>IF(ISBLANK('_INSTANCE'!B278),"",'_INSTANCE'!B278)</x:f>
      </x:c>
      <x:c r="C359" s="523" t="str">
        <x:f>IF(ISBLANK('_INSTANCE'!C278),"",'_INSTANCE'!C278)</x:f>
      </x:c>
      <x:c r="D359" s="530" t="str">
        <x:f>IF(ISBLANK('_INSTANCE'!D278),"",'_INSTANCE'!D278)</x:f>
      </x:c>
      <x:c r="E359" s="530" t="str">
        <x:f>IF(ISBLANK('_INSTANCE'!E278),"",'_INSTANCE'!E278)</x:f>
      </x:c>
      <x:c r="F359" s="530" t="str">
        <x:f>IF(ISBLANK('_INSTANCE'!F278),"",'_INSTANCE'!F278)</x:f>
      </x:c>
      <x:c r="G359" s="530" t="str">
        <x:f>IF(ISBLANK('_INSTANCE'!G278),"",'_INSTANCE'!G278)</x:f>
      </x:c>
      <x:c r="H359" s="530" t="str">
        <x:f>IF(ISBLANK('_INSTANCE'!H278),"",'_INSTANCE'!H278)</x:f>
      </x:c>
      <x:c r="I359" s="530" t="str">
        <x:f>IF(ISBLANK('_INSTANCE'!I278),"",'_INSTANCE'!I278)</x:f>
      </x:c>
      <x:c r="J359" s="530" t="str">
        <x:f>IF(ISBLANK('_INSTANCE'!J278),"",'_INSTANCE'!J278)</x:f>
      </x:c>
      <x:c r="K359" s="38"/>
      <x:c r="L359" s="38"/>
      <x:c r="M359" s="38"/>
      <x:c r="N359" s="38"/>
      <x:c r="O359" s="38"/>
      <x:c r="P359" s="38"/>
      <x:c r="Q359" s="38"/>
    </x:row>
    <x:row r="360">
      <x:c r="A360" s="523" t="str">
        <x:f>IF(ISBLANK('_INSTANCE'!A279),"",'_INSTANCE'!A279)</x:f>
      </x:c>
      <x:c r="B360" s="523" t="str">
        <x:f>IF(ISBLANK('_INSTANCE'!B279),"",'_INSTANCE'!B279)</x:f>
      </x:c>
      <x:c r="C360" s="523" t="str">
        <x:f>IF(ISBLANK('_INSTANCE'!C279),"",'_INSTANCE'!C279)</x:f>
      </x:c>
      <x:c r="D360" s="530" t="str">
        <x:f>IF(ISBLANK('_INSTANCE'!D279),"",'_INSTANCE'!D279)</x:f>
      </x:c>
      <x:c r="E360" s="530" t="str">
        <x:f>IF(ISBLANK('_INSTANCE'!E279),"",'_INSTANCE'!E279)</x:f>
      </x:c>
      <x:c r="F360" s="530" t="str">
        <x:f>IF(ISBLANK('_INSTANCE'!F279),"",'_INSTANCE'!F279)</x:f>
      </x:c>
      <x:c r="G360" s="530" t="str">
        <x:f>IF(ISBLANK('_INSTANCE'!G279),"",'_INSTANCE'!G279)</x:f>
      </x:c>
      <x:c r="H360" s="530" t="str">
        <x:f>IF(ISBLANK('_INSTANCE'!H279),"",'_INSTANCE'!H279)</x:f>
      </x:c>
      <x:c r="I360" s="530" t="str">
        <x:f>IF(ISBLANK('_INSTANCE'!I279),"",'_INSTANCE'!I279)</x:f>
      </x:c>
      <x:c r="J360" s="530" t="str">
        <x:f>IF(ISBLANK('_INSTANCE'!J279),"",'_INSTANCE'!J279)</x:f>
      </x:c>
      <x:c r="K360" s="38"/>
      <x:c r="L360" s="38"/>
      <x:c r="M360" s="38"/>
      <x:c r="N360" s="38"/>
      <x:c r="O360" s="38"/>
      <x:c r="P360" s="38"/>
      <x:c r="Q360" s="38"/>
    </x:row>
    <x:row r="361">
      <x:c r="A361" s="523" t="str">
        <x:f>IF(ISBLANK('_INSTANCE'!A280),"",'_INSTANCE'!A280)</x:f>
      </x:c>
      <x:c r="B361" s="523" t="str">
        <x:f>IF(ISBLANK('_INSTANCE'!B280),"",'_INSTANCE'!B280)</x:f>
      </x:c>
      <x:c r="C361" s="523" t="str">
        <x:f>IF(ISBLANK('_INSTANCE'!C280),"",'_INSTANCE'!C280)</x:f>
      </x:c>
      <x:c r="D361" s="530" t="str">
        <x:f>IF(ISBLANK('_INSTANCE'!D280),"",'_INSTANCE'!D280)</x:f>
      </x:c>
      <x:c r="E361" s="530" t="str">
        <x:f>IF(ISBLANK('_INSTANCE'!E280),"",'_INSTANCE'!E280)</x:f>
      </x:c>
      <x:c r="F361" s="530" t="str">
        <x:f>IF(ISBLANK('_INSTANCE'!F280),"",'_INSTANCE'!F280)</x:f>
      </x:c>
      <x:c r="G361" s="530" t="str">
        <x:f>IF(ISBLANK('_INSTANCE'!G280),"",'_INSTANCE'!G280)</x:f>
      </x:c>
      <x:c r="H361" s="530" t="str">
        <x:f>IF(ISBLANK('_INSTANCE'!H280),"",'_INSTANCE'!H280)</x:f>
      </x:c>
      <x:c r="I361" s="530" t="str">
        <x:f>IF(ISBLANK('_INSTANCE'!I280),"",'_INSTANCE'!I280)</x:f>
      </x:c>
      <x:c r="J361" s="530" t="str">
        <x:f>IF(ISBLANK('_INSTANCE'!J280),"",'_INSTANCE'!J280)</x:f>
      </x:c>
      <x:c r="K361" s="38"/>
      <x:c r="L361" s="38"/>
      <x:c r="M361" s="38"/>
      <x:c r="N361" s="38"/>
      <x:c r="O361" s="38"/>
      <x:c r="P361" s="38"/>
      <x:c r="Q361" s="38"/>
    </x:row>
    <x:row r="362">
      <x:c r="A362" s="523" t="str">
        <x:f>IF(ISBLANK('_INSTANCE'!A281),"",'_INSTANCE'!A281)</x:f>
      </x:c>
      <x:c r="B362" s="523" t="str">
        <x:f>IF(ISBLANK('_INSTANCE'!B281),"",'_INSTANCE'!B281)</x:f>
      </x:c>
      <x:c r="C362" s="523" t="str">
        <x:f>IF(ISBLANK('_INSTANCE'!C281),"",'_INSTANCE'!C281)</x:f>
      </x:c>
      <x:c r="D362" s="530" t="str">
        <x:f>IF(ISBLANK('_INSTANCE'!D281),"",'_INSTANCE'!D281)</x:f>
      </x:c>
      <x:c r="E362" s="530" t="str">
        <x:f>IF(ISBLANK('_INSTANCE'!E281),"",'_INSTANCE'!E281)</x:f>
      </x:c>
      <x:c r="F362" s="530" t="str">
        <x:f>IF(ISBLANK('_INSTANCE'!F281),"",'_INSTANCE'!F281)</x:f>
      </x:c>
      <x:c r="G362" s="530" t="str">
        <x:f>IF(ISBLANK('_INSTANCE'!G281),"",'_INSTANCE'!G281)</x:f>
      </x:c>
      <x:c r="H362" s="530" t="str">
        <x:f>IF(ISBLANK('_INSTANCE'!H281),"",'_INSTANCE'!H281)</x:f>
      </x:c>
      <x:c r="I362" s="530" t="str">
        <x:f>IF(ISBLANK('_INSTANCE'!I281),"",'_INSTANCE'!I281)</x:f>
      </x:c>
      <x:c r="J362" s="530" t="str">
        <x:f>IF(ISBLANK('_INSTANCE'!J281),"",'_INSTANCE'!J281)</x:f>
      </x:c>
      <x:c r="K362" s="38"/>
      <x:c r="L362" s="38"/>
      <x:c r="M362" s="38"/>
      <x:c r="N362" s="38"/>
      <x:c r="O362" s="38"/>
      <x:c r="P362" s="38"/>
      <x:c r="Q362" s="38"/>
    </x:row>
    <x:row r="363">
      <x:c r="A363" s="523" t="str">
        <x:f>IF(ISBLANK('_INSTANCE'!A282),"",'_INSTANCE'!A282)</x:f>
      </x:c>
      <x:c r="B363" s="523" t="str">
        <x:f>IF(ISBLANK('_INSTANCE'!B282),"",'_INSTANCE'!B282)</x:f>
      </x:c>
      <x:c r="C363" s="523" t="str">
        <x:f>IF(ISBLANK('_INSTANCE'!C282),"",'_INSTANCE'!C282)</x:f>
      </x:c>
      <x:c r="D363" s="530" t="str">
        <x:f>IF(ISBLANK('_INSTANCE'!D282),"",'_INSTANCE'!D282)</x:f>
      </x:c>
      <x:c r="E363" s="530" t="str">
        <x:f>IF(ISBLANK('_INSTANCE'!E282),"",'_INSTANCE'!E282)</x:f>
      </x:c>
      <x:c r="F363" s="530" t="str">
        <x:f>IF(ISBLANK('_INSTANCE'!F282),"",'_INSTANCE'!F282)</x:f>
      </x:c>
      <x:c r="G363" s="530" t="str">
        <x:f>IF(ISBLANK('_INSTANCE'!G282),"",'_INSTANCE'!G282)</x:f>
      </x:c>
      <x:c r="H363" s="530" t="str">
        <x:f>IF(ISBLANK('_INSTANCE'!H282),"",'_INSTANCE'!H282)</x:f>
      </x:c>
      <x:c r="I363" s="530" t="str">
        <x:f>IF(ISBLANK('_INSTANCE'!I282),"",'_INSTANCE'!I282)</x:f>
      </x:c>
      <x:c r="J363" s="530" t="str">
        <x:f>IF(ISBLANK('_INSTANCE'!J282),"",'_INSTANCE'!J282)</x:f>
      </x:c>
      <x:c r="K363" s="38"/>
      <x:c r="L363" s="38"/>
      <x:c r="M363" s="38"/>
      <x:c r="N363" s="38"/>
      <x:c r="O363" s="38"/>
      <x:c r="P363" s="38"/>
      <x:c r="Q363" s="38"/>
    </x:row>
    <x:row r="364">
      <x:c r="A364" s="523" t="str">
        <x:f>IF(ISBLANK('_INSTANCE'!A283),"",'_INSTANCE'!A283)</x:f>
      </x:c>
      <x:c r="B364" s="523" t="str">
        <x:f>IF(ISBLANK('_INSTANCE'!B283),"",'_INSTANCE'!B283)</x:f>
      </x:c>
      <x:c r="C364" s="523" t="str">
        <x:f>IF(ISBLANK('_INSTANCE'!C283),"",'_INSTANCE'!C283)</x:f>
      </x:c>
      <x:c r="D364" s="530" t="str">
        <x:f>IF(ISBLANK('_INSTANCE'!D283),"",'_INSTANCE'!D283)</x:f>
      </x:c>
      <x:c r="E364" s="530" t="str">
        <x:f>IF(ISBLANK('_INSTANCE'!E283),"",'_INSTANCE'!E283)</x:f>
      </x:c>
      <x:c r="F364" s="530" t="str">
        <x:f>IF(ISBLANK('_INSTANCE'!F283),"",'_INSTANCE'!F283)</x:f>
      </x:c>
      <x:c r="G364" s="530" t="str">
        <x:f>IF(ISBLANK('_INSTANCE'!G283),"",'_INSTANCE'!G283)</x:f>
      </x:c>
      <x:c r="H364" s="530" t="str">
        <x:f>IF(ISBLANK('_INSTANCE'!H283),"",'_INSTANCE'!H283)</x:f>
      </x:c>
      <x:c r="I364" s="530" t="str">
        <x:f>IF(ISBLANK('_INSTANCE'!I283),"",'_INSTANCE'!I283)</x:f>
      </x:c>
      <x:c r="J364" s="530" t="str">
        <x:f>IF(ISBLANK('_INSTANCE'!J283),"",'_INSTANCE'!J283)</x:f>
      </x:c>
      <x:c r="K364" s="38"/>
      <x:c r="L364" s="38"/>
      <x:c r="M364" s="38"/>
      <x:c r="N364" s="38"/>
      <x:c r="O364" s="38"/>
      <x:c r="P364" s="38"/>
      <x:c r="Q364" s="38"/>
    </x:row>
    <x:row r="365">
      <x:c r="A365" s="523" t="str">
        <x:f>IF(ISBLANK('_INSTANCE'!A284),"",'_INSTANCE'!A284)</x:f>
      </x:c>
      <x:c r="B365" s="523" t="str">
        <x:f>IF(ISBLANK('_INSTANCE'!B284),"",'_INSTANCE'!B284)</x:f>
      </x:c>
      <x:c r="C365" s="523" t="str">
        <x:f>IF(ISBLANK('_INSTANCE'!C284),"",'_INSTANCE'!C284)</x:f>
      </x:c>
      <x:c r="D365" s="530" t="str">
        <x:f>IF(ISBLANK('_INSTANCE'!D284),"",'_INSTANCE'!D284)</x:f>
      </x:c>
      <x:c r="E365" s="530" t="str">
        <x:f>IF(ISBLANK('_INSTANCE'!E284),"",'_INSTANCE'!E284)</x:f>
      </x:c>
      <x:c r="F365" s="530" t="str">
        <x:f>IF(ISBLANK('_INSTANCE'!F284),"",'_INSTANCE'!F284)</x:f>
      </x:c>
      <x:c r="G365" s="530" t="str">
        <x:f>IF(ISBLANK('_INSTANCE'!G284),"",'_INSTANCE'!G284)</x:f>
      </x:c>
      <x:c r="H365" s="530" t="str">
        <x:f>IF(ISBLANK('_INSTANCE'!H284),"",'_INSTANCE'!H284)</x:f>
      </x:c>
      <x:c r="I365" s="530" t="str">
        <x:f>IF(ISBLANK('_INSTANCE'!I284),"",'_INSTANCE'!I284)</x:f>
      </x:c>
      <x:c r="J365" s="530" t="str">
        <x:f>IF(ISBLANK('_INSTANCE'!J284),"",'_INSTANCE'!J284)</x:f>
      </x:c>
      <x:c r="K365" s="38"/>
      <x:c r="L365" s="38"/>
      <x:c r="M365" s="38"/>
      <x:c r="N365" s="38"/>
      <x:c r="O365" s="38"/>
      <x:c r="P365" s="38"/>
      <x:c r="Q365" s="38"/>
    </x:row>
    <x:row r="366">
      <x:c r="A366" s="523" t="str">
        <x:f>IF(ISBLANK('_INSTANCE'!A285),"",'_INSTANCE'!A285)</x:f>
      </x:c>
      <x:c r="B366" s="523" t="str">
        <x:f>IF(ISBLANK('_INSTANCE'!B285),"",'_INSTANCE'!B285)</x:f>
      </x:c>
      <x:c r="C366" s="523" t="str">
        <x:f>IF(ISBLANK('_INSTANCE'!C285),"",'_INSTANCE'!C285)</x:f>
      </x:c>
      <x:c r="D366" s="530" t="str">
        <x:f>IF(ISBLANK('_INSTANCE'!D285),"",'_INSTANCE'!D285)</x:f>
      </x:c>
      <x:c r="E366" s="530" t="str">
        <x:f>IF(ISBLANK('_INSTANCE'!E285),"",'_INSTANCE'!E285)</x:f>
      </x:c>
      <x:c r="F366" s="530" t="str">
        <x:f>IF(ISBLANK('_INSTANCE'!F285),"",'_INSTANCE'!F285)</x:f>
      </x:c>
      <x:c r="G366" s="530" t="str">
        <x:f>IF(ISBLANK('_INSTANCE'!G285),"",'_INSTANCE'!G285)</x:f>
      </x:c>
      <x:c r="H366" s="530" t="str">
        <x:f>IF(ISBLANK('_INSTANCE'!H285),"",'_INSTANCE'!H285)</x:f>
      </x:c>
      <x:c r="I366" s="530" t="str">
        <x:f>IF(ISBLANK('_INSTANCE'!I285),"",'_INSTANCE'!I285)</x:f>
      </x:c>
      <x:c r="J366" s="530" t="str">
        <x:f>IF(ISBLANK('_INSTANCE'!J285),"",'_INSTANCE'!J285)</x:f>
      </x:c>
      <x:c r="K366" s="38"/>
      <x:c r="L366" s="38"/>
      <x:c r="M366" s="38"/>
      <x:c r="N366" s="38"/>
      <x:c r="O366" s="38"/>
      <x:c r="P366" s="38"/>
      <x:c r="Q366" s="38"/>
    </x:row>
    <x:row r="367">
      <x:c r="A367" s="523" t="str">
        <x:f>IF(ISBLANK('_INSTANCE'!A286),"",'_INSTANCE'!A286)</x:f>
      </x:c>
      <x:c r="B367" s="523" t="str">
        <x:f>IF(ISBLANK('_INSTANCE'!B286),"",'_INSTANCE'!B286)</x:f>
      </x:c>
      <x:c r="C367" s="523" t="str">
        <x:f>IF(ISBLANK('_INSTANCE'!C286),"",'_INSTANCE'!C286)</x:f>
      </x:c>
      <x:c r="D367" s="530" t="str">
        <x:f>IF(ISBLANK('_INSTANCE'!D286),"",'_INSTANCE'!D286)</x:f>
      </x:c>
      <x:c r="E367" s="530" t="str">
        <x:f>IF(ISBLANK('_INSTANCE'!E286),"",'_INSTANCE'!E286)</x:f>
      </x:c>
      <x:c r="F367" s="530" t="str">
        <x:f>IF(ISBLANK('_INSTANCE'!F286),"",'_INSTANCE'!F286)</x:f>
      </x:c>
      <x:c r="G367" s="530" t="str">
        <x:f>IF(ISBLANK('_INSTANCE'!G286),"",'_INSTANCE'!G286)</x:f>
      </x:c>
      <x:c r="H367" s="530" t="str">
        <x:f>IF(ISBLANK('_INSTANCE'!H286),"",'_INSTANCE'!H286)</x:f>
      </x:c>
      <x:c r="I367" s="530" t="str">
        <x:f>IF(ISBLANK('_INSTANCE'!I286),"",'_INSTANCE'!I286)</x:f>
      </x:c>
      <x:c r="J367" s="530" t="str">
        <x:f>IF(ISBLANK('_INSTANCE'!J286),"",'_INSTANCE'!J286)</x:f>
      </x:c>
      <x:c r="K367" s="38"/>
      <x:c r="L367" s="38"/>
      <x:c r="M367" s="38"/>
      <x:c r="N367" s="38"/>
      <x:c r="O367" s="38"/>
      <x:c r="P367" s="38"/>
      <x:c r="Q367" s="38"/>
    </x:row>
    <x:row r="368">
      <x:c r="A368" s="523" t="str">
        <x:f>IF(ISBLANK('_INSTANCE'!A287),"",'_INSTANCE'!A287)</x:f>
      </x:c>
      <x:c r="B368" s="523" t="str">
        <x:f>IF(ISBLANK('_INSTANCE'!B287),"",'_INSTANCE'!B287)</x:f>
      </x:c>
      <x:c r="C368" s="523" t="str">
        <x:f>IF(ISBLANK('_INSTANCE'!C287),"",'_INSTANCE'!C287)</x:f>
      </x:c>
      <x:c r="D368" s="530" t="str">
        <x:f>IF(ISBLANK('_INSTANCE'!D287),"",'_INSTANCE'!D287)</x:f>
      </x:c>
      <x:c r="E368" s="530" t="str">
        <x:f>IF(ISBLANK('_INSTANCE'!E287),"",'_INSTANCE'!E287)</x:f>
      </x:c>
      <x:c r="F368" s="530" t="str">
        <x:f>IF(ISBLANK('_INSTANCE'!F287),"",'_INSTANCE'!F287)</x:f>
      </x:c>
      <x:c r="G368" s="530" t="str">
        <x:f>IF(ISBLANK('_INSTANCE'!G287),"",'_INSTANCE'!G287)</x:f>
      </x:c>
      <x:c r="H368" s="530" t="str">
        <x:f>IF(ISBLANK('_INSTANCE'!H287),"",'_INSTANCE'!H287)</x:f>
      </x:c>
      <x:c r="I368" s="530" t="str">
        <x:f>IF(ISBLANK('_INSTANCE'!I287),"",'_INSTANCE'!I287)</x:f>
      </x:c>
      <x:c r="J368" s="530" t="str">
        <x:f>IF(ISBLANK('_INSTANCE'!J287),"",'_INSTANCE'!J287)</x:f>
      </x:c>
      <x:c r="K368" s="38"/>
      <x:c r="L368" s="38"/>
      <x:c r="M368" s="38"/>
      <x:c r="N368" s="38"/>
      <x:c r="O368" s="38"/>
      <x:c r="P368" s="38"/>
      <x:c r="Q368" s="38"/>
    </x:row>
    <x:row r="369">
      <x:c r="A369" s="523" t="str">
        <x:f>IF(ISBLANK('_INSTANCE'!A288),"",'_INSTANCE'!A288)</x:f>
      </x:c>
      <x:c r="B369" s="523" t="str">
        <x:f>IF(ISBLANK('_INSTANCE'!B288),"",'_INSTANCE'!B288)</x:f>
      </x:c>
      <x:c r="C369" s="523" t="str">
        <x:f>IF(ISBLANK('_INSTANCE'!C288),"",'_INSTANCE'!C288)</x:f>
      </x:c>
      <x:c r="D369" s="530" t="str">
        <x:f>IF(ISBLANK('_INSTANCE'!D288),"",'_INSTANCE'!D288)</x:f>
      </x:c>
      <x:c r="E369" s="530" t="str">
        <x:f>IF(ISBLANK('_INSTANCE'!E288),"",'_INSTANCE'!E288)</x:f>
      </x:c>
      <x:c r="F369" s="530" t="str">
        <x:f>IF(ISBLANK('_INSTANCE'!F288),"",'_INSTANCE'!F288)</x:f>
      </x:c>
      <x:c r="G369" s="530" t="str">
        <x:f>IF(ISBLANK('_INSTANCE'!G288),"",'_INSTANCE'!G288)</x:f>
      </x:c>
      <x:c r="H369" s="530" t="str">
        <x:f>IF(ISBLANK('_INSTANCE'!H288),"",'_INSTANCE'!H288)</x:f>
      </x:c>
      <x:c r="I369" s="530" t="str">
        <x:f>IF(ISBLANK('_INSTANCE'!I288),"",'_INSTANCE'!I288)</x:f>
      </x:c>
      <x:c r="J369" s="530" t="str">
        <x:f>IF(ISBLANK('_INSTANCE'!J288),"",'_INSTANCE'!J288)</x:f>
      </x:c>
      <x:c r="K369" s="38"/>
      <x:c r="L369" s="38"/>
      <x:c r="M369" s="38"/>
      <x:c r="N369" s="38"/>
      <x:c r="O369" s="38"/>
      <x:c r="P369" s="38"/>
      <x:c r="Q369" s="38"/>
    </x:row>
    <x:row r="370">
      <x:c r="A370" s="523" t="str">
        <x:f>IF(ISBLANK('_INSTANCE'!A289),"",'_INSTANCE'!A289)</x:f>
      </x:c>
      <x:c r="B370" s="523" t="str">
        <x:f>IF(ISBLANK('_INSTANCE'!B289),"",'_INSTANCE'!B289)</x:f>
      </x:c>
      <x:c r="C370" s="523" t="str">
        <x:f>IF(ISBLANK('_INSTANCE'!C289),"",'_INSTANCE'!C289)</x:f>
      </x:c>
      <x:c r="D370" s="530" t="str">
        <x:f>IF(ISBLANK('_INSTANCE'!D289),"",'_INSTANCE'!D289)</x:f>
      </x:c>
      <x:c r="E370" s="530" t="str">
        <x:f>IF(ISBLANK('_INSTANCE'!E289),"",'_INSTANCE'!E289)</x:f>
      </x:c>
      <x:c r="F370" s="530" t="str">
        <x:f>IF(ISBLANK('_INSTANCE'!F289),"",'_INSTANCE'!F289)</x:f>
      </x:c>
      <x:c r="G370" s="530" t="str">
        <x:f>IF(ISBLANK('_INSTANCE'!G289),"",'_INSTANCE'!G289)</x:f>
      </x:c>
      <x:c r="H370" s="530" t="str">
        <x:f>IF(ISBLANK('_INSTANCE'!H289),"",'_INSTANCE'!H289)</x:f>
      </x:c>
      <x:c r="I370" s="530" t="str">
        <x:f>IF(ISBLANK('_INSTANCE'!I289),"",'_INSTANCE'!I289)</x:f>
      </x:c>
      <x:c r="J370" s="530" t="str">
        <x:f>IF(ISBLANK('_INSTANCE'!J289),"",'_INSTANCE'!J289)</x:f>
      </x:c>
      <x:c r="K370" s="38"/>
      <x:c r="L370" s="38"/>
      <x:c r="M370" s="38"/>
      <x:c r="N370" s="38"/>
      <x:c r="O370" s="38"/>
      <x:c r="P370" s="38"/>
      <x:c r="Q370" s="38"/>
    </x:row>
    <x:row r="371">
      <x:c r="A371" s="523" t="str">
        <x:f>IF(ISBLANK('_INSTANCE'!A290),"",'_INSTANCE'!A290)</x:f>
      </x:c>
      <x:c r="B371" s="523" t="str">
        <x:f>IF(ISBLANK('_INSTANCE'!B290),"",'_INSTANCE'!B290)</x:f>
      </x:c>
      <x:c r="C371" s="523" t="str">
        <x:f>IF(ISBLANK('_INSTANCE'!C290),"",'_INSTANCE'!C290)</x:f>
      </x:c>
      <x:c r="D371" s="530" t="str">
        <x:f>IF(ISBLANK('_INSTANCE'!D290),"",'_INSTANCE'!D290)</x:f>
      </x:c>
      <x:c r="E371" s="530" t="str">
        <x:f>IF(ISBLANK('_INSTANCE'!E290),"",'_INSTANCE'!E290)</x:f>
      </x:c>
      <x:c r="F371" s="530" t="str">
        <x:f>IF(ISBLANK('_INSTANCE'!F290),"",'_INSTANCE'!F290)</x:f>
      </x:c>
      <x:c r="G371" s="530" t="str">
        <x:f>IF(ISBLANK('_INSTANCE'!G290),"",'_INSTANCE'!G290)</x:f>
      </x:c>
      <x:c r="H371" s="530" t="str">
        <x:f>IF(ISBLANK('_INSTANCE'!H290),"",'_INSTANCE'!H290)</x:f>
      </x:c>
      <x:c r="I371" s="530" t="str">
        <x:f>IF(ISBLANK('_INSTANCE'!I290),"",'_INSTANCE'!I290)</x:f>
      </x:c>
      <x:c r="J371" s="530" t="str">
        <x:f>IF(ISBLANK('_INSTANCE'!J290),"",'_INSTANCE'!J290)</x:f>
      </x:c>
      <x:c r="K371" s="38"/>
      <x:c r="L371" s="38"/>
      <x:c r="M371" s="38"/>
      <x:c r="N371" s="38"/>
      <x:c r="O371" s="38"/>
      <x:c r="P371" s="38"/>
      <x:c r="Q371" s="38"/>
    </x:row>
    <x:row r="372">
      <x:c r="A372" s="523" t="str">
        <x:f>IF(ISBLANK('_INSTANCE'!A291),"",'_INSTANCE'!A291)</x:f>
      </x:c>
      <x:c r="B372" s="523" t="str">
        <x:f>IF(ISBLANK('_INSTANCE'!B291),"",'_INSTANCE'!B291)</x:f>
      </x:c>
      <x:c r="C372" s="523" t="str">
        <x:f>IF(ISBLANK('_INSTANCE'!C291),"",'_INSTANCE'!C291)</x:f>
      </x:c>
      <x:c r="D372" s="530" t="str">
        <x:f>IF(ISBLANK('_INSTANCE'!D291),"",'_INSTANCE'!D291)</x:f>
      </x:c>
      <x:c r="E372" s="530" t="str">
        <x:f>IF(ISBLANK('_INSTANCE'!E291),"",'_INSTANCE'!E291)</x:f>
      </x:c>
      <x:c r="F372" s="530" t="str">
        <x:f>IF(ISBLANK('_INSTANCE'!F291),"",'_INSTANCE'!F291)</x:f>
      </x:c>
      <x:c r="G372" s="530" t="str">
        <x:f>IF(ISBLANK('_INSTANCE'!G291),"",'_INSTANCE'!G291)</x:f>
      </x:c>
      <x:c r="H372" s="530" t="str">
        <x:f>IF(ISBLANK('_INSTANCE'!H291),"",'_INSTANCE'!H291)</x:f>
      </x:c>
      <x:c r="I372" s="530" t="str">
        <x:f>IF(ISBLANK('_INSTANCE'!I291),"",'_INSTANCE'!I291)</x:f>
      </x:c>
      <x:c r="J372" s="530" t="str">
        <x:f>IF(ISBLANK('_INSTANCE'!J291),"",'_INSTANCE'!J291)</x:f>
      </x:c>
      <x:c r="K372" s="38"/>
      <x:c r="L372" s="38"/>
      <x:c r="M372" s="38"/>
      <x:c r="N372" s="38"/>
      <x:c r="O372" s="38"/>
      <x:c r="P372" s="38"/>
      <x:c r="Q372" s="38"/>
    </x:row>
    <x:row r="373">
      <x:c r="A373" s="523" t="str">
        <x:f>IF(ISBLANK('_INSTANCE'!A292),"",'_INSTANCE'!A292)</x:f>
      </x:c>
      <x:c r="B373" s="523" t="str">
        <x:f>IF(ISBLANK('_INSTANCE'!B292),"",'_INSTANCE'!B292)</x:f>
      </x:c>
      <x:c r="C373" s="523" t="str">
        <x:f>IF(ISBLANK('_INSTANCE'!C292),"",'_INSTANCE'!C292)</x:f>
      </x:c>
      <x:c r="D373" s="530" t="str">
        <x:f>IF(ISBLANK('_INSTANCE'!D292),"",'_INSTANCE'!D292)</x:f>
      </x:c>
      <x:c r="E373" s="530" t="str">
        <x:f>IF(ISBLANK('_INSTANCE'!E292),"",'_INSTANCE'!E292)</x:f>
      </x:c>
      <x:c r="F373" s="530" t="str">
        <x:f>IF(ISBLANK('_INSTANCE'!F292),"",'_INSTANCE'!F292)</x:f>
      </x:c>
      <x:c r="G373" s="530" t="str">
        <x:f>IF(ISBLANK('_INSTANCE'!G292),"",'_INSTANCE'!G292)</x:f>
      </x:c>
      <x:c r="H373" s="530" t="str">
        <x:f>IF(ISBLANK('_INSTANCE'!H292),"",'_INSTANCE'!H292)</x:f>
      </x:c>
      <x:c r="I373" s="530" t="str">
        <x:f>IF(ISBLANK('_INSTANCE'!I292),"",'_INSTANCE'!I292)</x:f>
      </x:c>
      <x:c r="J373" s="530" t="str">
        <x:f>IF(ISBLANK('_INSTANCE'!J292),"",'_INSTANCE'!J292)</x:f>
      </x:c>
      <x:c r="K373" s="38"/>
      <x:c r="L373" s="38"/>
      <x:c r="M373" s="38"/>
      <x:c r="N373" s="38"/>
      <x:c r="O373" s="38"/>
      <x:c r="P373" s="38"/>
      <x:c r="Q373" s="38"/>
    </x:row>
    <x:row r="374">
      <x:c r="A374" s="523" t="str">
        <x:f>IF(ISBLANK('_INSTANCE'!A293),"",'_INSTANCE'!A293)</x:f>
      </x:c>
      <x:c r="B374" s="523" t="str">
        <x:f>IF(ISBLANK('_INSTANCE'!B293),"",'_INSTANCE'!B293)</x:f>
      </x:c>
      <x:c r="C374" s="523" t="str">
        <x:f>IF(ISBLANK('_INSTANCE'!C293),"",'_INSTANCE'!C293)</x:f>
      </x:c>
      <x:c r="D374" s="530" t="str">
        <x:f>IF(ISBLANK('_INSTANCE'!D293),"",'_INSTANCE'!D293)</x:f>
      </x:c>
      <x:c r="E374" s="530" t="str">
        <x:f>IF(ISBLANK('_INSTANCE'!E293),"",'_INSTANCE'!E293)</x:f>
      </x:c>
      <x:c r="F374" s="530" t="str">
        <x:f>IF(ISBLANK('_INSTANCE'!F293),"",'_INSTANCE'!F293)</x:f>
      </x:c>
      <x:c r="G374" s="530" t="str">
        <x:f>IF(ISBLANK('_INSTANCE'!G293),"",'_INSTANCE'!G293)</x:f>
      </x:c>
      <x:c r="H374" s="530" t="str">
        <x:f>IF(ISBLANK('_INSTANCE'!H293),"",'_INSTANCE'!H293)</x:f>
      </x:c>
      <x:c r="I374" s="530" t="str">
        <x:f>IF(ISBLANK('_INSTANCE'!I293),"",'_INSTANCE'!I293)</x:f>
      </x:c>
      <x:c r="J374" s="530" t="str">
        <x:f>IF(ISBLANK('_INSTANCE'!J293),"",'_INSTANCE'!J293)</x:f>
      </x:c>
      <x:c r="K374" s="38"/>
      <x:c r="L374" s="38"/>
      <x:c r="M374" s="38"/>
      <x:c r="N374" s="38"/>
      <x:c r="O374" s="38"/>
      <x:c r="P374" s="38"/>
      <x:c r="Q374" s="38"/>
    </x:row>
    <x:row r="375">
      <x:c r="A375" s="523" t="str">
        <x:f>IF(ISBLANK('_INSTANCE'!A294),"",'_INSTANCE'!A294)</x:f>
      </x:c>
      <x:c r="B375" s="523" t="str">
        <x:f>IF(ISBLANK('_INSTANCE'!B294),"",'_INSTANCE'!B294)</x:f>
      </x:c>
      <x:c r="C375" s="523" t="str">
        <x:f>IF(ISBLANK('_INSTANCE'!C294),"",'_INSTANCE'!C294)</x:f>
      </x:c>
      <x:c r="D375" s="530" t="str">
        <x:f>IF(ISBLANK('_INSTANCE'!D294),"",'_INSTANCE'!D294)</x:f>
      </x:c>
      <x:c r="E375" s="530" t="str">
        <x:f>IF(ISBLANK('_INSTANCE'!E294),"",'_INSTANCE'!E294)</x:f>
      </x:c>
      <x:c r="F375" s="530" t="str">
        <x:f>IF(ISBLANK('_INSTANCE'!F294),"",'_INSTANCE'!F294)</x:f>
      </x:c>
      <x:c r="G375" s="530" t="str">
        <x:f>IF(ISBLANK('_INSTANCE'!G294),"",'_INSTANCE'!G294)</x:f>
      </x:c>
      <x:c r="H375" s="530" t="str">
        <x:f>IF(ISBLANK('_INSTANCE'!H294),"",'_INSTANCE'!H294)</x:f>
      </x:c>
      <x:c r="I375" s="530" t="str">
        <x:f>IF(ISBLANK('_INSTANCE'!I294),"",'_INSTANCE'!I294)</x:f>
      </x:c>
      <x:c r="J375" s="530" t="str">
        <x:f>IF(ISBLANK('_INSTANCE'!J294),"",'_INSTANCE'!J294)</x:f>
      </x:c>
      <x:c r="K375" s="38"/>
      <x:c r="L375" s="38"/>
      <x:c r="M375" s="38"/>
      <x:c r="N375" s="38"/>
      <x:c r="O375" s="38"/>
      <x:c r="P375" s="38"/>
      <x:c r="Q375" s="38"/>
    </x:row>
    <x:row r="376">
      <x:c r="A376" s="523" t="str">
        <x:f>IF(ISBLANK('_INSTANCE'!A295),"",'_INSTANCE'!A295)</x:f>
      </x:c>
      <x:c r="B376" s="523" t="str">
        <x:f>IF(ISBLANK('_INSTANCE'!B295),"",'_INSTANCE'!B295)</x:f>
      </x:c>
      <x:c r="C376" s="523" t="str">
        <x:f>IF(ISBLANK('_INSTANCE'!C295),"",'_INSTANCE'!C295)</x:f>
      </x:c>
      <x:c r="D376" s="530" t="str">
        <x:f>IF(ISBLANK('_INSTANCE'!D295),"",'_INSTANCE'!D295)</x:f>
      </x:c>
      <x:c r="E376" s="530" t="str">
        <x:f>IF(ISBLANK('_INSTANCE'!E295),"",'_INSTANCE'!E295)</x:f>
      </x:c>
      <x:c r="F376" s="530" t="str">
        <x:f>IF(ISBLANK('_INSTANCE'!F295),"",'_INSTANCE'!F295)</x:f>
      </x:c>
      <x:c r="G376" s="530" t="str">
        <x:f>IF(ISBLANK('_INSTANCE'!G295),"",'_INSTANCE'!G295)</x:f>
      </x:c>
      <x:c r="H376" s="530" t="str">
        <x:f>IF(ISBLANK('_INSTANCE'!H295),"",'_INSTANCE'!H295)</x:f>
      </x:c>
      <x:c r="I376" s="530" t="str">
        <x:f>IF(ISBLANK('_INSTANCE'!I295),"",'_INSTANCE'!I295)</x:f>
      </x:c>
      <x:c r="J376" s="530" t="str">
        <x:f>IF(ISBLANK('_INSTANCE'!J295),"",'_INSTANCE'!J295)</x:f>
      </x:c>
      <x:c r="K376" s="38"/>
      <x:c r="L376" s="38"/>
      <x:c r="M376" s="38"/>
      <x:c r="N376" s="38"/>
      <x:c r="O376" s="38"/>
      <x:c r="P376" s="38"/>
      <x:c r="Q376" s="38"/>
    </x:row>
    <x:row r="377">
      <x:c r="A377" s="523" t="str">
        <x:f>IF(ISBLANK('_INSTANCE'!A296),"",'_INSTANCE'!A296)</x:f>
      </x:c>
      <x:c r="B377" s="523" t="str">
        <x:f>IF(ISBLANK('_INSTANCE'!B296),"",'_INSTANCE'!B296)</x:f>
      </x:c>
      <x:c r="C377" s="523" t="str">
        <x:f>IF(ISBLANK('_INSTANCE'!C296),"",'_INSTANCE'!C296)</x:f>
      </x:c>
      <x:c r="D377" s="530" t="str">
        <x:f>IF(ISBLANK('_INSTANCE'!D296),"",'_INSTANCE'!D296)</x:f>
      </x:c>
      <x:c r="E377" s="530" t="str">
        <x:f>IF(ISBLANK('_INSTANCE'!E296),"",'_INSTANCE'!E296)</x:f>
      </x:c>
      <x:c r="F377" s="530" t="str">
        <x:f>IF(ISBLANK('_INSTANCE'!F296),"",'_INSTANCE'!F296)</x:f>
      </x:c>
      <x:c r="G377" s="530" t="str">
        <x:f>IF(ISBLANK('_INSTANCE'!G296),"",'_INSTANCE'!G296)</x:f>
      </x:c>
      <x:c r="H377" s="530" t="str">
        <x:f>IF(ISBLANK('_INSTANCE'!H296),"",'_INSTANCE'!H296)</x:f>
      </x:c>
      <x:c r="I377" s="530" t="str">
        <x:f>IF(ISBLANK('_INSTANCE'!I296),"",'_INSTANCE'!I296)</x:f>
      </x:c>
      <x:c r="J377" s="530" t="str">
        <x:f>IF(ISBLANK('_INSTANCE'!J296),"",'_INSTANCE'!J296)</x:f>
      </x:c>
      <x:c r="K377" s="38"/>
      <x:c r="L377" s="38"/>
      <x:c r="M377" s="38"/>
      <x:c r="N377" s="38"/>
      <x:c r="O377" s="38"/>
      <x:c r="P377" s="38"/>
      <x:c r="Q377" s="38"/>
    </x:row>
    <x:row r="378">
      <x:c r="A378" s="523" t="str">
        <x:f>IF(ISBLANK('_INSTANCE'!A297),"",'_INSTANCE'!A297)</x:f>
      </x:c>
      <x:c r="B378" s="523" t="str">
        <x:f>IF(ISBLANK('_INSTANCE'!B297),"",'_INSTANCE'!B297)</x:f>
      </x:c>
      <x:c r="C378" s="523" t="str">
        <x:f>IF(ISBLANK('_INSTANCE'!C297),"",'_INSTANCE'!C297)</x:f>
      </x:c>
      <x:c r="D378" s="530" t="str">
        <x:f>IF(ISBLANK('_INSTANCE'!D297),"",'_INSTANCE'!D297)</x:f>
      </x:c>
      <x:c r="E378" s="530" t="str">
        <x:f>IF(ISBLANK('_INSTANCE'!E297),"",'_INSTANCE'!E297)</x:f>
      </x:c>
      <x:c r="F378" s="530" t="str">
        <x:f>IF(ISBLANK('_INSTANCE'!F297),"",'_INSTANCE'!F297)</x:f>
      </x:c>
      <x:c r="G378" s="530" t="str">
        <x:f>IF(ISBLANK('_INSTANCE'!G297),"",'_INSTANCE'!G297)</x:f>
      </x:c>
      <x:c r="H378" s="530" t="str">
        <x:f>IF(ISBLANK('_INSTANCE'!H297),"",'_INSTANCE'!H297)</x:f>
      </x:c>
      <x:c r="I378" s="530" t="str">
        <x:f>IF(ISBLANK('_INSTANCE'!I297),"",'_INSTANCE'!I297)</x:f>
      </x:c>
      <x:c r="J378" s="530" t="str">
        <x:f>IF(ISBLANK('_INSTANCE'!J297),"",'_INSTANCE'!J297)</x:f>
      </x:c>
      <x:c r="K378" s="38"/>
      <x:c r="L378" s="38"/>
      <x:c r="M378" s="38"/>
      <x:c r="N378" s="38"/>
      <x:c r="O378" s="38"/>
      <x:c r="P378" s="38"/>
      <x:c r="Q378" s="38"/>
    </x:row>
    <x:row r="379">
      <x:c r="A379" s="523" t="str">
        <x:f>IF(ISBLANK('_INSTANCE'!A298),"",'_INSTANCE'!A298)</x:f>
      </x:c>
      <x:c r="B379" s="523" t="str">
        <x:f>IF(ISBLANK('_INSTANCE'!B298),"",'_INSTANCE'!B298)</x:f>
      </x:c>
      <x:c r="C379" s="523" t="str">
        <x:f>IF(ISBLANK('_INSTANCE'!C298),"",'_INSTANCE'!C298)</x:f>
      </x:c>
      <x:c r="D379" s="530" t="str">
        <x:f>IF(ISBLANK('_INSTANCE'!D298),"",'_INSTANCE'!D298)</x:f>
      </x:c>
      <x:c r="E379" s="530" t="str">
        <x:f>IF(ISBLANK('_INSTANCE'!E298),"",'_INSTANCE'!E298)</x:f>
      </x:c>
      <x:c r="F379" s="530" t="str">
        <x:f>IF(ISBLANK('_INSTANCE'!F298),"",'_INSTANCE'!F298)</x:f>
      </x:c>
      <x:c r="G379" s="530" t="str">
        <x:f>IF(ISBLANK('_INSTANCE'!G298),"",'_INSTANCE'!G298)</x:f>
      </x:c>
      <x:c r="H379" s="530" t="str">
        <x:f>IF(ISBLANK('_INSTANCE'!H298),"",'_INSTANCE'!H298)</x:f>
      </x:c>
      <x:c r="I379" s="530" t="str">
        <x:f>IF(ISBLANK('_INSTANCE'!I298),"",'_INSTANCE'!I298)</x:f>
      </x:c>
      <x:c r="J379" s="530" t="str">
        <x:f>IF(ISBLANK('_INSTANCE'!J298),"",'_INSTANCE'!J298)</x:f>
      </x:c>
      <x:c r="K379" s="38"/>
      <x:c r="L379" s="38"/>
      <x:c r="M379" s="38"/>
      <x:c r="N379" s="38"/>
      <x:c r="O379" s="38"/>
      <x:c r="P379" s="38"/>
      <x:c r="Q379" s="38"/>
    </x:row>
    <x:row r="380">
      <x:c r="A380" s="523" t="str">
        <x:f>IF(ISBLANK('_INSTANCE'!A299),"",'_INSTANCE'!A299)</x:f>
      </x:c>
      <x:c r="B380" s="523" t="str">
        <x:f>IF(ISBLANK('_INSTANCE'!B299),"",'_INSTANCE'!B299)</x:f>
      </x:c>
      <x:c r="C380" s="523" t="str">
        <x:f>IF(ISBLANK('_INSTANCE'!C299),"",'_INSTANCE'!C299)</x:f>
      </x:c>
      <x:c r="D380" s="530" t="str">
        <x:f>IF(ISBLANK('_INSTANCE'!D299),"",'_INSTANCE'!D299)</x:f>
      </x:c>
      <x:c r="E380" s="530" t="str">
        <x:f>IF(ISBLANK('_INSTANCE'!E299),"",'_INSTANCE'!E299)</x:f>
      </x:c>
      <x:c r="F380" s="530" t="str">
        <x:f>IF(ISBLANK('_INSTANCE'!F299),"",'_INSTANCE'!F299)</x:f>
      </x:c>
      <x:c r="G380" s="530" t="str">
        <x:f>IF(ISBLANK('_INSTANCE'!G299),"",'_INSTANCE'!G299)</x:f>
      </x:c>
      <x:c r="H380" s="530" t="str">
        <x:f>IF(ISBLANK('_INSTANCE'!H299),"",'_INSTANCE'!H299)</x:f>
      </x:c>
      <x:c r="I380" s="530" t="str">
        <x:f>IF(ISBLANK('_INSTANCE'!I299),"",'_INSTANCE'!I299)</x:f>
      </x:c>
      <x:c r="J380" s="530" t="str">
        <x:f>IF(ISBLANK('_INSTANCE'!J299),"",'_INSTANCE'!J299)</x:f>
      </x:c>
      <x:c r="K380" s="38"/>
      <x:c r="L380" s="38"/>
      <x:c r="M380" s="38"/>
      <x:c r="N380" s="38"/>
      <x:c r="O380" s="38"/>
      <x:c r="P380" s="38"/>
      <x:c r="Q380" s="38"/>
    </x:row>
    <x:row r="381">
      <x:c r="A381" s="523" t="str">
        <x:f>IF(ISBLANK('_INSTANCE'!A300),"",'_INSTANCE'!A300)</x:f>
      </x:c>
      <x:c r="B381" s="523" t="str">
        <x:f>IF(ISBLANK('_INSTANCE'!B300),"",'_INSTANCE'!B300)</x:f>
      </x:c>
      <x:c r="C381" s="523" t="str">
        <x:f>IF(ISBLANK('_INSTANCE'!C300),"",'_INSTANCE'!C300)</x:f>
      </x:c>
      <x:c r="D381" s="530" t="str">
        <x:f>IF(ISBLANK('_INSTANCE'!D300),"",'_INSTANCE'!D300)</x:f>
      </x:c>
      <x:c r="E381" s="530" t="str">
        <x:f>IF(ISBLANK('_INSTANCE'!E300),"",'_INSTANCE'!E300)</x:f>
      </x:c>
      <x:c r="F381" s="530" t="str">
        <x:f>IF(ISBLANK('_INSTANCE'!F300),"",'_INSTANCE'!F300)</x:f>
      </x:c>
      <x:c r="G381" s="530" t="str">
        <x:f>IF(ISBLANK('_INSTANCE'!G300),"",'_INSTANCE'!G300)</x:f>
      </x:c>
      <x:c r="H381" s="530" t="str">
        <x:f>IF(ISBLANK('_INSTANCE'!H300),"",'_INSTANCE'!H300)</x:f>
      </x:c>
      <x:c r="I381" s="530" t="str">
        <x:f>IF(ISBLANK('_INSTANCE'!I300),"",'_INSTANCE'!I300)</x:f>
      </x:c>
      <x:c r="J381" s="530" t="str">
        <x:f>IF(ISBLANK('_INSTANCE'!J300),"",'_INSTANCE'!J300)</x:f>
      </x:c>
      <x:c r="K381" s="38"/>
      <x:c r="L381" s="38"/>
      <x:c r="M381" s="38"/>
      <x:c r="N381" s="38"/>
      <x:c r="O381" s="38"/>
      <x:c r="P381" s="38"/>
      <x:c r="Q381" s="38"/>
    </x:row>
    <x:row r="382">
      <x:c r="A382" s="523" t="str">
        <x:f>IF(ISBLANK('_INSTANCE'!A301),"",'_INSTANCE'!A301)</x:f>
      </x:c>
      <x:c r="B382" s="523" t="str">
        <x:f>IF(ISBLANK('_INSTANCE'!B301),"",'_INSTANCE'!B301)</x:f>
      </x:c>
      <x:c r="C382" s="523" t="str">
        <x:f>IF(ISBLANK('_INSTANCE'!C301),"",'_INSTANCE'!C301)</x:f>
      </x:c>
      <x:c r="D382" s="530" t="str">
        <x:f>IF(ISBLANK('_INSTANCE'!D301),"",'_INSTANCE'!D301)</x:f>
      </x:c>
      <x:c r="E382" s="530" t="str">
        <x:f>IF(ISBLANK('_INSTANCE'!E301),"",'_INSTANCE'!E301)</x:f>
      </x:c>
      <x:c r="F382" s="530" t="str">
        <x:f>IF(ISBLANK('_INSTANCE'!F301),"",'_INSTANCE'!F301)</x:f>
      </x:c>
      <x:c r="G382" s="530" t="str">
        <x:f>IF(ISBLANK('_INSTANCE'!G301),"",'_INSTANCE'!G301)</x:f>
      </x:c>
      <x:c r="H382" s="530" t="str">
        <x:f>IF(ISBLANK('_INSTANCE'!H301),"",'_INSTANCE'!H301)</x:f>
      </x:c>
      <x:c r="I382" s="530" t="str">
        <x:f>IF(ISBLANK('_INSTANCE'!I301),"",'_INSTANCE'!I301)</x:f>
      </x:c>
      <x:c r="J382" s="530" t="str">
        <x:f>IF(ISBLANK('_INSTANCE'!J301),"",'_INSTANCE'!J301)</x:f>
      </x:c>
      <x:c r="K382" s="38"/>
      <x:c r="L382" s="38"/>
      <x:c r="M382" s="38"/>
      <x:c r="N382" s="38"/>
      <x:c r="O382" s="38"/>
      <x:c r="P382" s="38"/>
      <x:c r="Q382" s="38"/>
    </x:row>
    <x:row r="383">
      <x:c r="A383" s="523" t="str">
        <x:f>IF(ISBLANK('_INSTANCE'!A302),"",'_INSTANCE'!A302)</x:f>
      </x:c>
      <x:c r="B383" s="523" t="str">
        <x:f>IF(ISBLANK('_INSTANCE'!B302),"",'_INSTANCE'!B302)</x:f>
      </x:c>
      <x:c r="C383" s="523" t="str">
        <x:f>IF(ISBLANK('_INSTANCE'!C302),"",'_INSTANCE'!C302)</x:f>
      </x:c>
      <x:c r="D383" s="530" t="str">
        <x:f>IF(ISBLANK('_INSTANCE'!D302),"",'_INSTANCE'!D302)</x:f>
      </x:c>
      <x:c r="E383" s="530" t="str">
        <x:f>IF(ISBLANK('_INSTANCE'!E302),"",'_INSTANCE'!E302)</x:f>
      </x:c>
      <x:c r="F383" s="530" t="str">
        <x:f>IF(ISBLANK('_INSTANCE'!F302),"",'_INSTANCE'!F302)</x:f>
      </x:c>
      <x:c r="G383" s="530" t="str">
        <x:f>IF(ISBLANK('_INSTANCE'!G302),"",'_INSTANCE'!G302)</x:f>
      </x:c>
      <x:c r="H383" s="530" t="str">
        <x:f>IF(ISBLANK('_INSTANCE'!H302),"",'_INSTANCE'!H302)</x:f>
      </x:c>
      <x:c r="I383" s="530" t="str">
        <x:f>IF(ISBLANK('_INSTANCE'!I302),"",'_INSTANCE'!I302)</x:f>
      </x:c>
      <x:c r="J383" s="530" t="str">
        <x:f>IF(ISBLANK('_INSTANCE'!J302),"",'_INSTANCE'!J302)</x:f>
      </x:c>
      <x:c r="K383" s="38"/>
      <x:c r="L383" s="38"/>
      <x:c r="M383" s="38"/>
      <x:c r="N383" s="38"/>
      <x:c r="O383" s="38"/>
      <x:c r="P383" s="38"/>
      <x:c r="Q383" s="38"/>
    </x:row>
    <x:row r="384">
      <x:c r="A384" s="523" t="str">
        <x:f>IF(ISBLANK('_INSTANCE'!A303),"",'_INSTANCE'!A303)</x:f>
      </x:c>
      <x:c r="B384" s="523" t="str">
        <x:f>IF(ISBLANK('_INSTANCE'!B303),"",'_INSTANCE'!B303)</x:f>
      </x:c>
      <x:c r="C384" s="523" t="str">
        <x:f>IF(ISBLANK('_INSTANCE'!C303),"",'_INSTANCE'!C303)</x:f>
      </x:c>
      <x:c r="D384" s="530" t="str">
        <x:f>IF(ISBLANK('_INSTANCE'!D303),"",'_INSTANCE'!D303)</x:f>
      </x:c>
      <x:c r="E384" s="530" t="str">
        <x:f>IF(ISBLANK('_INSTANCE'!E303),"",'_INSTANCE'!E303)</x:f>
      </x:c>
      <x:c r="F384" s="530" t="str">
        <x:f>IF(ISBLANK('_INSTANCE'!F303),"",'_INSTANCE'!F303)</x:f>
      </x:c>
      <x:c r="G384" s="530" t="str">
        <x:f>IF(ISBLANK('_INSTANCE'!G303),"",'_INSTANCE'!G303)</x:f>
      </x:c>
      <x:c r="H384" s="530" t="str">
        <x:f>IF(ISBLANK('_INSTANCE'!H303),"",'_INSTANCE'!H303)</x:f>
      </x:c>
      <x:c r="I384" s="530" t="str">
        <x:f>IF(ISBLANK('_INSTANCE'!I303),"",'_INSTANCE'!I303)</x:f>
      </x:c>
      <x:c r="J384" s="530" t="str">
        <x:f>IF(ISBLANK('_INSTANCE'!J303),"",'_INSTANCE'!J303)</x:f>
      </x:c>
      <x:c r="K384" s="38"/>
      <x:c r="L384" s="38"/>
      <x:c r="M384" s="38"/>
      <x:c r="N384" s="38"/>
      <x:c r="O384" s="38"/>
      <x:c r="P384" s="38"/>
      <x:c r="Q384" s="38"/>
    </x:row>
    <x:row r="385">
      <x:c r="A385" s="523" t="str">
        <x:f>IF(ISBLANK('_INSTANCE'!A304),"",'_INSTANCE'!A304)</x:f>
      </x:c>
      <x:c r="B385" s="523" t="str">
        <x:f>IF(ISBLANK('_INSTANCE'!B304),"",'_INSTANCE'!B304)</x:f>
      </x:c>
      <x:c r="C385" s="523" t="str">
        <x:f>IF(ISBLANK('_INSTANCE'!C304),"",'_INSTANCE'!C304)</x:f>
      </x:c>
      <x:c r="D385" s="530" t="str">
        <x:f>IF(ISBLANK('_INSTANCE'!D304),"",'_INSTANCE'!D304)</x:f>
      </x:c>
      <x:c r="E385" s="530" t="str">
        <x:f>IF(ISBLANK('_INSTANCE'!E304),"",'_INSTANCE'!E304)</x:f>
      </x:c>
      <x:c r="F385" s="530" t="str">
        <x:f>IF(ISBLANK('_INSTANCE'!F304),"",'_INSTANCE'!F304)</x:f>
      </x:c>
      <x:c r="G385" s="530" t="str">
        <x:f>IF(ISBLANK('_INSTANCE'!G304),"",'_INSTANCE'!G304)</x:f>
      </x:c>
      <x:c r="H385" s="530" t="str">
        <x:f>IF(ISBLANK('_INSTANCE'!H304),"",'_INSTANCE'!H304)</x:f>
      </x:c>
      <x:c r="I385" s="530" t="str">
        <x:f>IF(ISBLANK('_INSTANCE'!I304),"",'_INSTANCE'!I304)</x:f>
      </x:c>
      <x:c r="J385" s="530" t="str">
        <x:f>IF(ISBLANK('_INSTANCE'!J304),"",'_INSTANCE'!J304)</x:f>
      </x:c>
      <x:c r="K385" s="38"/>
      <x:c r="L385" s="38"/>
      <x:c r="M385" s="38"/>
      <x:c r="N385" s="38"/>
      <x:c r="O385" s="38"/>
      <x:c r="P385" s="38"/>
      <x:c r="Q385" s="38"/>
    </x:row>
    <x:row r="386">
      <x:c r="A386" s="523" t="str">
        <x:f>IF(ISBLANK('_INSTANCE'!A305),"",'_INSTANCE'!A305)</x:f>
      </x:c>
      <x:c r="B386" s="523" t="str">
        <x:f>IF(ISBLANK('_INSTANCE'!B305),"",'_INSTANCE'!B305)</x:f>
      </x:c>
      <x:c r="C386" s="523" t="str">
        <x:f>IF(ISBLANK('_INSTANCE'!C305),"",'_INSTANCE'!C305)</x:f>
      </x:c>
      <x:c r="D386" s="530" t="str">
        <x:f>IF(ISBLANK('_INSTANCE'!D305),"",'_INSTANCE'!D305)</x:f>
      </x:c>
      <x:c r="E386" s="530" t="str">
        <x:f>IF(ISBLANK('_INSTANCE'!E305),"",'_INSTANCE'!E305)</x:f>
      </x:c>
      <x:c r="F386" s="530" t="str">
        <x:f>IF(ISBLANK('_INSTANCE'!F305),"",'_INSTANCE'!F305)</x:f>
      </x:c>
      <x:c r="G386" s="530" t="str">
        <x:f>IF(ISBLANK('_INSTANCE'!G305),"",'_INSTANCE'!G305)</x:f>
      </x:c>
      <x:c r="H386" s="530" t="str">
        <x:f>IF(ISBLANK('_INSTANCE'!H305),"",'_INSTANCE'!H305)</x:f>
      </x:c>
      <x:c r="I386" s="530" t="str">
        <x:f>IF(ISBLANK('_INSTANCE'!I305),"",'_INSTANCE'!I305)</x:f>
      </x:c>
      <x:c r="J386" s="530" t="str">
        <x:f>IF(ISBLANK('_INSTANCE'!J305),"",'_INSTANCE'!J305)</x:f>
      </x:c>
      <x:c r="K386" s="38"/>
      <x:c r="L386" s="38"/>
      <x:c r="M386" s="38"/>
      <x:c r="N386" s="38"/>
      <x:c r="O386" s="38"/>
      <x:c r="P386" s="38"/>
      <x:c r="Q386" s="38"/>
    </x:row>
    <x:row r="387">
      <x:c r="A387" s="523" t="str">
        <x:f>IF(ISBLANK('_INSTANCE'!A306),"",'_INSTANCE'!A306)</x:f>
      </x:c>
      <x:c r="B387" s="523" t="str">
        <x:f>IF(ISBLANK('_INSTANCE'!B306),"",'_INSTANCE'!B306)</x:f>
      </x:c>
      <x:c r="C387" s="523" t="str">
        <x:f>IF(ISBLANK('_INSTANCE'!C306),"",'_INSTANCE'!C306)</x:f>
      </x:c>
      <x:c r="D387" s="530" t="str">
        <x:f>IF(ISBLANK('_INSTANCE'!D306),"",'_INSTANCE'!D306)</x:f>
      </x:c>
      <x:c r="E387" s="530" t="str">
        <x:f>IF(ISBLANK('_INSTANCE'!E306),"",'_INSTANCE'!E306)</x:f>
      </x:c>
      <x:c r="F387" s="530" t="str">
        <x:f>IF(ISBLANK('_INSTANCE'!F306),"",'_INSTANCE'!F306)</x:f>
      </x:c>
      <x:c r="G387" s="530" t="str">
        <x:f>IF(ISBLANK('_INSTANCE'!G306),"",'_INSTANCE'!G306)</x:f>
      </x:c>
      <x:c r="H387" s="530" t="str">
        <x:f>IF(ISBLANK('_INSTANCE'!H306),"",'_INSTANCE'!H306)</x:f>
      </x:c>
      <x:c r="I387" s="530" t="str">
        <x:f>IF(ISBLANK('_INSTANCE'!I306),"",'_INSTANCE'!I306)</x:f>
      </x:c>
      <x:c r="J387" s="530" t="str">
        <x:f>IF(ISBLANK('_INSTANCE'!J306),"",'_INSTANCE'!J306)</x:f>
      </x:c>
      <x:c r="K387" s="38"/>
      <x:c r="L387" s="38"/>
      <x:c r="M387" s="38"/>
      <x:c r="N387" s="38"/>
      <x:c r="O387" s="38"/>
      <x:c r="P387" s="38"/>
      <x:c r="Q387" s="38"/>
    </x:row>
    <x:row r="388">
      <x:c r="A388" s="523" t="str">
        <x:f>IF(ISBLANK('_INSTANCE'!A307),"",'_INSTANCE'!A307)</x:f>
      </x:c>
      <x:c r="B388" s="523" t="str">
        <x:f>IF(ISBLANK('_INSTANCE'!B307),"",'_INSTANCE'!B307)</x:f>
      </x:c>
      <x:c r="C388" s="523" t="str">
        <x:f>IF(ISBLANK('_INSTANCE'!C307),"",'_INSTANCE'!C307)</x:f>
      </x:c>
      <x:c r="D388" s="530" t="str">
        <x:f>IF(ISBLANK('_INSTANCE'!D307),"",'_INSTANCE'!D307)</x:f>
      </x:c>
      <x:c r="E388" s="530" t="str">
        <x:f>IF(ISBLANK('_INSTANCE'!E307),"",'_INSTANCE'!E307)</x:f>
      </x:c>
      <x:c r="F388" s="530" t="str">
        <x:f>IF(ISBLANK('_INSTANCE'!F307),"",'_INSTANCE'!F307)</x:f>
      </x:c>
      <x:c r="G388" s="530" t="str">
        <x:f>IF(ISBLANK('_INSTANCE'!G307),"",'_INSTANCE'!G307)</x:f>
      </x:c>
      <x:c r="H388" s="530" t="str">
        <x:f>IF(ISBLANK('_INSTANCE'!H307),"",'_INSTANCE'!H307)</x:f>
      </x:c>
      <x:c r="I388" s="530" t="str">
        <x:f>IF(ISBLANK('_INSTANCE'!I307),"",'_INSTANCE'!I307)</x:f>
      </x:c>
      <x:c r="J388" s="530" t="str">
        <x:f>IF(ISBLANK('_INSTANCE'!J307),"",'_INSTANCE'!J307)</x:f>
      </x:c>
      <x:c r="K388" s="38"/>
      <x:c r="L388" s="38"/>
      <x:c r="M388" s="38"/>
      <x:c r="N388" s="38"/>
      <x:c r="O388" s="38"/>
      <x:c r="P388" s="38"/>
      <x:c r="Q388" s="38"/>
    </x:row>
    <x:row r="389">
      <x:c r="A389" s="523" t="str">
        <x:f>IF(ISBLANK('_INSTANCE'!A308),"",'_INSTANCE'!A308)</x:f>
      </x:c>
      <x:c r="B389" s="523" t="str">
        <x:f>IF(ISBLANK('_INSTANCE'!B308),"",'_INSTANCE'!B308)</x:f>
      </x:c>
      <x:c r="C389" s="523" t="str">
        <x:f>IF(ISBLANK('_INSTANCE'!C308),"",'_INSTANCE'!C308)</x:f>
      </x:c>
      <x:c r="D389" s="530" t="str">
        <x:f>IF(ISBLANK('_INSTANCE'!D308),"",'_INSTANCE'!D308)</x:f>
      </x:c>
      <x:c r="E389" s="530" t="str">
        <x:f>IF(ISBLANK('_INSTANCE'!E308),"",'_INSTANCE'!E308)</x:f>
      </x:c>
      <x:c r="F389" s="530" t="str">
        <x:f>IF(ISBLANK('_INSTANCE'!F308),"",'_INSTANCE'!F308)</x:f>
      </x:c>
      <x:c r="G389" s="530" t="str">
        <x:f>IF(ISBLANK('_INSTANCE'!G308),"",'_INSTANCE'!G308)</x:f>
      </x:c>
      <x:c r="H389" s="530" t="str">
        <x:f>IF(ISBLANK('_INSTANCE'!H308),"",'_INSTANCE'!H308)</x:f>
      </x:c>
      <x:c r="I389" s="530" t="str">
        <x:f>IF(ISBLANK('_INSTANCE'!I308),"",'_INSTANCE'!I308)</x:f>
      </x:c>
      <x:c r="J389" s="530" t="str">
        <x:f>IF(ISBLANK('_INSTANCE'!J308),"",'_INSTANCE'!J308)</x:f>
      </x:c>
      <x:c r="K389" s="38"/>
      <x:c r="L389" s="38"/>
      <x:c r="M389" s="38"/>
      <x:c r="N389" s="38"/>
      <x:c r="O389" s="38"/>
      <x:c r="P389" s="38"/>
      <x:c r="Q389" s="38"/>
    </x:row>
    <x:row r="390">
      <x:c r="A390" s="523" t="str">
        <x:f>IF(ISBLANK('_INSTANCE'!A309),"",'_INSTANCE'!A309)</x:f>
      </x:c>
      <x:c r="B390" s="523" t="str">
        <x:f>IF(ISBLANK('_INSTANCE'!B309),"",'_INSTANCE'!B309)</x:f>
      </x:c>
      <x:c r="C390" s="523" t="str">
        <x:f>IF(ISBLANK('_INSTANCE'!C309),"",'_INSTANCE'!C309)</x:f>
      </x:c>
      <x:c r="D390" s="530" t="str">
        <x:f>IF(ISBLANK('_INSTANCE'!D309),"",'_INSTANCE'!D309)</x:f>
      </x:c>
      <x:c r="E390" s="530" t="str">
        <x:f>IF(ISBLANK('_INSTANCE'!E309),"",'_INSTANCE'!E309)</x:f>
      </x:c>
      <x:c r="F390" s="530" t="str">
        <x:f>IF(ISBLANK('_INSTANCE'!F309),"",'_INSTANCE'!F309)</x:f>
      </x:c>
      <x:c r="G390" s="530" t="str">
        <x:f>IF(ISBLANK('_INSTANCE'!G309),"",'_INSTANCE'!G309)</x:f>
      </x:c>
      <x:c r="H390" s="530" t="str">
        <x:f>IF(ISBLANK('_INSTANCE'!H309),"",'_INSTANCE'!H309)</x:f>
      </x:c>
      <x:c r="I390" s="530" t="str">
        <x:f>IF(ISBLANK('_INSTANCE'!I309),"",'_INSTANCE'!I309)</x:f>
      </x:c>
      <x:c r="J390" s="530" t="str">
        <x:f>IF(ISBLANK('_INSTANCE'!J309),"",'_INSTANCE'!J309)</x:f>
      </x:c>
      <x:c r="K390" s="38"/>
      <x:c r="L390" s="38"/>
      <x:c r="M390" s="38"/>
      <x:c r="N390" s="38"/>
      <x:c r="O390" s="38"/>
      <x:c r="P390" s="38"/>
      <x:c r="Q390" s="38"/>
    </x:row>
    <x:row r="391">
      <x:c r="A391" s="523" t="str">
        <x:f>IF(ISBLANK('_INSTANCE'!A310),"",'_INSTANCE'!A310)</x:f>
      </x:c>
      <x:c r="B391" s="523" t="str">
        <x:f>IF(ISBLANK('_INSTANCE'!B310),"",'_INSTANCE'!B310)</x:f>
      </x:c>
      <x:c r="C391" s="523" t="str">
        <x:f>IF(ISBLANK('_INSTANCE'!C310),"",'_INSTANCE'!C310)</x:f>
      </x:c>
      <x:c r="D391" s="530" t="str">
        <x:f>IF(ISBLANK('_INSTANCE'!D310),"",'_INSTANCE'!D310)</x:f>
      </x:c>
      <x:c r="E391" s="530" t="str">
        <x:f>IF(ISBLANK('_INSTANCE'!E310),"",'_INSTANCE'!E310)</x:f>
      </x:c>
      <x:c r="F391" s="530" t="str">
        <x:f>IF(ISBLANK('_INSTANCE'!F310),"",'_INSTANCE'!F310)</x:f>
      </x:c>
      <x:c r="G391" s="530" t="str">
        <x:f>IF(ISBLANK('_INSTANCE'!G310),"",'_INSTANCE'!G310)</x:f>
      </x:c>
      <x:c r="H391" s="530" t="str">
        <x:f>IF(ISBLANK('_INSTANCE'!H310),"",'_INSTANCE'!H310)</x:f>
      </x:c>
      <x:c r="I391" s="530" t="str">
        <x:f>IF(ISBLANK('_INSTANCE'!I310),"",'_INSTANCE'!I310)</x:f>
      </x:c>
      <x:c r="J391" s="530" t="str">
        <x:f>IF(ISBLANK('_INSTANCE'!J310),"",'_INSTANCE'!J310)</x:f>
      </x:c>
      <x:c r="K391" s="38"/>
      <x:c r="L391" s="38"/>
      <x:c r="M391" s="38"/>
      <x:c r="N391" s="38"/>
      <x:c r="O391" s="38"/>
      <x:c r="P391" s="38"/>
      <x:c r="Q391" s="38"/>
    </x:row>
    <x:row r="392">
      <x:c r="A392" s="523" t="str">
        <x:f>IF(ISBLANK('_INSTANCE'!A311),"",'_INSTANCE'!A311)</x:f>
      </x:c>
      <x:c r="B392" s="523" t="str">
        <x:f>IF(ISBLANK('_INSTANCE'!B311),"",'_INSTANCE'!B311)</x:f>
      </x:c>
      <x:c r="C392" s="523" t="str">
        <x:f>IF(ISBLANK('_INSTANCE'!C311),"",'_INSTANCE'!C311)</x:f>
      </x:c>
      <x:c r="D392" s="530" t="str">
        <x:f>IF(ISBLANK('_INSTANCE'!D311),"",'_INSTANCE'!D311)</x:f>
      </x:c>
      <x:c r="E392" s="530" t="str">
        <x:f>IF(ISBLANK('_INSTANCE'!E311),"",'_INSTANCE'!E311)</x:f>
      </x:c>
      <x:c r="F392" s="530" t="str">
        <x:f>IF(ISBLANK('_INSTANCE'!F311),"",'_INSTANCE'!F311)</x:f>
      </x:c>
      <x:c r="G392" s="530" t="str">
        <x:f>IF(ISBLANK('_INSTANCE'!G311),"",'_INSTANCE'!G311)</x:f>
      </x:c>
      <x:c r="H392" s="530" t="str">
        <x:f>IF(ISBLANK('_INSTANCE'!H311),"",'_INSTANCE'!H311)</x:f>
      </x:c>
      <x:c r="I392" s="530" t="str">
        <x:f>IF(ISBLANK('_INSTANCE'!I311),"",'_INSTANCE'!I311)</x:f>
      </x:c>
      <x:c r="J392" s="530" t="str">
        <x:f>IF(ISBLANK('_INSTANCE'!J311),"",'_INSTANCE'!J311)</x:f>
      </x:c>
      <x:c r="K392" s="38"/>
      <x:c r="L392" s="38"/>
      <x:c r="M392" s="38"/>
      <x:c r="N392" s="38"/>
      <x:c r="O392" s="38"/>
      <x:c r="P392" s="38"/>
      <x:c r="Q392" s="38"/>
    </x:row>
    <x:row r="393">
      <x:c r="A393" s="523" t="str">
        <x:f>IF(ISBLANK('_INSTANCE'!A312),"",'_INSTANCE'!A312)</x:f>
      </x:c>
      <x:c r="B393" s="523" t="str">
        <x:f>IF(ISBLANK('_INSTANCE'!B312),"",'_INSTANCE'!B312)</x:f>
      </x:c>
      <x:c r="C393" s="523" t="str">
        <x:f>IF(ISBLANK('_INSTANCE'!C312),"",'_INSTANCE'!C312)</x:f>
      </x:c>
      <x:c r="D393" s="530" t="str">
        <x:f>IF(ISBLANK('_INSTANCE'!D312),"",'_INSTANCE'!D312)</x:f>
      </x:c>
      <x:c r="E393" s="530" t="str">
        <x:f>IF(ISBLANK('_INSTANCE'!E312),"",'_INSTANCE'!E312)</x:f>
      </x:c>
      <x:c r="F393" s="530" t="str">
        <x:f>IF(ISBLANK('_INSTANCE'!F312),"",'_INSTANCE'!F312)</x:f>
      </x:c>
      <x:c r="G393" s="530" t="str">
        <x:f>IF(ISBLANK('_INSTANCE'!G312),"",'_INSTANCE'!G312)</x:f>
      </x:c>
      <x:c r="H393" s="530" t="str">
        <x:f>IF(ISBLANK('_INSTANCE'!H312),"",'_INSTANCE'!H312)</x:f>
      </x:c>
      <x:c r="I393" s="530" t="str">
        <x:f>IF(ISBLANK('_INSTANCE'!I312),"",'_INSTANCE'!I312)</x:f>
      </x:c>
      <x:c r="J393" s="530" t="str">
        <x:f>IF(ISBLANK('_INSTANCE'!J312),"",'_INSTANCE'!J312)</x:f>
      </x:c>
      <x:c r="K393" s="38"/>
      <x:c r="L393" s="38"/>
      <x:c r="M393" s="38"/>
      <x:c r="N393" s="38"/>
      <x:c r="O393" s="38"/>
      <x:c r="P393" s="38"/>
      <x:c r="Q393" s="38"/>
    </x:row>
    <x:row r="394">
      <x:c r="A394" s="523" t="str">
        <x:f>IF(ISBLANK('_INSTANCE'!A313),"",'_INSTANCE'!A313)</x:f>
      </x:c>
      <x:c r="B394" s="523" t="str">
        <x:f>IF(ISBLANK('_INSTANCE'!B313),"",'_INSTANCE'!B313)</x:f>
      </x:c>
      <x:c r="C394" s="523" t="str">
        <x:f>IF(ISBLANK('_INSTANCE'!C313),"",'_INSTANCE'!C313)</x:f>
      </x:c>
      <x:c r="D394" s="530" t="str">
        <x:f>IF(ISBLANK('_INSTANCE'!D313),"",'_INSTANCE'!D313)</x:f>
      </x:c>
      <x:c r="E394" s="530" t="str">
        <x:f>IF(ISBLANK('_INSTANCE'!E313),"",'_INSTANCE'!E313)</x:f>
      </x:c>
      <x:c r="F394" s="530" t="str">
        <x:f>IF(ISBLANK('_INSTANCE'!F313),"",'_INSTANCE'!F313)</x:f>
      </x:c>
      <x:c r="G394" s="530" t="str">
        <x:f>IF(ISBLANK('_INSTANCE'!G313),"",'_INSTANCE'!G313)</x:f>
      </x:c>
      <x:c r="H394" s="530" t="str">
        <x:f>IF(ISBLANK('_INSTANCE'!H313),"",'_INSTANCE'!H313)</x:f>
      </x:c>
      <x:c r="I394" s="530" t="str">
        <x:f>IF(ISBLANK('_INSTANCE'!I313),"",'_INSTANCE'!I313)</x:f>
      </x:c>
      <x:c r="J394" s="530" t="str">
        <x:f>IF(ISBLANK('_INSTANCE'!J313),"",'_INSTANCE'!J313)</x:f>
      </x:c>
      <x:c r="K394" s="38"/>
      <x:c r="L394" s="38"/>
      <x:c r="M394" s="38"/>
      <x:c r="N394" s="38"/>
      <x:c r="O394" s="38"/>
      <x:c r="P394" s="38"/>
      <x:c r="Q394" s="38"/>
    </x:row>
    <x:row r="395">
      <x:c r="A395" s="523" t="str">
        <x:f>IF(ISBLANK('_INSTANCE'!A314),"",'_INSTANCE'!A314)</x:f>
      </x:c>
      <x:c r="B395" s="523" t="str">
        <x:f>IF(ISBLANK('_INSTANCE'!B314),"",'_INSTANCE'!B314)</x:f>
      </x:c>
      <x:c r="C395" s="523" t="str">
        <x:f>IF(ISBLANK('_INSTANCE'!C314),"",'_INSTANCE'!C314)</x:f>
      </x:c>
      <x:c r="D395" s="530" t="str">
        <x:f>IF(ISBLANK('_INSTANCE'!D314),"",'_INSTANCE'!D314)</x:f>
      </x:c>
      <x:c r="E395" s="530" t="str">
        <x:f>IF(ISBLANK('_INSTANCE'!E314),"",'_INSTANCE'!E314)</x:f>
      </x:c>
      <x:c r="F395" s="530" t="str">
        <x:f>IF(ISBLANK('_INSTANCE'!F314),"",'_INSTANCE'!F314)</x:f>
      </x:c>
      <x:c r="G395" s="530" t="str">
        <x:f>IF(ISBLANK('_INSTANCE'!G314),"",'_INSTANCE'!G314)</x:f>
      </x:c>
      <x:c r="H395" s="530" t="str">
        <x:f>IF(ISBLANK('_INSTANCE'!H314),"",'_INSTANCE'!H314)</x:f>
      </x:c>
      <x:c r="I395" s="530" t="str">
        <x:f>IF(ISBLANK('_INSTANCE'!I314),"",'_INSTANCE'!I314)</x:f>
      </x:c>
      <x:c r="J395" s="530" t="str">
        <x:f>IF(ISBLANK('_INSTANCE'!J314),"",'_INSTANCE'!J314)</x:f>
      </x:c>
      <x:c r="K395" s="38"/>
      <x:c r="L395" s="38"/>
      <x:c r="M395" s="38"/>
      <x:c r="N395" s="38"/>
      <x:c r="O395" s="38"/>
      <x:c r="P395" s="38"/>
      <x:c r="Q395" s="38"/>
    </x:row>
    <x:row r="396">
      <x:c r="A396" s="523" t="str">
        <x:f>IF(ISBLANK('_INSTANCE'!A315),"",'_INSTANCE'!A315)</x:f>
      </x:c>
      <x:c r="B396" s="523" t="str">
        <x:f>IF(ISBLANK('_INSTANCE'!B315),"",'_INSTANCE'!B315)</x:f>
      </x:c>
      <x:c r="C396" s="523" t="str">
        <x:f>IF(ISBLANK('_INSTANCE'!C315),"",'_INSTANCE'!C315)</x:f>
      </x:c>
      <x:c r="D396" s="530" t="str">
        <x:f>IF(ISBLANK('_INSTANCE'!D315),"",'_INSTANCE'!D315)</x:f>
      </x:c>
      <x:c r="E396" s="530" t="str">
        <x:f>IF(ISBLANK('_INSTANCE'!E315),"",'_INSTANCE'!E315)</x:f>
      </x:c>
      <x:c r="F396" s="530" t="str">
        <x:f>IF(ISBLANK('_INSTANCE'!F315),"",'_INSTANCE'!F315)</x:f>
      </x:c>
      <x:c r="G396" s="530" t="str">
        <x:f>IF(ISBLANK('_INSTANCE'!G315),"",'_INSTANCE'!G315)</x:f>
      </x:c>
      <x:c r="H396" s="530" t="str">
        <x:f>IF(ISBLANK('_INSTANCE'!H315),"",'_INSTANCE'!H315)</x:f>
      </x:c>
      <x:c r="I396" s="530" t="str">
        <x:f>IF(ISBLANK('_INSTANCE'!I315),"",'_INSTANCE'!I315)</x:f>
      </x:c>
      <x:c r="J396" s="530" t="str">
        <x:f>IF(ISBLANK('_INSTANCE'!J315),"",'_INSTANCE'!J315)</x:f>
      </x:c>
      <x:c r="K396" s="38"/>
      <x:c r="L396" s="38"/>
      <x:c r="M396" s="38"/>
      <x:c r="N396" s="38"/>
      <x:c r="O396" s="38"/>
      <x:c r="P396" s="38"/>
      <x:c r="Q396" s="38"/>
    </x:row>
    <x:row r="397">
      <x:c r="A397" s="523" t="str">
        <x:f>IF(ISBLANK('_INSTANCE'!A316),"",'_INSTANCE'!A316)</x:f>
      </x:c>
      <x:c r="B397" s="523" t="str">
        <x:f>IF(ISBLANK('_INSTANCE'!B316),"",'_INSTANCE'!B316)</x:f>
      </x:c>
      <x:c r="C397" s="523" t="str">
        <x:f>IF(ISBLANK('_INSTANCE'!C316),"",'_INSTANCE'!C316)</x:f>
      </x:c>
      <x:c r="D397" s="530" t="str">
        <x:f>IF(ISBLANK('_INSTANCE'!D316),"",'_INSTANCE'!D316)</x:f>
      </x:c>
      <x:c r="E397" s="530" t="str">
        <x:f>IF(ISBLANK('_INSTANCE'!E316),"",'_INSTANCE'!E316)</x:f>
      </x:c>
      <x:c r="F397" s="530" t="str">
        <x:f>IF(ISBLANK('_INSTANCE'!F316),"",'_INSTANCE'!F316)</x:f>
      </x:c>
      <x:c r="G397" s="530" t="str">
        <x:f>IF(ISBLANK('_INSTANCE'!G316),"",'_INSTANCE'!G316)</x:f>
      </x:c>
      <x:c r="H397" s="530" t="str">
        <x:f>IF(ISBLANK('_INSTANCE'!H316),"",'_INSTANCE'!H316)</x:f>
      </x:c>
      <x:c r="I397" s="530" t="str">
        <x:f>IF(ISBLANK('_INSTANCE'!I316),"",'_INSTANCE'!I316)</x:f>
      </x:c>
      <x:c r="J397" s="530" t="str">
        <x:f>IF(ISBLANK('_INSTANCE'!J316),"",'_INSTANCE'!J316)</x:f>
      </x:c>
      <x:c r="K397" s="38"/>
      <x:c r="L397" s="38"/>
      <x:c r="M397" s="38"/>
      <x:c r="N397" s="38"/>
      <x:c r="O397" s="38"/>
      <x:c r="P397" s="38"/>
      <x:c r="Q397" s="38"/>
    </x:row>
    <x:row r="398">
      <x:c r="A398" s="523" t="str">
        <x:f>IF(ISBLANK('_INSTANCE'!A317),"",'_INSTANCE'!A317)</x:f>
      </x:c>
      <x:c r="B398" s="523" t="str">
        <x:f>IF(ISBLANK('_INSTANCE'!B317),"",'_INSTANCE'!B317)</x:f>
      </x:c>
      <x:c r="C398" s="523" t="str">
        <x:f>IF(ISBLANK('_INSTANCE'!C317),"",'_INSTANCE'!C317)</x:f>
      </x:c>
      <x:c r="D398" s="530" t="str">
        <x:f>IF(ISBLANK('_INSTANCE'!D317),"",'_INSTANCE'!D317)</x:f>
      </x:c>
      <x:c r="E398" s="530" t="str">
        <x:f>IF(ISBLANK('_INSTANCE'!E317),"",'_INSTANCE'!E317)</x:f>
      </x:c>
      <x:c r="F398" s="530" t="str">
        <x:f>IF(ISBLANK('_INSTANCE'!F317),"",'_INSTANCE'!F317)</x:f>
      </x:c>
      <x:c r="G398" s="530" t="str">
        <x:f>IF(ISBLANK('_INSTANCE'!G317),"",'_INSTANCE'!G317)</x:f>
      </x:c>
      <x:c r="H398" s="530" t="str">
        <x:f>IF(ISBLANK('_INSTANCE'!H317),"",'_INSTANCE'!H317)</x:f>
      </x:c>
      <x:c r="I398" s="530" t="str">
        <x:f>IF(ISBLANK('_INSTANCE'!I317),"",'_INSTANCE'!I317)</x:f>
      </x:c>
      <x:c r="J398" s="530" t="str">
        <x:f>IF(ISBLANK('_INSTANCE'!J317),"",'_INSTANCE'!J317)</x:f>
      </x:c>
      <x:c r="K398" s="38"/>
      <x:c r="L398" s="38"/>
      <x:c r="M398" s="38"/>
      <x:c r="N398" s="38"/>
      <x:c r="O398" s="38"/>
      <x:c r="P398" s="38"/>
      <x:c r="Q398" s="38"/>
    </x:row>
    <x:row r="399">
      <x:c r="A399" s="523" t="str">
        <x:f>IF(ISBLANK('_INSTANCE'!A318),"",'_INSTANCE'!A318)</x:f>
      </x:c>
      <x:c r="B399" s="523" t="str">
        <x:f>IF(ISBLANK('_INSTANCE'!B318),"",'_INSTANCE'!B318)</x:f>
      </x:c>
      <x:c r="C399" s="523" t="str">
        <x:f>IF(ISBLANK('_INSTANCE'!C318),"",'_INSTANCE'!C318)</x:f>
      </x:c>
      <x:c r="D399" s="530" t="str">
        <x:f>IF(ISBLANK('_INSTANCE'!D318),"",'_INSTANCE'!D318)</x:f>
      </x:c>
      <x:c r="E399" s="530" t="str">
        <x:f>IF(ISBLANK('_INSTANCE'!E318),"",'_INSTANCE'!E318)</x:f>
      </x:c>
      <x:c r="F399" s="530" t="str">
        <x:f>IF(ISBLANK('_INSTANCE'!F318),"",'_INSTANCE'!F318)</x:f>
      </x:c>
      <x:c r="G399" s="530" t="str">
        <x:f>IF(ISBLANK('_INSTANCE'!G318),"",'_INSTANCE'!G318)</x:f>
      </x:c>
      <x:c r="H399" s="530" t="str">
        <x:f>IF(ISBLANK('_INSTANCE'!H318),"",'_INSTANCE'!H318)</x:f>
      </x:c>
      <x:c r="I399" s="530" t="str">
        <x:f>IF(ISBLANK('_INSTANCE'!I318),"",'_INSTANCE'!I318)</x:f>
      </x:c>
      <x:c r="J399" s="530" t="str">
        <x:f>IF(ISBLANK('_INSTANCE'!J318),"",'_INSTANCE'!J318)</x:f>
      </x:c>
      <x:c r="K399" s="38"/>
      <x:c r="L399" s="38"/>
      <x:c r="M399" s="38"/>
      <x:c r="N399" s="38"/>
      <x:c r="O399" s="38"/>
      <x:c r="P399" s="38"/>
      <x:c r="Q399" s="38"/>
    </x:row>
    <x:row r="400">
      <x:c r="A400" s="523" t="str">
        <x:f>IF(ISBLANK('_INSTANCE'!A319),"",'_INSTANCE'!A319)</x:f>
      </x:c>
      <x:c r="B400" s="523" t="str">
        <x:f>IF(ISBLANK('_INSTANCE'!B319),"",'_INSTANCE'!B319)</x:f>
      </x:c>
      <x:c r="C400" s="523" t="str">
        <x:f>IF(ISBLANK('_INSTANCE'!C319),"",'_INSTANCE'!C319)</x:f>
      </x:c>
      <x:c r="D400" s="530" t="str">
        <x:f>IF(ISBLANK('_INSTANCE'!D319),"",'_INSTANCE'!D319)</x:f>
      </x:c>
      <x:c r="E400" s="530" t="str">
        <x:f>IF(ISBLANK('_INSTANCE'!E319),"",'_INSTANCE'!E319)</x:f>
      </x:c>
      <x:c r="F400" s="530" t="str">
        <x:f>IF(ISBLANK('_INSTANCE'!F319),"",'_INSTANCE'!F319)</x:f>
      </x:c>
      <x:c r="G400" s="530" t="str">
        <x:f>IF(ISBLANK('_INSTANCE'!G319),"",'_INSTANCE'!G319)</x:f>
      </x:c>
      <x:c r="H400" s="530" t="str">
        <x:f>IF(ISBLANK('_INSTANCE'!H319),"",'_INSTANCE'!H319)</x:f>
      </x:c>
      <x:c r="I400" s="530" t="str">
        <x:f>IF(ISBLANK('_INSTANCE'!I319),"",'_INSTANCE'!I319)</x:f>
      </x:c>
      <x:c r="J400" s="530" t="str">
        <x:f>IF(ISBLANK('_INSTANCE'!J319),"",'_INSTANCE'!J319)</x:f>
      </x:c>
      <x:c r="K400" s="38"/>
      <x:c r="L400" s="38"/>
      <x:c r="M400" s="38"/>
      <x:c r="N400" s="38"/>
      <x:c r="O400" s="38"/>
      <x:c r="P400" s="38"/>
      <x:c r="Q400" s="38"/>
    </x:row>
    <x:row r="401">
      <x:c r="A401" s="523" t="str">
        <x:f>IF(ISBLANK('_INSTANCE'!A320),"",'_INSTANCE'!A320)</x:f>
      </x:c>
      <x:c r="B401" s="523" t="str">
        <x:f>IF(ISBLANK('_INSTANCE'!B320),"",'_INSTANCE'!B320)</x:f>
      </x:c>
      <x:c r="C401" s="523" t="str">
        <x:f>IF(ISBLANK('_INSTANCE'!C320),"",'_INSTANCE'!C320)</x:f>
      </x:c>
      <x:c r="D401" s="530" t="str">
        <x:f>IF(ISBLANK('_INSTANCE'!D320),"",'_INSTANCE'!D320)</x:f>
      </x:c>
      <x:c r="E401" s="530" t="str">
        <x:f>IF(ISBLANK('_INSTANCE'!E320),"",'_INSTANCE'!E320)</x:f>
      </x:c>
      <x:c r="F401" s="530" t="str">
        <x:f>IF(ISBLANK('_INSTANCE'!F320),"",'_INSTANCE'!F320)</x:f>
      </x:c>
      <x:c r="G401" s="530" t="str">
        <x:f>IF(ISBLANK('_INSTANCE'!G320),"",'_INSTANCE'!G320)</x:f>
      </x:c>
      <x:c r="H401" s="530" t="str">
        <x:f>IF(ISBLANK('_INSTANCE'!H320),"",'_INSTANCE'!H320)</x:f>
      </x:c>
      <x:c r="I401" s="530" t="str">
        <x:f>IF(ISBLANK('_INSTANCE'!I320),"",'_INSTANCE'!I320)</x:f>
      </x:c>
      <x:c r="J401" s="530" t="str">
        <x:f>IF(ISBLANK('_INSTANCE'!J320),"",'_INSTANCE'!J320)</x:f>
      </x:c>
      <x:c r="K401" s="38"/>
      <x:c r="L401" s="38"/>
      <x:c r="M401" s="38"/>
      <x:c r="N401" s="38"/>
      <x:c r="O401" s="38"/>
      <x:c r="P401" s="38"/>
      <x:c r="Q401" s="38"/>
    </x:row>
    <x:row r="402">
      <x:c r="A402" s="523" t="str">
        <x:f>IF(ISBLANK('_INSTANCE'!A321),"",'_INSTANCE'!A321)</x:f>
      </x:c>
      <x:c r="B402" s="523" t="str">
        <x:f>IF(ISBLANK('_INSTANCE'!B321),"",'_INSTANCE'!B321)</x:f>
      </x:c>
      <x:c r="C402" s="523" t="str">
        <x:f>IF(ISBLANK('_INSTANCE'!C321),"",'_INSTANCE'!C321)</x:f>
      </x:c>
      <x:c r="D402" s="530" t="str">
        <x:f>IF(ISBLANK('_INSTANCE'!D321),"",'_INSTANCE'!D321)</x:f>
      </x:c>
      <x:c r="E402" s="530" t="str">
        <x:f>IF(ISBLANK('_INSTANCE'!E321),"",'_INSTANCE'!E321)</x:f>
      </x:c>
      <x:c r="F402" s="530" t="str">
        <x:f>IF(ISBLANK('_INSTANCE'!F321),"",'_INSTANCE'!F321)</x:f>
      </x:c>
      <x:c r="G402" s="530" t="str">
        <x:f>IF(ISBLANK('_INSTANCE'!G321),"",'_INSTANCE'!G321)</x:f>
      </x:c>
      <x:c r="H402" s="530" t="str">
        <x:f>IF(ISBLANK('_INSTANCE'!H321),"",'_INSTANCE'!H321)</x:f>
      </x:c>
      <x:c r="I402" s="530" t="str">
        <x:f>IF(ISBLANK('_INSTANCE'!I321),"",'_INSTANCE'!I321)</x:f>
      </x:c>
      <x:c r="J402" s="530" t="str">
        <x:f>IF(ISBLANK('_INSTANCE'!J321),"",'_INSTANCE'!J321)</x:f>
      </x:c>
      <x:c r="K402" s="38"/>
      <x:c r="L402" s="38"/>
      <x:c r="M402" s="38"/>
      <x:c r="N402" s="38"/>
      <x:c r="O402" s="38"/>
      <x:c r="P402" s="38"/>
      <x:c r="Q402" s="38"/>
    </x:row>
    <x:row r="403">
      <x:c r="A403" s="523" t="str">
        <x:f>IF(ISBLANK('_INSTANCE'!A322),"",'_INSTANCE'!A322)</x:f>
      </x:c>
      <x:c r="B403" s="523" t="str">
        <x:f>IF(ISBLANK('_INSTANCE'!B322),"",'_INSTANCE'!B322)</x:f>
      </x:c>
      <x:c r="C403" s="523" t="str">
        <x:f>IF(ISBLANK('_INSTANCE'!C322),"",'_INSTANCE'!C322)</x:f>
      </x:c>
      <x:c r="D403" s="530" t="str">
        <x:f>IF(ISBLANK('_INSTANCE'!D322),"",'_INSTANCE'!D322)</x:f>
      </x:c>
      <x:c r="E403" s="530" t="str">
        <x:f>IF(ISBLANK('_INSTANCE'!E322),"",'_INSTANCE'!E322)</x:f>
      </x:c>
      <x:c r="F403" s="530" t="str">
        <x:f>IF(ISBLANK('_INSTANCE'!F322),"",'_INSTANCE'!F322)</x:f>
      </x:c>
      <x:c r="G403" s="530" t="str">
        <x:f>IF(ISBLANK('_INSTANCE'!G322),"",'_INSTANCE'!G322)</x:f>
      </x:c>
      <x:c r="H403" s="530" t="str">
        <x:f>IF(ISBLANK('_INSTANCE'!H322),"",'_INSTANCE'!H322)</x:f>
      </x:c>
      <x:c r="I403" s="530" t="str">
        <x:f>IF(ISBLANK('_INSTANCE'!I322),"",'_INSTANCE'!I322)</x:f>
      </x:c>
      <x:c r="J403" s="530" t="str">
        <x:f>IF(ISBLANK('_INSTANCE'!J322),"",'_INSTANCE'!J322)</x:f>
      </x:c>
      <x:c r="K403" s="38"/>
      <x:c r="L403" s="38"/>
      <x:c r="M403" s="38"/>
      <x:c r="N403" s="38"/>
      <x:c r="O403" s="38"/>
      <x:c r="P403" s="38"/>
      <x:c r="Q403" s="38"/>
    </x:row>
    <x:row r="404">
      <x:c r="A404" s="523" t="str">
        <x:f>IF(ISBLANK('_INSTANCE'!A323),"",'_INSTANCE'!A323)</x:f>
      </x:c>
      <x:c r="B404" s="523" t="str">
        <x:f>IF(ISBLANK('_INSTANCE'!B323),"",'_INSTANCE'!B323)</x:f>
      </x:c>
      <x:c r="C404" s="523" t="str">
        <x:f>IF(ISBLANK('_INSTANCE'!C323),"",'_INSTANCE'!C323)</x:f>
      </x:c>
      <x:c r="D404" s="530" t="str">
        <x:f>IF(ISBLANK('_INSTANCE'!D323),"",'_INSTANCE'!D323)</x:f>
      </x:c>
      <x:c r="E404" s="530" t="str">
        <x:f>IF(ISBLANK('_INSTANCE'!E323),"",'_INSTANCE'!E323)</x:f>
      </x:c>
      <x:c r="F404" s="530" t="str">
        <x:f>IF(ISBLANK('_INSTANCE'!F323),"",'_INSTANCE'!F323)</x:f>
      </x:c>
      <x:c r="G404" s="530" t="str">
        <x:f>IF(ISBLANK('_INSTANCE'!G323),"",'_INSTANCE'!G323)</x:f>
      </x:c>
      <x:c r="H404" s="530" t="str">
        <x:f>IF(ISBLANK('_INSTANCE'!H323),"",'_INSTANCE'!H323)</x:f>
      </x:c>
      <x:c r="I404" s="530" t="str">
        <x:f>IF(ISBLANK('_INSTANCE'!I323),"",'_INSTANCE'!I323)</x:f>
      </x:c>
      <x:c r="J404" s="530" t="str">
        <x:f>IF(ISBLANK('_INSTANCE'!J323),"",'_INSTANCE'!J323)</x:f>
      </x:c>
      <x:c r="K404" s="38"/>
      <x:c r="L404" s="38"/>
      <x:c r="M404" s="38"/>
      <x:c r="N404" s="38"/>
      <x:c r="O404" s="38"/>
      <x:c r="P404" s="38"/>
      <x:c r="Q404" s="38"/>
    </x:row>
    <x:row r="405">
      <x:c r="A405" s="523" t="str">
        <x:f>IF(ISBLANK('_INSTANCE'!A324),"",'_INSTANCE'!A324)</x:f>
      </x:c>
      <x:c r="B405" s="523" t="str">
        <x:f>IF(ISBLANK('_INSTANCE'!B324),"",'_INSTANCE'!B324)</x:f>
      </x:c>
      <x:c r="C405" s="523" t="str">
        <x:f>IF(ISBLANK('_INSTANCE'!C324),"",'_INSTANCE'!C324)</x:f>
      </x:c>
      <x:c r="D405" s="530" t="str">
        <x:f>IF(ISBLANK('_INSTANCE'!D324),"",'_INSTANCE'!D324)</x:f>
      </x:c>
      <x:c r="E405" s="530" t="str">
        <x:f>IF(ISBLANK('_INSTANCE'!E324),"",'_INSTANCE'!E324)</x:f>
      </x:c>
      <x:c r="F405" s="530" t="str">
        <x:f>IF(ISBLANK('_INSTANCE'!F324),"",'_INSTANCE'!F324)</x:f>
      </x:c>
      <x:c r="G405" s="530" t="str">
        <x:f>IF(ISBLANK('_INSTANCE'!G324),"",'_INSTANCE'!G324)</x:f>
      </x:c>
      <x:c r="H405" s="530" t="str">
        <x:f>IF(ISBLANK('_INSTANCE'!H324),"",'_INSTANCE'!H324)</x:f>
      </x:c>
      <x:c r="I405" s="530" t="str">
        <x:f>IF(ISBLANK('_INSTANCE'!I324),"",'_INSTANCE'!I324)</x:f>
      </x:c>
      <x:c r="J405" s="530" t="str">
        <x:f>IF(ISBLANK('_INSTANCE'!J324),"",'_INSTANCE'!J324)</x:f>
      </x:c>
      <x:c r="K405" s="38"/>
      <x:c r="L405" s="38"/>
      <x:c r="M405" s="38"/>
      <x:c r="N405" s="38"/>
      <x:c r="O405" s="38"/>
      <x:c r="P405" s="38"/>
      <x:c r="Q405" s="38"/>
    </x:row>
    <x:row r="406">
      <x:c r="A406" s="523" t="str">
        <x:f>IF(ISBLANK('_INSTANCE'!A325),"",'_INSTANCE'!A325)</x:f>
      </x:c>
      <x:c r="B406" s="523" t="str">
        <x:f>IF(ISBLANK('_INSTANCE'!B325),"",'_INSTANCE'!B325)</x:f>
      </x:c>
      <x:c r="C406" s="523" t="str">
        <x:f>IF(ISBLANK('_INSTANCE'!C325),"",'_INSTANCE'!C325)</x:f>
      </x:c>
      <x:c r="D406" s="530" t="str">
        <x:f>IF(ISBLANK('_INSTANCE'!D325),"",'_INSTANCE'!D325)</x:f>
      </x:c>
      <x:c r="E406" s="530" t="str">
        <x:f>IF(ISBLANK('_INSTANCE'!E325),"",'_INSTANCE'!E325)</x:f>
      </x:c>
      <x:c r="F406" s="530" t="str">
        <x:f>IF(ISBLANK('_INSTANCE'!F325),"",'_INSTANCE'!F325)</x:f>
      </x:c>
      <x:c r="G406" s="530" t="str">
        <x:f>IF(ISBLANK('_INSTANCE'!G325),"",'_INSTANCE'!G325)</x:f>
      </x:c>
      <x:c r="H406" s="530" t="str">
        <x:f>IF(ISBLANK('_INSTANCE'!H325),"",'_INSTANCE'!H325)</x:f>
      </x:c>
      <x:c r="I406" s="530" t="str">
        <x:f>IF(ISBLANK('_INSTANCE'!I325),"",'_INSTANCE'!I325)</x:f>
      </x:c>
      <x:c r="J406" s="530" t="str">
        <x:f>IF(ISBLANK('_INSTANCE'!J325),"",'_INSTANCE'!J325)</x:f>
      </x:c>
      <x:c r="K406" s="38"/>
      <x:c r="L406" s="38"/>
      <x:c r="M406" s="38"/>
      <x:c r="N406" s="38"/>
      <x:c r="O406" s="38"/>
      <x:c r="P406" s="38"/>
      <x:c r="Q406" s="38"/>
    </x:row>
    <x:row r="407">
      <x:c r="A407" s="523" t="str">
        <x:f>IF(ISBLANK('_INSTANCE'!A326),"",'_INSTANCE'!A326)</x:f>
      </x:c>
      <x:c r="B407" s="523" t="str">
        <x:f>IF(ISBLANK('_INSTANCE'!B326),"",'_INSTANCE'!B326)</x:f>
      </x:c>
      <x:c r="C407" s="523" t="str">
        <x:f>IF(ISBLANK('_INSTANCE'!C326),"",'_INSTANCE'!C326)</x:f>
      </x:c>
      <x:c r="D407" s="530" t="str">
        <x:f>IF(ISBLANK('_INSTANCE'!D326),"",'_INSTANCE'!D326)</x:f>
      </x:c>
      <x:c r="E407" s="530" t="str">
        <x:f>IF(ISBLANK('_INSTANCE'!E326),"",'_INSTANCE'!E326)</x:f>
      </x:c>
      <x:c r="F407" s="530" t="str">
        <x:f>IF(ISBLANK('_INSTANCE'!F326),"",'_INSTANCE'!F326)</x:f>
      </x:c>
      <x:c r="G407" s="530" t="str">
        <x:f>IF(ISBLANK('_INSTANCE'!G326),"",'_INSTANCE'!G326)</x:f>
      </x:c>
      <x:c r="H407" s="530" t="str">
        <x:f>IF(ISBLANK('_INSTANCE'!H326),"",'_INSTANCE'!H326)</x:f>
      </x:c>
      <x:c r="I407" s="530" t="str">
        <x:f>IF(ISBLANK('_INSTANCE'!I326),"",'_INSTANCE'!I326)</x:f>
      </x:c>
      <x:c r="J407" s="530" t="str">
        <x:f>IF(ISBLANK('_INSTANCE'!J326),"",'_INSTANCE'!J326)</x:f>
      </x:c>
      <x:c r="K407" s="38"/>
      <x:c r="L407" s="38"/>
      <x:c r="M407" s="38"/>
      <x:c r="N407" s="38"/>
      <x:c r="O407" s="38"/>
      <x:c r="P407" s="38"/>
      <x:c r="Q407" s="38"/>
    </x:row>
    <x:row r="408">
      <x:c r="A408" s="523" t="str">
        <x:f>IF(ISBLANK('_INSTANCE'!A327),"",'_INSTANCE'!A327)</x:f>
      </x:c>
      <x:c r="B408" s="523" t="str">
        <x:f>IF(ISBLANK('_INSTANCE'!B327),"",'_INSTANCE'!B327)</x:f>
      </x:c>
      <x:c r="C408" s="523" t="str">
        <x:f>IF(ISBLANK('_INSTANCE'!C327),"",'_INSTANCE'!C327)</x:f>
      </x:c>
      <x:c r="D408" s="530" t="str">
        <x:f>IF(ISBLANK('_INSTANCE'!D327),"",'_INSTANCE'!D327)</x:f>
      </x:c>
      <x:c r="E408" s="530" t="str">
        <x:f>IF(ISBLANK('_INSTANCE'!E327),"",'_INSTANCE'!E327)</x:f>
      </x:c>
      <x:c r="F408" s="530" t="str">
        <x:f>IF(ISBLANK('_INSTANCE'!F327),"",'_INSTANCE'!F327)</x:f>
      </x:c>
      <x:c r="G408" s="530" t="str">
        <x:f>IF(ISBLANK('_INSTANCE'!G327),"",'_INSTANCE'!G327)</x:f>
      </x:c>
      <x:c r="H408" s="530" t="str">
        <x:f>IF(ISBLANK('_INSTANCE'!H327),"",'_INSTANCE'!H327)</x:f>
      </x:c>
      <x:c r="I408" s="530" t="str">
        <x:f>IF(ISBLANK('_INSTANCE'!I327),"",'_INSTANCE'!I327)</x:f>
      </x:c>
      <x:c r="J408" s="530" t="str">
        <x:f>IF(ISBLANK('_INSTANCE'!J327),"",'_INSTANCE'!J327)</x:f>
      </x:c>
      <x:c r="K408" s="38"/>
      <x:c r="L408" s="38"/>
      <x:c r="M408" s="38"/>
      <x:c r="N408" s="38"/>
      <x:c r="O408" s="38"/>
      <x:c r="P408" s="38"/>
      <x:c r="Q408" s="38"/>
    </x:row>
    <x:row r="409">
      <x:c r="A409" s="523" t="str">
        <x:f>IF(ISBLANK('_INSTANCE'!A328),"",'_INSTANCE'!A328)</x:f>
      </x:c>
      <x:c r="B409" s="523" t="str">
        <x:f>IF(ISBLANK('_INSTANCE'!B328),"",'_INSTANCE'!B328)</x:f>
      </x:c>
      <x:c r="C409" s="523" t="str">
        <x:f>IF(ISBLANK('_INSTANCE'!C328),"",'_INSTANCE'!C328)</x:f>
      </x:c>
      <x:c r="D409" s="530" t="str">
        <x:f>IF(ISBLANK('_INSTANCE'!D328),"",'_INSTANCE'!D328)</x:f>
      </x:c>
      <x:c r="E409" s="530" t="str">
        <x:f>IF(ISBLANK('_INSTANCE'!E328),"",'_INSTANCE'!E328)</x:f>
      </x:c>
      <x:c r="F409" s="530" t="str">
        <x:f>IF(ISBLANK('_INSTANCE'!F328),"",'_INSTANCE'!F328)</x:f>
      </x:c>
      <x:c r="G409" s="530" t="str">
        <x:f>IF(ISBLANK('_INSTANCE'!G328),"",'_INSTANCE'!G328)</x:f>
      </x:c>
      <x:c r="H409" s="530" t="str">
        <x:f>IF(ISBLANK('_INSTANCE'!H328),"",'_INSTANCE'!H328)</x:f>
      </x:c>
      <x:c r="I409" s="530" t="str">
        <x:f>IF(ISBLANK('_INSTANCE'!I328),"",'_INSTANCE'!I328)</x:f>
      </x:c>
      <x:c r="J409" s="530" t="str">
        <x:f>IF(ISBLANK('_INSTANCE'!J328),"",'_INSTANCE'!J328)</x:f>
      </x:c>
      <x:c r="K409" s="38"/>
      <x:c r="L409" s="38"/>
      <x:c r="M409" s="38"/>
      <x:c r="N409" s="38"/>
      <x:c r="O409" s="38"/>
      <x:c r="P409" s="38"/>
      <x:c r="Q409" s="38"/>
    </x:row>
    <x:row r="410">
      <x:c r="A410" s="523" t="str">
        <x:f>IF(ISBLANK('_INSTANCE'!A329),"",'_INSTANCE'!A329)</x:f>
      </x:c>
      <x:c r="B410" s="523" t="str">
        <x:f>IF(ISBLANK('_INSTANCE'!B329),"",'_INSTANCE'!B329)</x:f>
      </x:c>
      <x:c r="C410" s="523" t="str">
        <x:f>IF(ISBLANK('_INSTANCE'!C329),"",'_INSTANCE'!C329)</x:f>
      </x:c>
      <x:c r="D410" s="530" t="str">
        <x:f>IF(ISBLANK('_INSTANCE'!D329),"",'_INSTANCE'!D329)</x:f>
      </x:c>
      <x:c r="E410" s="530" t="str">
        <x:f>IF(ISBLANK('_INSTANCE'!E329),"",'_INSTANCE'!E329)</x:f>
      </x:c>
      <x:c r="F410" s="530" t="str">
        <x:f>IF(ISBLANK('_INSTANCE'!F329),"",'_INSTANCE'!F329)</x:f>
      </x:c>
      <x:c r="G410" s="530" t="str">
        <x:f>IF(ISBLANK('_INSTANCE'!G329),"",'_INSTANCE'!G329)</x:f>
      </x:c>
      <x:c r="H410" s="530" t="str">
        <x:f>IF(ISBLANK('_INSTANCE'!H329),"",'_INSTANCE'!H329)</x:f>
      </x:c>
      <x:c r="I410" s="530" t="str">
        <x:f>IF(ISBLANK('_INSTANCE'!I329),"",'_INSTANCE'!I329)</x:f>
      </x:c>
      <x:c r="J410" s="530" t="str">
        <x:f>IF(ISBLANK('_INSTANCE'!J329),"",'_INSTANCE'!J329)</x:f>
      </x:c>
      <x:c r="K410" s="38"/>
      <x:c r="L410" s="38"/>
      <x:c r="M410" s="38"/>
      <x:c r="N410" s="38"/>
      <x:c r="O410" s="38"/>
      <x:c r="P410" s="38"/>
      <x:c r="Q410" s="38"/>
    </x:row>
    <x:row r="411">
      <x:c r="A411" s="523" t="str">
        <x:f>IF(ISBLANK('_INSTANCE'!A330),"",'_INSTANCE'!A330)</x:f>
      </x:c>
      <x:c r="B411" s="523" t="str">
        <x:f>IF(ISBLANK('_INSTANCE'!B330),"",'_INSTANCE'!B330)</x:f>
      </x:c>
      <x:c r="C411" s="523" t="str">
        <x:f>IF(ISBLANK('_INSTANCE'!C330),"",'_INSTANCE'!C330)</x:f>
      </x:c>
      <x:c r="D411" s="530" t="str">
        <x:f>IF(ISBLANK('_INSTANCE'!D330),"",'_INSTANCE'!D330)</x:f>
      </x:c>
      <x:c r="E411" s="530" t="str">
        <x:f>IF(ISBLANK('_INSTANCE'!E330),"",'_INSTANCE'!E330)</x:f>
      </x:c>
      <x:c r="F411" s="530" t="str">
        <x:f>IF(ISBLANK('_INSTANCE'!F330),"",'_INSTANCE'!F330)</x:f>
      </x:c>
      <x:c r="G411" s="530" t="str">
        <x:f>IF(ISBLANK('_INSTANCE'!G330),"",'_INSTANCE'!G330)</x:f>
      </x:c>
      <x:c r="H411" s="530" t="str">
        <x:f>IF(ISBLANK('_INSTANCE'!H330),"",'_INSTANCE'!H330)</x:f>
      </x:c>
      <x:c r="I411" s="530" t="str">
        <x:f>IF(ISBLANK('_INSTANCE'!I330),"",'_INSTANCE'!I330)</x:f>
      </x:c>
      <x:c r="J411" s="530" t="str">
        <x:f>IF(ISBLANK('_INSTANCE'!J330),"",'_INSTANCE'!J330)</x:f>
      </x:c>
      <x:c r="K411" s="38"/>
      <x:c r="L411" s="38"/>
      <x:c r="M411" s="38"/>
      <x:c r="N411" s="38"/>
      <x:c r="O411" s="38"/>
      <x:c r="P411" s="38"/>
      <x:c r="Q411" s="38"/>
    </x:row>
    <x:row r="412">
      <x:c r="A412" s="523" t="str">
        <x:f>IF(ISBLANK('_INSTANCE'!A331),"",'_INSTANCE'!A331)</x:f>
      </x:c>
      <x:c r="B412" s="523" t="str">
        <x:f>IF(ISBLANK('_INSTANCE'!B331),"",'_INSTANCE'!B331)</x:f>
      </x:c>
      <x:c r="C412" s="523" t="str">
        <x:f>IF(ISBLANK('_INSTANCE'!C331),"",'_INSTANCE'!C331)</x:f>
      </x:c>
      <x:c r="D412" s="530" t="str">
        <x:f>IF(ISBLANK('_INSTANCE'!D331),"",'_INSTANCE'!D331)</x:f>
      </x:c>
      <x:c r="E412" s="530" t="str">
        <x:f>IF(ISBLANK('_INSTANCE'!E331),"",'_INSTANCE'!E331)</x:f>
      </x:c>
      <x:c r="F412" s="530" t="str">
        <x:f>IF(ISBLANK('_INSTANCE'!F331),"",'_INSTANCE'!F331)</x:f>
      </x:c>
      <x:c r="G412" s="530" t="str">
        <x:f>IF(ISBLANK('_INSTANCE'!G331),"",'_INSTANCE'!G331)</x:f>
      </x:c>
      <x:c r="H412" s="530" t="str">
        <x:f>IF(ISBLANK('_INSTANCE'!H331),"",'_INSTANCE'!H331)</x:f>
      </x:c>
      <x:c r="I412" s="530" t="str">
        <x:f>IF(ISBLANK('_INSTANCE'!I331),"",'_INSTANCE'!I331)</x:f>
      </x:c>
      <x:c r="J412" s="530" t="str">
        <x:f>IF(ISBLANK('_INSTANCE'!J331),"",'_INSTANCE'!J331)</x:f>
      </x:c>
      <x:c r="K412" s="38"/>
      <x:c r="L412" s="38"/>
      <x:c r="M412" s="38"/>
      <x:c r="N412" s="38"/>
      <x:c r="O412" s="38"/>
      <x:c r="P412" s="38"/>
      <x:c r="Q412" s="38"/>
    </x:row>
    <x:row r="413">
      <x:c r="A413" s="523" t="str">
        <x:f>IF(ISBLANK('_INSTANCE'!A332),"",'_INSTANCE'!A332)</x:f>
      </x:c>
      <x:c r="B413" s="523" t="str">
        <x:f>IF(ISBLANK('_INSTANCE'!B332),"",'_INSTANCE'!B332)</x:f>
      </x:c>
      <x:c r="C413" s="523" t="str">
        <x:f>IF(ISBLANK('_INSTANCE'!C332),"",'_INSTANCE'!C332)</x:f>
      </x:c>
      <x:c r="D413" s="530" t="str">
        <x:f>IF(ISBLANK('_INSTANCE'!D332),"",'_INSTANCE'!D332)</x:f>
      </x:c>
      <x:c r="E413" s="530" t="str">
        <x:f>IF(ISBLANK('_INSTANCE'!E332),"",'_INSTANCE'!E332)</x:f>
      </x:c>
      <x:c r="F413" s="530" t="str">
        <x:f>IF(ISBLANK('_INSTANCE'!F332),"",'_INSTANCE'!F332)</x:f>
      </x:c>
      <x:c r="G413" s="530" t="str">
        <x:f>IF(ISBLANK('_INSTANCE'!G332),"",'_INSTANCE'!G332)</x:f>
      </x:c>
      <x:c r="H413" s="530" t="str">
        <x:f>IF(ISBLANK('_INSTANCE'!H332),"",'_INSTANCE'!H332)</x:f>
      </x:c>
      <x:c r="I413" s="530" t="str">
        <x:f>IF(ISBLANK('_INSTANCE'!I332),"",'_INSTANCE'!I332)</x:f>
      </x:c>
      <x:c r="J413" s="530" t="str">
        <x:f>IF(ISBLANK('_INSTANCE'!J332),"",'_INSTANCE'!J332)</x:f>
      </x:c>
      <x:c r="K413" s="38"/>
      <x:c r="L413" s="38"/>
      <x:c r="M413" s="38"/>
      <x:c r="N413" s="38"/>
      <x:c r="O413" s="38"/>
      <x:c r="P413" s="38"/>
      <x:c r="Q413" s="38"/>
    </x:row>
    <x:row r="414">
      <x:c r="A414" s="523" t="str">
        <x:f>IF(ISBLANK('_INSTANCE'!A333),"",'_INSTANCE'!A333)</x:f>
      </x:c>
      <x:c r="B414" s="523" t="str">
        <x:f>IF(ISBLANK('_INSTANCE'!B333),"",'_INSTANCE'!B333)</x:f>
      </x:c>
      <x:c r="C414" s="523" t="str">
        <x:f>IF(ISBLANK('_INSTANCE'!C333),"",'_INSTANCE'!C333)</x:f>
      </x:c>
      <x:c r="D414" s="530" t="str">
        <x:f>IF(ISBLANK('_INSTANCE'!D333),"",'_INSTANCE'!D333)</x:f>
      </x:c>
      <x:c r="E414" s="530" t="str">
        <x:f>IF(ISBLANK('_INSTANCE'!E333),"",'_INSTANCE'!E333)</x:f>
      </x:c>
      <x:c r="F414" s="530" t="str">
        <x:f>IF(ISBLANK('_INSTANCE'!F333),"",'_INSTANCE'!F333)</x:f>
      </x:c>
      <x:c r="G414" s="530" t="str">
        <x:f>IF(ISBLANK('_INSTANCE'!G333),"",'_INSTANCE'!G333)</x:f>
      </x:c>
      <x:c r="H414" s="530" t="str">
        <x:f>IF(ISBLANK('_INSTANCE'!H333),"",'_INSTANCE'!H333)</x:f>
      </x:c>
      <x:c r="I414" s="530" t="str">
        <x:f>IF(ISBLANK('_INSTANCE'!I333),"",'_INSTANCE'!I333)</x:f>
      </x:c>
      <x:c r="J414" s="530" t="str">
        <x:f>IF(ISBLANK('_INSTANCE'!J333),"",'_INSTANCE'!J333)</x:f>
      </x:c>
      <x:c r="K414" s="38"/>
      <x:c r="L414" s="38"/>
      <x:c r="M414" s="38"/>
      <x:c r="N414" s="38"/>
      <x:c r="O414" s="38"/>
      <x:c r="P414" s="38"/>
      <x:c r="Q414" s="38"/>
    </x:row>
    <x:row r="415">
      <x:c r="A415" s="523" t="str">
        <x:f>IF(ISBLANK('_INSTANCE'!A334),"",'_INSTANCE'!A334)</x:f>
      </x:c>
      <x:c r="B415" s="523" t="str">
        <x:f>IF(ISBLANK('_INSTANCE'!B334),"",'_INSTANCE'!B334)</x:f>
      </x:c>
      <x:c r="C415" s="523" t="str">
        <x:f>IF(ISBLANK('_INSTANCE'!C334),"",'_INSTANCE'!C334)</x:f>
      </x:c>
      <x:c r="D415" s="530" t="str">
        <x:f>IF(ISBLANK('_INSTANCE'!D334),"",'_INSTANCE'!D334)</x:f>
      </x:c>
      <x:c r="E415" s="530" t="str">
        <x:f>IF(ISBLANK('_INSTANCE'!E334),"",'_INSTANCE'!E334)</x:f>
      </x:c>
      <x:c r="F415" s="530" t="str">
        <x:f>IF(ISBLANK('_INSTANCE'!F334),"",'_INSTANCE'!F334)</x:f>
      </x:c>
      <x:c r="G415" s="530" t="str">
        <x:f>IF(ISBLANK('_INSTANCE'!G334),"",'_INSTANCE'!G334)</x:f>
      </x:c>
      <x:c r="H415" s="530" t="str">
        <x:f>IF(ISBLANK('_INSTANCE'!H334),"",'_INSTANCE'!H334)</x:f>
      </x:c>
      <x:c r="I415" s="530" t="str">
        <x:f>IF(ISBLANK('_INSTANCE'!I334),"",'_INSTANCE'!I334)</x:f>
      </x:c>
      <x:c r="J415" s="530" t="str">
        <x:f>IF(ISBLANK('_INSTANCE'!J334),"",'_INSTANCE'!J334)</x:f>
      </x:c>
      <x:c r="K415" s="38"/>
      <x:c r="L415" s="38"/>
      <x:c r="M415" s="38"/>
      <x:c r="N415" s="38"/>
      <x:c r="O415" s="38"/>
      <x:c r="P415" s="38"/>
      <x:c r="Q415" s="38"/>
    </x:row>
    <x:row r="416">
      <x:c r="A416" s="523" t="str">
        <x:f>IF(ISBLANK('_INSTANCE'!A335),"",'_INSTANCE'!A335)</x:f>
      </x:c>
      <x:c r="B416" s="523" t="str">
        <x:f>IF(ISBLANK('_INSTANCE'!B335),"",'_INSTANCE'!B335)</x:f>
      </x:c>
      <x:c r="C416" s="523" t="str">
        <x:f>IF(ISBLANK('_INSTANCE'!C335),"",'_INSTANCE'!C335)</x:f>
      </x:c>
      <x:c r="D416" s="530" t="str">
        <x:f>IF(ISBLANK('_INSTANCE'!D335),"",'_INSTANCE'!D335)</x:f>
      </x:c>
      <x:c r="E416" s="530" t="str">
        <x:f>IF(ISBLANK('_INSTANCE'!E335),"",'_INSTANCE'!E335)</x:f>
      </x:c>
      <x:c r="F416" s="530" t="str">
        <x:f>IF(ISBLANK('_INSTANCE'!F335),"",'_INSTANCE'!F335)</x:f>
      </x:c>
      <x:c r="G416" s="530" t="str">
        <x:f>IF(ISBLANK('_INSTANCE'!G335),"",'_INSTANCE'!G335)</x:f>
      </x:c>
      <x:c r="H416" s="530" t="str">
        <x:f>IF(ISBLANK('_INSTANCE'!H335),"",'_INSTANCE'!H335)</x:f>
      </x:c>
      <x:c r="I416" s="530" t="str">
        <x:f>IF(ISBLANK('_INSTANCE'!I335),"",'_INSTANCE'!I335)</x:f>
      </x:c>
      <x:c r="J416" s="530" t="str">
        <x:f>IF(ISBLANK('_INSTANCE'!J335),"",'_INSTANCE'!J335)</x:f>
      </x:c>
      <x:c r="K416" s="38"/>
      <x:c r="L416" s="38"/>
      <x:c r="M416" s="38"/>
      <x:c r="N416" s="38"/>
      <x:c r="O416" s="38"/>
      <x:c r="P416" s="38"/>
      <x:c r="Q416" s="38"/>
    </x:row>
    <x:row r="417">
      <x:c r="A417" s="523" t="str">
        <x:f>IF(ISBLANK('_INSTANCE'!A336),"",'_INSTANCE'!A336)</x:f>
      </x:c>
      <x:c r="B417" s="523" t="str">
        <x:f>IF(ISBLANK('_INSTANCE'!B336),"",'_INSTANCE'!B336)</x:f>
      </x:c>
      <x:c r="C417" s="523" t="str">
        <x:f>IF(ISBLANK('_INSTANCE'!C336),"",'_INSTANCE'!C336)</x:f>
      </x:c>
      <x:c r="D417" s="530" t="str">
        <x:f>IF(ISBLANK('_INSTANCE'!D336),"",'_INSTANCE'!D336)</x:f>
      </x:c>
      <x:c r="E417" s="530" t="str">
        <x:f>IF(ISBLANK('_INSTANCE'!E336),"",'_INSTANCE'!E336)</x:f>
      </x:c>
      <x:c r="F417" s="530" t="str">
        <x:f>IF(ISBLANK('_INSTANCE'!F336),"",'_INSTANCE'!F336)</x:f>
      </x:c>
      <x:c r="G417" s="530" t="str">
        <x:f>IF(ISBLANK('_INSTANCE'!G336),"",'_INSTANCE'!G336)</x:f>
      </x:c>
      <x:c r="H417" s="530" t="str">
        <x:f>IF(ISBLANK('_INSTANCE'!H336),"",'_INSTANCE'!H336)</x:f>
      </x:c>
      <x:c r="I417" s="530" t="str">
        <x:f>IF(ISBLANK('_INSTANCE'!I336),"",'_INSTANCE'!I336)</x:f>
      </x:c>
      <x:c r="J417" s="530" t="str">
        <x:f>IF(ISBLANK('_INSTANCE'!J336),"",'_INSTANCE'!J336)</x:f>
      </x:c>
      <x:c r="K417" s="38"/>
      <x:c r="L417" s="38"/>
      <x:c r="M417" s="38"/>
      <x:c r="N417" s="38"/>
      <x:c r="O417" s="38"/>
      <x:c r="P417" s="38"/>
      <x:c r="Q417" s="38"/>
    </x:row>
    <x:row r="418">
      <x:c r="A418" s="523" t="str">
        <x:f>IF(ISBLANK('_INSTANCE'!A337),"",'_INSTANCE'!A337)</x:f>
      </x:c>
      <x:c r="B418" s="523" t="str">
        <x:f>IF(ISBLANK('_INSTANCE'!B337),"",'_INSTANCE'!B337)</x:f>
      </x:c>
      <x:c r="C418" s="523" t="str">
        <x:f>IF(ISBLANK('_INSTANCE'!C337),"",'_INSTANCE'!C337)</x:f>
      </x:c>
      <x:c r="D418" s="530" t="str">
        <x:f>IF(ISBLANK('_INSTANCE'!D337),"",'_INSTANCE'!D337)</x:f>
      </x:c>
      <x:c r="E418" s="530" t="str">
        <x:f>IF(ISBLANK('_INSTANCE'!E337),"",'_INSTANCE'!E337)</x:f>
      </x:c>
      <x:c r="F418" s="530" t="str">
        <x:f>IF(ISBLANK('_INSTANCE'!F337),"",'_INSTANCE'!F337)</x:f>
      </x:c>
      <x:c r="G418" s="530" t="str">
        <x:f>IF(ISBLANK('_INSTANCE'!G337),"",'_INSTANCE'!G337)</x:f>
      </x:c>
      <x:c r="H418" s="530" t="str">
        <x:f>IF(ISBLANK('_INSTANCE'!H337),"",'_INSTANCE'!H337)</x:f>
      </x:c>
      <x:c r="I418" s="530" t="str">
        <x:f>IF(ISBLANK('_INSTANCE'!I337),"",'_INSTANCE'!I337)</x:f>
      </x:c>
      <x:c r="J418" s="530" t="str">
        <x:f>IF(ISBLANK('_INSTANCE'!J337),"",'_INSTANCE'!J337)</x:f>
      </x:c>
      <x:c r="K418" s="38"/>
      <x:c r="L418" s="38"/>
      <x:c r="M418" s="38"/>
      <x:c r="N418" s="38"/>
      <x:c r="O418" s="38"/>
      <x:c r="P418" s="38"/>
      <x:c r="Q418" s="38"/>
    </x:row>
    <x:row r="419">
      <x:c r="A419" s="523" t="str">
        <x:f>IF(ISBLANK('_INSTANCE'!A338),"",'_INSTANCE'!A338)</x:f>
      </x:c>
      <x:c r="B419" s="523" t="str">
        <x:f>IF(ISBLANK('_INSTANCE'!B338),"",'_INSTANCE'!B338)</x:f>
      </x:c>
      <x:c r="C419" s="523" t="str">
        <x:f>IF(ISBLANK('_INSTANCE'!C338),"",'_INSTANCE'!C338)</x:f>
      </x:c>
      <x:c r="D419" s="530" t="str">
        <x:f>IF(ISBLANK('_INSTANCE'!D338),"",'_INSTANCE'!D338)</x:f>
      </x:c>
      <x:c r="E419" s="530" t="str">
        <x:f>IF(ISBLANK('_INSTANCE'!E338),"",'_INSTANCE'!E338)</x:f>
      </x:c>
      <x:c r="F419" s="530" t="str">
        <x:f>IF(ISBLANK('_INSTANCE'!F338),"",'_INSTANCE'!F338)</x:f>
      </x:c>
      <x:c r="G419" s="530" t="str">
        <x:f>IF(ISBLANK('_INSTANCE'!G338),"",'_INSTANCE'!G338)</x:f>
      </x:c>
      <x:c r="H419" s="530" t="str">
        <x:f>IF(ISBLANK('_INSTANCE'!H338),"",'_INSTANCE'!H338)</x:f>
      </x:c>
      <x:c r="I419" s="530" t="str">
        <x:f>IF(ISBLANK('_INSTANCE'!I338),"",'_INSTANCE'!I338)</x:f>
      </x:c>
      <x:c r="J419" s="530" t="str">
        <x:f>IF(ISBLANK('_INSTANCE'!J338),"",'_INSTANCE'!J338)</x:f>
      </x:c>
      <x:c r="K419" s="38"/>
      <x:c r="L419" s="38"/>
      <x:c r="M419" s="38"/>
      <x:c r="N419" s="38"/>
      <x:c r="O419" s="38"/>
      <x:c r="P419" s="38"/>
      <x:c r="Q419" s="38"/>
    </x:row>
    <x:row r="420">
      <x:c r="A420" s="523" t="str">
        <x:f>IF(ISBLANK('_INSTANCE'!A339),"",'_INSTANCE'!A339)</x:f>
      </x:c>
      <x:c r="B420" s="523" t="str">
        <x:f>IF(ISBLANK('_INSTANCE'!B339),"",'_INSTANCE'!B339)</x:f>
      </x:c>
      <x:c r="C420" s="523" t="str">
        <x:f>IF(ISBLANK('_INSTANCE'!C339),"",'_INSTANCE'!C339)</x:f>
      </x:c>
      <x:c r="D420" s="530" t="str">
        <x:f>IF(ISBLANK('_INSTANCE'!D339),"",'_INSTANCE'!D339)</x:f>
      </x:c>
      <x:c r="E420" s="530" t="str">
        <x:f>IF(ISBLANK('_INSTANCE'!E339),"",'_INSTANCE'!E339)</x:f>
      </x:c>
      <x:c r="F420" s="530" t="str">
        <x:f>IF(ISBLANK('_INSTANCE'!F339),"",'_INSTANCE'!F339)</x:f>
      </x:c>
      <x:c r="G420" s="530" t="str">
        <x:f>IF(ISBLANK('_INSTANCE'!G339),"",'_INSTANCE'!G339)</x:f>
      </x:c>
      <x:c r="H420" s="530" t="str">
        <x:f>IF(ISBLANK('_INSTANCE'!H339),"",'_INSTANCE'!H339)</x:f>
      </x:c>
      <x:c r="I420" s="530" t="str">
        <x:f>IF(ISBLANK('_INSTANCE'!I339),"",'_INSTANCE'!I339)</x:f>
      </x:c>
      <x:c r="J420" s="530" t="str">
        <x:f>IF(ISBLANK('_INSTANCE'!J339),"",'_INSTANCE'!J339)</x:f>
      </x:c>
      <x:c r="K420" s="38"/>
      <x:c r="L420" s="38"/>
      <x:c r="M420" s="38"/>
      <x:c r="N420" s="38"/>
      <x:c r="O420" s="38"/>
      <x:c r="P420" s="38"/>
      <x:c r="Q420" s="38"/>
    </x:row>
    <x:row r="421">
      <x:c r="A421" s="523" t="str">
        <x:f>IF(ISBLANK('_INSTANCE'!A340),"",'_INSTANCE'!A340)</x:f>
      </x:c>
      <x:c r="B421" s="523" t="str">
        <x:f>IF(ISBLANK('_INSTANCE'!B340),"",'_INSTANCE'!B340)</x:f>
      </x:c>
      <x:c r="C421" s="523" t="str">
        <x:f>IF(ISBLANK('_INSTANCE'!C340),"",'_INSTANCE'!C340)</x:f>
      </x:c>
      <x:c r="D421" s="530" t="str">
        <x:f>IF(ISBLANK('_INSTANCE'!D340),"",'_INSTANCE'!D340)</x:f>
      </x:c>
      <x:c r="E421" s="530" t="str">
        <x:f>IF(ISBLANK('_INSTANCE'!E340),"",'_INSTANCE'!E340)</x:f>
      </x:c>
      <x:c r="F421" s="530" t="str">
        <x:f>IF(ISBLANK('_INSTANCE'!F340),"",'_INSTANCE'!F340)</x:f>
      </x:c>
      <x:c r="G421" s="530" t="str">
        <x:f>IF(ISBLANK('_INSTANCE'!G340),"",'_INSTANCE'!G340)</x:f>
      </x:c>
      <x:c r="H421" s="530" t="str">
        <x:f>IF(ISBLANK('_INSTANCE'!H340),"",'_INSTANCE'!H340)</x:f>
      </x:c>
      <x:c r="I421" s="530" t="str">
        <x:f>IF(ISBLANK('_INSTANCE'!I340),"",'_INSTANCE'!I340)</x:f>
      </x:c>
      <x:c r="J421" s="530" t="str">
        <x:f>IF(ISBLANK('_INSTANCE'!J340),"",'_INSTANCE'!J340)</x:f>
      </x:c>
      <x:c r="K421" s="38"/>
      <x:c r="L421" s="38"/>
      <x:c r="M421" s="38"/>
      <x:c r="N421" s="38"/>
      <x:c r="O421" s="38"/>
      <x:c r="P421" s="38"/>
      <x:c r="Q421" s="38"/>
    </x:row>
    <x:row r="422">
      <x:c r="A422" s="523" t="str">
        <x:f>IF(ISBLANK('_INSTANCE'!A341),"",'_INSTANCE'!A341)</x:f>
      </x:c>
      <x:c r="B422" s="523" t="str">
        <x:f>IF(ISBLANK('_INSTANCE'!B341),"",'_INSTANCE'!B341)</x:f>
      </x:c>
      <x:c r="C422" s="523" t="str">
        <x:f>IF(ISBLANK('_INSTANCE'!C341),"",'_INSTANCE'!C341)</x:f>
      </x:c>
      <x:c r="D422" s="530" t="str">
        <x:f>IF(ISBLANK('_INSTANCE'!D341),"",'_INSTANCE'!D341)</x:f>
      </x:c>
      <x:c r="E422" s="530" t="str">
        <x:f>IF(ISBLANK('_INSTANCE'!E341),"",'_INSTANCE'!E341)</x:f>
      </x:c>
      <x:c r="F422" s="530" t="str">
        <x:f>IF(ISBLANK('_INSTANCE'!F341),"",'_INSTANCE'!F341)</x:f>
      </x:c>
      <x:c r="G422" s="530" t="str">
        <x:f>IF(ISBLANK('_INSTANCE'!G341),"",'_INSTANCE'!G341)</x:f>
      </x:c>
      <x:c r="H422" s="530" t="str">
        <x:f>IF(ISBLANK('_INSTANCE'!H341),"",'_INSTANCE'!H341)</x:f>
      </x:c>
      <x:c r="I422" s="530" t="str">
        <x:f>IF(ISBLANK('_INSTANCE'!I341),"",'_INSTANCE'!I341)</x:f>
      </x:c>
      <x:c r="J422" s="530" t="str">
        <x:f>IF(ISBLANK('_INSTANCE'!J341),"",'_INSTANCE'!J341)</x:f>
      </x:c>
      <x:c r="K422" s="38"/>
      <x:c r="L422" s="38"/>
      <x:c r="M422" s="38"/>
      <x:c r="N422" s="38"/>
      <x:c r="O422" s="38"/>
      <x:c r="P422" s="38"/>
      <x:c r="Q422" s="38"/>
    </x:row>
    <x:row r="423">
      <x:c r="A423" s="523" t="str">
        <x:f>IF(ISBLANK('_INSTANCE'!A342),"",'_INSTANCE'!A342)</x:f>
      </x:c>
      <x:c r="B423" s="523" t="str">
        <x:f>IF(ISBLANK('_INSTANCE'!B342),"",'_INSTANCE'!B342)</x:f>
      </x:c>
      <x:c r="C423" s="523" t="str">
        <x:f>IF(ISBLANK('_INSTANCE'!C342),"",'_INSTANCE'!C342)</x:f>
      </x:c>
      <x:c r="D423" s="530" t="str">
        <x:f>IF(ISBLANK('_INSTANCE'!D342),"",'_INSTANCE'!D342)</x:f>
      </x:c>
      <x:c r="E423" s="530" t="str">
        <x:f>IF(ISBLANK('_INSTANCE'!E342),"",'_INSTANCE'!E342)</x:f>
      </x:c>
      <x:c r="F423" s="530" t="str">
        <x:f>IF(ISBLANK('_INSTANCE'!F342),"",'_INSTANCE'!F342)</x:f>
      </x:c>
      <x:c r="G423" s="530" t="str">
        <x:f>IF(ISBLANK('_INSTANCE'!G342),"",'_INSTANCE'!G342)</x:f>
      </x:c>
      <x:c r="H423" s="530" t="str">
        <x:f>IF(ISBLANK('_INSTANCE'!H342),"",'_INSTANCE'!H342)</x:f>
      </x:c>
      <x:c r="I423" s="530" t="str">
        <x:f>IF(ISBLANK('_INSTANCE'!I342),"",'_INSTANCE'!I342)</x:f>
      </x:c>
      <x:c r="J423" s="530" t="str">
        <x:f>IF(ISBLANK('_INSTANCE'!J342),"",'_INSTANCE'!J342)</x:f>
      </x:c>
      <x:c r="K423" s="38"/>
      <x:c r="L423" s="38"/>
      <x:c r="M423" s="38"/>
      <x:c r="N423" s="38"/>
      <x:c r="O423" s="38"/>
      <x:c r="P423" s="38"/>
      <x:c r="Q423" s="38"/>
    </x:row>
    <x:row r="424">
      <x:c r="A424" s="523" t="str">
        <x:f>IF(ISBLANK('_INSTANCE'!A343),"",'_INSTANCE'!A343)</x:f>
      </x:c>
      <x:c r="B424" s="523" t="str">
        <x:f>IF(ISBLANK('_INSTANCE'!B343),"",'_INSTANCE'!B343)</x:f>
      </x:c>
      <x:c r="C424" s="523" t="str">
        <x:f>IF(ISBLANK('_INSTANCE'!C343),"",'_INSTANCE'!C343)</x:f>
      </x:c>
      <x:c r="D424" s="530" t="str">
        <x:f>IF(ISBLANK('_INSTANCE'!D343),"",'_INSTANCE'!D343)</x:f>
      </x:c>
      <x:c r="E424" s="530" t="str">
        <x:f>IF(ISBLANK('_INSTANCE'!E343),"",'_INSTANCE'!E343)</x:f>
      </x:c>
      <x:c r="F424" s="530" t="str">
        <x:f>IF(ISBLANK('_INSTANCE'!F343),"",'_INSTANCE'!F343)</x:f>
      </x:c>
      <x:c r="G424" s="530" t="str">
        <x:f>IF(ISBLANK('_INSTANCE'!G343),"",'_INSTANCE'!G343)</x:f>
      </x:c>
      <x:c r="H424" s="530" t="str">
        <x:f>IF(ISBLANK('_INSTANCE'!H343),"",'_INSTANCE'!H343)</x:f>
      </x:c>
      <x:c r="I424" s="530" t="str">
        <x:f>IF(ISBLANK('_INSTANCE'!I343),"",'_INSTANCE'!I343)</x:f>
      </x:c>
      <x:c r="J424" s="530" t="str">
        <x:f>IF(ISBLANK('_INSTANCE'!J343),"",'_INSTANCE'!J343)</x:f>
      </x:c>
      <x:c r="K424" s="38"/>
      <x:c r="L424" s="38"/>
      <x:c r="M424" s="38"/>
      <x:c r="N424" s="38"/>
      <x:c r="O424" s="38"/>
      <x:c r="P424" s="38"/>
      <x:c r="Q424" s="38"/>
    </x:row>
    <x:row r="425">
      <x:c r="A425" s="523" t="str">
        <x:f>IF(ISBLANK('_INSTANCE'!A344),"",'_INSTANCE'!A344)</x:f>
      </x:c>
      <x:c r="B425" s="523" t="str">
        <x:f>IF(ISBLANK('_INSTANCE'!B344),"",'_INSTANCE'!B344)</x:f>
      </x:c>
      <x:c r="C425" s="523" t="str">
        <x:f>IF(ISBLANK('_INSTANCE'!C344),"",'_INSTANCE'!C344)</x:f>
      </x:c>
      <x:c r="D425" s="530" t="str">
        <x:f>IF(ISBLANK('_INSTANCE'!D344),"",'_INSTANCE'!D344)</x:f>
      </x:c>
      <x:c r="E425" s="530" t="str">
        <x:f>IF(ISBLANK('_INSTANCE'!E344),"",'_INSTANCE'!E344)</x:f>
      </x:c>
      <x:c r="F425" s="530" t="str">
        <x:f>IF(ISBLANK('_INSTANCE'!F344),"",'_INSTANCE'!F344)</x:f>
      </x:c>
      <x:c r="G425" s="530" t="str">
        <x:f>IF(ISBLANK('_INSTANCE'!G344),"",'_INSTANCE'!G344)</x:f>
      </x:c>
      <x:c r="H425" s="530" t="str">
        <x:f>IF(ISBLANK('_INSTANCE'!H344),"",'_INSTANCE'!H344)</x:f>
      </x:c>
      <x:c r="I425" s="530" t="str">
        <x:f>IF(ISBLANK('_INSTANCE'!I344),"",'_INSTANCE'!I344)</x:f>
      </x:c>
      <x:c r="J425" s="530" t="str">
        <x:f>IF(ISBLANK('_INSTANCE'!J344),"",'_INSTANCE'!J344)</x:f>
      </x:c>
      <x:c r="K425" s="38"/>
      <x:c r="L425" s="38"/>
      <x:c r="M425" s="38"/>
      <x:c r="N425" s="38"/>
      <x:c r="O425" s="38"/>
      <x:c r="P425" s="38"/>
      <x:c r="Q425" s="38"/>
    </x:row>
    <x:row r="426">
      <x:c r="A426" s="523" t="str">
        <x:f>IF(ISBLANK('_INSTANCE'!A345),"",'_INSTANCE'!A345)</x:f>
      </x:c>
      <x:c r="B426" s="523" t="str">
        <x:f>IF(ISBLANK('_INSTANCE'!B345),"",'_INSTANCE'!B345)</x:f>
      </x:c>
      <x:c r="C426" s="523" t="str">
        <x:f>IF(ISBLANK('_INSTANCE'!C345),"",'_INSTANCE'!C345)</x:f>
      </x:c>
      <x:c r="D426" s="530" t="str">
        <x:f>IF(ISBLANK('_INSTANCE'!D345),"",'_INSTANCE'!D345)</x:f>
      </x:c>
      <x:c r="E426" s="530" t="str">
        <x:f>IF(ISBLANK('_INSTANCE'!E345),"",'_INSTANCE'!E345)</x:f>
      </x:c>
      <x:c r="F426" s="530" t="str">
        <x:f>IF(ISBLANK('_INSTANCE'!F345),"",'_INSTANCE'!F345)</x:f>
      </x:c>
      <x:c r="G426" s="530" t="str">
        <x:f>IF(ISBLANK('_INSTANCE'!G345),"",'_INSTANCE'!G345)</x:f>
      </x:c>
      <x:c r="H426" s="530" t="str">
        <x:f>IF(ISBLANK('_INSTANCE'!H345),"",'_INSTANCE'!H345)</x:f>
      </x:c>
      <x:c r="I426" s="530" t="str">
        <x:f>IF(ISBLANK('_INSTANCE'!I345),"",'_INSTANCE'!I345)</x:f>
      </x:c>
      <x:c r="J426" s="530" t="str">
        <x:f>IF(ISBLANK('_INSTANCE'!J345),"",'_INSTANCE'!J345)</x:f>
      </x:c>
      <x:c r="K426" s="38"/>
      <x:c r="L426" s="38"/>
      <x:c r="M426" s="38"/>
      <x:c r="N426" s="38"/>
      <x:c r="O426" s="38"/>
      <x:c r="P426" s="38"/>
      <x:c r="Q426" s="38"/>
    </x:row>
    <x:row r="427">
      <x:c r="A427" s="523" t="str">
        <x:f>IF(ISBLANK('_INSTANCE'!A346),"",'_INSTANCE'!A346)</x:f>
      </x:c>
      <x:c r="B427" s="523" t="str">
        <x:f>IF(ISBLANK('_INSTANCE'!B346),"",'_INSTANCE'!B346)</x:f>
      </x:c>
      <x:c r="C427" s="523" t="str">
        <x:f>IF(ISBLANK('_INSTANCE'!C346),"",'_INSTANCE'!C346)</x:f>
      </x:c>
      <x:c r="D427" s="530" t="str">
        <x:f>IF(ISBLANK('_INSTANCE'!D346),"",'_INSTANCE'!D346)</x:f>
      </x:c>
      <x:c r="E427" s="530" t="str">
        <x:f>IF(ISBLANK('_INSTANCE'!E346),"",'_INSTANCE'!E346)</x:f>
      </x:c>
      <x:c r="F427" s="530" t="str">
        <x:f>IF(ISBLANK('_INSTANCE'!F346),"",'_INSTANCE'!F346)</x:f>
      </x:c>
      <x:c r="G427" s="530" t="str">
        <x:f>IF(ISBLANK('_INSTANCE'!G346),"",'_INSTANCE'!G346)</x:f>
      </x:c>
      <x:c r="H427" s="530" t="str">
        <x:f>IF(ISBLANK('_INSTANCE'!H346),"",'_INSTANCE'!H346)</x:f>
      </x:c>
      <x:c r="I427" s="530" t="str">
        <x:f>IF(ISBLANK('_INSTANCE'!I346),"",'_INSTANCE'!I346)</x:f>
      </x:c>
      <x:c r="J427" s="530" t="str">
        <x:f>IF(ISBLANK('_INSTANCE'!J346),"",'_INSTANCE'!J346)</x:f>
      </x:c>
      <x:c r="K427" s="38"/>
      <x:c r="L427" s="38"/>
      <x:c r="M427" s="38"/>
      <x:c r="N427" s="38"/>
      <x:c r="O427" s="38"/>
      <x:c r="P427" s="38"/>
      <x:c r="Q427" s="38"/>
    </x:row>
    <x:row r="428">
      <x:c r="A428" s="523" t="str">
        <x:f>IF(ISBLANK('_INSTANCE'!A347),"",'_INSTANCE'!A347)</x:f>
      </x:c>
      <x:c r="B428" s="523" t="str">
        <x:f>IF(ISBLANK('_INSTANCE'!B347),"",'_INSTANCE'!B347)</x:f>
      </x:c>
      <x:c r="C428" s="523" t="str">
        <x:f>IF(ISBLANK('_INSTANCE'!C347),"",'_INSTANCE'!C347)</x:f>
      </x:c>
      <x:c r="D428" s="530" t="str">
        <x:f>IF(ISBLANK('_INSTANCE'!D347),"",'_INSTANCE'!D347)</x:f>
      </x:c>
      <x:c r="E428" s="530" t="str">
        <x:f>IF(ISBLANK('_INSTANCE'!E347),"",'_INSTANCE'!E347)</x:f>
      </x:c>
      <x:c r="F428" s="530" t="str">
        <x:f>IF(ISBLANK('_INSTANCE'!F347),"",'_INSTANCE'!F347)</x:f>
      </x:c>
      <x:c r="G428" s="530" t="str">
        <x:f>IF(ISBLANK('_INSTANCE'!G347),"",'_INSTANCE'!G347)</x:f>
      </x:c>
      <x:c r="H428" s="530" t="str">
        <x:f>IF(ISBLANK('_INSTANCE'!H347),"",'_INSTANCE'!H347)</x:f>
      </x:c>
      <x:c r="I428" s="530" t="str">
        <x:f>IF(ISBLANK('_INSTANCE'!I347),"",'_INSTANCE'!I347)</x:f>
      </x:c>
      <x:c r="J428" s="530" t="str">
        <x:f>IF(ISBLANK('_INSTANCE'!J347),"",'_INSTANCE'!J347)</x:f>
      </x:c>
      <x:c r="K428" s="38"/>
      <x:c r="L428" s="38"/>
      <x:c r="M428" s="38"/>
      <x:c r="N428" s="38"/>
      <x:c r="O428" s="38"/>
      <x:c r="P428" s="38"/>
      <x:c r="Q428" s="38"/>
    </x:row>
    <x:row r="429">
      <x:c r="A429" s="523" t="str">
        <x:f>IF(ISBLANK('_INSTANCE'!A348),"",'_INSTANCE'!A348)</x:f>
      </x:c>
      <x:c r="B429" s="523" t="str">
        <x:f>IF(ISBLANK('_INSTANCE'!B348),"",'_INSTANCE'!B348)</x:f>
      </x:c>
      <x:c r="C429" s="523" t="str">
        <x:f>IF(ISBLANK('_INSTANCE'!C348),"",'_INSTANCE'!C348)</x:f>
      </x:c>
      <x:c r="D429" s="530" t="str">
        <x:f>IF(ISBLANK('_INSTANCE'!D348),"",'_INSTANCE'!D348)</x:f>
      </x:c>
      <x:c r="E429" s="530" t="str">
        <x:f>IF(ISBLANK('_INSTANCE'!E348),"",'_INSTANCE'!E348)</x:f>
      </x:c>
      <x:c r="F429" s="530" t="str">
        <x:f>IF(ISBLANK('_INSTANCE'!F348),"",'_INSTANCE'!F348)</x:f>
      </x:c>
      <x:c r="G429" s="530" t="str">
        <x:f>IF(ISBLANK('_INSTANCE'!G348),"",'_INSTANCE'!G348)</x:f>
      </x:c>
      <x:c r="H429" s="530" t="str">
        <x:f>IF(ISBLANK('_INSTANCE'!H348),"",'_INSTANCE'!H348)</x:f>
      </x:c>
      <x:c r="I429" s="530" t="str">
        <x:f>IF(ISBLANK('_INSTANCE'!I348),"",'_INSTANCE'!I348)</x:f>
      </x:c>
      <x:c r="J429" s="530" t="str">
        <x:f>IF(ISBLANK('_INSTANCE'!J348),"",'_INSTANCE'!J348)</x:f>
      </x:c>
      <x:c r="K429" s="38"/>
      <x:c r="L429" s="38"/>
      <x:c r="M429" s="38"/>
      <x:c r="N429" s="38"/>
      <x:c r="O429" s="38"/>
      <x:c r="P429" s="38"/>
      <x:c r="Q429" s="38"/>
    </x:row>
    <x:row r="430">
      <x:c r="A430" s="523" t="str">
        <x:f>IF(ISBLANK('_INSTANCE'!A349),"",'_INSTANCE'!A349)</x:f>
      </x:c>
      <x:c r="B430" s="523" t="str">
        <x:f>IF(ISBLANK('_INSTANCE'!B349),"",'_INSTANCE'!B349)</x:f>
      </x:c>
      <x:c r="C430" s="523" t="str">
        <x:f>IF(ISBLANK('_INSTANCE'!C349),"",'_INSTANCE'!C349)</x:f>
      </x:c>
      <x:c r="D430" s="530" t="str">
        <x:f>IF(ISBLANK('_INSTANCE'!D349),"",'_INSTANCE'!D349)</x:f>
      </x:c>
      <x:c r="E430" s="530" t="str">
        <x:f>IF(ISBLANK('_INSTANCE'!E349),"",'_INSTANCE'!E349)</x:f>
      </x:c>
      <x:c r="F430" s="530" t="str">
        <x:f>IF(ISBLANK('_INSTANCE'!F349),"",'_INSTANCE'!F349)</x:f>
      </x:c>
      <x:c r="G430" s="530" t="str">
        <x:f>IF(ISBLANK('_INSTANCE'!G349),"",'_INSTANCE'!G349)</x:f>
      </x:c>
      <x:c r="H430" s="530" t="str">
        <x:f>IF(ISBLANK('_INSTANCE'!H349),"",'_INSTANCE'!H349)</x:f>
      </x:c>
      <x:c r="I430" s="530" t="str">
        <x:f>IF(ISBLANK('_INSTANCE'!I349),"",'_INSTANCE'!I349)</x:f>
      </x:c>
      <x:c r="J430" s="530" t="str">
        <x:f>IF(ISBLANK('_INSTANCE'!J349),"",'_INSTANCE'!J349)</x:f>
      </x:c>
      <x:c r="K430" s="38"/>
      <x:c r="L430" s="38"/>
      <x:c r="M430" s="38"/>
      <x:c r="N430" s="38"/>
      <x:c r="O430" s="38"/>
      <x:c r="P430" s="38"/>
      <x:c r="Q430" s="38"/>
    </x:row>
    <x:row r="431">
      <x:c r="A431" s="523" t="str">
        <x:f>IF(ISBLANK('_INSTANCE'!A350),"",'_INSTANCE'!A350)</x:f>
      </x:c>
      <x:c r="B431" s="523" t="str">
        <x:f>IF(ISBLANK('_INSTANCE'!B350),"",'_INSTANCE'!B350)</x:f>
      </x:c>
      <x:c r="C431" s="523" t="str">
        <x:f>IF(ISBLANK('_INSTANCE'!C350),"",'_INSTANCE'!C350)</x:f>
      </x:c>
      <x:c r="D431" s="530" t="str">
        <x:f>IF(ISBLANK('_INSTANCE'!D350),"",'_INSTANCE'!D350)</x:f>
      </x:c>
      <x:c r="E431" s="530" t="str">
        <x:f>IF(ISBLANK('_INSTANCE'!E350),"",'_INSTANCE'!E350)</x:f>
      </x:c>
      <x:c r="F431" s="530" t="str">
        <x:f>IF(ISBLANK('_INSTANCE'!F350),"",'_INSTANCE'!F350)</x:f>
      </x:c>
      <x:c r="G431" s="530" t="str">
        <x:f>IF(ISBLANK('_INSTANCE'!G350),"",'_INSTANCE'!G350)</x:f>
      </x:c>
      <x:c r="H431" s="530" t="str">
        <x:f>IF(ISBLANK('_INSTANCE'!H350),"",'_INSTANCE'!H350)</x:f>
      </x:c>
      <x:c r="I431" s="530" t="str">
        <x:f>IF(ISBLANK('_INSTANCE'!I350),"",'_INSTANCE'!I350)</x:f>
      </x:c>
      <x:c r="J431" s="530" t="str">
        <x:f>IF(ISBLANK('_INSTANCE'!J350),"",'_INSTANCE'!J350)</x:f>
      </x:c>
      <x:c r="K431" s="38"/>
      <x:c r="L431" s="38"/>
      <x:c r="M431" s="38"/>
      <x:c r="N431" s="38"/>
      <x:c r="O431" s="38"/>
      <x:c r="P431" s="38"/>
      <x:c r="Q431" s="38"/>
    </x:row>
    <x:row r="432">
      <x:c r="A432" s="523" t="str">
        <x:f>IF(ISBLANK('_INSTANCE'!A351),"",'_INSTANCE'!A351)</x:f>
      </x:c>
      <x:c r="B432" s="523" t="str">
        <x:f>IF(ISBLANK('_INSTANCE'!B351),"",'_INSTANCE'!B351)</x:f>
      </x:c>
      <x:c r="C432" s="523" t="str">
        <x:f>IF(ISBLANK('_INSTANCE'!C351),"",'_INSTANCE'!C351)</x:f>
      </x:c>
      <x:c r="D432" s="530" t="str">
        <x:f>IF(ISBLANK('_INSTANCE'!D351),"",'_INSTANCE'!D351)</x:f>
      </x:c>
      <x:c r="E432" s="530" t="str">
        <x:f>IF(ISBLANK('_INSTANCE'!E351),"",'_INSTANCE'!E351)</x:f>
      </x:c>
      <x:c r="F432" s="530" t="str">
        <x:f>IF(ISBLANK('_INSTANCE'!F351),"",'_INSTANCE'!F351)</x:f>
      </x:c>
      <x:c r="G432" s="530" t="str">
        <x:f>IF(ISBLANK('_INSTANCE'!G351),"",'_INSTANCE'!G351)</x:f>
      </x:c>
      <x:c r="H432" s="530" t="str">
        <x:f>IF(ISBLANK('_INSTANCE'!H351),"",'_INSTANCE'!H351)</x:f>
      </x:c>
      <x:c r="I432" s="530" t="str">
        <x:f>IF(ISBLANK('_INSTANCE'!I351),"",'_INSTANCE'!I351)</x:f>
      </x:c>
      <x:c r="J432" s="530" t="str">
        <x:f>IF(ISBLANK('_INSTANCE'!J351),"",'_INSTANCE'!J351)</x:f>
      </x:c>
      <x:c r="K432" s="38"/>
      <x:c r="L432" s="38"/>
      <x:c r="M432" s="38"/>
      <x:c r="N432" s="38"/>
      <x:c r="O432" s="38"/>
      <x:c r="P432" s="38"/>
      <x:c r="Q432" s="38"/>
    </x:row>
    <x:row r="433">
      <x:c r="A433" s="523" t="str">
        <x:f>IF(ISBLANK('_INSTANCE'!A352),"",'_INSTANCE'!A352)</x:f>
      </x:c>
      <x:c r="B433" s="523" t="str">
        <x:f>IF(ISBLANK('_INSTANCE'!B352),"",'_INSTANCE'!B352)</x:f>
      </x:c>
      <x:c r="C433" s="523" t="str">
        <x:f>IF(ISBLANK('_INSTANCE'!C352),"",'_INSTANCE'!C352)</x:f>
      </x:c>
      <x:c r="D433" s="530" t="str">
        <x:f>IF(ISBLANK('_INSTANCE'!D352),"",'_INSTANCE'!D352)</x:f>
      </x:c>
      <x:c r="E433" s="530" t="str">
        <x:f>IF(ISBLANK('_INSTANCE'!E352),"",'_INSTANCE'!E352)</x:f>
      </x:c>
      <x:c r="F433" s="530" t="str">
        <x:f>IF(ISBLANK('_INSTANCE'!F352),"",'_INSTANCE'!F352)</x:f>
      </x:c>
      <x:c r="G433" s="530" t="str">
        <x:f>IF(ISBLANK('_INSTANCE'!G352),"",'_INSTANCE'!G352)</x:f>
      </x:c>
      <x:c r="H433" s="530" t="str">
        <x:f>IF(ISBLANK('_INSTANCE'!H352),"",'_INSTANCE'!H352)</x:f>
      </x:c>
      <x:c r="I433" s="530" t="str">
        <x:f>IF(ISBLANK('_INSTANCE'!I352),"",'_INSTANCE'!I352)</x:f>
      </x:c>
      <x:c r="J433" s="530" t="str">
        <x:f>IF(ISBLANK('_INSTANCE'!J352),"",'_INSTANCE'!J352)</x:f>
      </x:c>
      <x:c r="K433" s="38"/>
      <x:c r="L433" s="38"/>
      <x:c r="M433" s="38"/>
      <x:c r="N433" s="38"/>
      <x:c r="O433" s="38"/>
      <x:c r="P433" s="38"/>
      <x:c r="Q433" s="38"/>
    </x:row>
    <x:row r="434">
      <x:c r="A434" s="523" t="str">
        <x:f>IF(ISBLANK('_INSTANCE'!A353),"",'_INSTANCE'!A353)</x:f>
      </x:c>
      <x:c r="B434" s="523" t="str">
        <x:f>IF(ISBLANK('_INSTANCE'!B353),"",'_INSTANCE'!B353)</x:f>
      </x:c>
      <x:c r="C434" s="523" t="str">
        <x:f>IF(ISBLANK('_INSTANCE'!C353),"",'_INSTANCE'!C353)</x:f>
      </x:c>
      <x:c r="D434" s="530" t="str">
        <x:f>IF(ISBLANK('_INSTANCE'!D353),"",'_INSTANCE'!D353)</x:f>
      </x:c>
      <x:c r="E434" s="530" t="str">
        <x:f>IF(ISBLANK('_INSTANCE'!E353),"",'_INSTANCE'!E353)</x:f>
      </x:c>
      <x:c r="F434" s="530" t="str">
        <x:f>IF(ISBLANK('_INSTANCE'!F353),"",'_INSTANCE'!F353)</x:f>
      </x:c>
      <x:c r="G434" s="530" t="str">
        <x:f>IF(ISBLANK('_INSTANCE'!G353),"",'_INSTANCE'!G353)</x:f>
      </x:c>
      <x:c r="H434" s="530" t="str">
        <x:f>IF(ISBLANK('_INSTANCE'!H353),"",'_INSTANCE'!H353)</x:f>
      </x:c>
      <x:c r="I434" s="530" t="str">
        <x:f>IF(ISBLANK('_INSTANCE'!I353),"",'_INSTANCE'!I353)</x:f>
      </x:c>
      <x:c r="J434" s="530" t="str">
        <x:f>IF(ISBLANK('_INSTANCE'!J353),"",'_INSTANCE'!J353)</x:f>
      </x:c>
      <x:c r="K434" s="38"/>
      <x:c r="L434" s="38"/>
      <x:c r="M434" s="38"/>
      <x:c r="N434" s="38"/>
      <x:c r="O434" s="38"/>
      <x:c r="P434" s="38"/>
      <x:c r="Q434" s="38"/>
    </x:row>
    <x:row r="435">
      <x:c r="A435" s="523" t="str">
        <x:f>IF(ISBLANK('_INSTANCE'!A354),"",'_INSTANCE'!A354)</x:f>
      </x:c>
      <x:c r="B435" s="523" t="str">
        <x:f>IF(ISBLANK('_INSTANCE'!B354),"",'_INSTANCE'!B354)</x:f>
      </x:c>
      <x:c r="C435" s="523" t="str">
        <x:f>IF(ISBLANK('_INSTANCE'!C354),"",'_INSTANCE'!C354)</x:f>
      </x:c>
      <x:c r="D435" s="530" t="str">
        <x:f>IF(ISBLANK('_INSTANCE'!D354),"",'_INSTANCE'!D354)</x:f>
      </x:c>
      <x:c r="E435" s="530" t="str">
        <x:f>IF(ISBLANK('_INSTANCE'!E354),"",'_INSTANCE'!E354)</x:f>
      </x:c>
      <x:c r="F435" s="530" t="str">
        <x:f>IF(ISBLANK('_INSTANCE'!F354),"",'_INSTANCE'!F354)</x:f>
      </x:c>
      <x:c r="G435" s="530" t="str">
        <x:f>IF(ISBLANK('_INSTANCE'!G354),"",'_INSTANCE'!G354)</x:f>
      </x:c>
      <x:c r="H435" s="530" t="str">
        <x:f>IF(ISBLANK('_INSTANCE'!H354),"",'_INSTANCE'!H354)</x:f>
      </x:c>
      <x:c r="I435" s="530" t="str">
        <x:f>IF(ISBLANK('_INSTANCE'!I354),"",'_INSTANCE'!I354)</x:f>
      </x:c>
      <x:c r="J435" s="530" t="str">
        <x:f>IF(ISBLANK('_INSTANCE'!J354),"",'_INSTANCE'!J354)</x:f>
      </x:c>
      <x:c r="K435" s="38"/>
      <x:c r="L435" s="38"/>
      <x:c r="M435" s="38"/>
      <x:c r="N435" s="38"/>
      <x:c r="O435" s="38"/>
      <x:c r="P435" s="38"/>
      <x:c r="Q435" s="38"/>
    </x:row>
    <x:row r="436">
      <x:c r="A436" s="523" t="str">
        <x:f>IF(ISBLANK('_INSTANCE'!A355),"",'_INSTANCE'!A355)</x:f>
      </x:c>
      <x:c r="B436" s="523" t="str">
        <x:f>IF(ISBLANK('_INSTANCE'!B355),"",'_INSTANCE'!B355)</x:f>
      </x:c>
      <x:c r="C436" s="523" t="str">
        <x:f>IF(ISBLANK('_INSTANCE'!C355),"",'_INSTANCE'!C355)</x:f>
      </x:c>
      <x:c r="D436" s="530" t="str">
        <x:f>IF(ISBLANK('_INSTANCE'!D355),"",'_INSTANCE'!D355)</x:f>
      </x:c>
      <x:c r="E436" s="530" t="str">
        <x:f>IF(ISBLANK('_INSTANCE'!E355),"",'_INSTANCE'!E355)</x:f>
      </x:c>
      <x:c r="F436" s="530" t="str">
        <x:f>IF(ISBLANK('_INSTANCE'!F355),"",'_INSTANCE'!F355)</x:f>
      </x:c>
      <x:c r="G436" s="530" t="str">
        <x:f>IF(ISBLANK('_INSTANCE'!G355),"",'_INSTANCE'!G355)</x:f>
      </x:c>
      <x:c r="H436" s="530" t="str">
        <x:f>IF(ISBLANK('_INSTANCE'!H355),"",'_INSTANCE'!H355)</x:f>
      </x:c>
      <x:c r="I436" s="530" t="str">
        <x:f>IF(ISBLANK('_INSTANCE'!I355),"",'_INSTANCE'!I355)</x:f>
      </x:c>
      <x:c r="J436" s="530" t="str">
        <x:f>IF(ISBLANK('_INSTANCE'!J355),"",'_INSTANCE'!J355)</x:f>
      </x:c>
      <x:c r="K436" s="38"/>
      <x:c r="L436" s="38"/>
      <x:c r="M436" s="38"/>
      <x:c r="N436" s="38"/>
      <x:c r="O436" s="38"/>
      <x:c r="P436" s="38"/>
      <x:c r="Q436" s="38"/>
    </x:row>
    <x:row r="437">
      <x:c r="A437" s="523" t="str">
        <x:f>IF(ISBLANK('_INSTANCE'!A356),"",'_INSTANCE'!A356)</x:f>
      </x:c>
      <x:c r="B437" s="523" t="str">
        <x:f>IF(ISBLANK('_INSTANCE'!B356),"",'_INSTANCE'!B356)</x:f>
      </x:c>
      <x:c r="C437" s="523" t="str">
        <x:f>IF(ISBLANK('_INSTANCE'!C356),"",'_INSTANCE'!C356)</x:f>
      </x:c>
      <x:c r="D437" s="530" t="str">
        <x:f>IF(ISBLANK('_INSTANCE'!D356),"",'_INSTANCE'!D356)</x:f>
      </x:c>
      <x:c r="E437" s="530" t="str">
        <x:f>IF(ISBLANK('_INSTANCE'!E356),"",'_INSTANCE'!E356)</x:f>
      </x:c>
      <x:c r="F437" s="530" t="str">
        <x:f>IF(ISBLANK('_INSTANCE'!F356),"",'_INSTANCE'!F356)</x:f>
      </x:c>
      <x:c r="G437" s="530" t="str">
        <x:f>IF(ISBLANK('_INSTANCE'!G356),"",'_INSTANCE'!G356)</x:f>
      </x:c>
      <x:c r="H437" s="530" t="str">
        <x:f>IF(ISBLANK('_INSTANCE'!H356),"",'_INSTANCE'!H356)</x:f>
      </x:c>
      <x:c r="I437" s="530" t="str">
        <x:f>IF(ISBLANK('_INSTANCE'!I356),"",'_INSTANCE'!I356)</x:f>
      </x:c>
      <x:c r="J437" s="530" t="str">
        <x:f>IF(ISBLANK('_INSTANCE'!J356),"",'_INSTANCE'!J356)</x:f>
      </x:c>
      <x:c r="K437" s="38"/>
      <x:c r="L437" s="38"/>
      <x:c r="M437" s="38"/>
      <x:c r="N437" s="38"/>
      <x:c r="O437" s="38"/>
      <x:c r="P437" s="38"/>
      <x:c r="Q437" s="38"/>
    </x:row>
    <x:row r="438">
      <x:c r="A438" s="523" t="str">
        <x:f>IF(ISBLANK('_INSTANCE'!A357),"",'_INSTANCE'!A357)</x:f>
      </x:c>
      <x:c r="B438" s="523" t="str">
        <x:f>IF(ISBLANK('_INSTANCE'!B357),"",'_INSTANCE'!B357)</x:f>
      </x:c>
      <x:c r="C438" s="523" t="str">
        <x:f>IF(ISBLANK('_INSTANCE'!C357),"",'_INSTANCE'!C357)</x:f>
      </x:c>
      <x:c r="D438" s="530" t="str">
        <x:f>IF(ISBLANK('_INSTANCE'!D357),"",'_INSTANCE'!D357)</x:f>
      </x:c>
      <x:c r="E438" s="530" t="str">
        <x:f>IF(ISBLANK('_INSTANCE'!E357),"",'_INSTANCE'!E357)</x:f>
      </x:c>
      <x:c r="F438" s="530" t="str">
        <x:f>IF(ISBLANK('_INSTANCE'!F357),"",'_INSTANCE'!F357)</x:f>
      </x:c>
      <x:c r="G438" s="530" t="str">
        <x:f>IF(ISBLANK('_INSTANCE'!G357),"",'_INSTANCE'!G357)</x:f>
      </x:c>
      <x:c r="H438" s="530" t="str">
        <x:f>IF(ISBLANK('_INSTANCE'!H357),"",'_INSTANCE'!H357)</x:f>
      </x:c>
      <x:c r="I438" s="530" t="str">
        <x:f>IF(ISBLANK('_INSTANCE'!I357),"",'_INSTANCE'!I357)</x:f>
      </x:c>
      <x:c r="J438" s="530" t="str">
        <x:f>IF(ISBLANK('_INSTANCE'!J357),"",'_INSTANCE'!J357)</x:f>
      </x:c>
      <x:c r="K438" s="38"/>
      <x:c r="L438" s="38"/>
      <x:c r="M438" s="38"/>
      <x:c r="N438" s="38"/>
      <x:c r="O438" s="38"/>
      <x:c r="P438" s="38"/>
      <x:c r="Q438" s="38"/>
    </x:row>
    <x:row r="439">
      <x:c r="A439" s="523" t="str">
        <x:f>IF(ISBLANK('_INSTANCE'!A358),"",'_INSTANCE'!A358)</x:f>
      </x:c>
      <x:c r="B439" s="523" t="str">
        <x:f>IF(ISBLANK('_INSTANCE'!B358),"",'_INSTANCE'!B358)</x:f>
      </x:c>
      <x:c r="C439" s="523" t="str">
        <x:f>IF(ISBLANK('_INSTANCE'!C358),"",'_INSTANCE'!C358)</x:f>
      </x:c>
      <x:c r="D439" s="530" t="str">
        <x:f>IF(ISBLANK('_INSTANCE'!D358),"",'_INSTANCE'!D358)</x:f>
      </x:c>
      <x:c r="E439" s="530" t="str">
        <x:f>IF(ISBLANK('_INSTANCE'!E358),"",'_INSTANCE'!E358)</x:f>
      </x:c>
      <x:c r="F439" s="530" t="str">
        <x:f>IF(ISBLANK('_INSTANCE'!F358),"",'_INSTANCE'!F358)</x:f>
      </x:c>
      <x:c r="G439" s="530" t="str">
        <x:f>IF(ISBLANK('_INSTANCE'!G358),"",'_INSTANCE'!G358)</x:f>
      </x:c>
      <x:c r="H439" s="530" t="str">
        <x:f>IF(ISBLANK('_INSTANCE'!H358),"",'_INSTANCE'!H358)</x:f>
      </x:c>
      <x:c r="I439" s="530" t="str">
        <x:f>IF(ISBLANK('_INSTANCE'!I358),"",'_INSTANCE'!I358)</x:f>
      </x:c>
      <x:c r="J439" s="530" t="str">
        <x:f>IF(ISBLANK('_INSTANCE'!J358),"",'_INSTANCE'!J358)</x:f>
      </x:c>
      <x:c r="K439" s="38"/>
      <x:c r="L439" s="38"/>
      <x:c r="M439" s="38"/>
      <x:c r="N439" s="38"/>
      <x:c r="O439" s="38"/>
      <x:c r="P439" s="38"/>
      <x:c r="Q439" s="38"/>
    </x:row>
    <x:row r="440">
      <x:c r="A440" s="523" t="str">
        <x:f>IF(ISBLANK('_INSTANCE'!A359),"",'_INSTANCE'!A359)</x:f>
      </x:c>
      <x:c r="B440" s="523" t="str">
        <x:f>IF(ISBLANK('_INSTANCE'!B359),"",'_INSTANCE'!B359)</x:f>
      </x:c>
      <x:c r="C440" s="523" t="str">
        <x:f>IF(ISBLANK('_INSTANCE'!C359),"",'_INSTANCE'!C359)</x:f>
      </x:c>
      <x:c r="D440" s="530" t="str">
        <x:f>IF(ISBLANK('_INSTANCE'!D359),"",'_INSTANCE'!D359)</x:f>
      </x:c>
      <x:c r="E440" s="530" t="str">
        <x:f>IF(ISBLANK('_INSTANCE'!E359),"",'_INSTANCE'!E359)</x:f>
      </x:c>
      <x:c r="F440" s="530" t="str">
        <x:f>IF(ISBLANK('_INSTANCE'!F359),"",'_INSTANCE'!F359)</x:f>
      </x:c>
      <x:c r="G440" s="530" t="str">
        <x:f>IF(ISBLANK('_INSTANCE'!G359),"",'_INSTANCE'!G359)</x:f>
      </x:c>
      <x:c r="H440" s="530" t="str">
        <x:f>IF(ISBLANK('_INSTANCE'!H359),"",'_INSTANCE'!H359)</x:f>
      </x:c>
      <x:c r="I440" s="530" t="str">
        <x:f>IF(ISBLANK('_INSTANCE'!I359),"",'_INSTANCE'!I359)</x:f>
      </x:c>
      <x:c r="J440" s="530" t="str">
        <x:f>IF(ISBLANK('_INSTANCE'!J359),"",'_INSTANCE'!J359)</x:f>
      </x:c>
      <x:c r="K440" s="38"/>
      <x:c r="L440" s="38"/>
      <x:c r="M440" s="38"/>
      <x:c r="N440" s="38"/>
      <x:c r="O440" s="38"/>
      <x:c r="P440" s="38"/>
      <x:c r="Q440" s="38"/>
    </x:row>
    <x:row r="441">
      <x:c r="A441" s="523" t="str">
        <x:f>IF(ISBLANK('_INSTANCE'!A360),"",'_INSTANCE'!A360)</x:f>
      </x:c>
      <x:c r="B441" s="523" t="str">
        <x:f>IF(ISBLANK('_INSTANCE'!B360),"",'_INSTANCE'!B360)</x:f>
      </x:c>
      <x:c r="C441" s="523" t="str">
        <x:f>IF(ISBLANK('_INSTANCE'!C360),"",'_INSTANCE'!C360)</x:f>
      </x:c>
      <x:c r="D441" s="530" t="str">
        <x:f>IF(ISBLANK('_INSTANCE'!D360),"",'_INSTANCE'!D360)</x:f>
      </x:c>
      <x:c r="E441" s="530" t="str">
        <x:f>IF(ISBLANK('_INSTANCE'!E360),"",'_INSTANCE'!E360)</x:f>
      </x:c>
      <x:c r="F441" s="530" t="str">
        <x:f>IF(ISBLANK('_INSTANCE'!F360),"",'_INSTANCE'!F360)</x:f>
      </x:c>
      <x:c r="G441" s="530" t="str">
        <x:f>IF(ISBLANK('_INSTANCE'!G360),"",'_INSTANCE'!G360)</x:f>
      </x:c>
      <x:c r="H441" s="530" t="str">
        <x:f>IF(ISBLANK('_INSTANCE'!H360),"",'_INSTANCE'!H360)</x:f>
      </x:c>
      <x:c r="I441" s="530" t="str">
        <x:f>IF(ISBLANK('_INSTANCE'!I360),"",'_INSTANCE'!I360)</x:f>
      </x:c>
      <x:c r="J441" s="530" t="str">
        <x:f>IF(ISBLANK('_INSTANCE'!J360),"",'_INSTANCE'!J360)</x:f>
      </x:c>
      <x:c r="K441" s="38"/>
      <x:c r="L441" s="38"/>
      <x:c r="M441" s="38"/>
      <x:c r="N441" s="38"/>
      <x:c r="O441" s="38"/>
      <x:c r="P441" s="38"/>
      <x:c r="Q441" s="38"/>
    </x:row>
    <x:row r="442">
      <x:c r="A442" s="523" t="str">
        <x:f>IF(ISBLANK('_INSTANCE'!A361),"",'_INSTANCE'!A361)</x:f>
      </x:c>
      <x:c r="B442" s="523" t="str">
        <x:f>IF(ISBLANK('_INSTANCE'!B361),"",'_INSTANCE'!B361)</x:f>
      </x:c>
      <x:c r="C442" s="523" t="str">
        <x:f>IF(ISBLANK('_INSTANCE'!C361),"",'_INSTANCE'!C361)</x:f>
      </x:c>
      <x:c r="D442" s="530" t="str">
        <x:f>IF(ISBLANK('_INSTANCE'!D361),"",'_INSTANCE'!D361)</x:f>
      </x:c>
      <x:c r="E442" s="530" t="str">
        <x:f>IF(ISBLANK('_INSTANCE'!E361),"",'_INSTANCE'!E361)</x:f>
      </x:c>
      <x:c r="F442" s="530" t="str">
        <x:f>IF(ISBLANK('_INSTANCE'!F361),"",'_INSTANCE'!F361)</x:f>
      </x:c>
      <x:c r="G442" s="530" t="str">
        <x:f>IF(ISBLANK('_INSTANCE'!G361),"",'_INSTANCE'!G361)</x:f>
      </x:c>
      <x:c r="H442" s="530" t="str">
        <x:f>IF(ISBLANK('_INSTANCE'!H361),"",'_INSTANCE'!H361)</x:f>
      </x:c>
      <x:c r="I442" s="530" t="str">
        <x:f>IF(ISBLANK('_INSTANCE'!I361),"",'_INSTANCE'!I361)</x:f>
      </x:c>
      <x:c r="J442" s="530" t="str">
        <x:f>IF(ISBLANK('_INSTANCE'!J361),"",'_INSTANCE'!J361)</x:f>
      </x:c>
      <x:c r="K442" s="38"/>
      <x:c r="L442" s="38"/>
      <x:c r="M442" s="38"/>
      <x:c r="N442" s="38"/>
      <x:c r="O442" s="38"/>
      <x:c r="P442" s="38"/>
      <x:c r="Q442" s="38"/>
    </x:row>
    <x:row r="443">
      <x:c r="A443" s="523" t="str">
        <x:f>IF(ISBLANK('_INSTANCE'!A362),"",'_INSTANCE'!A362)</x:f>
      </x:c>
      <x:c r="B443" s="523" t="str">
        <x:f>IF(ISBLANK('_INSTANCE'!B362),"",'_INSTANCE'!B362)</x:f>
      </x:c>
      <x:c r="C443" s="523" t="str">
        <x:f>IF(ISBLANK('_INSTANCE'!C362),"",'_INSTANCE'!C362)</x:f>
      </x:c>
      <x:c r="D443" s="530" t="str">
        <x:f>IF(ISBLANK('_INSTANCE'!D362),"",'_INSTANCE'!D362)</x:f>
      </x:c>
      <x:c r="E443" s="530" t="str">
        <x:f>IF(ISBLANK('_INSTANCE'!E362),"",'_INSTANCE'!E362)</x:f>
      </x:c>
      <x:c r="F443" s="530" t="str">
        <x:f>IF(ISBLANK('_INSTANCE'!F362),"",'_INSTANCE'!F362)</x:f>
      </x:c>
      <x:c r="G443" s="530" t="str">
        <x:f>IF(ISBLANK('_INSTANCE'!G362),"",'_INSTANCE'!G362)</x:f>
      </x:c>
      <x:c r="H443" s="530" t="str">
        <x:f>IF(ISBLANK('_INSTANCE'!H362),"",'_INSTANCE'!H362)</x:f>
      </x:c>
      <x:c r="I443" s="530" t="str">
        <x:f>IF(ISBLANK('_INSTANCE'!I362),"",'_INSTANCE'!I362)</x:f>
      </x:c>
      <x:c r="J443" s="530" t="str">
        <x:f>IF(ISBLANK('_INSTANCE'!J362),"",'_INSTANCE'!J362)</x:f>
      </x:c>
      <x:c r="K443" s="38"/>
      <x:c r="L443" s="38"/>
      <x:c r="M443" s="38"/>
      <x:c r="N443" s="38"/>
      <x:c r="O443" s="38"/>
      <x:c r="P443" s="38"/>
      <x:c r="Q443" s="38"/>
    </x:row>
    <x:row r="444">
      <x:c r="A444" s="523" t="str">
        <x:f>IF(ISBLANK('_INSTANCE'!A363),"",'_INSTANCE'!A363)</x:f>
      </x:c>
      <x:c r="B444" s="523" t="str">
        <x:f>IF(ISBLANK('_INSTANCE'!B363),"",'_INSTANCE'!B363)</x:f>
      </x:c>
      <x:c r="C444" s="523" t="str">
        <x:f>IF(ISBLANK('_INSTANCE'!C363),"",'_INSTANCE'!C363)</x:f>
      </x:c>
      <x:c r="D444" s="530" t="str">
        <x:f>IF(ISBLANK('_INSTANCE'!D363),"",'_INSTANCE'!D363)</x:f>
      </x:c>
      <x:c r="E444" s="530" t="str">
        <x:f>IF(ISBLANK('_INSTANCE'!E363),"",'_INSTANCE'!E363)</x:f>
      </x:c>
      <x:c r="F444" s="530" t="str">
        <x:f>IF(ISBLANK('_INSTANCE'!F363),"",'_INSTANCE'!F363)</x:f>
      </x:c>
      <x:c r="G444" s="530" t="str">
        <x:f>IF(ISBLANK('_INSTANCE'!G363),"",'_INSTANCE'!G363)</x:f>
      </x:c>
      <x:c r="H444" s="530" t="str">
        <x:f>IF(ISBLANK('_INSTANCE'!H363),"",'_INSTANCE'!H363)</x:f>
      </x:c>
      <x:c r="I444" s="530" t="str">
        <x:f>IF(ISBLANK('_INSTANCE'!I363),"",'_INSTANCE'!I363)</x:f>
      </x:c>
      <x:c r="J444" s="530" t="str">
        <x:f>IF(ISBLANK('_INSTANCE'!J363),"",'_INSTANCE'!J363)</x:f>
      </x:c>
      <x:c r="K444" s="38"/>
      <x:c r="L444" s="38"/>
      <x:c r="M444" s="38"/>
      <x:c r="N444" s="38"/>
      <x:c r="O444" s="38"/>
      <x:c r="P444" s="38"/>
      <x:c r="Q444" s="38"/>
    </x:row>
    <x:row r="445">
      <x:c r="A445" s="523" t="str">
        <x:f>IF(ISBLANK('_INSTANCE'!A364),"",'_INSTANCE'!A364)</x:f>
      </x:c>
      <x:c r="B445" s="523" t="str">
        <x:f>IF(ISBLANK('_INSTANCE'!B364),"",'_INSTANCE'!B364)</x:f>
      </x:c>
      <x:c r="C445" s="523" t="str">
        <x:f>IF(ISBLANK('_INSTANCE'!C364),"",'_INSTANCE'!C364)</x:f>
      </x:c>
      <x:c r="D445" s="530" t="str">
        <x:f>IF(ISBLANK('_INSTANCE'!D364),"",'_INSTANCE'!D364)</x:f>
      </x:c>
      <x:c r="E445" s="530" t="str">
        <x:f>IF(ISBLANK('_INSTANCE'!E364),"",'_INSTANCE'!E364)</x:f>
      </x:c>
      <x:c r="F445" s="530" t="str">
        <x:f>IF(ISBLANK('_INSTANCE'!F364),"",'_INSTANCE'!F364)</x:f>
      </x:c>
      <x:c r="G445" s="530" t="str">
        <x:f>IF(ISBLANK('_INSTANCE'!G364),"",'_INSTANCE'!G364)</x:f>
      </x:c>
      <x:c r="H445" s="530" t="str">
        <x:f>IF(ISBLANK('_INSTANCE'!H364),"",'_INSTANCE'!H364)</x:f>
      </x:c>
      <x:c r="I445" s="530" t="str">
        <x:f>IF(ISBLANK('_INSTANCE'!I364),"",'_INSTANCE'!I364)</x:f>
      </x:c>
      <x:c r="J445" s="530" t="str">
        <x:f>IF(ISBLANK('_INSTANCE'!J364),"",'_INSTANCE'!J364)</x:f>
      </x:c>
      <x:c r="K445" s="38"/>
      <x:c r="L445" s="38"/>
      <x:c r="M445" s="38"/>
      <x:c r="N445" s="38"/>
      <x:c r="O445" s="38"/>
      <x:c r="P445" s="38"/>
      <x:c r="Q445" s="38"/>
    </x:row>
    <x:row r="446">
      <x:c r="A446" s="523" t="str">
        <x:f>IF(ISBLANK('_INSTANCE'!A365),"",'_INSTANCE'!A365)</x:f>
      </x:c>
      <x:c r="B446" s="523" t="str">
        <x:f>IF(ISBLANK('_INSTANCE'!B365),"",'_INSTANCE'!B365)</x:f>
      </x:c>
      <x:c r="C446" s="523" t="str">
        <x:f>IF(ISBLANK('_INSTANCE'!C365),"",'_INSTANCE'!C365)</x:f>
      </x:c>
      <x:c r="D446" s="530" t="str">
        <x:f>IF(ISBLANK('_INSTANCE'!D365),"",'_INSTANCE'!D365)</x:f>
      </x:c>
      <x:c r="E446" s="530" t="str">
        <x:f>IF(ISBLANK('_INSTANCE'!E365),"",'_INSTANCE'!E365)</x:f>
      </x:c>
      <x:c r="F446" s="530" t="str">
        <x:f>IF(ISBLANK('_INSTANCE'!F365),"",'_INSTANCE'!F365)</x:f>
      </x:c>
      <x:c r="G446" s="530" t="str">
        <x:f>IF(ISBLANK('_INSTANCE'!G365),"",'_INSTANCE'!G365)</x:f>
      </x:c>
      <x:c r="H446" s="530" t="str">
        <x:f>IF(ISBLANK('_INSTANCE'!H365),"",'_INSTANCE'!H365)</x:f>
      </x:c>
      <x:c r="I446" s="530" t="str">
        <x:f>IF(ISBLANK('_INSTANCE'!I365),"",'_INSTANCE'!I365)</x:f>
      </x:c>
      <x:c r="J446" s="530" t="str">
        <x:f>IF(ISBLANK('_INSTANCE'!J365),"",'_INSTANCE'!J365)</x:f>
      </x:c>
      <x:c r="K446" s="38"/>
      <x:c r="L446" s="38"/>
      <x:c r="M446" s="38"/>
      <x:c r="N446" s="38"/>
      <x:c r="O446" s="38"/>
      <x:c r="P446" s="38"/>
      <x:c r="Q446" s="38"/>
    </x:row>
    <x:row r="447">
      <x:c r="A447" s="523" t="str">
        <x:f>IF(ISBLANK('_INSTANCE'!A366),"",'_INSTANCE'!A366)</x:f>
      </x:c>
      <x:c r="B447" s="523" t="str">
        <x:f>IF(ISBLANK('_INSTANCE'!B366),"",'_INSTANCE'!B366)</x:f>
      </x:c>
      <x:c r="C447" s="523" t="str">
        <x:f>IF(ISBLANK('_INSTANCE'!C366),"",'_INSTANCE'!C366)</x:f>
      </x:c>
      <x:c r="D447" s="530" t="str">
        <x:f>IF(ISBLANK('_INSTANCE'!D366),"",'_INSTANCE'!D366)</x:f>
      </x:c>
      <x:c r="E447" s="530" t="str">
        <x:f>IF(ISBLANK('_INSTANCE'!E366),"",'_INSTANCE'!E366)</x:f>
      </x:c>
      <x:c r="F447" s="530" t="str">
        <x:f>IF(ISBLANK('_INSTANCE'!F366),"",'_INSTANCE'!F366)</x:f>
      </x:c>
      <x:c r="G447" s="530" t="str">
        <x:f>IF(ISBLANK('_INSTANCE'!G366),"",'_INSTANCE'!G366)</x:f>
      </x:c>
      <x:c r="H447" s="530" t="str">
        <x:f>IF(ISBLANK('_INSTANCE'!H366),"",'_INSTANCE'!H366)</x:f>
      </x:c>
      <x:c r="I447" s="530" t="str">
        <x:f>IF(ISBLANK('_INSTANCE'!I366),"",'_INSTANCE'!I366)</x:f>
      </x:c>
      <x:c r="J447" s="530" t="str">
        <x:f>IF(ISBLANK('_INSTANCE'!J366),"",'_INSTANCE'!J366)</x:f>
      </x:c>
      <x:c r="K447" s="38"/>
      <x:c r="L447" s="38"/>
      <x:c r="M447" s="38"/>
      <x:c r="N447" s="38"/>
      <x:c r="O447" s="38"/>
      <x:c r="P447" s="38"/>
      <x:c r="Q447" s="38"/>
    </x:row>
    <x:row r="448">
      <x:c r="A448" s="523" t="str">
        <x:f>IF(ISBLANK('_INSTANCE'!A367),"",'_INSTANCE'!A367)</x:f>
      </x:c>
      <x:c r="B448" s="523" t="str">
        <x:f>IF(ISBLANK('_INSTANCE'!B367),"",'_INSTANCE'!B367)</x:f>
      </x:c>
      <x:c r="C448" s="523" t="str">
        <x:f>IF(ISBLANK('_INSTANCE'!C367),"",'_INSTANCE'!C367)</x:f>
      </x:c>
      <x:c r="D448" s="530" t="str">
        <x:f>IF(ISBLANK('_INSTANCE'!D367),"",'_INSTANCE'!D367)</x:f>
      </x:c>
      <x:c r="E448" s="530" t="str">
        <x:f>IF(ISBLANK('_INSTANCE'!E367),"",'_INSTANCE'!E367)</x:f>
      </x:c>
      <x:c r="F448" s="530" t="str">
        <x:f>IF(ISBLANK('_INSTANCE'!F367),"",'_INSTANCE'!F367)</x:f>
      </x:c>
      <x:c r="G448" s="530" t="str">
        <x:f>IF(ISBLANK('_INSTANCE'!G367),"",'_INSTANCE'!G367)</x:f>
      </x:c>
      <x:c r="H448" s="530" t="str">
        <x:f>IF(ISBLANK('_INSTANCE'!H367),"",'_INSTANCE'!H367)</x:f>
      </x:c>
      <x:c r="I448" s="530" t="str">
        <x:f>IF(ISBLANK('_INSTANCE'!I367),"",'_INSTANCE'!I367)</x:f>
      </x:c>
      <x:c r="J448" s="530" t="str">
        <x:f>IF(ISBLANK('_INSTANCE'!J367),"",'_INSTANCE'!J367)</x:f>
      </x:c>
      <x:c r="K448" s="38"/>
      <x:c r="L448" s="38"/>
      <x:c r="M448" s="38"/>
      <x:c r="N448" s="38"/>
      <x:c r="O448" s="38"/>
      <x:c r="P448" s="38"/>
      <x:c r="Q448" s="38"/>
    </x:row>
    <x:row r="449">
      <x:c r="A449" s="523" t="str">
        <x:f>IF(ISBLANK('_INSTANCE'!A368),"",'_INSTANCE'!A368)</x:f>
      </x:c>
      <x:c r="B449" s="523" t="str">
        <x:f>IF(ISBLANK('_INSTANCE'!B368),"",'_INSTANCE'!B368)</x:f>
      </x:c>
      <x:c r="C449" s="523" t="str">
        <x:f>IF(ISBLANK('_INSTANCE'!C368),"",'_INSTANCE'!C368)</x:f>
      </x:c>
      <x:c r="D449" s="530" t="str">
        <x:f>IF(ISBLANK('_INSTANCE'!D368),"",'_INSTANCE'!D368)</x:f>
      </x:c>
      <x:c r="E449" s="530" t="str">
        <x:f>IF(ISBLANK('_INSTANCE'!E368),"",'_INSTANCE'!E368)</x:f>
      </x:c>
      <x:c r="F449" s="530" t="str">
        <x:f>IF(ISBLANK('_INSTANCE'!F368),"",'_INSTANCE'!F368)</x:f>
      </x:c>
      <x:c r="G449" s="530" t="str">
        <x:f>IF(ISBLANK('_INSTANCE'!G368),"",'_INSTANCE'!G368)</x:f>
      </x:c>
      <x:c r="H449" s="530" t="str">
        <x:f>IF(ISBLANK('_INSTANCE'!H368),"",'_INSTANCE'!H368)</x:f>
      </x:c>
      <x:c r="I449" s="530" t="str">
        <x:f>IF(ISBLANK('_INSTANCE'!I368),"",'_INSTANCE'!I368)</x:f>
      </x:c>
      <x:c r="J449" s="530" t="str">
        <x:f>IF(ISBLANK('_INSTANCE'!J368),"",'_INSTANCE'!J368)</x:f>
      </x:c>
      <x:c r="K449" s="38"/>
      <x:c r="L449" s="38"/>
      <x:c r="M449" s="38"/>
      <x:c r="N449" s="38"/>
      <x:c r="O449" s="38"/>
      <x:c r="P449" s="38"/>
      <x:c r="Q449" s="38"/>
    </x:row>
    <x:row r="450">
      <x:c r="A450" s="523" t="str">
        <x:f>IF(ISBLANK('_INSTANCE'!A369),"",'_INSTANCE'!A369)</x:f>
      </x:c>
      <x:c r="B450" s="523" t="str">
        <x:f>IF(ISBLANK('_INSTANCE'!B369),"",'_INSTANCE'!B369)</x:f>
      </x:c>
      <x:c r="C450" s="523" t="str">
        <x:f>IF(ISBLANK('_INSTANCE'!C369),"",'_INSTANCE'!C369)</x:f>
      </x:c>
      <x:c r="D450" s="530" t="str">
        <x:f>IF(ISBLANK('_INSTANCE'!D369),"",'_INSTANCE'!D369)</x:f>
      </x:c>
      <x:c r="E450" s="530" t="str">
        <x:f>IF(ISBLANK('_INSTANCE'!E369),"",'_INSTANCE'!E369)</x:f>
      </x:c>
      <x:c r="F450" s="530" t="str">
        <x:f>IF(ISBLANK('_INSTANCE'!F369),"",'_INSTANCE'!F369)</x:f>
      </x:c>
      <x:c r="G450" s="530" t="str">
        <x:f>IF(ISBLANK('_INSTANCE'!G369),"",'_INSTANCE'!G369)</x:f>
      </x:c>
      <x:c r="H450" s="530" t="str">
        <x:f>IF(ISBLANK('_INSTANCE'!H369),"",'_INSTANCE'!H369)</x:f>
      </x:c>
      <x:c r="I450" s="530" t="str">
        <x:f>IF(ISBLANK('_INSTANCE'!I369),"",'_INSTANCE'!I369)</x:f>
      </x:c>
      <x:c r="J450" s="530" t="str">
        <x:f>IF(ISBLANK('_INSTANCE'!J369),"",'_INSTANCE'!J369)</x:f>
      </x:c>
      <x:c r="K450" s="38"/>
      <x:c r="L450" s="38"/>
      <x:c r="M450" s="38"/>
      <x:c r="N450" s="38"/>
      <x:c r="O450" s="38"/>
      <x:c r="P450" s="38"/>
      <x:c r="Q450" s="38"/>
    </x:row>
    <x:row r="451">
      <x:c r="A451" s="523" t="str">
        <x:f>IF(ISBLANK('_INSTANCE'!A370),"",'_INSTANCE'!A370)</x:f>
      </x:c>
      <x:c r="B451" s="523" t="str">
        <x:f>IF(ISBLANK('_INSTANCE'!B370),"",'_INSTANCE'!B370)</x:f>
      </x:c>
      <x:c r="C451" s="523" t="str">
        <x:f>IF(ISBLANK('_INSTANCE'!C370),"",'_INSTANCE'!C370)</x:f>
      </x:c>
      <x:c r="D451" s="530" t="str">
        <x:f>IF(ISBLANK('_INSTANCE'!D370),"",'_INSTANCE'!D370)</x:f>
      </x:c>
      <x:c r="E451" s="530" t="str">
        <x:f>IF(ISBLANK('_INSTANCE'!E370),"",'_INSTANCE'!E370)</x:f>
      </x:c>
      <x:c r="F451" s="530" t="str">
        <x:f>IF(ISBLANK('_INSTANCE'!F370),"",'_INSTANCE'!F370)</x:f>
      </x:c>
      <x:c r="G451" s="530" t="str">
        <x:f>IF(ISBLANK('_INSTANCE'!G370),"",'_INSTANCE'!G370)</x:f>
      </x:c>
      <x:c r="H451" s="530" t="str">
        <x:f>IF(ISBLANK('_INSTANCE'!H370),"",'_INSTANCE'!H370)</x:f>
      </x:c>
      <x:c r="I451" s="530" t="str">
        <x:f>IF(ISBLANK('_INSTANCE'!I370),"",'_INSTANCE'!I370)</x:f>
      </x:c>
      <x:c r="J451" s="530" t="str">
        <x:f>IF(ISBLANK('_INSTANCE'!J370),"",'_INSTANCE'!J370)</x:f>
      </x:c>
      <x:c r="K451" s="38"/>
      <x:c r="L451" s="38"/>
      <x:c r="M451" s="38"/>
      <x:c r="N451" s="38"/>
      <x:c r="O451" s="38"/>
      <x:c r="P451" s="38"/>
      <x:c r="Q451" s="38"/>
    </x:row>
    <x:row r="452">
      <x:c r="A452" s="523" t="str">
        <x:f>IF(ISBLANK('_INSTANCE'!A371),"",'_INSTANCE'!A371)</x:f>
      </x:c>
      <x:c r="B452" s="523" t="str">
        <x:f>IF(ISBLANK('_INSTANCE'!B371),"",'_INSTANCE'!B371)</x:f>
      </x:c>
      <x:c r="C452" s="523" t="str">
        <x:f>IF(ISBLANK('_INSTANCE'!C371),"",'_INSTANCE'!C371)</x:f>
      </x:c>
      <x:c r="D452" s="530" t="str">
        <x:f>IF(ISBLANK('_INSTANCE'!D371),"",'_INSTANCE'!D371)</x:f>
      </x:c>
      <x:c r="E452" s="530" t="str">
        <x:f>IF(ISBLANK('_INSTANCE'!E371),"",'_INSTANCE'!E371)</x:f>
      </x:c>
      <x:c r="F452" s="530" t="str">
        <x:f>IF(ISBLANK('_INSTANCE'!F371),"",'_INSTANCE'!F371)</x:f>
      </x:c>
      <x:c r="G452" s="530" t="str">
        <x:f>IF(ISBLANK('_INSTANCE'!G371),"",'_INSTANCE'!G371)</x:f>
      </x:c>
      <x:c r="H452" s="530" t="str">
        <x:f>IF(ISBLANK('_INSTANCE'!H371),"",'_INSTANCE'!H371)</x:f>
      </x:c>
      <x:c r="I452" s="530" t="str">
        <x:f>IF(ISBLANK('_INSTANCE'!I371),"",'_INSTANCE'!I371)</x:f>
      </x:c>
      <x:c r="J452" s="530" t="str">
        <x:f>IF(ISBLANK('_INSTANCE'!J371),"",'_INSTANCE'!J371)</x:f>
      </x:c>
      <x:c r="K452" s="38"/>
      <x:c r="L452" s="38"/>
      <x:c r="M452" s="38"/>
      <x:c r="N452" s="38"/>
      <x:c r="O452" s="38"/>
      <x:c r="P452" s="38"/>
      <x:c r="Q452" s="38"/>
    </x:row>
    <x:row r="453">
      <x:c r="A453" s="523" t="str">
        <x:f>IF(ISBLANK('_INSTANCE'!A372),"",'_INSTANCE'!A372)</x:f>
      </x:c>
      <x:c r="B453" s="523" t="str">
        <x:f>IF(ISBLANK('_INSTANCE'!B372),"",'_INSTANCE'!B372)</x:f>
      </x:c>
      <x:c r="C453" s="523" t="str">
        <x:f>IF(ISBLANK('_INSTANCE'!C372),"",'_INSTANCE'!C372)</x:f>
      </x:c>
      <x:c r="D453" s="530" t="str">
        <x:f>IF(ISBLANK('_INSTANCE'!D372),"",'_INSTANCE'!D372)</x:f>
      </x:c>
      <x:c r="E453" s="530" t="str">
        <x:f>IF(ISBLANK('_INSTANCE'!E372),"",'_INSTANCE'!E372)</x:f>
      </x:c>
      <x:c r="F453" s="530" t="str">
        <x:f>IF(ISBLANK('_INSTANCE'!F372),"",'_INSTANCE'!F372)</x:f>
      </x:c>
      <x:c r="G453" s="530" t="str">
        <x:f>IF(ISBLANK('_INSTANCE'!G372),"",'_INSTANCE'!G372)</x:f>
      </x:c>
      <x:c r="H453" s="530" t="str">
        <x:f>IF(ISBLANK('_INSTANCE'!H372),"",'_INSTANCE'!H372)</x:f>
      </x:c>
      <x:c r="I453" s="530" t="str">
        <x:f>IF(ISBLANK('_INSTANCE'!I372),"",'_INSTANCE'!I372)</x:f>
      </x:c>
      <x:c r="J453" s="530" t="str">
        <x:f>IF(ISBLANK('_INSTANCE'!J372),"",'_INSTANCE'!J372)</x:f>
      </x:c>
      <x:c r="K453" s="38"/>
      <x:c r="L453" s="38"/>
      <x:c r="M453" s="38"/>
      <x:c r="N453" s="38"/>
      <x:c r="O453" s="38"/>
      <x:c r="P453" s="38"/>
      <x:c r="Q453" s="38"/>
    </x:row>
    <x:row r="454">
      <x:c r="A454" s="523" t="str">
        <x:f>IF(ISBLANK('_INSTANCE'!A373),"",'_INSTANCE'!A373)</x:f>
      </x:c>
      <x:c r="B454" s="523" t="str">
        <x:f>IF(ISBLANK('_INSTANCE'!B373),"",'_INSTANCE'!B373)</x:f>
      </x:c>
      <x:c r="C454" s="523" t="str">
        <x:f>IF(ISBLANK('_INSTANCE'!C373),"",'_INSTANCE'!C373)</x:f>
      </x:c>
      <x:c r="D454" s="530" t="str">
        <x:f>IF(ISBLANK('_INSTANCE'!D373),"",'_INSTANCE'!D373)</x:f>
      </x:c>
      <x:c r="E454" s="530" t="str">
        <x:f>IF(ISBLANK('_INSTANCE'!E373),"",'_INSTANCE'!E373)</x:f>
      </x:c>
      <x:c r="F454" s="530" t="str">
        <x:f>IF(ISBLANK('_INSTANCE'!F373),"",'_INSTANCE'!F373)</x:f>
      </x:c>
      <x:c r="G454" s="530" t="str">
        <x:f>IF(ISBLANK('_INSTANCE'!G373),"",'_INSTANCE'!G373)</x:f>
      </x:c>
      <x:c r="H454" s="530" t="str">
        <x:f>IF(ISBLANK('_INSTANCE'!H373),"",'_INSTANCE'!H373)</x:f>
      </x:c>
      <x:c r="I454" s="530" t="str">
        <x:f>IF(ISBLANK('_INSTANCE'!I373),"",'_INSTANCE'!I373)</x:f>
      </x:c>
      <x:c r="J454" s="530" t="str">
        <x:f>IF(ISBLANK('_INSTANCE'!J373),"",'_INSTANCE'!J373)</x:f>
      </x:c>
      <x:c r="K454" s="38"/>
      <x:c r="L454" s="38"/>
      <x:c r="M454" s="38"/>
      <x:c r="N454" s="38"/>
      <x:c r="O454" s="38"/>
      <x:c r="P454" s="38"/>
      <x:c r="Q454" s="38"/>
    </x:row>
    <x:row r="455">
      <x:c r="A455" s="523" t="str">
        <x:f>IF(ISBLANK('_INSTANCE'!A374),"",'_INSTANCE'!A374)</x:f>
      </x:c>
      <x:c r="B455" s="523" t="str">
        <x:f>IF(ISBLANK('_INSTANCE'!B374),"",'_INSTANCE'!B374)</x:f>
      </x:c>
      <x:c r="C455" s="523" t="str">
        <x:f>IF(ISBLANK('_INSTANCE'!C374),"",'_INSTANCE'!C374)</x:f>
      </x:c>
      <x:c r="D455" s="530" t="str">
        <x:f>IF(ISBLANK('_INSTANCE'!D374),"",'_INSTANCE'!D374)</x:f>
      </x:c>
      <x:c r="E455" s="530" t="str">
        <x:f>IF(ISBLANK('_INSTANCE'!E374),"",'_INSTANCE'!E374)</x:f>
      </x:c>
      <x:c r="F455" s="530" t="str">
        <x:f>IF(ISBLANK('_INSTANCE'!F374),"",'_INSTANCE'!F374)</x:f>
      </x:c>
      <x:c r="G455" s="530" t="str">
        <x:f>IF(ISBLANK('_INSTANCE'!G374),"",'_INSTANCE'!G374)</x:f>
      </x:c>
      <x:c r="H455" s="530" t="str">
        <x:f>IF(ISBLANK('_INSTANCE'!H374),"",'_INSTANCE'!H374)</x:f>
      </x:c>
      <x:c r="I455" s="530" t="str">
        <x:f>IF(ISBLANK('_INSTANCE'!I374),"",'_INSTANCE'!I374)</x:f>
      </x:c>
      <x:c r="J455" s="530" t="str">
        <x:f>IF(ISBLANK('_INSTANCE'!J374),"",'_INSTANCE'!J374)</x:f>
      </x:c>
      <x:c r="K455" s="38"/>
      <x:c r="L455" s="38"/>
      <x:c r="M455" s="38"/>
      <x:c r="N455" s="38"/>
      <x:c r="O455" s="38"/>
      <x:c r="P455" s="38"/>
      <x:c r="Q455" s="38"/>
    </x:row>
    <x:row r="456">
      <x:c r="A456" s="523" t="str">
        <x:f>IF(ISBLANK('_INSTANCE'!A375),"",'_INSTANCE'!A375)</x:f>
      </x:c>
      <x:c r="B456" s="523" t="str">
        <x:f>IF(ISBLANK('_INSTANCE'!B375),"",'_INSTANCE'!B375)</x:f>
      </x:c>
      <x:c r="C456" s="523" t="str">
        <x:f>IF(ISBLANK('_INSTANCE'!C375),"",'_INSTANCE'!C375)</x:f>
      </x:c>
      <x:c r="D456" s="530" t="str">
        <x:f>IF(ISBLANK('_INSTANCE'!D375),"",'_INSTANCE'!D375)</x:f>
      </x:c>
      <x:c r="E456" s="530" t="str">
        <x:f>IF(ISBLANK('_INSTANCE'!E375),"",'_INSTANCE'!E375)</x:f>
      </x:c>
      <x:c r="F456" s="530" t="str">
        <x:f>IF(ISBLANK('_INSTANCE'!F375),"",'_INSTANCE'!F375)</x:f>
      </x:c>
      <x:c r="G456" s="530" t="str">
        <x:f>IF(ISBLANK('_INSTANCE'!G375),"",'_INSTANCE'!G375)</x:f>
      </x:c>
      <x:c r="H456" s="530" t="str">
        <x:f>IF(ISBLANK('_INSTANCE'!H375),"",'_INSTANCE'!H375)</x:f>
      </x:c>
      <x:c r="I456" s="530" t="str">
        <x:f>IF(ISBLANK('_INSTANCE'!I375),"",'_INSTANCE'!I375)</x:f>
      </x:c>
      <x:c r="J456" s="530" t="str">
        <x:f>IF(ISBLANK('_INSTANCE'!J375),"",'_INSTANCE'!J375)</x:f>
      </x:c>
      <x:c r="K456" s="38"/>
      <x:c r="L456" s="38"/>
      <x:c r="M456" s="38"/>
      <x:c r="N456" s="38"/>
      <x:c r="O456" s="38"/>
      <x:c r="P456" s="38"/>
      <x:c r="Q456" s="38"/>
    </x:row>
    <x:row r="457">
      <x:c r="A457" s="523" t="str">
        <x:f>IF(ISBLANK('_INSTANCE'!A376),"",'_INSTANCE'!A376)</x:f>
      </x:c>
      <x:c r="B457" s="523" t="str">
        <x:f>IF(ISBLANK('_INSTANCE'!B376),"",'_INSTANCE'!B376)</x:f>
      </x:c>
      <x:c r="C457" s="523" t="str">
        <x:f>IF(ISBLANK('_INSTANCE'!C376),"",'_INSTANCE'!C376)</x:f>
      </x:c>
      <x:c r="D457" s="530" t="str">
        <x:f>IF(ISBLANK('_INSTANCE'!D376),"",'_INSTANCE'!D376)</x:f>
      </x:c>
      <x:c r="E457" s="530" t="str">
        <x:f>IF(ISBLANK('_INSTANCE'!E376),"",'_INSTANCE'!E376)</x:f>
      </x:c>
      <x:c r="F457" s="530" t="str">
        <x:f>IF(ISBLANK('_INSTANCE'!F376),"",'_INSTANCE'!F376)</x:f>
      </x:c>
      <x:c r="G457" s="530" t="str">
        <x:f>IF(ISBLANK('_INSTANCE'!G376),"",'_INSTANCE'!G376)</x:f>
      </x:c>
      <x:c r="H457" s="530" t="str">
        <x:f>IF(ISBLANK('_INSTANCE'!H376),"",'_INSTANCE'!H376)</x:f>
      </x:c>
      <x:c r="I457" s="530" t="str">
        <x:f>IF(ISBLANK('_INSTANCE'!I376),"",'_INSTANCE'!I376)</x:f>
      </x:c>
      <x:c r="J457" s="530" t="str">
        <x:f>IF(ISBLANK('_INSTANCE'!J376),"",'_INSTANCE'!J376)</x:f>
      </x:c>
      <x:c r="K457" s="38"/>
      <x:c r="L457" s="38"/>
      <x:c r="M457" s="38"/>
      <x:c r="N457" s="38"/>
      <x:c r="O457" s="38"/>
      <x:c r="P457" s="38"/>
      <x:c r="Q457" s="38"/>
    </x:row>
    <x:row r="458">
      <x:c r="A458" s="523" t="str">
        <x:f>IF(ISBLANK('_INSTANCE'!A377),"",'_INSTANCE'!A377)</x:f>
      </x:c>
      <x:c r="B458" s="523" t="str">
        <x:f>IF(ISBLANK('_INSTANCE'!B377),"",'_INSTANCE'!B377)</x:f>
      </x:c>
      <x:c r="C458" s="523" t="str">
        <x:f>IF(ISBLANK('_INSTANCE'!C377),"",'_INSTANCE'!C377)</x:f>
      </x:c>
      <x:c r="D458" s="530" t="str">
        <x:f>IF(ISBLANK('_INSTANCE'!D377),"",'_INSTANCE'!D377)</x:f>
      </x:c>
      <x:c r="E458" s="530" t="str">
        <x:f>IF(ISBLANK('_INSTANCE'!E377),"",'_INSTANCE'!E377)</x:f>
      </x:c>
      <x:c r="F458" s="530" t="str">
        <x:f>IF(ISBLANK('_INSTANCE'!F377),"",'_INSTANCE'!F377)</x:f>
      </x:c>
      <x:c r="G458" s="530" t="str">
        <x:f>IF(ISBLANK('_INSTANCE'!G377),"",'_INSTANCE'!G377)</x:f>
      </x:c>
      <x:c r="H458" s="530" t="str">
        <x:f>IF(ISBLANK('_INSTANCE'!H377),"",'_INSTANCE'!H377)</x:f>
      </x:c>
      <x:c r="I458" s="530" t="str">
        <x:f>IF(ISBLANK('_INSTANCE'!I377),"",'_INSTANCE'!I377)</x:f>
      </x:c>
      <x:c r="J458" s="530" t="str">
        <x:f>IF(ISBLANK('_INSTANCE'!J377),"",'_INSTANCE'!J377)</x:f>
      </x:c>
      <x:c r="K458" s="38"/>
      <x:c r="L458" s="38"/>
      <x:c r="M458" s="38"/>
      <x:c r="N458" s="38"/>
      <x:c r="O458" s="38"/>
      <x:c r="P458" s="38"/>
      <x:c r="Q458" s="38"/>
    </x:row>
    <x:row r="459">
      <x:c r="A459" s="523" t="str">
        <x:f>IF(ISBLANK('_INSTANCE'!A378),"",'_INSTANCE'!A378)</x:f>
      </x:c>
      <x:c r="B459" s="523" t="str">
        <x:f>IF(ISBLANK('_INSTANCE'!B378),"",'_INSTANCE'!B378)</x:f>
      </x:c>
      <x:c r="C459" s="523" t="str">
        <x:f>IF(ISBLANK('_INSTANCE'!C378),"",'_INSTANCE'!C378)</x:f>
      </x:c>
      <x:c r="D459" s="530" t="str">
        <x:f>IF(ISBLANK('_INSTANCE'!D378),"",'_INSTANCE'!D378)</x:f>
      </x:c>
      <x:c r="E459" s="530" t="str">
        <x:f>IF(ISBLANK('_INSTANCE'!E378),"",'_INSTANCE'!E378)</x:f>
      </x:c>
      <x:c r="F459" s="530" t="str">
        <x:f>IF(ISBLANK('_INSTANCE'!F378),"",'_INSTANCE'!F378)</x:f>
      </x:c>
      <x:c r="G459" s="530" t="str">
        <x:f>IF(ISBLANK('_INSTANCE'!G378),"",'_INSTANCE'!G378)</x:f>
      </x:c>
      <x:c r="H459" s="530" t="str">
        <x:f>IF(ISBLANK('_INSTANCE'!H378),"",'_INSTANCE'!H378)</x:f>
      </x:c>
      <x:c r="I459" s="530" t="str">
        <x:f>IF(ISBLANK('_INSTANCE'!I378),"",'_INSTANCE'!I378)</x:f>
      </x:c>
      <x:c r="J459" s="530" t="str">
        <x:f>IF(ISBLANK('_INSTANCE'!J378),"",'_INSTANCE'!J378)</x:f>
      </x:c>
      <x:c r="K459" s="38"/>
      <x:c r="L459" s="38"/>
      <x:c r="M459" s="38"/>
      <x:c r="N459" s="38"/>
      <x:c r="O459" s="38"/>
      <x:c r="P459" s="38"/>
      <x:c r="Q459" s="38"/>
    </x:row>
    <x:row r="460">
      <x:c r="A460" s="523" t="str">
        <x:f>IF(ISBLANK('_INSTANCE'!A379),"",'_INSTANCE'!A379)</x:f>
      </x:c>
      <x:c r="B460" s="523" t="str">
        <x:f>IF(ISBLANK('_INSTANCE'!B379),"",'_INSTANCE'!B379)</x:f>
      </x:c>
      <x:c r="C460" s="523" t="str">
        <x:f>IF(ISBLANK('_INSTANCE'!C379),"",'_INSTANCE'!C379)</x:f>
      </x:c>
      <x:c r="D460" s="530" t="str">
        <x:f>IF(ISBLANK('_INSTANCE'!D379),"",'_INSTANCE'!D379)</x:f>
      </x:c>
      <x:c r="E460" s="530" t="str">
        <x:f>IF(ISBLANK('_INSTANCE'!E379),"",'_INSTANCE'!E379)</x:f>
      </x:c>
      <x:c r="F460" s="530" t="str">
        <x:f>IF(ISBLANK('_INSTANCE'!F379),"",'_INSTANCE'!F379)</x:f>
      </x:c>
      <x:c r="G460" s="530" t="str">
        <x:f>IF(ISBLANK('_INSTANCE'!G379),"",'_INSTANCE'!G379)</x:f>
      </x:c>
      <x:c r="H460" s="530" t="str">
        <x:f>IF(ISBLANK('_INSTANCE'!H379),"",'_INSTANCE'!H379)</x:f>
      </x:c>
      <x:c r="I460" s="530" t="str">
        <x:f>IF(ISBLANK('_INSTANCE'!I379),"",'_INSTANCE'!I379)</x:f>
      </x:c>
      <x:c r="J460" s="530" t="str">
        <x:f>IF(ISBLANK('_INSTANCE'!J379),"",'_INSTANCE'!J379)</x:f>
      </x:c>
      <x:c r="K460" s="38"/>
      <x:c r="L460" s="38"/>
      <x:c r="M460" s="38"/>
      <x:c r="N460" s="38"/>
      <x:c r="O460" s="38"/>
      <x:c r="P460" s="38"/>
      <x:c r="Q460" s="38"/>
    </x:row>
    <x:row r="461">
      <x:c r="A461" s="523" t="str">
        <x:f>IF(ISBLANK('_INSTANCE'!A380),"",'_INSTANCE'!A380)</x:f>
      </x:c>
      <x:c r="B461" s="523" t="str">
        <x:f>IF(ISBLANK('_INSTANCE'!B380),"",'_INSTANCE'!B380)</x:f>
      </x:c>
      <x:c r="C461" s="523" t="str">
        <x:f>IF(ISBLANK('_INSTANCE'!C380),"",'_INSTANCE'!C380)</x:f>
      </x:c>
      <x:c r="D461" s="530" t="str">
        <x:f>IF(ISBLANK('_INSTANCE'!D380),"",'_INSTANCE'!D380)</x:f>
      </x:c>
      <x:c r="E461" s="530" t="str">
        <x:f>IF(ISBLANK('_INSTANCE'!E380),"",'_INSTANCE'!E380)</x:f>
      </x:c>
      <x:c r="F461" s="530" t="str">
        <x:f>IF(ISBLANK('_INSTANCE'!F380),"",'_INSTANCE'!F380)</x:f>
      </x:c>
      <x:c r="G461" s="530" t="str">
        <x:f>IF(ISBLANK('_INSTANCE'!G380),"",'_INSTANCE'!G380)</x:f>
      </x:c>
      <x:c r="H461" s="530" t="str">
        <x:f>IF(ISBLANK('_INSTANCE'!H380),"",'_INSTANCE'!H380)</x:f>
      </x:c>
      <x:c r="I461" s="530" t="str">
        <x:f>IF(ISBLANK('_INSTANCE'!I380),"",'_INSTANCE'!I380)</x:f>
      </x:c>
      <x:c r="J461" s="530" t="str">
        <x:f>IF(ISBLANK('_INSTANCE'!J380),"",'_INSTANCE'!J380)</x:f>
      </x:c>
      <x:c r="K461" s="38"/>
      <x:c r="L461" s="38"/>
      <x:c r="M461" s="38"/>
      <x:c r="N461" s="38"/>
      <x:c r="O461" s="38"/>
      <x:c r="P461" s="38"/>
      <x:c r="Q461" s="38"/>
    </x:row>
    <x:row r="462">
      <x:c r="A462" s="523" t="str">
        <x:f>IF(ISBLANK('_INSTANCE'!A381),"",'_INSTANCE'!A381)</x:f>
      </x:c>
      <x:c r="B462" s="523" t="str">
        <x:f>IF(ISBLANK('_INSTANCE'!B381),"",'_INSTANCE'!B381)</x:f>
      </x:c>
      <x:c r="C462" s="523" t="str">
        <x:f>IF(ISBLANK('_INSTANCE'!C381),"",'_INSTANCE'!C381)</x:f>
      </x:c>
      <x:c r="D462" s="530" t="str">
        <x:f>IF(ISBLANK('_INSTANCE'!D381),"",'_INSTANCE'!D381)</x:f>
      </x:c>
      <x:c r="E462" s="530" t="str">
        <x:f>IF(ISBLANK('_INSTANCE'!E381),"",'_INSTANCE'!E381)</x:f>
      </x:c>
      <x:c r="F462" s="530" t="str">
        <x:f>IF(ISBLANK('_INSTANCE'!F381),"",'_INSTANCE'!F381)</x:f>
      </x:c>
      <x:c r="G462" s="530" t="str">
        <x:f>IF(ISBLANK('_INSTANCE'!G381),"",'_INSTANCE'!G381)</x:f>
      </x:c>
      <x:c r="H462" s="530" t="str">
        <x:f>IF(ISBLANK('_INSTANCE'!H381),"",'_INSTANCE'!H381)</x:f>
      </x:c>
      <x:c r="I462" s="530" t="str">
        <x:f>IF(ISBLANK('_INSTANCE'!I381),"",'_INSTANCE'!I381)</x:f>
      </x:c>
      <x:c r="J462" s="530" t="str">
        <x:f>IF(ISBLANK('_INSTANCE'!J381),"",'_INSTANCE'!J381)</x:f>
      </x:c>
      <x:c r="K462" s="38"/>
      <x:c r="L462" s="38"/>
      <x:c r="M462" s="38"/>
      <x:c r="N462" s="38"/>
      <x:c r="O462" s="38"/>
      <x:c r="P462" s="38"/>
      <x:c r="Q462" s="38"/>
    </x:row>
    <x:row r="463">
      <x:c r="A463" s="523" t="str">
        <x:f>IF(ISBLANK('_INSTANCE'!A382),"",'_INSTANCE'!A382)</x:f>
      </x:c>
      <x:c r="B463" s="523" t="str">
        <x:f>IF(ISBLANK('_INSTANCE'!B382),"",'_INSTANCE'!B382)</x:f>
      </x:c>
      <x:c r="C463" s="523" t="str">
        <x:f>IF(ISBLANK('_INSTANCE'!C382),"",'_INSTANCE'!C382)</x:f>
      </x:c>
      <x:c r="D463" s="530" t="str">
        <x:f>IF(ISBLANK('_INSTANCE'!D382),"",'_INSTANCE'!D382)</x:f>
      </x:c>
      <x:c r="E463" s="530" t="str">
        <x:f>IF(ISBLANK('_INSTANCE'!E382),"",'_INSTANCE'!E382)</x:f>
      </x:c>
      <x:c r="F463" s="530" t="str">
        <x:f>IF(ISBLANK('_INSTANCE'!F382),"",'_INSTANCE'!F382)</x:f>
      </x:c>
      <x:c r="G463" s="530" t="str">
        <x:f>IF(ISBLANK('_INSTANCE'!G382),"",'_INSTANCE'!G382)</x:f>
      </x:c>
      <x:c r="H463" s="530" t="str">
        <x:f>IF(ISBLANK('_INSTANCE'!H382),"",'_INSTANCE'!H382)</x:f>
      </x:c>
      <x:c r="I463" s="530" t="str">
        <x:f>IF(ISBLANK('_INSTANCE'!I382),"",'_INSTANCE'!I382)</x:f>
      </x:c>
      <x:c r="J463" s="530" t="str">
        <x:f>IF(ISBLANK('_INSTANCE'!J382),"",'_INSTANCE'!J382)</x:f>
      </x:c>
      <x:c r="K463" s="38"/>
      <x:c r="L463" s="38"/>
      <x:c r="M463" s="38"/>
      <x:c r="N463" s="38"/>
      <x:c r="O463" s="38"/>
      <x:c r="P463" s="38"/>
      <x:c r="Q463" s="38"/>
    </x:row>
    <x:row r="464">
      <x:c r="A464" s="523" t="str">
        <x:f>IF(ISBLANK('_INSTANCE'!A383),"",'_INSTANCE'!A383)</x:f>
      </x:c>
      <x:c r="B464" s="523" t="str">
        <x:f>IF(ISBLANK('_INSTANCE'!B383),"",'_INSTANCE'!B383)</x:f>
      </x:c>
      <x:c r="C464" s="523" t="str">
        <x:f>IF(ISBLANK('_INSTANCE'!C383),"",'_INSTANCE'!C383)</x:f>
      </x:c>
      <x:c r="D464" s="530" t="str">
        <x:f>IF(ISBLANK('_INSTANCE'!D383),"",'_INSTANCE'!D383)</x:f>
      </x:c>
      <x:c r="E464" s="530" t="str">
        <x:f>IF(ISBLANK('_INSTANCE'!E383),"",'_INSTANCE'!E383)</x:f>
      </x:c>
      <x:c r="F464" s="530" t="str">
        <x:f>IF(ISBLANK('_INSTANCE'!F383),"",'_INSTANCE'!F383)</x:f>
      </x:c>
      <x:c r="G464" s="530" t="str">
        <x:f>IF(ISBLANK('_INSTANCE'!G383),"",'_INSTANCE'!G383)</x:f>
      </x:c>
      <x:c r="H464" s="530" t="str">
        <x:f>IF(ISBLANK('_INSTANCE'!H383),"",'_INSTANCE'!H383)</x:f>
      </x:c>
      <x:c r="I464" s="530" t="str">
        <x:f>IF(ISBLANK('_INSTANCE'!I383),"",'_INSTANCE'!I383)</x:f>
      </x:c>
      <x:c r="J464" s="530" t="str">
        <x:f>IF(ISBLANK('_INSTANCE'!J383),"",'_INSTANCE'!J383)</x:f>
      </x:c>
      <x:c r="K464" s="38"/>
      <x:c r="L464" s="38"/>
      <x:c r="M464" s="38"/>
      <x:c r="N464" s="38"/>
      <x:c r="O464" s="38"/>
      <x:c r="P464" s="38"/>
      <x:c r="Q464" s="38"/>
    </x:row>
    <x:row r="465">
      <x:c r="A465" s="523" t="str">
        <x:f>IF(ISBLANK('_INSTANCE'!A384),"",'_INSTANCE'!A384)</x:f>
      </x:c>
      <x:c r="B465" s="523" t="str">
        <x:f>IF(ISBLANK('_INSTANCE'!B384),"",'_INSTANCE'!B384)</x:f>
      </x:c>
      <x:c r="C465" s="523" t="str">
        <x:f>IF(ISBLANK('_INSTANCE'!C384),"",'_INSTANCE'!C384)</x:f>
      </x:c>
      <x:c r="D465" s="530" t="str">
        <x:f>IF(ISBLANK('_INSTANCE'!D384),"",'_INSTANCE'!D384)</x:f>
      </x:c>
      <x:c r="E465" s="530" t="str">
        <x:f>IF(ISBLANK('_INSTANCE'!E384),"",'_INSTANCE'!E384)</x:f>
      </x:c>
      <x:c r="F465" s="530" t="str">
        <x:f>IF(ISBLANK('_INSTANCE'!F384),"",'_INSTANCE'!F384)</x:f>
      </x:c>
      <x:c r="G465" s="530" t="str">
        <x:f>IF(ISBLANK('_INSTANCE'!G384),"",'_INSTANCE'!G384)</x:f>
      </x:c>
      <x:c r="H465" s="530" t="str">
        <x:f>IF(ISBLANK('_INSTANCE'!H384),"",'_INSTANCE'!H384)</x:f>
      </x:c>
      <x:c r="I465" s="530" t="str">
        <x:f>IF(ISBLANK('_INSTANCE'!I384),"",'_INSTANCE'!I384)</x:f>
      </x:c>
      <x:c r="J465" s="530" t="str">
        <x:f>IF(ISBLANK('_INSTANCE'!J384),"",'_INSTANCE'!J384)</x:f>
      </x:c>
      <x:c r="K465" s="38"/>
      <x:c r="L465" s="38"/>
      <x:c r="M465" s="38"/>
      <x:c r="N465" s="38"/>
      <x:c r="O465" s="38"/>
      <x:c r="P465" s="38"/>
      <x:c r="Q465" s="38"/>
    </x:row>
    <x:row r="466">
      <x:c r="A466" s="523" t="str">
        <x:f>IF(ISBLANK('_INSTANCE'!A385),"",'_INSTANCE'!A385)</x:f>
      </x:c>
      <x:c r="B466" s="523" t="str">
        <x:f>IF(ISBLANK('_INSTANCE'!B385),"",'_INSTANCE'!B385)</x:f>
      </x:c>
      <x:c r="C466" s="523" t="str">
        <x:f>IF(ISBLANK('_INSTANCE'!C385),"",'_INSTANCE'!C385)</x:f>
      </x:c>
      <x:c r="D466" s="530" t="str">
        <x:f>IF(ISBLANK('_INSTANCE'!D385),"",'_INSTANCE'!D385)</x:f>
      </x:c>
      <x:c r="E466" s="530" t="str">
        <x:f>IF(ISBLANK('_INSTANCE'!E385),"",'_INSTANCE'!E385)</x:f>
      </x:c>
      <x:c r="F466" s="530" t="str">
        <x:f>IF(ISBLANK('_INSTANCE'!F385),"",'_INSTANCE'!F385)</x:f>
      </x:c>
      <x:c r="G466" s="530" t="str">
        <x:f>IF(ISBLANK('_INSTANCE'!G385),"",'_INSTANCE'!G385)</x:f>
      </x:c>
      <x:c r="H466" s="530" t="str">
        <x:f>IF(ISBLANK('_INSTANCE'!H385),"",'_INSTANCE'!H385)</x:f>
      </x:c>
      <x:c r="I466" s="530" t="str">
        <x:f>IF(ISBLANK('_INSTANCE'!I385),"",'_INSTANCE'!I385)</x:f>
      </x:c>
      <x:c r="J466" s="530" t="str">
        <x:f>IF(ISBLANK('_INSTANCE'!J385),"",'_INSTANCE'!J385)</x:f>
      </x:c>
      <x:c r="K466" s="38"/>
      <x:c r="L466" s="38"/>
      <x:c r="M466" s="38"/>
      <x:c r="N466" s="38"/>
      <x:c r="O466" s="38"/>
      <x:c r="P466" s="38"/>
      <x:c r="Q466" s="38"/>
    </x:row>
    <x:row r="467">
      <x:c r="A467" s="523" t="str">
        <x:f>IF(ISBLANK('_INSTANCE'!A386),"",'_INSTANCE'!A386)</x:f>
      </x:c>
      <x:c r="B467" s="523" t="str">
        <x:f>IF(ISBLANK('_INSTANCE'!B386),"",'_INSTANCE'!B386)</x:f>
      </x:c>
      <x:c r="C467" s="523" t="str">
        <x:f>IF(ISBLANK('_INSTANCE'!C386),"",'_INSTANCE'!C386)</x:f>
      </x:c>
      <x:c r="D467" s="530" t="str">
        <x:f>IF(ISBLANK('_INSTANCE'!D386),"",'_INSTANCE'!D386)</x:f>
      </x:c>
      <x:c r="E467" s="530" t="str">
        <x:f>IF(ISBLANK('_INSTANCE'!E386),"",'_INSTANCE'!E386)</x:f>
      </x:c>
      <x:c r="F467" s="530" t="str">
        <x:f>IF(ISBLANK('_INSTANCE'!F386),"",'_INSTANCE'!F386)</x:f>
      </x:c>
      <x:c r="G467" s="530" t="str">
        <x:f>IF(ISBLANK('_INSTANCE'!G386),"",'_INSTANCE'!G386)</x:f>
      </x:c>
      <x:c r="H467" s="530" t="str">
        <x:f>IF(ISBLANK('_INSTANCE'!H386),"",'_INSTANCE'!H386)</x:f>
      </x:c>
      <x:c r="I467" s="530" t="str">
        <x:f>IF(ISBLANK('_INSTANCE'!I386),"",'_INSTANCE'!I386)</x:f>
      </x:c>
      <x:c r="J467" s="530" t="str">
        <x:f>IF(ISBLANK('_INSTANCE'!J386),"",'_INSTANCE'!J386)</x:f>
      </x:c>
      <x:c r="K467" s="38"/>
      <x:c r="L467" s="38"/>
      <x:c r="M467" s="38"/>
      <x:c r="N467" s="38"/>
      <x:c r="O467" s="38"/>
      <x:c r="P467" s="38"/>
      <x:c r="Q467" s="38"/>
    </x:row>
    <x:row r="468">
      <x:c r="A468" s="523" t="str">
        <x:f>IF(ISBLANK('_INSTANCE'!A387),"",'_INSTANCE'!A387)</x:f>
      </x:c>
      <x:c r="B468" s="523" t="str">
        <x:f>IF(ISBLANK('_INSTANCE'!B387),"",'_INSTANCE'!B387)</x:f>
      </x:c>
      <x:c r="C468" s="523" t="str">
        <x:f>IF(ISBLANK('_INSTANCE'!C387),"",'_INSTANCE'!C387)</x:f>
      </x:c>
      <x:c r="D468" s="530" t="str">
        <x:f>IF(ISBLANK('_INSTANCE'!D387),"",'_INSTANCE'!D387)</x:f>
      </x:c>
      <x:c r="E468" s="530" t="str">
        <x:f>IF(ISBLANK('_INSTANCE'!E387),"",'_INSTANCE'!E387)</x:f>
      </x:c>
      <x:c r="F468" s="530" t="str">
        <x:f>IF(ISBLANK('_INSTANCE'!F387),"",'_INSTANCE'!F387)</x:f>
      </x:c>
      <x:c r="G468" s="530" t="str">
        <x:f>IF(ISBLANK('_INSTANCE'!G387),"",'_INSTANCE'!G387)</x:f>
      </x:c>
      <x:c r="H468" s="530" t="str">
        <x:f>IF(ISBLANK('_INSTANCE'!H387),"",'_INSTANCE'!H387)</x:f>
      </x:c>
      <x:c r="I468" s="530" t="str">
        <x:f>IF(ISBLANK('_INSTANCE'!I387),"",'_INSTANCE'!I387)</x:f>
      </x:c>
      <x:c r="J468" s="530" t="str">
        <x:f>IF(ISBLANK('_INSTANCE'!J387),"",'_INSTANCE'!J387)</x:f>
      </x:c>
      <x:c r="K468" s="38"/>
      <x:c r="L468" s="38"/>
      <x:c r="M468" s="38"/>
      <x:c r="N468" s="38"/>
      <x:c r="O468" s="38"/>
      <x:c r="P468" s="38"/>
      <x:c r="Q468" s="38"/>
    </x:row>
    <x:row r="469">
      <x:c r="A469" s="523" t="str">
        <x:f>IF(ISBLANK('_INSTANCE'!A388),"",'_INSTANCE'!A388)</x:f>
      </x:c>
      <x:c r="B469" s="523" t="str">
        <x:f>IF(ISBLANK('_INSTANCE'!B388),"",'_INSTANCE'!B388)</x:f>
      </x:c>
      <x:c r="C469" s="523" t="str">
        <x:f>IF(ISBLANK('_INSTANCE'!C388),"",'_INSTANCE'!C388)</x:f>
      </x:c>
      <x:c r="D469" s="530" t="str">
        <x:f>IF(ISBLANK('_INSTANCE'!D388),"",'_INSTANCE'!D388)</x:f>
      </x:c>
      <x:c r="E469" s="530" t="str">
        <x:f>IF(ISBLANK('_INSTANCE'!E388),"",'_INSTANCE'!E388)</x:f>
      </x:c>
      <x:c r="F469" s="530" t="str">
        <x:f>IF(ISBLANK('_INSTANCE'!F388),"",'_INSTANCE'!F388)</x:f>
      </x:c>
      <x:c r="G469" s="530" t="str">
        <x:f>IF(ISBLANK('_INSTANCE'!G388),"",'_INSTANCE'!G388)</x:f>
      </x:c>
      <x:c r="H469" s="530" t="str">
        <x:f>IF(ISBLANK('_INSTANCE'!H388),"",'_INSTANCE'!H388)</x:f>
      </x:c>
      <x:c r="I469" s="530" t="str">
        <x:f>IF(ISBLANK('_INSTANCE'!I388),"",'_INSTANCE'!I388)</x:f>
      </x:c>
      <x:c r="J469" s="530" t="str">
        <x:f>IF(ISBLANK('_INSTANCE'!J388),"",'_INSTANCE'!J388)</x:f>
      </x:c>
      <x:c r="K469" s="38"/>
      <x:c r="L469" s="38"/>
      <x:c r="M469" s="38"/>
      <x:c r="N469" s="38"/>
      <x:c r="O469" s="38"/>
      <x:c r="P469" s="38"/>
      <x:c r="Q469" s="38"/>
    </x:row>
    <x:row r="470">
      <x:c r="A470" s="523" t="str">
        <x:f>IF(ISBLANK('_INSTANCE'!A389),"",'_INSTANCE'!A389)</x:f>
      </x:c>
      <x:c r="B470" s="523" t="str">
        <x:f>IF(ISBLANK('_INSTANCE'!B389),"",'_INSTANCE'!B389)</x:f>
      </x:c>
      <x:c r="C470" s="523" t="str">
        <x:f>IF(ISBLANK('_INSTANCE'!C389),"",'_INSTANCE'!C389)</x:f>
      </x:c>
      <x:c r="D470" s="530" t="str">
        <x:f>IF(ISBLANK('_INSTANCE'!D389),"",'_INSTANCE'!D389)</x:f>
      </x:c>
      <x:c r="E470" s="530" t="str">
        <x:f>IF(ISBLANK('_INSTANCE'!E389),"",'_INSTANCE'!E389)</x:f>
      </x:c>
      <x:c r="F470" s="530" t="str">
        <x:f>IF(ISBLANK('_INSTANCE'!F389),"",'_INSTANCE'!F389)</x:f>
      </x:c>
      <x:c r="G470" s="530" t="str">
        <x:f>IF(ISBLANK('_INSTANCE'!G389),"",'_INSTANCE'!G389)</x:f>
      </x:c>
      <x:c r="H470" s="530" t="str">
        <x:f>IF(ISBLANK('_INSTANCE'!H389),"",'_INSTANCE'!H389)</x:f>
      </x:c>
      <x:c r="I470" s="530" t="str">
        <x:f>IF(ISBLANK('_INSTANCE'!I389),"",'_INSTANCE'!I389)</x:f>
      </x:c>
      <x:c r="J470" s="530" t="str">
        <x:f>IF(ISBLANK('_INSTANCE'!J389),"",'_INSTANCE'!J389)</x:f>
      </x:c>
      <x:c r="K470" s="38"/>
      <x:c r="L470" s="38"/>
      <x:c r="M470" s="38"/>
      <x:c r="N470" s="38"/>
      <x:c r="O470" s="38"/>
      <x:c r="P470" s="38"/>
      <x:c r="Q470" s="38"/>
    </x:row>
    <x:row r="471">
      <x:c r="A471" s="523" t="str">
        <x:f>IF(ISBLANK('_INSTANCE'!A390),"",'_INSTANCE'!A390)</x:f>
      </x:c>
      <x:c r="B471" s="523" t="str">
        <x:f>IF(ISBLANK('_INSTANCE'!B390),"",'_INSTANCE'!B390)</x:f>
      </x:c>
      <x:c r="C471" s="523" t="str">
        <x:f>IF(ISBLANK('_INSTANCE'!C390),"",'_INSTANCE'!C390)</x:f>
      </x:c>
      <x:c r="D471" s="530" t="str">
        <x:f>IF(ISBLANK('_INSTANCE'!D390),"",'_INSTANCE'!D390)</x:f>
      </x:c>
      <x:c r="E471" s="530" t="str">
        <x:f>IF(ISBLANK('_INSTANCE'!E390),"",'_INSTANCE'!E390)</x:f>
      </x:c>
      <x:c r="F471" s="530" t="str">
        <x:f>IF(ISBLANK('_INSTANCE'!F390),"",'_INSTANCE'!F390)</x:f>
      </x:c>
      <x:c r="G471" s="530" t="str">
        <x:f>IF(ISBLANK('_INSTANCE'!G390),"",'_INSTANCE'!G390)</x:f>
      </x:c>
      <x:c r="H471" s="530" t="str">
        <x:f>IF(ISBLANK('_INSTANCE'!H390),"",'_INSTANCE'!H390)</x:f>
      </x:c>
      <x:c r="I471" s="530" t="str">
        <x:f>IF(ISBLANK('_INSTANCE'!I390),"",'_INSTANCE'!I390)</x:f>
      </x:c>
      <x:c r="J471" s="530" t="str">
        <x:f>IF(ISBLANK('_INSTANCE'!J390),"",'_INSTANCE'!J390)</x:f>
      </x:c>
      <x:c r="K471" s="38"/>
      <x:c r="L471" s="38"/>
      <x:c r="M471" s="38"/>
      <x:c r="N471" s="38"/>
      <x:c r="O471" s="38"/>
      <x:c r="P471" s="38"/>
      <x:c r="Q471" s="38"/>
    </x:row>
    <x:row r="472">
      <x:c r="A472" s="523" t="str">
        <x:f>IF(ISBLANK('_INSTANCE'!A391),"",'_INSTANCE'!A391)</x:f>
      </x:c>
      <x:c r="B472" s="523" t="str">
        <x:f>IF(ISBLANK('_INSTANCE'!B391),"",'_INSTANCE'!B391)</x:f>
      </x:c>
      <x:c r="C472" s="523" t="str">
        <x:f>IF(ISBLANK('_INSTANCE'!C391),"",'_INSTANCE'!C391)</x:f>
      </x:c>
      <x:c r="D472" s="530" t="str">
        <x:f>IF(ISBLANK('_INSTANCE'!D391),"",'_INSTANCE'!D391)</x:f>
      </x:c>
      <x:c r="E472" s="530" t="str">
        <x:f>IF(ISBLANK('_INSTANCE'!E391),"",'_INSTANCE'!E391)</x:f>
      </x:c>
      <x:c r="F472" s="530" t="str">
        <x:f>IF(ISBLANK('_INSTANCE'!F391),"",'_INSTANCE'!F391)</x:f>
      </x:c>
      <x:c r="G472" s="530" t="str">
        <x:f>IF(ISBLANK('_INSTANCE'!G391),"",'_INSTANCE'!G391)</x:f>
      </x:c>
      <x:c r="H472" s="530" t="str">
        <x:f>IF(ISBLANK('_INSTANCE'!H391),"",'_INSTANCE'!H391)</x:f>
      </x:c>
      <x:c r="I472" s="530" t="str">
        <x:f>IF(ISBLANK('_INSTANCE'!I391),"",'_INSTANCE'!I391)</x:f>
      </x:c>
      <x:c r="J472" s="530" t="str">
        <x:f>IF(ISBLANK('_INSTANCE'!J391),"",'_INSTANCE'!J391)</x:f>
      </x:c>
      <x:c r="K472" s="38"/>
      <x:c r="L472" s="38"/>
      <x:c r="M472" s="38"/>
      <x:c r="N472" s="38"/>
      <x:c r="O472" s="38"/>
      <x:c r="P472" s="38"/>
      <x:c r="Q472" s="38"/>
    </x:row>
    <x:row r="473">
      <x:c r="A473" s="523" t="str">
        <x:f>IF(ISBLANK('_INSTANCE'!A392),"",'_INSTANCE'!A392)</x:f>
      </x:c>
      <x:c r="B473" s="523" t="str">
        <x:f>IF(ISBLANK('_INSTANCE'!B392),"",'_INSTANCE'!B392)</x:f>
      </x:c>
      <x:c r="C473" s="523" t="str">
        <x:f>IF(ISBLANK('_INSTANCE'!C392),"",'_INSTANCE'!C392)</x:f>
      </x:c>
      <x:c r="D473" s="530" t="str">
        <x:f>IF(ISBLANK('_INSTANCE'!D392),"",'_INSTANCE'!D392)</x:f>
      </x:c>
      <x:c r="E473" s="530" t="str">
        <x:f>IF(ISBLANK('_INSTANCE'!E392),"",'_INSTANCE'!E392)</x:f>
      </x:c>
      <x:c r="F473" s="530" t="str">
        <x:f>IF(ISBLANK('_INSTANCE'!F392),"",'_INSTANCE'!F392)</x:f>
      </x:c>
      <x:c r="G473" s="530" t="str">
        <x:f>IF(ISBLANK('_INSTANCE'!G392),"",'_INSTANCE'!G392)</x:f>
      </x:c>
      <x:c r="H473" s="530" t="str">
        <x:f>IF(ISBLANK('_INSTANCE'!H392),"",'_INSTANCE'!H392)</x:f>
      </x:c>
      <x:c r="I473" s="530" t="str">
        <x:f>IF(ISBLANK('_INSTANCE'!I392),"",'_INSTANCE'!I392)</x:f>
      </x:c>
      <x:c r="J473" s="530" t="str">
        <x:f>IF(ISBLANK('_INSTANCE'!J392),"",'_INSTANCE'!J392)</x:f>
      </x:c>
      <x:c r="K473" s="38"/>
      <x:c r="L473" s="38"/>
      <x:c r="M473" s="38"/>
      <x:c r="N473" s="38"/>
      <x:c r="O473" s="38"/>
      <x:c r="P473" s="38"/>
      <x:c r="Q473" s="38"/>
    </x:row>
    <x:row r="474">
      <x:c r="A474" s="523" t="str">
        <x:f>IF(ISBLANK('_INSTANCE'!A393),"",'_INSTANCE'!A393)</x:f>
      </x:c>
      <x:c r="B474" s="523" t="str">
        <x:f>IF(ISBLANK('_INSTANCE'!B393),"",'_INSTANCE'!B393)</x:f>
      </x:c>
      <x:c r="C474" s="523" t="str">
        <x:f>IF(ISBLANK('_INSTANCE'!C393),"",'_INSTANCE'!C393)</x:f>
      </x:c>
      <x:c r="D474" s="530" t="str">
        <x:f>IF(ISBLANK('_INSTANCE'!D393),"",'_INSTANCE'!D393)</x:f>
      </x:c>
      <x:c r="E474" s="530" t="str">
        <x:f>IF(ISBLANK('_INSTANCE'!E393),"",'_INSTANCE'!E393)</x:f>
      </x:c>
      <x:c r="F474" s="530" t="str">
        <x:f>IF(ISBLANK('_INSTANCE'!F393),"",'_INSTANCE'!F393)</x:f>
      </x:c>
      <x:c r="G474" s="530" t="str">
        <x:f>IF(ISBLANK('_INSTANCE'!G393),"",'_INSTANCE'!G393)</x:f>
      </x:c>
      <x:c r="H474" s="530" t="str">
        <x:f>IF(ISBLANK('_INSTANCE'!H393),"",'_INSTANCE'!H393)</x:f>
      </x:c>
      <x:c r="I474" s="530" t="str">
        <x:f>IF(ISBLANK('_INSTANCE'!I393),"",'_INSTANCE'!I393)</x:f>
      </x:c>
      <x:c r="J474" s="530" t="str">
        <x:f>IF(ISBLANK('_INSTANCE'!J393),"",'_INSTANCE'!J393)</x:f>
      </x:c>
      <x:c r="K474" s="38"/>
      <x:c r="L474" s="38"/>
      <x:c r="M474" s="38"/>
      <x:c r="N474" s="38"/>
      <x:c r="O474" s="38"/>
      <x:c r="P474" s="38"/>
      <x:c r="Q474" s="38"/>
    </x:row>
    <x:row r="475">
      <x:c r="A475" s="523" t="str">
        <x:f>IF(ISBLANK('_INSTANCE'!A394),"",'_INSTANCE'!A394)</x:f>
      </x:c>
      <x:c r="B475" s="523" t="str">
        <x:f>IF(ISBLANK('_INSTANCE'!B394),"",'_INSTANCE'!B394)</x:f>
      </x:c>
      <x:c r="C475" s="523" t="str">
        <x:f>IF(ISBLANK('_INSTANCE'!C394),"",'_INSTANCE'!C394)</x:f>
      </x:c>
      <x:c r="D475" s="530" t="str">
        <x:f>IF(ISBLANK('_INSTANCE'!D394),"",'_INSTANCE'!D394)</x:f>
      </x:c>
      <x:c r="E475" s="530" t="str">
        <x:f>IF(ISBLANK('_INSTANCE'!E394),"",'_INSTANCE'!E394)</x:f>
      </x:c>
      <x:c r="F475" s="530" t="str">
        <x:f>IF(ISBLANK('_INSTANCE'!F394),"",'_INSTANCE'!F394)</x:f>
      </x:c>
      <x:c r="G475" s="530" t="str">
        <x:f>IF(ISBLANK('_INSTANCE'!G394),"",'_INSTANCE'!G394)</x:f>
      </x:c>
      <x:c r="H475" s="530" t="str">
        <x:f>IF(ISBLANK('_INSTANCE'!H394),"",'_INSTANCE'!H394)</x:f>
      </x:c>
      <x:c r="I475" s="530" t="str">
        <x:f>IF(ISBLANK('_INSTANCE'!I394),"",'_INSTANCE'!I394)</x:f>
      </x:c>
      <x:c r="J475" s="530" t="str">
        <x:f>IF(ISBLANK('_INSTANCE'!J394),"",'_INSTANCE'!J394)</x:f>
      </x:c>
      <x:c r="K475" s="38"/>
      <x:c r="L475" s="38"/>
      <x:c r="M475" s="38"/>
      <x:c r="N475" s="38"/>
      <x:c r="O475" s="38"/>
      <x:c r="P475" s="38"/>
      <x:c r="Q475" s="38"/>
    </x:row>
    <x:row r="476">
      <x:c r="A476" s="523" t="str">
        <x:f>IF(ISBLANK('_INSTANCE'!A395),"",'_INSTANCE'!A395)</x:f>
      </x:c>
      <x:c r="B476" s="523" t="str">
        <x:f>IF(ISBLANK('_INSTANCE'!B395),"",'_INSTANCE'!B395)</x:f>
      </x:c>
      <x:c r="C476" s="523" t="str">
        <x:f>IF(ISBLANK('_INSTANCE'!C395),"",'_INSTANCE'!C395)</x:f>
      </x:c>
      <x:c r="D476" s="530" t="str">
        <x:f>IF(ISBLANK('_INSTANCE'!D395),"",'_INSTANCE'!D395)</x:f>
      </x:c>
      <x:c r="E476" s="530" t="str">
        <x:f>IF(ISBLANK('_INSTANCE'!E395),"",'_INSTANCE'!E395)</x:f>
      </x:c>
      <x:c r="F476" s="530" t="str">
        <x:f>IF(ISBLANK('_INSTANCE'!F395),"",'_INSTANCE'!F395)</x:f>
      </x:c>
      <x:c r="G476" s="530" t="str">
        <x:f>IF(ISBLANK('_INSTANCE'!G395),"",'_INSTANCE'!G395)</x:f>
      </x:c>
      <x:c r="H476" s="530" t="str">
        <x:f>IF(ISBLANK('_INSTANCE'!H395),"",'_INSTANCE'!H395)</x:f>
      </x:c>
      <x:c r="I476" s="530" t="str">
        <x:f>IF(ISBLANK('_INSTANCE'!I395),"",'_INSTANCE'!I395)</x:f>
      </x:c>
      <x:c r="J476" s="530" t="str">
        <x:f>IF(ISBLANK('_INSTANCE'!J395),"",'_INSTANCE'!J395)</x:f>
      </x:c>
      <x:c r="K476" s="38"/>
      <x:c r="L476" s="38"/>
      <x:c r="M476" s="38"/>
      <x:c r="N476" s="38"/>
      <x:c r="O476" s="38"/>
      <x:c r="P476" s="38"/>
      <x:c r="Q476" s="38"/>
    </x:row>
    <x:row r="477">
      <x:c r="A477" s="523" t="str">
        <x:f>IF(ISBLANK('_INSTANCE'!A396),"",'_INSTANCE'!A396)</x:f>
      </x:c>
      <x:c r="B477" s="523" t="str">
        <x:f>IF(ISBLANK('_INSTANCE'!B396),"",'_INSTANCE'!B396)</x:f>
      </x:c>
      <x:c r="C477" s="523" t="str">
        <x:f>IF(ISBLANK('_INSTANCE'!C396),"",'_INSTANCE'!C396)</x:f>
      </x:c>
      <x:c r="D477" s="530" t="str">
        <x:f>IF(ISBLANK('_INSTANCE'!D396),"",'_INSTANCE'!D396)</x:f>
      </x:c>
      <x:c r="E477" s="530" t="str">
        <x:f>IF(ISBLANK('_INSTANCE'!E396),"",'_INSTANCE'!E396)</x:f>
      </x:c>
      <x:c r="F477" s="530" t="str">
        <x:f>IF(ISBLANK('_INSTANCE'!F396),"",'_INSTANCE'!F396)</x:f>
      </x:c>
      <x:c r="G477" s="530" t="str">
        <x:f>IF(ISBLANK('_INSTANCE'!G396),"",'_INSTANCE'!G396)</x:f>
      </x:c>
      <x:c r="H477" s="530" t="str">
        <x:f>IF(ISBLANK('_INSTANCE'!H396),"",'_INSTANCE'!H396)</x:f>
      </x:c>
      <x:c r="I477" s="530" t="str">
        <x:f>IF(ISBLANK('_INSTANCE'!I396),"",'_INSTANCE'!I396)</x:f>
      </x:c>
      <x:c r="J477" s="530" t="str">
        <x:f>IF(ISBLANK('_INSTANCE'!J396),"",'_INSTANCE'!J396)</x:f>
      </x:c>
      <x:c r="K477" s="38"/>
      <x:c r="L477" s="38"/>
      <x:c r="M477" s="38"/>
      <x:c r="N477" s="38"/>
      <x:c r="O477" s="38"/>
      <x:c r="P477" s="38"/>
      <x:c r="Q477" s="38"/>
    </x:row>
    <x:row r="478">
      <x:c r="A478" s="523" t="str">
        <x:f>IF(ISBLANK('_INSTANCE'!A397),"",'_INSTANCE'!A397)</x:f>
      </x:c>
      <x:c r="B478" s="523" t="str">
        <x:f>IF(ISBLANK('_INSTANCE'!B397),"",'_INSTANCE'!B397)</x:f>
      </x:c>
      <x:c r="C478" s="523" t="str">
        <x:f>IF(ISBLANK('_INSTANCE'!C397),"",'_INSTANCE'!C397)</x:f>
      </x:c>
      <x:c r="D478" s="530" t="str">
        <x:f>IF(ISBLANK('_INSTANCE'!D397),"",'_INSTANCE'!D397)</x:f>
      </x:c>
      <x:c r="E478" s="530" t="str">
        <x:f>IF(ISBLANK('_INSTANCE'!E397),"",'_INSTANCE'!E397)</x:f>
      </x:c>
      <x:c r="F478" s="530" t="str">
        <x:f>IF(ISBLANK('_INSTANCE'!F397),"",'_INSTANCE'!F397)</x:f>
      </x:c>
      <x:c r="G478" s="530" t="str">
        <x:f>IF(ISBLANK('_INSTANCE'!G397),"",'_INSTANCE'!G397)</x:f>
      </x:c>
      <x:c r="H478" s="530" t="str">
        <x:f>IF(ISBLANK('_INSTANCE'!H397),"",'_INSTANCE'!H397)</x:f>
      </x:c>
      <x:c r="I478" s="530" t="str">
        <x:f>IF(ISBLANK('_INSTANCE'!I397),"",'_INSTANCE'!I397)</x:f>
      </x:c>
      <x:c r="J478" s="530" t="str">
        <x:f>IF(ISBLANK('_INSTANCE'!J397),"",'_INSTANCE'!J397)</x:f>
      </x:c>
      <x:c r="K478" s="38"/>
      <x:c r="L478" s="38"/>
      <x:c r="M478" s="38"/>
      <x:c r="N478" s="38"/>
      <x:c r="O478" s="38"/>
      <x:c r="P478" s="38"/>
      <x:c r="Q478" s="38"/>
    </x:row>
    <x:row r="479">
      <x:c r="A479" s="523" t="str">
        <x:f>IF(ISBLANK('_INSTANCE'!A398),"",'_INSTANCE'!A398)</x:f>
      </x:c>
      <x:c r="B479" s="523" t="str">
        <x:f>IF(ISBLANK('_INSTANCE'!B398),"",'_INSTANCE'!B398)</x:f>
      </x:c>
      <x:c r="C479" s="523" t="str">
        <x:f>IF(ISBLANK('_INSTANCE'!C398),"",'_INSTANCE'!C398)</x:f>
      </x:c>
      <x:c r="D479" s="530" t="str">
        <x:f>IF(ISBLANK('_INSTANCE'!D398),"",'_INSTANCE'!D398)</x:f>
      </x:c>
      <x:c r="E479" s="530" t="str">
        <x:f>IF(ISBLANK('_INSTANCE'!E398),"",'_INSTANCE'!E398)</x:f>
      </x:c>
      <x:c r="F479" s="530" t="str">
        <x:f>IF(ISBLANK('_INSTANCE'!F398),"",'_INSTANCE'!F398)</x:f>
      </x:c>
      <x:c r="G479" s="530" t="str">
        <x:f>IF(ISBLANK('_INSTANCE'!G398),"",'_INSTANCE'!G398)</x:f>
      </x:c>
      <x:c r="H479" s="530" t="str">
        <x:f>IF(ISBLANK('_INSTANCE'!H398),"",'_INSTANCE'!H398)</x:f>
      </x:c>
      <x:c r="I479" s="530" t="str">
        <x:f>IF(ISBLANK('_INSTANCE'!I398),"",'_INSTANCE'!I398)</x:f>
      </x:c>
      <x:c r="J479" s="530" t="str">
        <x:f>IF(ISBLANK('_INSTANCE'!J398),"",'_INSTANCE'!J398)</x:f>
      </x:c>
      <x:c r="K479" s="38"/>
      <x:c r="L479" s="38"/>
      <x:c r="M479" s="38"/>
      <x:c r="N479" s="38"/>
      <x:c r="O479" s="38"/>
      <x:c r="P479" s="38"/>
      <x:c r="Q479" s="38"/>
    </x:row>
    <x:row r="480">
      <x:c r="A480" s="523" t="str">
        <x:f>IF(ISBLANK('_INSTANCE'!A399),"",'_INSTANCE'!A399)</x:f>
      </x:c>
      <x:c r="B480" s="523" t="str">
        <x:f>IF(ISBLANK('_INSTANCE'!B399),"",'_INSTANCE'!B399)</x:f>
      </x:c>
      <x:c r="C480" s="523" t="str">
        <x:f>IF(ISBLANK('_INSTANCE'!C399),"",'_INSTANCE'!C399)</x:f>
      </x:c>
      <x:c r="D480" s="530" t="str">
        <x:f>IF(ISBLANK('_INSTANCE'!D399),"",'_INSTANCE'!D399)</x:f>
      </x:c>
      <x:c r="E480" s="530" t="str">
        <x:f>IF(ISBLANK('_INSTANCE'!E399),"",'_INSTANCE'!E399)</x:f>
      </x:c>
      <x:c r="F480" s="530" t="str">
        <x:f>IF(ISBLANK('_INSTANCE'!F399),"",'_INSTANCE'!F399)</x:f>
      </x:c>
      <x:c r="G480" s="530" t="str">
        <x:f>IF(ISBLANK('_INSTANCE'!G399),"",'_INSTANCE'!G399)</x:f>
      </x:c>
      <x:c r="H480" s="530" t="str">
        <x:f>IF(ISBLANK('_INSTANCE'!H399),"",'_INSTANCE'!H399)</x:f>
      </x:c>
      <x:c r="I480" s="530" t="str">
        <x:f>IF(ISBLANK('_INSTANCE'!I399),"",'_INSTANCE'!I399)</x:f>
      </x:c>
      <x:c r="J480" s="530" t="str">
        <x:f>IF(ISBLANK('_INSTANCE'!J399),"",'_INSTANCE'!J399)</x:f>
      </x:c>
      <x:c r="K480" s="38"/>
      <x:c r="L480" s="38"/>
      <x:c r="M480" s="38"/>
      <x:c r="N480" s="38"/>
      <x:c r="O480" s="38"/>
      <x:c r="P480" s="38"/>
      <x:c r="Q480" s="38"/>
    </x:row>
    <x:row r="481">
      <x:c r="A481" s="523" t="str">
        <x:f>IF(ISBLANK('_INSTANCE'!A400),"",'_INSTANCE'!A400)</x:f>
      </x:c>
      <x:c r="B481" s="523" t="str">
        <x:f>IF(ISBLANK('_INSTANCE'!B400),"",'_INSTANCE'!B400)</x:f>
      </x:c>
      <x:c r="C481" s="523" t="str">
        <x:f>IF(ISBLANK('_INSTANCE'!C400),"",'_INSTANCE'!C400)</x:f>
      </x:c>
      <x:c r="D481" s="530" t="str">
        <x:f>IF(ISBLANK('_INSTANCE'!D400),"",'_INSTANCE'!D400)</x:f>
      </x:c>
      <x:c r="E481" s="530" t="str">
        <x:f>IF(ISBLANK('_INSTANCE'!E400),"",'_INSTANCE'!E400)</x:f>
      </x:c>
      <x:c r="F481" s="530" t="str">
        <x:f>IF(ISBLANK('_INSTANCE'!F400),"",'_INSTANCE'!F400)</x:f>
      </x:c>
      <x:c r="G481" s="530" t="str">
        <x:f>IF(ISBLANK('_INSTANCE'!G400),"",'_INSTANCE'!G400)</x:f>
      </x:c>
      <x:c r="H481" s="530" t="str">
        <x:f>IF(ISBLANK('_INSTANCE'!H400),"",'_INSTANCE'!H400)</x:f>
      </x:c>
      <x:c r="I481" s="530" t="str">
        <x:f>IF(ISBLANK('_INSTANCE'!I400),"",'_INSTANCE'!I400)</x:f>
      </x:c>
      <x:c r="J481" s="530" t="str">
        <x:f>IF(ISBLANK('_INSTANCE'!J400),"",'_INSTANCE'!J400)</x:f>
      </x:c>
      <x:c r="K481" s="38"/>
      <x:c r="L481" s="38"/>
      <x:c r="M481" s="38"/>
      <x:c r="N481" s="38"/>
      <x:c r="O481" s="38"/>
      <x:c r="P481" s="38"/>
      <x:c r="Q481" s="38"/>
    </x:row>
    <x:row r="482">
      <x:c r="A482" s="523" t="str">
        <x:f>IF(ISBLANK('_INSTANCE'!A401),"",'_INSTANCE'!A401)</x:f>
      </x:c>
      <x:c r="B482" s="523" t="str">
        <x:f>IF(ISBLANK('_INSTANCE'!B401),"",'_INSTANCE'!B401)</x:f>
      </x:c>
      <x:c r="C482" s="523" t="str">
        <x:f>IF(ISBLANK('_INSTANCE'!C401),"",'_INSTANCE'!C401)</x:f>
      </x:c>
      <x:c r="D482" s="530" t="str">
        <x:f>IF(ISBLANK('_INSTANCE'!D401),"",'_INSTANCE'!D401)</x:f>
      </x:c>
      <x:c r="E482" s="530" t="str">
        <x:f>IF(ISBLANK('_INSTANCE'!E401),"",'_INSTANCE'!E401)</x:f>
      </x:c>
      <x:c r="F482" s="530" t="str">
        <x:f>IF(ISBLANK('_INSTANCE'!F401),"",'_INSTANCE'!F401)</x:f>
      </x:c>
      <x:c r="G482" s="530" t="str">
        <x:f>IF(ISBLANK('_INSTANCE'!G401),"",'_INSTANCE'!G401)</x:f>
      </x:c>
      <x:c r="H482" s="530" t="str">
        <x:f>IF(ISBLANK('_INSTANCE'!H401),"",'_INSTANCE'!H401)</x:f>
      </x:c>
      <x:c r="I482" s="530" t="str">
        <x:f>IF(ISBLANK('_INSTANCE'!I401),"",'_INSTANCE'!I401)</x:f>
      </x:c>
      <x:c r="J482" s="530" t="str">
        <x:f>IF(ISBLANK('_INSTANCE'!J401),"",'_INSTANCE'!J401)</x:f>
      </x:c>
      <x:c r="K482" s="38"/>
      <x:c r="L482" s="38"/>
      <x:c r="M482" s="38"/>
      <x:c r="N482" s="38"/>
      <x:c r="O482" s="38"/>
      <x:c r="P482" s="38"/>
      <x:c r="Q482" s="38"/>
    </x:row>
    <x:row r="483">
      <x:c r="A483" s="523" t="str">
        <x:f>IF(ISBLANK('_INSTANCE'!A402),"",'_INSTANCE'!A402)</x:f>
      </x:c>
      <x:c r="B483" s="523" t="str">
        <x:f>IF(ISBLANK('_INSTANCE'!B402),"",'_INSTANCE'!B402)</x:f>
      </x:c>
      <x:c r="C483" s="523" t="str">
        <x:f>IF(ISBLANK('_INSTANCE'!C402),"",'_INSTANCE'!C402)</x:f>
      </x:c>
      <x:c r="D483" s="530" t="str">
        <x:f>IF(ISBLANK('_INSTANCE'!D402),"",'_INSTANCE'!D402)</x:f>
      </x:c>
      <x:c r="E483" s="530" t="str">
        <x:f>IF(ISBLANK('_INSTANCE'!E402),"",'_INSTANCE'!E402)</x:f>
      </x:c>
      <x:c r="F483" s="530" t="str">
        <x:f>IF(ISBLANK('_INSTANCE'!F402),"",'_INSTANCE'!F402)</x:f>
      </x:c>
      <x:c r="G483" s="530" t="str">
        <x:f>IF(ISBLANK('_INSTANCE'!G402),"",'_INSTANCE'!G402)</x:f>
      </x:c>
      <x:c r="H483" s="530" t="str">
        <x:f>IF(ISBLANK('_INSTANCE'!H402),"",'_INSTANCE'!H402)</x:f>
      </x:c>
      <x:c r="I483" s="530" t="str">
        <x:f>IF(ISBLANK('_INSTANCE'!I402),"",'_INSTANCE'!I402)</x:f>
      </x:c>
      <x:c r="J483" s="530" t="str">
        <x:f>IF(ISBLANK('_INSTANCE'!J402),"",'_INSTANCE'!J402)</x:f>
      </x:c>
      <x:c r="K483" s="38"/>
      <x:c r="L483" s="38"/>
      <x:c r="M483" s="38"/>
      <x:c r="N483" s="38"/>
      <x:c r="O483" s="38"/>
      <x:c r="P483" s="38"/>
      <x:c r="Q483" s="38"/>
    </x:row>
    <x:row r="484">
      <x:c r="A484" s="523" t="str">
        <x:f>IF(ISBLANK('_INSTANCE'!A403),"",'_INSTANCE'!A403)</x:f>
      </x:c>
      <x:c r="B484" s="523" t="str">
        <x:f>IF(ISBLANK('_INSTANCE'!B403),"",'_INSTANCE'!B403)</x:f>
      </x:c>
      <x:c r="C484" s="523" t="str">
        <x:f>IF(ISBLANK('_INSTANCE'!C403),"",'_INSTANCE'!C403)</x:f>
      </x:c>
      <x:c r="D484" s="530" t="str">
        <x:f>IF(ISBLANK('_INSTANCE'!D403),"",'_INSTANCE'!D403)</x:f>
      </x:c>
      <x:c r="E484" s="530" t="str">
        <x:f>IF(ISBLANK('_INSTANCE'!E403),"",'_INSTANCE'!E403)</x:f>
      </x:c>
      <x:c r="F484" s="530" t="str">
        <x:f>IF(ISBLANK('_INSTANCE'!F403),"",'_INSTANCE'!F403)</x:f>
      </x:c>
      <x:c r="G484" s="530" t="str">
        <x:f>IF(ISBLANK('_INSTANCE'!G403),"",'_INSTANCE'!G403)</x:f>
      </x:c>
      <x:c r="H484" s="530" t="str">
        <x:f>IF(ISBLANK('_INSTANCE'!H403),"",'_INSTANCE'!H403)</x:f>
      </x:c>
      <x:c r="I484" s="530" t="str">
        <x:f>IF(ISBLANK('_INSTANCE'!I403),"",'_INSTANCE'!I403)</x:f>
      </x:c>
      <x:c r="J484" s="530" t="str">
        <x:f>IF(ISBLANK('_INSTANCE'!J403),"",'_INSTANCE'!J403)</x:f>
      </x:c>
      <x:c r="K484" s="38"/>
      <x:c r="L484" s="38"/>
      <x:c r="M484" s="38"/>
      <x:c r="N484" s="38"/>
      <x:c r="O484" s="38"/>
      <x:c r="P484" s="38"/>
      <x:c r="Q484" s="38"/>
    </x:row>
    <x:row r="485">
      <x:c r="A485" s="523" t="str">
        <x:f>IF(ISBLANK('_INSTANCE'!A404),"",'_INSTANCE'!A404)</x:f>
      </x:c>
      <x:c r="B485" s="523" t="str">
        <x:f>IF(ISBLANK('_INSTANCE'!B404),"",'_INSTANCE'!B404)</x:f>
      </x:c>
      <x:c r="C485" s="523" t="str">
        <x:f>IF(ISBLANK('_INSTANCE'!C404),"",'_INSTANCE'!C404)</x:f>
      </x:c>
      <x:c r="D485" s="530" t="str">
        <x:f>IF(ISBLANK('_INSTANCE'!D404),"",'_INSTANCE'!D404)</x:f>
      </x:c>
      <x:c r="E485" s="530" t="str">
        <x:f>IF(ISBLANK('_INSTANCE'!E404),"",'_INSTANCE'!E404)</x:f>
      </x:c>
      <x:c r="F485" s="530" t="str">
        <x:f>IF(ISBLANK('_INSTANCE'!F404),"",'_INSTANCE'!F404)</x:f>
      </x:c>
      <x:c r="G485" s="530" t="str">
        <x:f>IF(ISBLANK('_INSTANCE'!G404),"",'_INSTANCE'!G404)</x:f>
      </x:c>
      <x:c r="H485" s="530" t="str">
        <x:f>IF(ISBLANK('_INSTANCE'!H404),"",'_INSTANCE'!H404)</x:f>
      </x:c>
      <x:c r="I485" s="530" t="str">
        <x:f>IF(ISBLANK('_INSTANCE'!I404),"",'_INSTANCE'!I404)</x:f>
      </x:c>
      <x:c r="J485" s="530" t="str">
        <x:f>IF(ISBLANK('_INSTANCE'!J404),"",'_INSTANCE'!J404)</x:f>
      </x:c>
      <x:c r="K485" s="38"/>
      <x:c r="L485" s="38"/>
      <x:c r="M485" s="38"/>
      <x:c r="N485" s="38"/>
      <x:c r="O485" s="38"/>
      <x:c r="P485" s="38"/>
      <x:c r="Q485" s="38"/>
    </x:row>
    <x:row r="486">
      <x:c r="A486" s="523" t="str">
        <x:f>IF(ISBLANK('_INSTANCE'!A405),"",'_INSTANCE'!A405)</x:f>
      </x:c>
      <x:c r="B486" s="523" t="str">
        <x:f>IF(ISBLANK('_INSTANCE'!B405),"",'_INSTANCE'!B405)</x:f>
      </x:c>
      <x:c r="C486" s="523" t="str">
        <x:f>IF(ISBLANK('_INSTANCE'!C405),"",'_INSTANCE'!C405)</x:f>
      </x:c>
      <x:c r="D486" s="530" t="str">
        <x:f>IF(ISBLANK('_INSTANCE'!D405),"",'_INSTANCE'!D405)</x:f>
      </x:c>
      <x:c r="E486" s="530" t="str">
        <x:f>IF(ISBLANK('_INSTANCE'!E405),"",'_INSTANCE'!E405)</x:f>
      </x:c>
      <x:c r="F486" s="530" t="str">
        <x:f>IF(ISBLANK('_INSTANCE'!F405),"",'_INSTANCE'!F405)</x:f>
      </x:c>
      <x:c r="G486" s="530" t="str">
        <x:f>IF(ISBLANK('_INSTANCE'!G405),"",'_INSTANCE'!G405)</x:f>
      </x:c>
      <x:c r="H486" s="530" t="str">
        <x:f>IF(ISBLANK('_INSTANCE'!H405),"",'_INSTANCE'!H405)</x:f>
      </x:c>
      <x:c r="I486" s="530" t="str">
        <x:f>IF(ISBLANK('_INSTANCE'!I405),"",'_INSTANCE'!I405)</x:f>
      </x:c>
      <x:c r="J486" s="530" t="str">
        <x:f>IF(ISBLANK('_INSTANCE'!J405),"",'_INSTANCE'!J405)</x:f>
      </x:c>
      <x:c r="K486" s="38"/>
      <x:c r="L486" s="38"/>
      <x:c r="M486" s="38"/>
      <x:c r="N486" s="38"/>
      <x:c r="O486" s="38"/>
      <x:c r="P486" s="38"/>
      <x:c r="Q486" s="38"/>
    </x:row>
    <x:row r="487">
      <x:c r="A487" s="523" t="str">
        <x:f>IF(ISBLANK('_INSTANCE'!A406),"",'_INSTANCE'!A406)</x:f>
      </x:c>
      <x:c r="B487" s="523" t="str">
        <x:f>IF(ISBLANK('_INSTANCE'!B406),"",'_INSTANCE'!B406)</x:f>
      </x:c>
      <x:c r="C487" s="523" t="str">
        <x:f>IF(ISBLANK('_INSTANCE'!C406),"",'_INSTANCE'!C406)</x:f>
      </x:c>
      <x:c r="D487" s="530" t="str">
        <x:f>IF(ISBLANK('_INSTANCE'!D406),"",'_INSTANCE'!D406)</x:f>
      </x:c>
      <x:c r="E487" s="530" t="str">
        <x:f>IF(ISBLANK('_INSTANCE'!E406),"",'_INSTANCE'!E406)</x:f>
      </x:c>
      <x:c r="F487" s="530" t="str">
        <x:f>IF(ISBLANK('_INSTANCE'!F406),"",'_INSTANCE'!F406)</x:f>
      </x:c>
      <x:c r="G487" s="530" t="str">
        <x:f>IF(ISBLANK('_INSTANCE'!G406),"",'_INSTANCE'!G406)</x:f>
      </x:c>
      <x:c r="H487" s="530" t="str">
        <x:f>IF(ISBLANK('_INSTANCE'!H406),"",'_INSTANCE'!H406)</x:f>
      </x:c>
      <x:c r="I487" s="530" t="str">
        <x:f>IF(ISBLANK('_INSTANCE'!I406),"",'_INSTANCE'!I406)</x:f>
      </x:c>
      <x:c r="J487" s="530" t="str">
        <x:f>IF(ISBLANK('_INSTANCE'!J406),"",'_INSTANCE'!J406)</x:f>
      </x:c>
      <x:c r="K487" s="38"/>
      <x:c r="L487" s="38"/>
      <x:c r="M487" s="38"/>
      <x:c r="N487" s="38"/>
      <x:c r="O487" s="38"/>
      <x:c r="P487" s="38"/>
      <x:c r="Q487" s="38"/>
    </x:row>
    <x:row r="488">
      <x:c r="A488" s="523" t="str">
        <x:f>IF(ISBLANK('_INSTANCE'!A407),"",'_INSTANCE'!A407)</x:f>
      </x:c>
      <x:c r="B488" s="523" t="str">
        <x:f>IF(ISBLANK('_INSTANCE'!B407),"",'_INSTANCE'!B407)</x:f>
      </x:c>
      <x:c r="C488" s="523" t="str">
        <x:f>IF(ISBLANK('_INSTANCE'!C407),"",'_INSTANCE'!C407)</x:f>
      </x:c>
      <x:c r="D488" s="530" t="str">
        <x:f>IF(ISBLANK('_INSTANCE'!D407),"",'_INSTANCE'!D407)</x:f>
      </x:c>
      <x:c r="E488" s="530" t="str">
        <x:f>IF(ISBLANK('_INSTANCE'!E407),"",'_INSTANCE'!E407)</x:f>
      </x:c>
      <x:c r="F488" s="530" t="str">
        <x:f>IF(ISBLANK('_INSTANCE'!F407),"",'_INSTANCE'!F407)</x:f>
      </x:c>
      <x:c r="G488" s="530" t="str">
        <x:f>IF(ISBLANK('_INSTANCE'!G407),"",'_INSTANCE'!G407)</x:f>
      </x:c>
      <x:c r="H488" s="530" t="str">
        <x:f>IF(ISBLANK('_INSTANCE'!H407),"",'_INSTANCE'!H407)</x:f>
      </x:c>
      <x:c r="I488" s="530" t="str">
        <x:f>IF(ISBLANK('_INSTANCE'!I407),"",'_INSTANCE'!I407)</x:f>
      </x:c>
      <x:c r="J488" s="530" t="str">
        <x:f>IF(ISBLANK('_INSTANCE'!J407),"",'_INSTANCE'!J407)</x:f>
      </x:c>
      <x:c r="K488" s="38"/>
      <x:c r="L488" s="38"/>
      <x:c r="M488" s="38"/>
      <x:c r="N488" s="38"/>
      <x:c r="O488" s="38"/>
      <x:c r="P488" s="38"/>
      <x:c r="Q488" s="38"/>
    </x:row>
    <x:row r="489">
      <x:c r="A489" s="523" t="str">
        <x:f>IF(ISBLANK('_INSTANCE'!A408),"",'_INSTANCE'!A408)</x:f>
      </x:c>
      <x:c r="B489" s="523" t="str">
        <x:f>IF(ISBLANK('_INSTANCE'!B408),"",'_INSTANCE'!B408)</x:f>
      </x:c>
      <x:c r="C489" s="523" t="str">
        <x:f>IF(ISBLANK('_INSTANCE'!C408),"",'_INSTANCE'!C408)</x:f>
      </x:c>
      <x:c r="D489" s="530" t="str">
        <x:f>IF(ISBLANK('_INSTANCE'!D408),"",'_INSTANCE'!D408)</x:f>
      </x:c>
      <x:c r="E489" s="530" t="str">
        <x:f>IF(ISBLANK('_INSTANCE'!E408),"",'_INSTANCE'!E408)</x:f>
      </x:c>
      <x:c r="F489" s="530" t="str">
        <x:f>IF(ISBLANK('_INSTANCE'!F408),"",'_INSTANCE'!F408)</x:f>
      </x:c>
      <x:c r="G489" s="530" t="str">
        <x:f>IF(ISBLANK('_INSTANCE'!G408),"",'_INSTANCE'!G408)</x:f>
      </x:c>
      <x:c r="H489" s="530" t="str">
        <x:f>IF(ISBLANK('_INSTANCE'!H408),"",'_INSTANCE'!H408)</x:f>
      </x:c>
      <x:c r="I489" s="530" t="str">
        <x:f>IF(ISBLANK('_INSTANCE'!I408),"",'_INSTANCE'!I408)</x:f>
      </x:c>
      <x:c r="J489" s="530" t="str">
        <x:f>IF(ISBLANK('_INSTANCE'!J408),"",'_INSTANCE'!J408)</x:f>
      </x:c>
      <x:c r="K489" s="38"/>
      <x:c r="L489" s="38"/>
      <x:c r="M489" s="38"/>
      <x:c r="N489" s="38"/>
      <x:c r="O489" s="38"/>
      <x:c r="P489" s="38"/>
      <x:c r="Q489" s="38"/>
    </x:row>
    <x:row r="490">
      <x:c r="A490" s="523" t="str">
        <x:f>IF(ISBLANK('_INSTANCE'!A409),"",'_INSTANCE'!A409)</x:f>
      </x:c>
      <x:c r="B490" s="523" t="str">
        <x:f>IF(ISBLANK('_INSTANCE'!B409),"",'_INSTANCE'!B409)</x:f>
      </x:c>
      <x:c r="C490" s="523" t="str">
        <x:f>IF(ISBLANK('_INSTANCE'!C409),"",'_INSTANCE'!C409)</x:f>
      </x:c>
      <x:c r="D490" s="530" t="str">
        <x:f>IF(ISBLANK('_INSTANCE'!D409),"",'_INSTANCE'!D409)</x:f>
      </x:c>
      <x:c r="E490" s="530" t="str">
        <x:f>IF(ISBLANK('_INSTANCE'!E409),"",'_INSTANCE'!E409)</x:f>
      </x:c>
      <x:c r="F490" s="530" t="str">
        <x:f>IF(ISBLANK('_INSTANCE'!F409),"",'_INSTANCE'!F409)</x:f>
      </x:c>
      <x:c r="G490" s="530" t="str">
        <x:f>IF(ISBLANK('_INSTANCE'!G409),"",'_INSTANCE'!G409)</x:f>
      </x:c>
      <x:c r="H490" s="530" t="str">
        <x:f>IF(ISBLANK('_INSTANCE'!H409),"",'_INSTANCE'!H409)</x:f>
      </x:c>
      <x:c r="I490" s="530" t="str">
        <x:f>IF(ISBLANK('_INSTANCE'!I409),"",'_INSTANCE'!I409)</x:f>
      </x:c>
      <x:c r="J490" s="530" t="str">
        <x:f>IF(ISBLANK('_INSTANCE'!J409),"",'_INSTANCE'!J409)</x:f>
      </x:c>
      <x:c r="K490" s="38"/>
      <x:c r="L490" s="38"/>
      <x:c r="M490" s="38"/>
      <x:c r="N490" s="38"/>
      <x:c r="O490" s="38"/>
      <x:c r="P490" s="38"/>
      <x:c r="Q490" s="38"/>
    </x:row>
    <x:row r="491">
      <x:c r="A491" s="523" t="str">
        <x:f>IF(ISBLANK('_INSTANCE'!A410),"",'_INSTANCE'!A410)</x:f>
      </x:c>
      <x:c r="B491" s="523" t="str">
        <x:f>IF(ISBLANK('_INSTANCE'!B410),"",'_INSTANCE'!B410)</x:f>
      </x:c>
      <x:c r="C491" s="523" t="str">
        <x:f>IF(ISBLANK('_INSTANCE'!C410),"",'_INSTANCE'!C410)</x:f>
      </x:c>
      <x:c r="D491" s="530" t="str">
        <x:f>IF(ISBLANK('_INSTANCE'!D410),"",'_INSTANCE'!D410)</x:f>
      </x:c>
      <x:c r="E491" s="530" t="str">
        <x:f>IF(ISBLANK('_INSTANCE'!E410),"",'_INSTANCE'!E410)</x:f>
      </x:c>
      <x:c r="F491" s="530" t="str">
        <x:f>IF(ISBLANK('_INSTANCE'!F410),"",'_INSTANCE'!F410)</x:f>
      </x:c>
      <x:c r="G491" s="530" t="str">
        <x:f>IF(ISBLANK('_INSTANCE'!G410),"",'_INSTANCE'!G410)</x:f>
      </x:c>
      <x:c r="H491" s="530" t="str">
        <x:f>IF(ISBLANK('_INSTANCE'!H410),"",'_INSTANCE'!H410)</x:f>
      </x:c>
      <x:c r="I491" s="530" t="str">
        <x:f>IF(ISBLANK('_INSTANCE'!I410),"",'_INSTANCE'!I410)</x:f>
      </x:c>
      <x:c r="J491" s="530" t="str">
        <x:f>IF(ISBLANK('_INSTANCE'!J410),"",'_INSTANCE'!J410)</x:f>
      </x:c>
      <x:c r="K491" s="38"/>
      <x:c r="L491" s="38"/>
      <x:c r="M491" s="38"/>
      <x:c r="N491" s="38"/>
      <x:c r="O491" s="38"/>
      <x:c r="P491" s="38"/>
      <x:c r="Q491" s="38"/>
    </x:row>
    <x:row r="492">
      <x:c r="A492" s="523" t="str">
        <x:f>IF(ISBLANK('_INSTANCE'!A411),"",'_INSTANCE'!A411)</x:f>
      </x:c>
      <x:c r="B492" s="523" t="str">
        <x:f>IF(ISBLANK('_INSTANCE'!B411),"",'_INSTANCE'!B411)</x:f>
      </x:c>
      <x:c r="C492" s="523" t="str">
        <x:f>IF(ISBLANK('_INSTANCE'!C411),"",'_INSTANCE'!C411)</x:f>
      </x:c>
      <x:c r="D492" s="530" t="str">
        <x:f>IF(ISBLANK('_INSTANCE'!D411),"",'_INSTANCE'!D411)</x:f>
      </x:c>
      <x:c r="E492" s="530" t="str">
        <x:f>IF(ISBLANK('_INSTANCE'!E411),"",'_INSTANCE'!E411)</x:f>
      </x:c>
      <x:c r="F492" s="530" t="str">
        <x:f>IF(ISBLANK('_INSTANCE'!F411),"",'_INSTANCE'!F411)</x:f>
      </x:c>
      <x:c r="G492" s="530" t="str">
        <x:f>IF(ISBLANK('_INSTANCE'!G411),"",'_INSTANCE'!G411)</x:f>
      </x:c>
      <x:c r="H492" s="530" t="str">
        <x:f>IF(ISBLANK('_INSTANCE'!H411),"",'_INSTANCE'!H411)</x:f>
      </x:c>
      <x:c r="I492" s="530" t="str">
        <x:f>IF(ISBLANK('_INSTANCE'!I411),"",'_INSTANCE'!I411)</x:f>
      </x:c>
      <x:c r="J492" s="530" t="str">
        <x:f>IF(ISBLANK('_INSTANCE'!J411),"",'_INSTANCE'!J411)</x:f>
      </x:c>
      <x:c r="K492" s="38"/>
      <x:c r="L492" s="38"/>
      <x:c r="M492" s="38"/>
      <x:c r="N492" s="38"/>
      <x:c r="O492" s="38"/>
      <x:c r="P492" s="38"/>
      <x:c r="Q492" s="38"/>
    </x:row>
    <x:row r="493">
      <x:c r="A493" s="523" t="str">
        <x:f>IF(ISBLANK('_INSTANCE'!A412),"",'_INSTANCE'!A412)</x:f>
      </x:c>
      <x:c r="B493" s="523" t="str">
        <x:f>IF(ISBLANK('_INSTANCE'!B412),"",'_INSTANCE'!B412)</x:f>
      </x:c>
      <x:c r="C493" s="523" t="str">
        <x:f>IF(ISBLANK('_INSTANCE'!C412),"",'_INSTANCE'!C412)</x:f>
      </x:c>
      <x:c r="D493" s="530" t="str">
        <x:f>IF(ISBLANK('_INSTANCE'!D412),"",'_INSTANCE'!D412)</x:f>
      </x:c>
      <x:c r="E493" s="530" t="str">
        <x:f>IF(ISBLANK('_INSTANCE'!E412),"",'_INSTANCE'!E412)</x:f>
      </x:c>
      <x:c r="F493" s="530" t="str">
        <x:f>IF(ISBLANK('_INSTANCE'!F412),"",'_INSTANCE'!F412)</x:f>
      </x:c>
      <x:c r="G493" s="530" t="str">
        <x:f>IF(ISBLANK('_INSTANCE'!G412),"",'_INSTANCE'!G412)</x:f>
      </x:c>
      <x:c r="H493" s="530" t="str">
        <x:f>IF(ISBLANK('_INSTANCE'!H412),"",'_INSTANCE'!H412)</x:f>
      </x:c>
      <x:c r="I493" s="530" t="str">
        <x:f>IF(ISBLANK('_INSTANCE'!I412),"",'_INSTANCE'!I412)</x:f>
      </x:c>
      <x:c r="J493" s="530" t="str">
        <x:f>IF(ISBLANK('_INSTANCE'!J412),"",'_INSTANCE'!J412)</x:f>
      </x:c>
      <x:c r="K493" s="38"/>
      <x:c r="L493" s="38"/>
      <x:c r="M493" s="38"/>
      <x:c r="N493" s="38"/>
      <x:c r="O493" s="38"/>
      <x:c r="P493" s="38"/>
      <x:c r="Q493" s="38"/>
    </x:row>
    <x:row r="494">
      <x:c r="A494" s="523" t="str">
        <x:f>IF(ISBLANK('_INSTANCE'!A413),"",'_INSTANCE'!A413)</x:f>
      </x:c>
      <x:c r="B494" s="523" t="str">
        <x:f>IF(ISBLANK('_INSTANCE'!B413),"",'_INSTANCE'!B413)</x:f>
      </x:c>
      <x:c r="C494" s="523" t="str">
        <x:f>IF(ISBLANK('_INSTANCE'!C413),"",'_INSTANCE'!C413)</x:f>
      </x:c>
      <x:c r="D494" s="530" t="str">
        <x:f>IF(ISBLANK('_INSTANCE'!D413),"",'_INSTANCE'!D413)</x:f>
      </x:c>
      <x:c r="E494" s="530" t="str">
        <x:f>IF(ISBLANK('_INSTANCE'!E413),"",'_INSTANCE'!E413)</x:f>
      </x:c>
      <x:c r="F494" s="530" t="str">
        <x:f>IF(ISBLANK('_INSTANCE'!F413),"",'_INSTANCE'!F413)</x:f>
      </x:c>
      <x:c r="G494" s="530" t="str">
        <x:f>IF(ISBLANK('_INSTANCE'!G413),"",'_INSTANCE'!G413)</x:f>
      </x:c>
      <x:c r="H494" s="530" t="str">
        <x:f>IF(ISBLANK('_INSTANCE'!H413),"",'_INSTANCE'!H413)</x:f>
      </x:c>
      <x:c r="I494" s="530" t="str">
        <x:f>IF(ISBLANK('_INSTANCE'!I413),"",'_INSTANCE'!I413)</x:f>
      </x:c>
      <x:c r="J494" s="530" t="str">
        <x:f>IF(ISBLANK('_INSTANCE'!J413),"",'_INSTANCE'!J413)</x:f>
      </x:c>
      <x:c r="K494" s="38"/>
      <x:c r="L494" s="38"/>
      <x:c r="M494" s="38"/>
      <x:c r="N494" s="38"/>
      <x:c r="O494" s="38"/>
      <x:c r="P494" s="38"/>
      <x:c r="Q494" s="38"/>
    </x:row>
    <x:row r="495">
      <x:c r="A495" s="523" t="str">
        <x:f>IF(ISBLANK('_INSTANCE'!A414),"",'_INSTANCE'!A414)</x:f>
      </x:c>
      <x:c r="B495" s="523" t="str">
        <x:f>IF(ISBLANK('_INSTANCE'!B414),"",'_INSTANCE'!B414)</x:f>
      </x:c>
      <x:c r="C495" s="523" t="str">
        <x:f>IF(ISBLANK('_INSTANCE'!C414),"",'_INSTANCE'!C414)</x:f>
      </x:c>
      <x:c r="D495" s="530" t="str">
        <x:f>IF(ISBLANK('_INSTANCE'!D414),"",'_INSTANCE'!D414)</x:f>
      </x:c>
      <x:c r="E495" s="530" t="str">
        <x:f>IF(ISBLANK('_INSTANCE'!E414),"",'_INSTANCE'!E414)</x:f>
      </x:c>
      <x:c r="F495" s="530" t="str">
        <x:f>IF(ISBLANK('_INSTANCE'!F414),"",'_INSTANCE'!F414)</x:f>
      </x:c>
      <x:c r="G495" s="530" t="str">
        <x:f>IF(ISBLANK('_INSTANCE'!G414),"",'_INSTANCE'!G414)</x:f>
      </x:c>
      <x:c r="H495" s="530" t="str">
        <x:f>IF(ISBLANK('_INSTANCE'!H414),"",'_INSTANCE'!H414)</x:f>
      </x:c>
      <x:c r="I495" s="530" t="str">
        <x:f>IF(ISBLANK('_INSTANCE'!I414),"",'_INSTANCE'!I414)</x:f>
      </x:c>
      <x:c r="J495" s="530" t="str">
        <x:f>IF(ISBLANK('_INSTANCE'!J414),"",'_INSTANCE'!J414)</x:f>
      </x:c>
      <x:c r="K495" s="38"/>
      <x:c r="L495" s="38"/>
      <x:c r="M495" s="38"/>
      <x:c r="N495" s="38"/>
      <x:c r="O495" s="38"/>
      <x:c r="P495" s="38"/>
      <x:c r="Q495" s="38"/>
    </x:row>
    <x:row r="496">
      <x:c r="A496" s="523" t="str">
        <x:f>IF(ISBLANK('_INSTANCE'!A415),"",'_INSTANCE'!A415)</x:f>
      </x:c>
      <x:c r="B496" s="523" t="str">
        <x:f>IF(ISBLANK('_INSTANCE'!B415),"",'_INSTANCE'!B415)</x:f>
      </x:c>
      <x:c r="C496" s="523" t="str">
        <x:f>IF(ISBLANK('_INSTANCE'!C415),"",'_INSTANCE'!C415)</x:f>
      </x:c>
      <x:c r="D496" s="530" t="str">
        <x:f>IF(ISBLANK('_INSTANCE'!D415),"",'_INSTANCE'!D415)</x:f>
      </x:c>
      <x:c r="E496" s="530" t="str">
        <x:f>IF(ISBLANK('_INSTANCE'!E415),"",'_INSTANCE'!E415)</x:f>
      </x:c>
      <x:c r="F496" s="530" t="str">
        <x:f>IF(ISBLANK('_INSTANCE'!F415),"",'_INSTANCE'!F415)</x:f>
      </x:c>
      <x:c r="G496" s="530" t="str">
        <x:f>IF(ISBLANK('_INSTANCE'!G415),"",'_INSTANCE'!G415)</x:f>
      </x:c>
      <x:c r="H496" s="530" t="str">
        <x:f>IF(ISBLANK('_INSTANCE'!H415),"",'_INSTANCE'!H415)</x:f>
      </x:c>
      <x:c r="I496" s="530" t="str">
        <x:f>IF(ISBLANK('_INSTANCE'!I415),"",'_INSTANCE'!I415)</x:f>
      </x:c>
      <x:c r="J496" s="530" t="str">
        <x:f>IF(ISBLANK('_INSTANCE'!J415),"",'_INSTANCE'!J415)</x:f>
      </x:c>
      <x:c r="K496" s="38"/>
      <x:c r="L496" s="38"/>
      <x:c r="M496" s="38"/>
      <x:c r="N496" s="38"/>
      <x:c r="O496" s="38"/>
      <x:c r="P496" s="38"/>
      <x:c r="Q496" s="38"/>
    </x:row>
    <x:row r="497">
      <x:c r="A497" s="523" t="str">
        <x:f>IF(ISBLANK('_INSTANCE'!A416),"",'_INSTANCE'!A416)</x:f>
      </x:c>
      <x:c r="B497" s="523" t="str">
        <x:f>IF(ISBLANK('_INSTANCE'!B416),"",'_INSTANCE'!B416)</x:f>
      </x:c>
      <x:c r="C497" s="523" t="str">
        <x:f>IF(ISBLANK('_INSTANCE'!C416),"",'_INSTANCE'!C416)</x:f>
      </x:c>
      <x:c r="D497" s="530" t="str">
        <x:f>IF(ISBLANK('_INSTANCE'!D416),"",'_INSTANCE'!D416)</x:f>
      </x:c>
      <x:c r="E497" s="530" t="str">
        <x:f>IF(ISBLANK('_INSTANCE'!E416),"",'_INSTANCE'!E416)</x:f>
      </x:c>
      <x:c r="F497" s="530" t="str">
        <x:f>IF(ISBLANK('_INSTANCE'!F416),"",'_INSTANCE'!F416)</x:f>
      </x:c>
      <x:c r="G497" s="530" t="str">
        <x:f>IF(ISBLANK('_INSTANCE'!G416),"",'_INSTANCE'!G416)</x:f>
      </x:c>
      <x:c r="H497" s="530" t="str">
        <x:f>IF(ISBLANK('_INSTANCE'!H416),"",'_INSTANCE'!H416)</x:f>
      </x:c>
      <x:c r="I497" s="530" t="str">
        <x:f>IF(ISBLANK('_INSTANCE'!I416),"",'_INSTANCE'!I416)</x:f>
      </x:c>
      <x:c r="J497" s="530" t="str">
        <x:f>IF(ISBLANK('_INSTANCE'!J416),"",'_INSTANCE'!J416)</x:f>
      </x:c>
      <x:c r="K497" s="38"/>
      <x:c r="L497" s="38"/>
      <x:c r="M497" s="38"/>
      <x:c r="N497" s="38"/>
      <x:c r="O497" s="38"/>
      <x:c r="P497" s="38"/>
      <x:c r="Q497" s="38"/>
    </x:row>
    <x:row r="498">
      <x:c r="A498" s="523" t="str">
        <x:f>IF(ISBLANK('_INSTANCE'!A417),"",'_INSTANCE'!A417)</x:f>
      </x:c>
      <x:c r="B498" s="523" t="str">
        <x:f>IF(ISBLANK('_INSTANCE'!B417),"",'_INSTANCE'!B417)</x:f>
      </x:c>
      <x:c r="C498" s="523" t="str">
        <x:f>IF(ISBLANK('_INSTANCE'!C417),"",'_INSTANCE'!C417)</x:f>
      </x:c>
      <x:c r="D498" s="530" t="str">
        <x:f>IF(ISBLANK('_INSTANCE'!D417),"",'_INSTANCE'!D417)</x:f>
      </x:c>
      <x:c r="E498" s="530" t="str">
        <x:f>IF(ISBLANK('_INSTANCE'!E417),"",'_INSTANCE'!E417)</x:f>
      </x:c>
      <x:c r="F498" s="530" t="str">
        <x:f>IF(ISBLANK('_INSTANCE'!F417),"",'_INSTANCE'!F417)</x:f>
      </x:c>
      <x:c r="G498" s="530" t="str">
        <x:f>IF(ISBLANK('_INSTANCE'!G417),"",'_INSTANCE'!G417)</x:f>
      </x:c>
      <x:c r="H498" s="530" t="str">
        <x:f>IF(ISBLANK('_INSTANCE'!H417),"",'_INSTANCE'!H417)</x:f>
      </x:c>
      <x:c r="I498" s="530" t="str">
        <x:f>IF(ISBLANK('_INSTANCE'!I417),"",'_INSTANCE'!I417)</x:f>
      </x:c>
      <x:c r="J498" s="530" t="str">
        <x:f>IF(ISBLANK('_INSTANCE'!J417),"",'_INSTANCE'!J417)</x:f>
      </x:c>
      <x:c r="K498" s="38"/>
      <x:c r="L498" s="38"/>
      <x:c r="M498" s="38"/>
      <x:c r="N498" s="38"/>
      <x:c r="O498" s="38"/>
      <x:c r="P498" s="38"/>
      <x:c r="Q498" s="38"/>
    </x:row>
    <x:row r="499">
      <x:c r="A499" s="523" t="str">
        <x:f>IF(ISBLANK('_INSTANCE'!A418),"",'_INSTANCE'!A418)</x:f>
      </x:c>
      <x:c r="B499" s="523" t="str">
        <x:f>IF(ISBLANK('_INSTANCE'!B418),"",'_INSTANCE'!B418)</x:f>
      </x:c>
      <x:c r="C499" s="523" t="str">
        <x:f>IF(ISBLANK('_INSTANCE'!C418),"",'_INSTANCE'!C418)</x:f>
      </x:c>
      <x:c r="D499" s="530" t="str">
        <x:f>IF(ISBLANK('_INSTANCE'!D418),"",'_INSTANCE'!D418)</x:f>
      </x:c>
      <x:c r="E499" s="530" t="str">
        <x:f>IF(ISBLANK('_INSTANCE'!E418),"",'_INSTANCE'!E418)</x:f>
      </x:c>
      <x:c r="F499" s="530" t="str">
        <x:f>IF(ISBLANK('_INSTANCE'!F418),"",'_INSTANCE'!F418)</x:f>
      </x:c>
      <x:c r="G499" s="530" t="str">
        <x:f>IF(ISBLANK('_INSTANCE'!G418),"",'_INSTANCE'!G418)</x:f>
      </x:c>
      <x:c r="H499" s="530" t="str">
        <x:f>IF(ISBLANK('_INSTANCE'!H418),"",'_INSTANCE'!H418)</x:f>
      </x:c>
      <x:c r="I499" s="530" t="str">
        <x:f>IF(ISBLANK('_INSTANCE'!I418),"",'_INSTANCE'!I418)</x:f>
      </x:c>
      <x:c r="J499" s="530" t="str">
        <x:f>IF(ISBLANK('_INSTANCE'!J418),"",'_INSTANCE'!J418)</x:f>
      </x:c>
      <x:c r="K499" s="38"/>
      <x:c r="L499" s="38"/>
      <x:c r="M499" s="38"/>
      <x:c r="N499" s="38"/>
      <x:c r="O499" s="38"/>
      <x:c r="P499" s="38"/>
      <x:c r="Q499" s="38"/>
    </x:row>
    <x:row r="500">
      <x:c r="A500" s="523" t="str">
        <x:f>IF(ISBLANK('_INSTANCE'!A419),"",'_INSTANCE'!A419)</x:f>
      </x:c>
      <x:c r="B500" s="523" t="str">
        <x:f>IF(ISBLANK('_INSTANCE'!B419),"",'_INSTANCE'!B419)</x:f>
      </x:c>
      <x:c r="C500" s="523" t="str">
        <x:f>IF(ISBLANK('_INSTANCE'!C419),"",'_INSTANCE'!C419)</x:f>
      </x:c>
      <x:c r="D500" s="530" t="str">
        <x:f>IF(ISBLANK('_INSTANCE'!D419),"",'_INSTANCE'!D419)</x:f>
      </x:c>
      <x:c r="E500" s="530" t="str">
        <x:f>IF(ISBLANK('_INSTANCE'!E419),"",'_INSTANCE'!E419)</x:f>
      </x:c>
      <x:c r="F500" s="530" t="str">
        <x:f>IF(ISBLANK('_INSTANCE'!F419),"",'_INSTANCE'!F419)</x:f>
      </x:c>
      <x:c r="G500" s="530" t="str">
        <x:f>IF(ISBLANK('_INSTANCE'!G419),"",'_INSTANCE'!G419)</x:f>
      </x:c>
      <x:c r="H500" s="530" t="str">
        <x:f>IF(ISBLANK('_INSTANCE'!H419),"",'_INSTANCE'!H419)</x:f>
      </x:c>
      <x:c r="I500" s="530" t="str">
        <x:f>IF(ISBLANK('_INSTANCE'!I419),"",'_INSTANCE'!I419)</x:f>
      </x:c>
      <x:c r="J500" s="530" t="str">
        <x:f>IF(ISBLANK('_INSTANCE'!J419),"",'_INSTANCE'!J419)</x:f>
      </x:c>
      <x:c r="K500" s="38"/>
      <x:c r="L500" s="38"/>
      <x:c r="M500" s="38"/>
      <x:c r="N500" s="38"/>
      <x:c r="O500" s="38"/>
      <x:c r="P500" s="38"/>
      <x:c r="Q500" s="38"/>
    </x:row>
    <x:row r="501">
      <x:c r="A501" s="523" t="str">
        <x:f>IF(ISBLANK('_INSTANCE'!A420),"",'_INSTANCE'!A420)</x:f>
      </x:c>
      <x:c r="B501" s="523" t="str">
        <x:f>IF(ISBLANK('_INSTANCE'!B420),"",'_INSTANCE'!B420)</x:f>
      </x:c>
      <x:c r="C501" s="523" t="str">
        <x:f>IF(ISBLANK('_INSTANCE'!C420),"",'_INSTANCE'!C420)</x:f>
      </x:c>
      <x:c r="D501" s="530" t="str">
        <x:f>IF(ISBLANK('_INSTANCE'!D420),"",'_INSTANCE'!D420)</x:f>
      </x:c>
      <x:c r="E501" s="530" t="str">
        <x:f>IF(ISBLANK('_INSTANCE'!E420),"",'_INSTANCE'!E420)</x:f>
      </x:c>
      <x:c r="F501" s="530" t="str">
        <x:f>IF(ISBLANK('_INSTANCE'!F420),"",'_INSTANCE'!F420)</x:f>
      </x:c>
      <x:c r="G501" s="530" t="str">
        <x:f>IF(ISBLANK('_INSTANCE'!G420),"",'_INSTANCE'!G420)</x:f>
      </x:c>
      <x:c r="H501" s="530" t="str">
        <x:f>IF(ISBLANK('_INSTANCE'!H420),"",'_INSTANCE'!H420)</x:f>
      </x:c>
      <x:c r="I501" s="530" t="str">
        <x:f>IF(ISBLANK('_INSTANCE'!I420),"",'_INSTANCE'!I420)</x:f>
      </x:c>
      <x:c r="J501" s="530" t="str">
        <x:f>IF(ISBLANK('_INSTANCE'!J420),"",'_INSTANCE'!J420)</x:f>
      </x:c>
      <x:c r="K501" s="38"/>
      <x:c r="L501" s="38"/>
      <x:c r="M501" s="38"/>
      <x:c r="N501" s="38"/>
      <x:c r="O501" s="38"/>
      <x:c r="P501" s="38"/>
      <x:c r="Q501" s="38"/>
    </x:row>
    <x:row r="502">
      <x:c r="A502" s="523" t="str">
        <x:f>IF(ISBLANK('_INSTANCE'!A421),"",'_INSTANCE'!A421)</x:f>
      </x:c>
      <x:c r="B502" s="523" t="str">
        <x:f>IF(ISBLANK('_INSTANCE'!B421),"",'_INSTANCE'!B421)</x:f>
      </x:c>
      <x:c r="C502" s="523" t="str">
        <x:f>IF(ISBLANK('_INSTANCE'!C421),"",'_INSTANCE'!C421)</x:f>
      </x:c>
      <x:c r="D502" s="530" t="str">
        <x:f>IF(ISBLANK('_INSTANCE'!D421),"",'_INSTANCE'!D421)</x:f>
      </x:c>
      <x:c r="E502" s="530" t="str">
        <x:f>IF(ISBLANK('_INSTANCE'!E421),"",'_INSTANCE'!E421)</x:f>
      </x:c>
      <x:c r="F502" s="530" t="str">
        <x:f>IF(ISBLANK('_INSTANCE'!F421),"",'_INSTANCE'!F421)</x:f>
      </x:c>
      <x:c r="G502" s="530" t="str">
        <x:f>IF(ISBLANK('_INSTANCE'!G421),"",'_INSTANCE'!G421)</x:f>
      </x:c>
      <x:c r="H502" s="530" t="str">
        <x:f>IF(ISBLANK('_INSTANCE'!H421),"",'_INSTANCE'!H421)</x:f>
      </x:c>
      <x:c r="I502" s="530" t="str">
        <x:f>IF(ISBLANK('_INSTANCE'!I421),"",'_INSTANCE'!I421)</x:f>
      </x:c>
      <x:c r="J502" s="530" t="str">
        <x:f>IF(ISBLANK('_INSTANCE'!J421),"",'_INSTANCE'!J421)</x:f>
      </x:c>
      <x:c r="K502" s="38"/>
      <x:c r="L502" s="38"/>
      <x:c r="M502" s="38"/>
      <x:c r="N502" s="38"/>
      <x:c r="O502" s="38"/>
      <x:c r="P502" s="38"/>
      <x:c r="Q502" s="38"/>
    </x:row>
    <x:row r="503">
      <x:c r="A503" s="523" t="str">
        <x:f>IF(ISBLANK('_INSTANCE'!A422),"",'_INSTANCE'!A422)</x:f>
      </x:c>
      <x:c r="B503" s="523" t="str">
        <x:f>IF(ISBLANK('_INSTANCE'!B422),"",'_INSTANCE'!B422)</x:f>
      </x:c>
      <x:c r="C503" s="523" t="str">
        <x:f>IF(ISBLANK('_INSTANCE'!C422),"",'_INSTANCE'!C422)</x:f>
      </x:c>
      <x:c r="D503" s="530" t="str">
        <x:f>IF(ISBLANK('_INSTANCE'!D422),"",'_INSTANCE'!D422)</x:f>
      </x:c>
      <x:c r="E503" s="530" t="str">
        <x:f>IF(ISBLANK('_INSTANCE'!E422),"",'_INSTANCE'!E422)</x:f>
      </x:c>
      <x:c r="F503" s="530" t="str">
        <x:f>IF(ISBLANK('_INSTANCE'!F422),"",'_INSTANCE'!F422)</x:f>
      </x:c>
      <x:c r="G503" s="530" t="str">
        <x:f>IF(ISBLANK('_INSTANCE'!G422),"",'_INSTANCE'!G422)</x:f>
      </x:c>
      <x:c r="H503" s="530" t="str">
        <x:f>IF(ISBLANK('_INSTANCE'!H422),"",'_INSTANCE'!H422)</x:f>
      </x:c>
      <x:c r="I503" s="530" t="str">
        <x:f>IF(ISBLANK('_INSTANCE'!I422),"",'_INSTANCE'!I422)</x:f>
      </x:c>
      <x:c r="J503" s="530" t="str">
        <x:f>IF(ISBLANK('_INSTANCE'!J422),"",'_INSTANCE'!J422)</x:f>
      </x:c>
      <x:c r="K503" s="38"/>
      <x:c r="L503" s="38"/>
      <x:c r="M503" s="38"/>
      <x:c r="N503" s="38"/>
      <x:c r="O503" s="38"/>
      <x:c r="P503" s="38"/>
      <x:c r="Q503" s="38"/>
    </x:row>
    <x:row r="504">
      <x:c r="A504" s="523" t="str">
        <x:f>IF(ISBLANK('_INSTANCE'!A423),"",'_INSTANCE'!A423)</x:f>
      </x:c>
      <x:c r="B504" s="523" t="str">
        <x:f>IF(ISBLANK('_INSTANCE'!B423),"",'_INSTANCE'!B423)</x:f>
      </x:c>
      <x:c r="C504" s="523" t="str">
        <x:f>IF(ISBLANK('_INSTANCE'!C423),"",'_INSTANCE'!C423)</x:f>
      </x:c>
      <x:c r="D504" s="530" t="str">
        <x:f>IF(ISBLANK('_INSTANCE'!D423),"",'_INSTANCE'!D423)</x:f>
      </x:c>
      <x:c r="E504" s="530" t="str">
        <x:f>IF(ISBLANK('_INSTANCE'!E423),"",'_INSTANCE'!E423)</x:f>
      </x:c>
      <x:c r="F504" s="530" t="str">
        <x:f>IF(ISBLANK('_INSTANCE'!F423),"",'_INSTANCE'!F423)</x:f>
      </x:c>
      <x:c r="G504" s="530" t="str">
        <x:f>IF(ISBLANK('_INSTANCE'!G423),"",'_INSTANCE'!G423)</x:f>
      </x:c>
      <x:c r="H504" s="530" t="str">
        <x:f>IF(ISBLANK('_INSTANCE'!H423),"",'_INSTANCE'!H423)</x:f>
      </x:c>
      <x:c r="I504" s="530" t="str">
        <x:f>IF(ISBLANK('_INSTANCE'!I423),"",'_INSTANCE'!I423)</x:f>
      </x:c>
      <x:c r="J504" s="530" t="str">
        <x:f>IF(ISBLANK('_INSTANCE'!J423),"",'_INSTANCE'!J423)</x:f>
      </x:c>
      <x:c r="K504" s="38"/>
      <x:c r="L504" s="38"/>
      <x:c r="M504" s="38"/>
      <x:c r="N504" s="38"/>
      <x:c r="O504" s="38"/>
      <x:c r="P504" s="38"/>
      <x:c r="Q504" s="38"/>
    </x:row>
    <x:row r="505">
      <x:c r="A505" s="523" t="str">
        <x:f>IF(ISBLANK('_INSTANCE'!A424),"",'_INSTANCE'!A424)</x:f>
      </x:c>
      <x:c r="B505" s="523" t="str">
        <x:f>IF(ISBLANK('_INSTANCE'!B424),"",'_INSTANCE'!B424)</x:f>
      </x:c>
      <x:c r="C505" s="523" t="str">
        <x:f>IF(ISBLANK('_INSTANCE'!C424),"",'_INSTANCE'!C424)</x:f>
      </x:c>
      <x:c r="D505" s="530" t="str">
        <x:f>IF(ISBLANK('_INSTANCE'!D424),"",'_INSTANCE'!D424)</x:f>
      </x:c>
      <x:c r="E505" s="530" t="str">
        <x:f>IF(ISBLANK('_INSTANCE'!E424),"",'_INSTANCE'!E424)</x:f>
      </x:c>
      <x:c r="F505" s="530" t="str">
        <x:f>IF(ISBLANK('_INSTANCE'!F424),"",'_INSTANCE'!F424)</x:f>
      </x:c>
      <x:c r="G505" s="530" t="str">
        <x:f>IF(ISBLANK('_INSTANCE'!G424),"",'_INSTANCE'!G424)</x:f>
      </x:c>
      <x:c r="H505" s="530" t="str">
        <x:f>IF(ISBLANK('_INSTANCE'!H424),"",'_INSTANCE'!H424)</x:f>
      </x:c>
      <x:c r="I505" s="530" t="str">
        <x:f>IF(ISBLANK('_INSTANCE'!I424),"",'_INSTANCE'!I424)</x:f>
      </x:c>
      <x:c r="J505" s="530" t="str">
        <x:f>IF(ISBLANK('_INSTANCE'!J424),"",'_INSTANCE'!J424)</x:f>
      </x:c>
      <x:c r="K505" s="38"/>
      <x:c r="L505" s="38"/>
      <x:c r="M505" s="38"/>
      <x:c r="N505" s="38"/>
      <x:c r="O505" s="38"/>
      <x:c r="P505" s="38"/>
      <x:c r="Q505" s="38"/>
    </x:row>
    <x:row r="506">
      <x:c r="A506" s="523" t="str">
        <x:f>IF(ISBLANK('_INSTANCE'!A425),"",'_INSTANCE'!A425)</x:f>
      </x:c>
      <x:c r="B506" s="523" t="str">
        <x:f>IF(ISBLANK('_INSTANCE'!B425),"",'_INSTANCE'!B425)</x:f>
      </x:c>
      <x:c r="C506" s="523" t="str">
        <x:f>IF(ISBLANK('_INSTANCE'!C425),"",'_INSTANCE'!C425)</x:f>
      </x:c>
      <x:c r="D506" s="530" t="str">
        <x:f>IF(ISBLANK('_INSTANCE'!D425),"",'_INSTANCE'!D425)</x:f>
      </x:c>
      <x:c r="E506" s="530" t="str">
        <x:f>IF(ISBLANK('_INSTANCE'!E425),"",'_INSTANCE'!E425)</x:f>
      </x:c>
      <x:c r="F506" s="530" t="str">
        <x:f>IF(ISBLANK('_INSTANCE'!F425),"",'_INSTANCE'!F425)</x:f>
      </x:c>
      <x:c r="G506" s="530" t="str">
        <x:f>IF(ISBLANK('_INSTANCE'!G425),"",'_INSTANCE'!G425)</x:f>
      </x:c>
      <x:c r="H506" s="530" t="str">
        <x:f>IF(ISBLANK('_INSTANCE'!H425),"",'_INSTANCE'!H425)</x:f>
      </x:c>
      <x:c r="I506" s="530" t="str">
        <x:f>IF(ISBLANK('_INSTANCE'!I425),"",'_INSTANCE'!I425)</x:f>
      </x:c>
      <x:c r="J506" s="530" t="str">
        <x:f>IF(ISBLANK('_INSTANCE'!J425),"",'_INSTANCE'!J425)</x:f>
      </x:c>
      <x:c r="K506" s="38"/>
      <x:c r="L506" s="38"/>
      <x:c r="M506" s="38"/>
      <x:c r="N506" s="38"/>
      <x:c r="O506" s="38"/>
      <x:c r="P506" s="38"/>
      <x:c r="Q506" s="38"/>
    </x:row>
    <x:row r="507">
      <x:c r="A507" s="523" t="str">
        <x:f>IF(ISBLANK('_INSTANCE'!A426),"",'_INSTANCE'!A426)</x:f>
      </x:c>
      <x:c r="B507" s="523" t="str">
        <x:f>IF(ISBLANK('_INSTANCE'!B426),"",'_INSTANCE'!B426)</x:f>
      </x:c>
      <x:c r="C507" s="523" t="str">
        <x:f>IF(ISBLANK('_INSTANCE'!C426),"",'_INSTANCE'!C426)</x:f>
      </x:c>
      <x:c r="D507" s="530" t="str">
        <x:f>IF(ISBLANK('_INSTANCE'!D426),"",'_INSTANCE'!D426)</x:f>
      </x:c>
      <x:c r="E507" s="530" t="str">
        <x:f>IF(ISBLANK('_INSTANCE'!E426),"",'_INSTANCE'!E426)</x:f>
      </x:c>
      <x:c r="F507" s="530" t="str">
        <x:f>IF(ISBLANK('_INSTANCE'!F426),"",'_INSTANCE'!F426)</x:f>
      </x:c>
      <x:c r="G507" s="530" t="str">
        <x:f>IF(ISBLANK('_INSTANCE'!G426),"",'_INSTANCE'!G426)</x:f>
      </x:c>
      <x:c r="H507" s="530" t="str">
        <x:f>IF(ISBLANK('_INSTANCE'!H426),"",'_INSTANCE'!H426)</x:f>
      </x:c>
      <x:c r="I507" s="530" t="str">
        <x:f>IF(ISBLANK('_INSTANCE'!I426),"",'_INSTANCE'!I426)</x:f>
      </x:c>
      <x:c r="J507" s="530" t="str">
        <x:f>IF(ISBLANK('_INSTANCE'!J426),"",'_INSTANCE'!J426)</x:f>
      </x:c>
      <x:c r="K507" s="38"/>
      <x:c r="L507" s="38"/>
      <x:c r="M507" s="38"/>
      <x:c r="N507" s="38"/>
      <x:c r="O507" s="38"/>
      <x:c r="P507" s="38"/>
      <x:c r="Q507" s="38"/>
    </x:row>
    <x:row r="508">
      <x:c r="A508" s="523" t="str">
        <x:f>IF(ISBLANK('_INSTANCE'!A427),"",'_INSTANCE'!A427)</x:f>
      </x:c>
      <x:c r="B508" s="523" t="str">
        <x:f>IF(ISBLANK('_INSTANCE'!B427),"",'_INSTANCE'!B427)</x:f>
      </x:c>
      <x:c r="C508" s="523" t="str">
        <x:f>IF(ISBLANK('_INSTANCE'!C427),"",'_INSTANCE'!C427)</x:f>
      </x:c>
      <x:c r="D508" s="530" t="str">
        <x:f>IF(ISBLANK('_INSTANCE'!D427),"",'_INSTANCE'!D427)</x:f>
      </x:c>
      <x:c r="E508" s="530" t="str">
        <x:f>IF(ISBLANK('_INSTANCE'!E427),"",'_INSTANCE'!E427)</x:f>
      </x:c>
      <x:c r="F508" s="530" t="str">
        <x:f>IF(ISBLANK('_INSTANCE'!F427),"",'_INSTANCE'!F427)</x:f>
      </x:c>
      <x:c r="G508" s="530" t="str">
        <x:f>IF(ISBLANK('_INSTANCE'!G427),"",'_INSTANCE'!G427)</x:f>
      </x:c>
      <x:c r="H508" s="530" t="str">
        <x:f>IF(ISBLANK('_INSTANCE'!H427),"",'_INSTANCE'!H427)</x:f>
      </x:c>
      <x:c r="I508" s="530" t="str">
        <x:f>IF(ISBLANK('_INSTANCE'!I427),"",'_INSTANCE'!I427)</x:f>
      </x:c>
      <x:c r="J508" s="530" t="str">
        <x:f>IF(ISBLANK('_INSTANCE'!J427),"",'_INSTANCE'!J427)</x:f>
      </x:c>
      <x:c r="K508" s="38"/>
      <x:c r="L508" s="38"/>
      <x:c r="M508" s="38"/>
      <x:c r="N508" s="38"/>
      <x:c r="O508" s="38"/>
      <x:c r="P508" s="38"/>
      <x:c r="Q508" s="38"/>
    </x:row>
    <x:row r="509">
      <x:c r="A509" s="523" t="str">
        <x:f>IF(ISBLANK('_INSTANCE'!A428),"",'_INSTANCE'!A428)</x:f>
      </x:c>
      <x:c r="B509" s="523" t="str">
        <x:f>IF(ISBLANK('_INSTANCE'!B428),"",'_INSTANCE'!B428)</x:f>
      </x:c>
      <x:c r="C509" s="523" t="str">
        <x:f>IF(ISBLANK('_INSTANCE'!C428),"",'_INSTANCE'!C428)</x:f>
      </x:c>
      <x:c r="D509" s="530" t="str">
        <x:f>IF(ISBLANK('_INSTANCE'!D428),"",'_INSTANCE'!D428)</x:f>
      </x:c>
      <x:c r="E509" s="530" t="str">
        <x:f>IF(ISBLANK('_INSTANCE'!E428),"",'_INSTANCE'!E428)</x:f>
      </x:c>
      <x:c r="F509" s="530" t="str">
        <x:f>IF(ISBLANK('_INSTANCE'!F428),"",'_INSTANCE'!F428)</x:f>
      </x:c>
      <x:c r="G509" s="530" t="str">
        <x:f>IF(ISBLANK('_INSTANCE'!G428),"",'_INSTANCE'!G428)</x:f>
      </x:c>
      <x:c r="H509" s="530" t="str">
        <x:f>IF(ISBLANK('_INSTANCE'!H428),"",'_INSTANCE'!H428)</x:f>
      </x:c>
      <x:c r="I509" s="530" t="str">
        <x:f>IF(ISBLANK('_INSTANCE'!I428),"",'_INSTANCE'!I428)</x:f>
      </x:c>
      <x:c r="J509" s="530" t="str">
        <x:f>IF(ISBLANK('_INSTANCE'!J428),"",'_INSTANCE'!J428)</x:f>
      </x:c>
      <x:c r="K509" s="38"/>
      <x:c r="L509" s="38"/>
      <x:c r="M509" s="38"/>
      <x:c r="N509" s="38"/>
      <x:c r="O509" s="38"/>
      <x:c r="P509" s="38"/>
      <x:c r="Q509" s="38"/>
    </x:row>
    <x:row r="510">
      <x:c r="A510" s="523" t="str">
        <x:f>IF(ISBLANK('_INSTANCE'!A429),"",'_INSTANCE'!A429)</x:f>
      </x:c>
      <x:c r="B510" s="523" t="str">
        <x:f>IF(ISBLANK('_INSTANCE'!B429),"",'_INSTANCE'!B429)</x:f>
      </x:c>
      <x:c r="C510" s="523" t="str">
        <x:f>IF(ISBLANK('_INSTANCE'!C429),"",'_INSTANCE'!C429)</x:f>
      </x:c>
      <x:c r="D510" s="530" t="str">
        <x:f>IF(ISBLANK('_INSTANCE'!D429),"",'_INSTANCE'!D429)</x:f>
      </x:c>
      <x:c r="E510" s="530" t="str">
        <x:f>IF(ISBLANK('_INSTANCE'!E429),"",'_INSTANCE'!E429)</x:f>
      </x:c>
      <x:c r="F510" s="530" t="str">
        <x:f>IF(ISBLANK('_INSTANCE'!F429),"",'_INSTANCE'!F429)</x:f>
      </x:c>
      <x:c r="G510" s="530" t="str">
        <x:f>IF(ISBLANK('_INSTANCE'!G429),"",'_INSTANCE'!G429)</x:f>
      </x:c>
      <x:c r="H510" s="530" t="str">
        <x:f>IF(ISBLANK('_INSTANCE'!H429),"",'_INSTANCE'!H429)</x:f>
      </x:c>
      <x:c r="I510" s="530" t="str">
        <x:f>IF(ISBLANK('_INSTANCE'!I429),"",'_INSTANCE'!I429)</x:f>
      </x:c>
      <x:c r="J510" s="530" t="str">
        <x:f>IF(ISBLANK('_INSTANCE'!J429),"",'_INSTANCE'!J429)</x:f>
      </x:c>
      <x:c r="K510" s="38"/>
      <x:c r="L510" s="38"/>
      <x:c r="M510" s="38"/>
      <x:c r="N510" s="38"/>
      <x:c r="O510" s="38"/>
      <x:c r="P510" s="38"/>
      <x:c r="Q510" s="38"/>
    </x:row>
    <x:row r="511">
      <x:c r="A511" s="523" t="str">
        <x:f>IF(ISBLANK('_INSTANCE'!A430),"",'_INSTANCE'!A430)</x:f>
      </x:c>
      <x:c r="B511" s="523" t="str">
        <x:f>IF(ISBLANK('_INSTANCE'!B430),"",'_INSTANCE'!B430)</x:f>
      </x:c>
      <x:c r="C511" s="523" t="str">
        <x:f>IF(ISBLANK('_INSTANCE'!C430),"",'_INSTANCE'!C430)</x:f>
      </x:c>
      <x:c r="D511" s="530" t="str">
        <x:f>IF(ISBLANK('_INSTANCE'!D430),"",'_INSTANCE'!D430)</x:f>
      </x:c>
      <x:c r="E511" s="530" t="str">
        <x:f>IF(ISBLANK('_INSTANCE'!E430),"",'_INSTANCE'!E430)</x:f>
      </x:c>
      <x:c r="F511" s="530" t="str">
        <x:f>IF(ISBLANK('_INSTANCE'!F430),"",'_INSTANCE'!F430)</x:f>
      </x:c>
      <x:c r="G511" s="530" t="str">
        <x:f>IF(ISBLANK('_INSTANCE'!G430),"",'_INSTANCE'!G430)</x:f>
      </x:c>
      <x:c r="H511" s="530" t="str">
        <x:f>IF(ISBLANK('_INSTANCE'!H430),"",'_INSTANCE'!H430)</x:f>
      </x:c>
      <x:c r="I511" s="530" t="str">
        <x:f>IF(ISBLANK('_INSTANCE'!I430),"",'_INSTANCE'!I430)</x:f>
      </x:c>
      <x:c r="J511" s="530" t="str">
        <x:f>IF(ISBLANK('_INSTANCE'!J430),"",'_INSTANCE'!J430)</x:f>
      </x:c>
      <x:c r="K511" s="38"/>
      <x:c r="L511" s="38"/>
      <x:c r="M511" s="38"/>
      <x:c r="N511" s="38"/>
      <x:c r="O511" s="38"/>
      <x:c r="P511" s="38"/>
      <x:c r="Q511" s="38"/>
    </x:row>
    <x:row r="512">
      <x:c r="A512" s="523" t="str">
        <x:f>IF(ISBLANK('_INSTANCE'!A431),"",'_INSTANCE'!A431)</x:f>
      </x:c>
      <x:c r="B512" s="523" t="str">
        <x:f>IF(ISBLANK('_INSTANCE'!B431),"",'_INSTANCE'!B431)</x:f>
      </x:c>
      <x:c r="C512" s="523" t="str">
        <x:f>IF(ISBLANK('_INSTANCE'!C431),"",'_INSTANCE'!C431)</x:f>
      </x:c>
      <x:c r="D512" s="530" t="str">
        <x:f>IF(ISBLANK('_INSTANCE'!D431),"",'_INSTANCE'!D431)</x:f>
      </x:c>
      <x:c r="E512" s="530" t="str">
        <x:f>IF(ISBLANK('_INSTANCE'!E431),"",'_INSTANCE'!E431)</x:f>
      </x:c>
      <x:c r="F512" s="530" t="str">
        <x:f>IF(ISBLANK('_INSTANCE'!F431),"",'_INSTANCE'!F431)</x:f>
      </x:c>
      <x:c r="G512" s="530" t="str">
        <x:f>IF(ISBLANK('_INSTANCE'!G431),"",'_INSTANCE'!G431)</x:f>
      </x:c>
      <x:c r="H512" s="530" t="str">
        <x:f>IF(ISBLANK('_INSTANCE'!H431),"",'_INSTANCE'!H431)</x:f>
      </x:c>
      <x:c r="I512" s="530" t="str">
        <x:f>IF(ISBLANK('_INSTANCE'!I431),"",'_INSTANCE'!I431)</x:f>
      </x:c>
      <x:c r="J512" s="530" t="str">
        <x:f>IF(ISBLANK('_INSTANCE'!J431),"",'_INSTANCE'!J431)</x:f>
      </x:c>
      <x:c r="K512" s="38"/>
      <x:c r="L512" s="38"/>
      <x:c r="M512" s="38"/>
      <x:c r="N512" s="38"/>
      <x:c r="O512" s="38"/>
      <x:c r="P512" s="38"/>
      <x:c r="Q512" s="38"/>
    </x:row>
    <x:row r="513">
      <x:c r="A513" s="523" t="str">
        <x:f>IF(ISBLANK('_INSTANCE'!A432),"",'_INSTANCE'!A432)</x:f>
      </x:c>
      <x:c r="B513" s="523" t="str">
        <x:f>IF(ISBLANK('_INSTANCE'!B432),"",'_INSTANCE'!B432)</x:f>
      </x:c>
      <x:c r="C513" s="523" t="str">
        <x:f>IF(ISBLANK('_INSTANCE'!C432),"",'_INSTANCE'!C432)</x:f>
      </x:c>
      <x:c r="D513" s="530" t="str">
        <x:f>IF(ISBLANK('_INSTANCE'!D432),"",'_INSTANCE'!D432)</x:f>
      </x:c>
      <x:c r="E513" s="530" t="str">
        <x:f>IF(ISBLANK('_INSTANCE'!E432),"",'_INSTANCE'!E432)</x:f>
      </x:c>
      <x:c r="F513" s="530" t="str">
        <x:f>IF(ISBLANK('_INSTANCE'!F432),"",'_INSTANCE'!F432)</x:f>
      </x:c>
      <x:c r="G513" s="530" t="str">
        <x:f>IF(ISBLANK('_INSTANCE'!G432),"",'_INSTANCE'!G432)</x:f>
      </x:c>
      <x:c r="H513" s="530" t="str">
        <x:f>IF(ISBLANK('_INSTANCE'!H432),"",'_INSTANCE'!H432)</x:f>
      </x:c>
      <x:c r="I513" s="530" t="str">
        <x:f>IF(ISBLANK('_INSTANCE'!I432),"",'_INSTANCE'!I432)</x:f>
      </x:c>
      <x:c r="J513" s="530" t="str">
        <x:f>IF(ISBLANK('_INSTANCE'!J432),"",'_INSTANCE'!J432)</x:f>
      </x:c>
      <x:c r="K513" s="38"/>
      <x:c r="L513" s="38"/>
      <x:c r="M513" s="38"/>
      <x:c r="N513" s="38"/>
      <x:c r="O513" s="38"/>
      <x:c r="P513" s="38"/>
      <x:c r="Q513" s="38"/>
    </x:row>
    <x:row r="514">
      <x:c r="A514" s="523" t="str">
        <x:f>IF(ISBLANK('_INSTANCE'!A433),"",'_INSTANCE'!A433)</x:f>
      </x:c>
      <x:c r="B514" s="523" t="str">
        <x:f>IF(ISBLANK('_INSTANCE'!B433),"",'_INSTANCE'!B433)</x:f>
      </x:c>
      <x:c r="C514" s="523" t="str">
        <x:f>IF(ISBLANK('_INSTANCE'!C433),"",'_INSTANCE'!C433)</x:f>
      </x:c>
      <x:c r="D514" s="530" t="str">
        <x:f>IF(ISBLANK('_INSTANCE'!D433),"",'_INSTANCE'!D433)</x:f>
      </x:c>
      <x:c r="E514" s="530" t="str">
        <x:f>IF(ISBLANK('_INSTANCE'!E433),"",'_INSTANCE'!E433)</x:f>
      </x:c>
      <x:c r="F514" s="530" t="str">
        <x:f>IF(ISBLANK('_INSTANCE'!F433),"",'_INSTANCE'!F433)</x:f>
      </x:c>
      <x:c r="G514" s="530" t="str">
        <x:f>IF(ISBLANK('_INSTANCE'!G433),"",'_INSTANCE'!G433)</x:f>
      </x:c>
      <x:c r="H514" s="530" t="str">
        <x:f>IF(ISBLANK('_INSTANCE'!H433),"",'_INSTANCE'!H433)</x:f>
      </x:c>
      <x:c r="I514" s="530" t="str">
        <x:f>IF(ISBLANK('_INSTANCE'!I433),"",'_INSTANCE'!I433)</x:f>
      </x:c>
      <x:c r="J514" s="530" t="str">
        <x:f>IF(ISBLANK('_INSTANCE'!J433),"",'_INSTANCE'!J433)</x:f>
      </x:c>
      <x:c r="K514" s="38"/>
      <x:c r="L514" s="38"/>
      <x:c r="M514" s="38"/>
      <x:c r="N514" s="38"/>
      <x:c r="O514" s="38"/>
      <x:c r="P514" s="38"/>
      <x:c r="Q514" s="38"/>
    </x:row>
    <x:row r="515">
      <x:c r="A515" s="523" t="str">
        <x:f>IF(ISBLANK('_INSTANCE'!A434),"",'_INSTANCE'!A434)</x:f>
      </x:c>
      <x:c r="B515" s="523" t="str">
        <x:f>IF(ISBLANK('_INSTANCE'!B434),"",'_INSTANCE'!B434)</x:f>
      </x:c>
      <x:c r="C515" s="523" t="str">
        <x:f>IF(ISBLANK('_INSTANCE'!C434),"",'_INSTANCE'!C434)</x:f>
      </x:c>
      <x:c r="D515" s="530" t="str">
        <x:f>IF(ISBLANK('_INSTANCE'!D434),"",'_INSTANCE'!D434)</x:f>
      </x:c>
      <x:c r="E515" s="530" t="str">
        <x:f>IF(ISBLANK('_INSTANCE'!E434),"",'_INSTANCE'!E434)</x:f>
      </x:c>
      <x:c r="F515" s="530" t="str">
        <x:f>IF(ISBLANK('_INSTANCE'!F434),"",'_INSTANCE'!F434)</x:f>
      </x:c>
      <x:c r="G515" s="530" t="str">
        <x:f>IF(ISBLANK('_INSTANCE'!G434),"",'_INSTANCE'!G434)</x:f>
      </x:c>
      <x:c r="H515" s="530" t="str">
        <x:f>IF(ISBLANK('_INSTANCE'!H434),"",'_INSTANCE'!H434)</x:f>
      </x:c>
      <x:c r="I515" s="530" t="str">
        <x:f>IF(ISBLANK('_INSTANCE'!I434),"",'_INSTANCE'!I434)</x:f>
      </x:c>
      <x:c r="J515" s="530" t="str">
        <x:f>IF(ISBLANK('_INSTANCE'!J434),"",'_INSTANCE'!J434)</x:f>
      </x:c>
      <x:c r="K515" s="38"/>
      <x:c r="L515" s="38"/>
      <x:c r="M515" s="38"/>
      <x:c r="N515" s="38"/>
      <x:c r="O515" s="38"/>
      <x:c r="P515" s="38"/>
      <x:c r="Q515" s="38"/>
    </x:row>
    <x:row r="516">
      <x:c r="A516" s="523" t="str">
        <x:f>IF(ISBLANK('_INSTANCE'!A435),"",'_INSTANCE'!A435)</x:f>
      </x:c>
      <x:c r="B516" s="523" t="str">
        <x:f>IF(ISBLANK('_INSTANCE'!B435),"",'_INSTANCE'!B435)</x:f>
      </x:c>
      <x:c r="C516" s="523" t="str">
        <x:f>IF(ISBLANK('_INSTANCE'!C435),"",'_INSTANCE'!C435)</x:f>
      </x:c>
      <x:c r="D516" s="530" t="str">
        <x:f>IF(ISBLANK('_INSTANCE'!D435),"",'_INSTANCE'!D435)</x:f>
      </x:c>
      <x:c r="E516" s="530" t="str">
        <x:f>IF(ISBLANK('_INSTANCE'!E435),"",'_INSTANCE'!E435)</x:f>
      </x:c>
      <x:c r="F516" s="530" t="str">
        <x:f>IF(ISBLANK('_INSTANCE'!F435),"",'_INSTANCE'!F435)</x:f>
      </x:c>
      <x:c r="G516" s="530" t="str">
        <x:f>IF(ISBLANK('_INSTANCE'!G435),"",'_INSTANCE'!G435)</x:f>
      </x:c>
      <x:c r="H516" s="530" t="str">
        <x:f>IF(ISBLANK('_INSTANCE'!H435),"",'_INSTANCE'!H435)</x:f>
      </x:c>
      <x:c r="I516" s="530" t="str">
        <x:f>IF(ISBLANK('_INSTANCE'!I435),"",'_INSTANCE'!I435)</x:f>
      </x:c>
      <x:c r="J516" s="530" t="str">
        <x:f>IF(ISBLANK('_INSTANCE'!J435),"",'_INSTANCE'!J435)</x:f>
      </x:c>
      <x:c r="K516" s="38"/>
      <x:c r="L516" s="38"/>
      <x:c r="M516" s="38"/>
      <x:c r="N516" s="38"/>
      <x:c r="O516" s="38"/>
      <x:c r="P516" s="38"/>
      <x:c r="Q516" s="38"/>
    </x:row>
    <x:row r="517">
      <x:c r="A517" s="523" t="str">
        <x:f>IF(ISBLANK('_INSTANCE'!A436),"",'_INSTANCE'!A436)</x:f>
      </x:c>
      <x:c r="B517" s="523" t="str">
        <x:f>IF(ISBLANK('_INSTANCE'!B436),"",'_INSTANCE'!B436)</x:f>
      </x:c>
      <x:c r="C517" s="523" t="str">
        <x:f>IF(ISBLANK('_INSTANCE'!C436),"",'_INSTANCE'!C436)</x:f>
      </x:c>
      <x:c r="D517" s="530" t="str">
        <x:f>IF(ISBLANK('_INSTANCE'!D436),"",'_INSTANCE'!D436)</x:f>
      </x:c>
      <x:c r="E517" s="530" t="str">
        <x:f>IF(ISBLANK('_INSTANCE'!E436),"",'_INSTANCE'!E436)</x:f>
      </x:c>
      <x:c r="F517" s="530" t="str">
        <x:f>IF(ISBLANK('_INSTANCE'!F436),"",'_INSTANCE'!F436)</x:f>
      </x:c>
      <x:c r="G517" s="530" t="str">
        <x:f>IF(ISBLANK('_INSTANCE'!G436),"",'_INSTANCE'!G436)</x:f>
      </x:c>
      <x:c r="H517" s="530" t="str">
        <x:f>IF(ISBLANK('_INSTANCE'!H436),"",'_INSTANCE'!H436)</x:f>
      </x:c>
      <x:c r="I517" s="530" t="str">
        <x:f>IF(ISBLANK('_INSTANCE'!I436),"",'_INSTANCE'!I436)</x:f>
      </x:c>
      <x:c r="J517" s="530" t="str">
        <x:f>IF(ISBLANK('_INSTANCE'!J436),"",'_INSTANCE'!J436)</x:f>
      </x:c>
      <x:c r="K517" s="38"/>
      <x:c r="L517" s="38"/>
      <x:c r="M517" s="38"/>
      <x:c r="N517" s="38"/>
      <x:c r="O517" s="38"/>
      <x:c r="P517" s="38"/>
      <x:c r="Q517" s="38"/>
    </x:row>
    <x:row r="518">
      <x:c r="A518" s="523" t="str">
        <x:f>IF(ISBLANK('_INSTANCE'!A437),"",'_INSTANCE'!A437)</x:f>
      </x:c>
      <x:c r="B518" s="523" t="str">
        <x:f>IF(ISBLANK('_INSTANCE'!B437),"",'_INSTANCE'!B437)</x:f>
      </x:c>
      <x:c r="C518" s="523" t="str">
        <x:f>IF(ISBLANK('_INSTANCE'!C437),"",'_INSTANCE'!C437)</x:f>
      </x:c>
      <x:c r="D518" s="530" t="str">
        <x:f>IF(ISBLANK('_INSTANCE'!D437),"",'_INSTANCE'!D437)</x:f>
      </x:c>
      <x:c r="E518" s="530" t="str">
        <x:f>IF(ISBLANK('_INSTANCE'!E437),"",'_INSTANCE'!E437)</x:f>
      </x:c>
      <x:c r="F518" s="530" t="str">
        <x:f>IF(ISBLANK('_INSTANCE'!F437),"",'_INSTANCE'!F437)</x:f>
      </x:c>
      <x:c r="G518" s="530" t="str">
        <x:f>IF(ISBLANK('_INSTANCE'!G437),"",'_INSTANCE'!G437)</x:f>
      </x:c>
      <x:c r="H518" s="530" t="str">
        <x:f>IF(ISBLANK('_INSTANCE'!H437),"",'_INSTANCE'!H437)</x:f>
      </x:c>
      <x:c r="I518" s="530" t="str">
        <x:f>IF(ISBLANK('_INSTANCE'!I437),"",'_INSTANCE'!I437)</x:f>
      </x:c>
      <x:c r="J518" s="530" t="str">
        <x:f>IF(ISBLANK('_INSTANCE'!J437),"",'_INSTANCE'!J437)</x:f>
      </x:c>
      <x:c r="K518" s="38"/>
      <x:c r="L518" s="38"/>
      <x:c r="M518" s="38"/>
      <x:c r="N518" s="38"/>
      <x:c r="O518" s="38"/>
      <x:c r="P518" s="38"/>
      <x:c r="Q518" s="38"/>
    </x:row>
    <x:row r="519">
      <x:c r="A519" s="523" t="str">
        <x:f>IF(ISBLANK('_INSTANCE'!A438),"",'_INSTANCE'!A438)</x:f>
      </x:c>
      <x:c r="B519" s="523" t="str">
        <x:f>IF(ISBLANK('_INSTANCE'!B438),"",'_INSTANCE'!B438)</x:f>
      </x:c>
      <x:c r="C519" s="523" t="str">
        <x:f>IF(ISBLANK('_INSTANCE'!C438),"",'_INSTANCE'!C438)</x:f>
      </x:c>
      <x:c r="D519" s="530" t="str">
        <x:f>IF(ISBLANK('_INSTANCE'!D438),"",'_INSTANCE'!D438)</x:f>
      </x:c>
      <x:c r="E519" s="530" t="str">
        <x:f>IF(ISBLANK('_INSTANCE'!E438),"",'_INSTANCE'!E438)</x:f>
      </x:c>
      <x:c r="F519" s="530" t="str">
        <x:f>IF(ISBLANK('_INSTANCE'!F438),"",'_INSTANCE'!F438)</x:f>
      </x:c>
      <x:c r="G519" s="530" t="str">
        <x:f>IF(ISBLANK('_INSTANCE'!G438),"",'_INSTANCE'!G438)</x:f>
      </x:c>
      <x:c r="H519" s="530" t="str">
        <x:f>IF(ISBLANK('_INSTANCE'!H438),"",'_INSTANCE'!H438)</x:f>
      </x:c>
      <x:c r="I519" s="530" t="str">
        <x:f>IF(ISBLANK('_INSTANCE'!I438),"",'_INSTANCE'!I438)</x:f>
      </x:c>
      <x:c r="J519" s="530" t="str">
        <x:f>IF(ISBLANK('_INSTANCE'!J438),"",'_INSTANCE'!J438)</x:f>
      </x:c>
      <x:c r="K519" s="38"/>
      <x:c r="L519" s="38"/>
      <x:c r="M519" s="38"/>
      <x:c r="N519" s="38"/>
      <x:c r="O519" s="38"/>
      <x:c r="P519" s="38"/>
      <x:c r="Q519" s="38"/>
    </x:row>
    <x:row r="520">
      <x:c r="A520" s="523" t="str">
        <x:f>IF(ISBLANK('_INSTANCE'!A439),"",'_INSTANCE'!A439)</x:f>
      </x:c>
      <x:c r="B520" s="523" t="str">
        <x:f>IF(ISBLANK('_INSTANCE'!B439),"",'_INSTANCE'!B439)</x:f>
      </x:c>
      <x:c r="C520" s="523" t="str">
        <x:f>IF(ISBLANK('_INSTANCE'!C439),"",'_INSTANCE'!C439)</x:f>
      </x:c>
      <x:c r="D520" s="530" t="str">
        <x:f>IF(ISBLANK('_INSTANCE'!D439),"",'_INSTANCE'!D439)</x:f>
      </x:c>
      <x:c r="E520" s="530" t="str">
        <x:f>IF(ISBLANK('_INSTANCE'!E439),"",'_INSTANCE'!E439)</x:f>
      </x:c>
      <x:c r="F520" s="530" t="str">
        <x:f>IF(ISBLANK('_INSTANCE'!F439),"",'_INSTANCE'!F439)</x:f>
      </x:c>
      <x:c r="G520" s="530" t="str">
        <x:f>IF(ISBLANK('_INSTANCE'!G439),"",'_INSTANCE'!G439)</x:f>
      </x:c>
      <x:c r="H520" s="530" t="str">
        <x:f>IF(ISBLANK('_INSTANCE'!H439),"",'_INSTANCE'!H439)</x:f>
      </x:c>
      <x:c r="I520" s="530" t="str">
        <x:f>IF(ISBLANK('_INSTANCE'!I439),"",'_INSTANCE'!I439)</x:f>
      </x:c>
      <x:c r="J520" s="530" t="str">
        <x:f>IF(ISBLANK('_INSTANCE'!J439),"",'_INSTANCE'!J439)</x:f>
      </x:c>
      <x:c r="K520" s="38"/>
      <x:c r="L520" s="38"/>
      <x:c r="M520" s="38"/>
      <x:c r="N520" s="38"/>
      <x:c r="O520" s="38"/>
      <x:c r="P520" s="38"/>
      <x:c r="Q520" s="38"/>
    </x:row>
    <x:row r="521">
      <x:c r="A521" s="523" t="str">
        <x:f>IF(ISBLANK('_INSTANCE'!A440),"",'_INSTANCE'!A440)</x:f>
      </x:c>
      <x:c r="B521" s="523" t="str">
        <x:f>IF(ISBLANK('_INSTANCE'!B440),"",'_INSTANCE'!B440)</x:f>
      </x:c>
      <x:c r="C521" s="523" t="str">
        <x:f>IF(ISBLANK('_INSTANCE'!C440),"",'_INSTANCE'!C440)</x:f>
      </x:c>
      <x:c r="D521" s="530" t="str">
        <x:f>IF(ISBLANK('_INSTANCE'!D440),"",'_INSTANCE'!D440)</x:f>
      </x:c>
      <x:c r="E521" s="530" t="str">
        <x:f>IF(ISBLANK('_INSTANCE'!E440),"",'_INSTANCE'!E440)</x:f>
      </x:c>
      <x:c r="F521" s="530" t="str">
        <x:f>IF(ISBLANK('_INSTANCE'!F440),"",'_INSTANCE'!F440)</x:f>
      </x:c>
      <x:c r="G521" s="530" t="str">
        <x:f>IF(ISBLANK('_INSTANCE'!G440),"",'_INSTANCE'!G440)</x:f>
      </x:c>
      <x:c r="H521" s="530" t="str">
        <x:f>IF(ISBLANK('_INSTANCE'!H440),"",'_INSTANCE'!H440)</x:f>
      </x:c>
      <x:c r="I521" s="530" t="str">
        <x:f>IF(ISBLANK('_INSTANCE'!I440),"",'_INSTANCE'!I440)</x:f>
      </x:c>
      <x:c r="J521" s="530" t="str">
        <x:f>IF(ISBLANK('_INSTANCE'!J440),"",'_INSTANCE'!J440)</x:f>
      </x:c>
      <x:c r="K521" s="38"/>
      <x:c r="L521" s="38"/>
      <x:c r="M521" s="38"/>
      <x:c r="N521" s="38"/>
      <x:c r="O521" s="38"/>
      <x:c r="P521" s="38"/>
      <x:c r="Q521" s="38"/>
    </x:row>
    <x:row r="522">
      <x:c r="A522" s="523" t="str">
        <x:f>IF(ISBLANK('_INSTANCE'!A441),"",'_INSTANCE'!A441)</x:f>
      </x:c>
      <x:c r="B522" s="523" t="str">
        <x:f>IF(ISBLANK('_INSTANCE'!B441),"",'_INSTANCE'!B441)</x:f>
      </x:c>
      <x:c r="C522" s="523" t="str">
        <x:f>IF(ISBLANK('_INSTANCE'!C441),"",'_INSTANCE'!C441)</x:f>
      </x:c>
      <x:c r="D522" s="530" t="str">
        <x:f>IF(ISBLANK('_INSTANCE'!D441),"",'_INSTANCE'!D441)</x:f>
      </x:c>
      <x:c r="E522" s="530" t="str">
        <x:f>IF(ISBLANK('_INSTANCE'!E441),"",'_INSTANCE'!E441)</x:f>
      </x:c>
      <x:c r="F522" s="530" t="str">
        <x:f>IF(ISBLANK('_INSTANCE'!F441),"",'_INSTANCE'!F441)</x:f>
      </x:c>
      <x:c r="G522" s="530" t="str">
        <x:f>IF(ISBLANK('_INSTANCE'!G441),"",'_INSTANCE'!G441)</x:f>
      </x:c>
      <x:c r="H522" s="530" t="str">
        <x:f>IF(ISBLANK('_INSTANCE'!H441),"",'_INSTANCE'!H441)</x:f>
      </x:c>
      <x:c r="I522" s="530" t="str">
        <x:f>IF(ISBLANK('_INSTANCE'!I441),"",'_INSTANCE'!I441)</x:f>
      </x:c>
      <x:c r="J522" s="530" t="str">
        <x:f>IF(ISBLANK('_INSTANCE'!J441),"",'_INSTANCE'!J441)</x:f>
      </x:c>
      <x:c r="K522" s="38"/>
      <x:c r="L522" s="38"/>
      <x:c r="M522" s="38"/>
      <x:c r="N522" s="38"/>
      <x:c r="O522" s="38"/>
      <x:c r="P522" s="38"/>
      <x:c r="Q522" s="38"/>
    </x:row>
    <x:row r="523">
      <x:c r="A523" s="523" t="str">
        <x:f>IF(ISBLANK('_INSTANCE'!A442),"",'_INSTANCE'!A442)</x:f>
      </x:c>
      <x:c r="B523" s="523" t="str">
        <x:f>IF(ISBLANK('_INSTANCE'!B442),"",'_INSTANCE'!B442)</x:f>
      </x:c>
      <x:c r="C523" s="523" t="str">
        <x:f>IF(ISBLANK('_INSTANCE'!C442),"",'_INSTANCE'!C442)</x:f>
      </x:c>
      <x:c r="D523" s="530" t="str">
        <x:f>IF(ISBLANK('_INSTANCE'!D442),"",'_INSTANCE'!D442)</x:f>
      </x:c>
      <x:c r="E523" s="530" t="str">
        <x:f>IF(ISBLANK('_INSTANCE'!E442),"",'_INSTANCE'!E442)</x:f>
      </x:c>
      <x:c r="F523" s="530" t="str">
        <x:f>IF(ISBLANK('_INSTANCE'!F442),"",'_INSTANCE'!F442)</x:f>
      </x:c>
      <x:c r="G523" s="530" t="str">
        <x:f>IF(ISBLANK('_INSTANCE'!G442),"",'_INSTANCE'!G442)</x:f>
      </x:c>
      <x:c r="H523" s="530" t="str">
        <x:f>IF(ISBLANK('_INSTANCE'!H442),"",'_INSTANCE'!H442)</x:f>
      </x:c>
      <x:c r="I523" s="530" t="str">
        <x:f>IF(ISBLANK('_INSTANCE'!I442),"",'_INSTANCE'!I442)</x:f>
      </x:c>
      <x:c r="J523" s="530" t="str">
        <x:f>IF(ISBLANK('_INSTANCE'!J442),"",'_INSTANCE'!J442)</x:f>
      </x:c>
      <x:c r="K523" s="38"/>
      <x:c r="L523" s="38"/>
      <x:c r="M523" s="38"/>
      <x:c r="N523" s="38"/>
      <x:c r="O523" s="38"/>
      <x:c r="P523" s="38"/>
      <x:c r="Q523" s="38"/>
    </x:row>
    <x:row r="524">
      <x:c r="A524" s="523" t="str">
        <x:f>IF(ISBLANK('_INSTANCE'!A443),"",'_INSTANCE'!A443)</x:f>
      </x:c>
      <x:c r="B524" s="523" t="str">
        <x:f>IF(ISBLANK('_INSTANCE'!B443),"",'_INSTANCE'!B443)</x:f>
      </x:c>
      <x:c r="C524" s="523" t="str">
        <x:f>IF(ISBLANK('_INSTANCE'!C443),"",'_INSTANCE'!C443)</x:f>
      </x:c>
      <x:c r="D524" s="530" t="str">
        <x:f>IF(ISBLANK('_INSTANCE'!D443),"",'_INSTANCE'!D443)</x:f>
      </x:c>
      <x:c r="E524" s="530" t="str">
        <x:f>IF(ISBLANK('_INSTANCE'!E443),"",'_INSTANCE'!E443)</x:f>
      </x:c>
      <x:c r="F524" s="530" t="str">
        <x:f>IF(ISBLANK('_INSTANCE'!F443),"",'_INSTANCE'!F443)</x:f>
      </x:c>
      <x:c r="G524" s="530" t="str">
        <x:f>IF(ISBLANK('_INSTANCE'!G443),"",'_INSTANCE'!G443)</x:f>
      </x:c>
      <x:c r="H524" s="530" t="str">
        <x:f>IF(ISBLANK('_INSTANCE'!H443),"",'_INSTANCE'!H443)</x:f>
      </x:c>
      <x:c r="I524" s="530" t="str">
        <x:f>IF(ISBLANK('_INSTANCE'!I443),"",'_INSTANCE'!I443)</x:f>
      </x:c>
      <x:c r="J524" s="530" t="str">
        <x:f>IF(ISBLANK('_INSTANCE'!J443),"",'_INSTANCE'!J443)</x:f>
      </x:c>
      <x:c r="K524" s="38"/>
      <x:c r="L524" s="38"/>
      <x:c r="M524" s="38"/>
      <x:c r="N524" s="38"/>
      <x:c r="O524" s="38"/>
      <x:c r="P524" s="38"/>
      <x:c r="Q524" s="38"/>
    </x:row>
    <x:row r="525">
      <x:c r="A525" s="523" t="str">
        <x:f>IF(ISBLANK('_INSTANCE'!A444),"",'_INSTANCE'!A444)</x:f>
      </x:c>
      <x:c r="B525" s="523" t="str">
        <x:f>IF(ISBLANK('_INSTANCE'!B444),"",'_INSTANCE'!B444)</x:f>
      </x:c>
      <x:c r="C525" s="523" t="str">
        <x:f>IF(ISBLANK('_INSTANCE'!C444),"",'_INSTANCE'!C444)</x:f>
      </x:c>
      <x:c r="D525" s="530" t="str">
        <x:f>IF(ISBLANK('_INSTANCE'!D444),"",'_INSTANCE'!D444)</x:f>
      </x:c>
      <x:c r="E525" s="530" t="str">
        <x:f>IF(ISBLANK('_INSTANCE'!E444),"",'_INSTANCE'!E444)</x:f>
      </x:c>
      <x:c r="F525" s="530" t="str">
        <x:f>IF(ISBLANK('_INSTANCE'!F444),"",'_INSTANCE'!F444)</x:f>
      </x:c>
      <x:c r="G525" s="530" t="str">
        <x:f>IF(ISBLANK('_INSTANCE'!G444),"",'_INSTANCE'!G444)</x:f>
      </x:c>
      <x:c r="H525" s="530" t="str">
        <x:f>IF(ISBLANK('_INSTANCE'!H444),"",'_INSTANCE'!H444)</x:f>
      </x:c>
      <x:c r="I525" s="530" t="str">
        <x:f>IF(ISBLANK('_INSTANCE'!I444),"",'_INSTANCE'!I444)</x:f>
      </x:c>
      <x:c r="J525" s="530" t="str">
        <x:f>IF(ISBLANK('_INSTANCE'!J444),"",'_INSTANCE'!J444)</x:f>
      </x:c>
      <x:c r="K525" s="38"/>
      <x:c r="L525" s="38"/>
      <x:c r="M525" s="38"/>
      <x:c r="N525" s="38"/>
      <x:c r="O525" s="38"/>
      <x:c r="P525" s="38"/>
      <x:c r="Q525" s="38"/>
    </x:row>
    <x:row r="526">
      <x:c r="A526" s="523" t="str">
        <x:f>IF(ISBLANK('_INSTANCE'!A445),"",'_INSTANCE'!A445)</x:f>
      </x:c>
      <x:c r="B526" s="523" t="str">
        <x:f>IF(ISBLANK('_INSTANCE'!B445),"",'_INSTANCE'!B445)</x:f>
      </x:c>
      <x:c r="C526" s="523" t="str">
        <x:f>IF(ISBLANK('_INSTANCE'!C445),"",'_INSTANCE'!C445)</x:f>
      </x:c>
      <x:c r="D526" s="530" t="str">
        <x:f>IF(ISBLANK('_INSTANCE'!D445),"",'_INSTANCE'!D445)</x:f>
      </x:c>
      <x:c r="E526" s="530" t="str">
        <x:f>IF(ISBLANK('_INSTANCE'!E445),"",'_INSTANCE'!E445)</x:f>
      </x:c>
      <x:c r="F526" s="530" t="str">
        <x:f>IF(ISBLANK('_INSTANCE'!F445),"",'_INSTANCE'!F445)</x:f>
      </x:c>
      <x:c r="G526" s="530" t="str">
        <x:f>IF(ISBLANK('_INSTANCE'!G445),"",'_INSTANCE'!G445)</x:f>
      </x:c>
      <x:c r="H526" s="530" t="str">
        <x:f>IF(ISBLANK('_INSTANCE'!H445),"",'_INSTANCE'!H445)</x:f>
      </x:c>
      <x:c r="I526" s="530" t="str">
        <x:f>IF(ISBLANK('_INSTANCE'!I445),"",'_INSTANCE'!I445)</x:f>
      </x:c>
      <x:c r="J526" s="530" t="str">
        <x:f>IF(ISBLANK('_INSTANCE'!J445),"",'_INSTANCE'!J445)</x:f>
      </x:c>
      <x:c r="K526" s="38"/>
      <x:c r="L526" s="38"/>
      <x:c r="M526" s="38"/>
      <x:c r="N526" s="38"/>
      <x:c r="O526" s="38"/>
      <x:c r="P526" s="38"/>
      <x:c r="Q526" s="38"/>
    </x:row>
    <x:row r="527">
      <x:c r="A527" s="523" t="str">
        <x:f>IF(ISBLANK('_INSTANCE'!A446),"",'_INSTANCE'!A446)</x:f>
      </x:c>
      <x:c r="B527" s="523" t="str">
        <x:f>IF(ISBLANK('_INSTANCE'!B446),"",'_INSTANCE'!B446)</x:f>
      </x:c>
      <x:c r="C527" s="523" t="str">
        <x:f>IF(ISBLANK('_INSTANCE'!C446),"",'_INSTANCE'!C446)</x:f>
      </x:c>
      <x:c r="D527" s="530" t="str">
        <x:f>IF(ISBLANK('_INSTANCE'!D446),"",'_INSTANCE'!D446)</x:f>
      </x:c>
      <x:c r="E527" s="530" t="str">
        <x:f>IF(ISBLANK('_INSTANCE'!E446),"",'_INSTANCE'!E446)</x:f>
      </x:c>
      <x:c r="F527" s="530" t="str">
        <x:f>IF(ISBLANK('_INSTANCE'!F446),"",'_INSTANCE'!F446)</x:f>
      </x:c>
      <x:c r="G527" s="530" t="str">
        <x:f>IF(ISBLANK('_INSTANCE'!G446),"",'_INSTANCE'!G446)</x:f>
      </x:c>
      <x:c r="H527" s="530" t="str">
        <x:f>IF(ISBLANK('_INSTANCE'!H446),"",'_INSTANCE'!H446)</x:f>
      </x:c>
      <x:c r="I527" s="530" t="str">
        <x:f>IF(ISBLANK('_INSTANCE'!I446),"",'_INSTANCE'!I446)</x:f>
      </x:c>
      <x:c r="J527" s="530" t="str">
        <x:f>IF(ISBLANK('_INSTANCE'!J446),"",'_INSTANCE'!J446)</x:f>
      </x:c>
      <x:c r="K527" s="38"/>
      <x:c r="L527" s="38"/>
      <x:c r="M527" s="38"/>
      <x:c r="N527" s="38"/>
      <x:c r="O527" s="38"/>
      <x:c r="P527" s="38"/>
      <x:c r="Q527" s="38"/>
    </x:row>
    <x:row r="528">
      <x:c r="A528" s="523" t="str">
        <x:f>IF(ISBLANK('_INSTANCE'!A447),"",'_INSTANCE'!A447)</x:f>
      </x:c>
      <x:c r="B528" s="523" t="str">
        <x:f>IF(ISBLANK('_INSTANCE'!B447),"",'_INSTANCE'!B447)</x:f>
      </x:c>
      <x:c r="C528" s="523" t="str">
        <x:f>IF(ISBLANK('_INSTANCE'!C447),"",'_INSTANCE'!C447)</x:f>
      </x:c>
      <x:c r="D528" s="530" t="str">
        <x:f>IF(ISBLANK('_INSTANCE'!D447),"",'_INSTANCE'!D447)</x:f>
      </x:c>
      <x:c r="E528" s="530" t="str">
        <x:f>IF(ISBLANK('_INSTANCE'!E447),"",'_INSTANCE'!E447)</x:f>
      </x:c>
      <x:c r="F528" s="530" t="str">
        <x:f>IF(ISBLANK('_INSTANCE'!F447),"",'_INSTANCE'!F447)</x:f>
      </x:c>
      <x:c r="G528" s="530" t="str">
        <x:f>IF(ISBLANK('_INSTANCE'!G447),"",'_INSTANCE'!G447)</x:f>
      </x:c>
      <x:c r="H528" s="530" t="str">
        <x:f>IF(ISBLANK('_INSTANCE'!H447),"",'_INSTANCE'!H447)</x:f>
      </x:c>
      <x:c r="I528" s="530" t="str">
        <x:f>IF(ISBLANK('_INSTANCE'!I447),"",'_INSTANCE'!I447)</x:f>
      </x:c>
      <x:c r="J528" s="530" t="str">
        <x:f>IF(ISBLANK('_INSTANCE'!J447),"",'_INSTANCE'!J447)</x:f>
      </x:c>
      <x:c r="K528" s="38"/>
      <x:c r="L528" s="38"/>
      <x:c r="M528" s="38"/>
      <x:c r="N528" s="38"/>
      <x:c r="O528" s="38"/>
      <x:c r="P528" s="38"/>
      <x:c r="Q528" s="38"/>
    </x:row>
    <x:row r="529">
      <x:c r="A529" s="523" t="str">
        <x:f>IF(ISBLANK('_INSTANCE'!A448),"",'_INSTANCE'!A448)</x:f>
      </x:c>
      <x:c r="B529" s="523" t="str">
        <x:f>IF(ISBLANK('_INSTANCE'!B448),"",'_INSTANCE'!B448)</x:f>
      </x:c>
      <x:c r="C529" s="523" t="str">
        <x:f>IF(ISBLANK('_INSTANCE'!C448),"",'_INSTANCE'!C448)</x:f>
      </x:c>
      <x:c r="D529" s="530" t="str">
        <x:f>IF(ISBLANK('_INSTANCE'!D448),"",'_INSTANCE'!D448)</x:f>
      </x:c>
      <x:c r="E529" s="530" t="str">
        <x:f>IF(ISBLANK('_INSTANCE'!E448),"",'_INSTANCE'!E448)</x:f>
      </x:c>
      <x:c r="F529" s="530" t="str">
        <x:f>IF(ISBLANK('_INSTANCE'!F448),"",'_INSTANCE'!F448)</x:f>
      </x:c>
      <x:c r="G529" s="530" t="str">
        <x:f>IF(ISBLANK('_INSTANCE'!G448),"",'_INSTANCE'!G448)</x:f>
      </x:c>
      <x:c r="H529" s="530" t="str">
        <x:f>IF(ISBLANK('_INSTANCE'!H448),"",'_INSTANCE'!H448)</x:f>
      </x:c>
      <x:c r="I529" s="530" t="str">
        <x:f>IF(ISBLANK('_INSTANCE'!I448),"",'_INSTANCE'!I448)</x:f>
      </x:c>
      <x:c r="J529" s="530" t="str">
        <x:f>IF(ISBLANK('_INSTANCE'!J448),"",'_INSTANCE'!J448)</x:f>
      </x:c>
      <x:c r="K529" s="38"/>
      <x:c r="L529" s="38"/>
      <x:c r="M529" s="38"/>
      <x:c r="N529" s="38"/>
      <x:c r="O529" s="38"/>
      <x:c r="P529" s="38"/>
      <x:c r="Q529" s="38"/>
    </x:row>
    <x:row r="530">
      <x:c r="A530" s="523" t="str">
        <x:f>IF(ISBLANK('_INSTANCE'!A449),"",'_INSTANCE'!A449)</x:f>
      </x:c>
      <x:c r="B530" s="523" t="str">
        <x:f>IF(ISBLANK('_INSTANCE'!B449),"",'_INSTANCE'!B449)</x:f>
      </x:c>
      <x:c r="C530" s="523" t="str">
        <x:f>IF(ISBLANK('_INSTANCE'!C449),"",'_INSTANCE'!C449)</x:f>
      </x:c>
      <x:c r="D530" s="530" t="str">
        <x:f>IF(ISBLANK('_INSTANCE'!D449),"",'_INSTANCE'!D449)</x:f>
      </x:c>
      <x:c r="E530" s="530" t="str">
        <x:f>IF(ISBLANK('_INSTANCE'!E449),"",'_INSTANCE'!E449)</x:f>
      </x:c>
      <x:c r="F530" s="530" t="str">
        <x:f>IF(ISBLANK('_INSTANCE'!F449),"",'_INSTANCE'!F449)</x:f>
      </x:c>
      <x:c r="G530" s="530" t="str">
        <x:f>IF(ISBLANK('_INSTANCE'!G449),"",'_INSTANCE'!G449)</x:f>
      </x:c>
      <x:c r="H530" s="530" t="str">
        <x:f>IF(ISBLANK('_INSTANCE'!H449),"",'_INSTANCE'!H449)</x:f>
      </x:c>
      <x:c r="I530" s="530" t="str">
        <x:f>IF(ISBLANK('_INSTANCE'!I449),"",'_INSTANCE'!I449)</x:f>
      </x:c>
      <x:c r="J530" s="530" t="str">
        <x:f>IF(ISBLANK('_INSTANCE'!J449),"",'_INSTANCE'!J449)</x:f>
      </x:c>
      <x:c r="K530" s="38"/>
      <x:c r="L530" s="38"/>
      <x:c r="M530" s="38"/>
      <x:c r="N530" s="38"/>
      <x:c r="O530" s="38"/>
      <x:c r="P530" s="38"/>
      <x:c r="Q530" s="38"/>
    </x:row>
    <x:row r="531">
      <x:c r="A531" s="523" t="str">
        <x:f>IF(ISBLANK('_INSTANCE'!A450),"",'_INSTANCE'!A450)</x:f>
      </x:c>
      <x:c r="B531" s="523" t="str">
        <x:f>IF(ISBLANK('_INSTANCE'!B450),"",'_INSTANCE'!B450)</x:f>
      </x:c>
      <x:c r="C531" s="523" t="str">
        <x:f>IF(ISBLANK('_INSTANCE'!C450),"",'_INSTANCE'!C450)</x:f>
      </x:c>
      <x:c r="D531" s="530" t="str">
        <x:f>IF(ISBLANK('_INSTANCE'!D450),"",'_INSTANCE'!D450)</x:f>
      </x:c>
      <x:c r="E531" s="530" t="str">
        <x:f>IF(ISBLANK('_INSTANCE'!E450),"",'_INSTANCE'!E450)</x:f>
      </x:c>
      <x:c r="F531" s="530" t="str">
        <x:f>IF(ISBLANK('_INSTANCE'!F450),"",'_INSTANCE'!F450)</x:f>
      </x:c>
      <x:c r="G531" s="530" t="str">
        <x:f>IF(ISBLANK('_INSTANCE'!G450),"",'_INSTANCE'!G450)</x:f>
      </x:c>
      <x:c r="H531" s="530" t="str">
        <x:f>IF(ISBLANK('_INSTANCE'!H450),"",'_INSTANCE'!H450)</x:f>
      </x:c>
      <x:c r="I531" s="530" t="str">
        <x:f>IF(ISBLANK('_INSTANCE'!I450),"",'_INSTANCE'!I450)</x:f>
      </x:c>
      <x:c r="J531" s="530" t="str">
        <x:f>IF(ISBLANK('_INSTANCE'!J450),"",'_INSTANCE'!J450)</x:f>
      </x:c>
      <x:c r="K531" s="38"/>
      <x:c r="L531" s="38"/>
      <x:c r="M531" s="38"/>
      <x:c r="N531" s="38"/>
      <x:c r="O531" s="38"/>
      <x:c r="P531" s="38"/>
      <x:c r="Q531" s="38"/>
    </x:row>
    <x:row r="532">
      <x:c r="A532" s="523" t="str">
        <x:f>IF(ISBLANK('_INSTANCE'!A451),"",'_INSTANCE'!A451)</x:f>
      </x:c>
      <x:c r="B532" s="523" t="str">
        <x:f>IF(ISBLANK('_INSTANCE'!B451),"",'_INSTANCE'!B451)</x:f>
      </x:c>
      <x:c r="C532" s="523" t="str">
        <x:f>IF(ISBLANK('_INSTANCE'!C451),"",'_INSTANCE'!C451)</x:f>
      </x:c>
      <x:c r="D532" s="530" t="str">
        <x:f>IF(ISBLANK('_INSTANCE'!D451),"",'_INSTANCE'!D451)</x:f>
      </x:c>
      <x:c r="E532" s="530" t="str">
        <x:f>IF(ISBLANK('_INSTANCE'!E451),"",'_INSTANCE'!E451)</x:f>
      </x:c>
      <x:c r="F532" s="530" t="str">
        <x:f>IF(ISBLANK('_INSTANCE'!F451),"",'_INSTANCE'!F451)</x:f>
      </x:c>
      <x:c r="G532" s="530" t="str">
        <x:f>IF(ISBLANK('_INSTANCE'!G451),"",'_INSTANCE'!G451)</x:f>
      </x:c>
      <x:c r="H532" s="530" t="str">
        <x:f>IF(ISBLANK('_INSTANCE'!H451),"",'_INSTANCE'!H451)</x:f>
      </x:c>
      <x:c r="I532" s="530" t="str">
        <x:f>IF(ISBLANK('_INSTANCE'!I451),"",'_INSTANCE'!I451)</x:f>
      </x:c>
      <x:c r="J532" s="530" t="str">
        <x:f>IF(ISBLANK('_INSTANCE'!J451),"",'_INSTANCE'!J451)</x:f>
      </x:c>
      <x:c r="K532" s="38"/>
      <x:c r="L532" s="38"/>
      <x:c r="M532" s="38"/>
      <x:c r="N532" s="38"/>
      <x:c r="O532" s="38"/>
      <x:c r="P532" s="38"/>
      <x:c r="Q532" s="38"/>
    </x:row>
    <x:row r="533">
      <x:c r="A533" s="523" t="str">
        <x:f>IF(ISBLANK('_INSTANCE'!A452),"",'_INSTANCE'!A452)</x:f>
      </x:c>
      <x:c r="B533" s="523" t="str">
        <x:f>IF(ISBLANK('_INSTANCE'!B452),"",'_INSTANCE'!B452)</x:f>
      </x:c>
      <x:c r="C533" s="523" t="str">
        <x:f>IF(ISBLANK('_INSTANCE'!C452),"",'_INSTANCE'!C452)</x:f>
      </x:c>
      <x:c r="D533" s="530" t="str">
        <x:f>IF(ISBLANK('_INSTANCE'!D452),"",'_INSTANCE'!D452)</x:f>
      </x:c>
      <x:c r="E533" s="530" t="str">
        <x:f>IF(ISBLANK('_INSTANCE'!E452),"",'_INSTANCE'!E452)</x:f>
      </x:c>
      <x:c r="F533" s="530" t="str">
        <x:f>IF(ISBLANK('_INSTANCE'!F452),"",'_INSTANCE'!F452)</x:f>
      </x:c>
      <x:c r="G533" s="530" t="str">
        <x:f>IF(ISBLANK('_INSTANCE'!G452),"",'_INSTANCE'!G452)</x:f>
      </x:c>
      <x:c r="H533" s="530" t="str">
        <x:f>IF(ISBLANK('_INSTANCE'!H452),"",'_INSTANCE'!H452)</x:f>
      </x:c>
      <x:c r="I533" s="530" t="str">
        <x:f>IF(ISBLANK('_INSTANCE'!I452),"",'_INSTANCE'!I452)</x:f>
      </x:c>
      <x:c r="J533" s="530" t="str">
        <x:f>IF(ISBLANK('_INSTANCE'!J452),"",'_INSTANCE'!J452)</x:f>
      </x:c>
      <x:c r="K533" s="38"/>
      <x:c r="L533" s="38"/>
      <x:c r="M533" s="38"/>
      <x:c r="N533" s="38"/>
      <x:c r="O533" s="38"/>
      <x:c r="P533" s="38"/>
      <x:c r="Q533" s="38"/>
    </x:row>
    <x:row r="534">
      <x:c r="A534" s="523" t="str">
        <x:f>IF(ISBLANK('_INSTANCE'!A453),"",'_INSTANCE'!A453)</x:f>
      </x:c>
      <x:c r="B534" s="523" t="str">
        <x:f>IF(ISBLANK('_INSTANCE'!B453),"",'_INSTANCE'!B453)</x:f>
      </x:c>
      <x:c r="C534" s="523" t="str">
        <x:f>IF(ISBLANK('_INSTANCE'!C453),"",'_INSTANCE'!C453)</x:f>
      </x:c>
      <x:c r="D534" s="530" t="str">
        <x:f>IF(ISBLANK('_INSTANCE'!D453),"",'_INSTANCE'!D453)</x:f>
      </x:c>
      <x:c r="E534" s="530" t="str">
        <x:f>IF(ISBLANK('_INSTANCE'!E453),"",'_INSTANCE'!E453)</x:f>
      </x:c>
      <x:c r="F534" s="530" t="str">
        <x:f>IF(ISBLANK('_INSTANCE'!F453),"",'_INSTANCE'!F453)</x:f>
      </x:c>
      <x:c r="G534" s="530" t="str">
        <x:f>IF(ISBLANK('_INSTANCE'!G453),"",'_INSTANCE'!G453)</x:f>
      </x:c>
      <x:c r="H534" s="530" t="str">
        <x:f>IF(ISBLANK('_INSTANCE'!H453),"",'_INSTANCE'!H453)</x:f>
      </x:c>
      <x:c r="I534" s="530" t="str">
        <x:f>IF(ISBLANK('_INSTANCE'!I453),"",'_INSTANCE'!I453)</x:f>
      </x:c>
      <x:c r="J534" s="530" t="str">
        <x:f>IF(ISBLANK('_INSTANCE'!J453),"",'_INSTANCE'!J453)</x:f>
      </x:c>
      <x:c r="K534" s="38"/>
      <x:c r="L534" s="38"/>
      <x:c r="M534" s="38"/>
      <x:c r="N534" s="38"/>
      <x:c r="O534" s="38"/>
      <x:c r="P534" s="38"/>
      <x:c r="Q534" s="38"/>
    </x:row>
    <x:row r="535">
      <x:c r="A535" s="523" t="str">
        <x:f>IF(ISBLANK('_INSTANCE'!A454),"",'_INSTANCE'!A454)</x:f>
      </x:c>
      <x:c r="B535" s="523" t="str">
        <x:f>IF(ISBLANK('_INSTANCE'!B454),"",'_INSTANCE'!B454)</x:f>
      </x:c>
      <x:c r="C535" s="523" t="str">
        <x:f>IF(ISBLANK('_INSTANCE'!C454),"",'_INSTANCE'!C454)</x:f>
      </x:c>
      <x:c r="D535" s="530" t="str">
        <x:f>IF(ISBLANK('_INSTANCE'!D454),"",'_INSTANCE'!D454)</x:f>
      </x:c>
      <x:c r="E535" s="530" t="str">
        <x:f>IF(ISBLANK('_INSTANCE'!E454),"",'_INSTANCE'!E454)</x:f>
      </x:c>
      <x:c r="F535" s="530" t="str">
        <x:f>IF(ISBLANK('_INSTANCE'!F454),"",'_INSTANCE'!F454)</x:f>
      </x:c>
      <x:c r="G535" s="530" t="str">
        <x:f>IF(ISBLANK('_INSTANCE'!G454),"",'_INSTANCE'!G454)</x:f>
      </x:c>
      <x:c r="H535" s="530" t="str">
        <x:f>IF(ISBLANK('_INSTANCE'!H454),"",'_INSTANCE'!H454)</x:f>
      </x:c>
      <x:c r="I535" s="530" t="str">
        <x:f>IF(ISBLANK('_INSTANCE'!I454),"",'_INSTANCE'!I454)</x:f>
      </x:c>
      <x:c r="J535" s="530" t="str">
        <x:f>IF(ISBLANK('_INSTANCE'!J454),"",'_INSTANCE'!J454)</x:f>
      </x:c>
      <x:c r="K535" s="38"/>
      <x:c r="L535" s="38"/>
      <x:c r="M535" s="38"/>
      <x:c r="N535" s="38"/>
      <x:c r="O535" s="38"/>
      <x:c r="P535" s="38"/>
      <x:c r="Q535" s="38"/>
    </x:row>
    <x:row r="536">
      <x:c r="A536" s="523" t="str">
        <x:f>IF(ISBLANK('_INSTANCE'!A455),"",'_INSTANCE'!A455)</x:f>
      </x:c>
      <x:c r="B536" s="523" t="str">
        <x:f>IF(ISBLANK('_INSTANCE'!B455),"",'_INSTANCE'!B455)</x:f>
      </x:c>
      <x:c r="C536" s="523" t="str">
        <x:f>IF(ISBLANK('_INSTANCE'!C455),"",'_INSTANCE'!C455)</x:f>
      </x:c>
      <x:c r="D536" s="530" t="str">
        <x:f>IF(ISBLANK('_INSTANCE'!D455),"",'_INSTANCE'!D455)</x:f>
      </x:c>
      <x:c r="E536" s="530" t="str">
        <x:f>IF(ISBLANK('_INSTANCE'!E455),"",'_INSTANCE'!E455)</x:f>
      </x:c>
      <x:c r="F536" s="530" t="str">
        <x:f>IF(ISBLANK('_INSTANCE'!F455),"",'_INSTANCE'!F455)</x:f>
      </x:c>
      <x:c r="G536" s="530" t="str">
        <x:f>IF(ISBLANK('_INSTANCE'!G455),"",'_INSTANCE'!G455)</x:f>
      </x:c>
      <x:c r="H536" s="530" t="str">
        <x:f>IF(ISBLANK('_INSTANCE'!H455),"",'_INSTANCE'!H455)</x:f>
      </x:c>
      <x:c r="I536" s="530" t="str">
        <x:f>IF(ISBLANK('_INSTANCE'!I455),"",'_INSTANCE'!I455)</x:f>
      </x:c>
      <x:c r="J536" s="530" t="str">
        <x:f>IF(ISBLANK('_INSTANCE'!J455),"",'_INSTANCE'!J455)</x:f>
      </x:c>
      <x:c r="K536" s="38"/>
      <x:c r="L536" s="38"/>
      <x:c r="M536" s="38"/>
      <x:c r="N536" s="38"/>
      <x:c r="O536" s="38"/>
      <x:c r="P536" s="38"/>
      <x:c r="Q536" s="38"/>
    </x:row>
    <x:row r="537">
      <x:c r="A537" s="523" t="str">
        <x:f>IF(ISBLANK('_INSTANCE'!A456),"",'_INSTANCE'!A456)</x:f>
      </x:c>
      <x:c r="B537" s="523" t="str">
        <x:f>IF(ISBLANK('_INSTANCE'!B456),"",'_INSTANCE'!B456)</x:f>
      </x:c>
      <x:c r="C537" s="523" t="str">
        <x:f>IF(ISBLANK('_INSTANCE'!C456),"",'_INSTANCE'!C456)</x:f>
      </x:c>
      <x:c r="D537" s="530" t="str">
        <x:f>IF(ISBLANK('_INSTANCE'!D456),"",'_INSTANCE'!D456)</x:f>
      </x:c>
      <x:c r="E537" s="530" t="str">
        <x:f>IF(ISBLANK('_INSTANCE'!E456),"",'_INSTANCE'!E456)</x:f>
      </x:c>
      <x:c r="F537" s="530" t="str">
        <x:f>IF(ISBLANK('_INSTANCE'!F456),"",'_INSTANCE'!F456)</x:f>
      </x:c>
      <x:c r="G537" s="530" t="str">
        <x:f>IF(ISBLANK('_INSTANCE'!G456),"",'_INSTANCE'!G456)</x:f>
      </x:c>
      <x:c r="H537" s="530" t="str">
        <x:f>IF(ISBLANK('_INSTANCE'!H456),"",'_INSTANCE'!H456)</x:f>
      </x:c>
      <x:c r="I537" s="530" t="str">
        <x:f>IF(ISBLANK('_INSTANCE'!I456),"",'_INSTANCE'!I456)</x:f>
      </x:c>
      <x:c r="J537" s="530" t="str">
        <x:f>IF(ISBLANK('_INSTANCE'!J456),"",'_INSTANCE'!J456)</x:f>
      </x:c>
      <x:c r="K537" s="38"/>
      <x:c r="L537" s="38"/>
      <x:c r="M537" s="38"/>
      <x:c r="N537" s="38"/>
      <x:c r="O537" s="38"/>
      <x:c r="P537" s="38"/>
      <x:c r="Q537" s="38"/>
    </x:row>
    <x:row r="538">
      <x:c r="A538" s="523" t="str">
        <x:f>IF(ISBLANK('_INSTANCE'!A457),"",'_INSTANCE'!A457)</x:f>
      </x:c>
      <x:c r="B538" s="523" t="str">
        <x:f>IF(ISBLANK('_INSTANCE'!B457),"",'_INSTANCE'!B457)</x:f>
      </x:c>
      <x:c r="C538" s="523" t="str">
        <x:f>IF(ISBLANK('_INSTANCE'!C457),"",'_INSTANCE'!C457)</x:f>
      </x:c>
      <x:c r="D538" s="530" t="str">
        <x:f>IF(ISBLANK('_INSTANCE'!D457),"",'_INSTANCE'!D457)</x:f>
      </x:c>
      <x:c r="E538" s="530" t="str">
        <x:f>IF(ISBLANK('_INSTANCE'!E457),"",'_INSTANCE'!E457)</x:f>
      </x:c>
      <x:c r="F538" s="530" t="str">
        <x:f>IF(ISBLANK('_INSTANCE'!F457),"",'_INSTANCE'!F457)</x:f>
      </x:c>
      <x:c r="G538" s="530" t="str">
        <x:f>IF(ISBLANK('_INSTANCE'!G457),"",'_INSTANCE'!G457)</x:f>
      </x:c>
      <x:c r="H538" s="530" t="str">
        <x:f>IF(ISBLANK('_INSTANCE'!H457),"",'_INSTANCE'!H457)</x:f>
      </x:c>
      <x:c r="I538" s="530" t="str">
        <x:f>IF(ISBLANK('_INSTANCE'!I457),"",'_INSTANCE'!I457)</x:f>
      </x:c>
      <x:c r="J538" s="530" t="str">
        <x:f>IF(ISBLANK('_INSTANCE'!J457),"",'_INSTANCE'!J457)</x:f>
      </x:c>
      <x:c r="K538" s="38"/>
      <x:c r="L538" s="38"/>
      <x:c r="M538" s="38"/>
      <x:c r="N538" s="38"/>
      <x:c r="O538" s="38"/>
      <x:c r="P538" s="38"/>
      <x:c r="Q538" s="38"/>
    </x:row>
    <x:row r="539">
      <x:c r="A539" s="523" t="str">
        <x:f>IF(ISBLANK('_INSTANCE'!A458),"",'_INSTANCE'!A458)</x:f>
      </x:c>
      <x:c r="B539" s="523" t="str">
        <x:f>IF(ISBLANK('_INSTANCE'!B458),"",'_INSTANCE'!B458)</x:f>
      </x:c>
      <x:c r="C539" s="523" t="str">
        <x:f>IF(ISBLANK('_INSTANCE'!C458),"",'_INSTANCE'!C458)</x:f>
      </x:c>
      <x:c r="D539" s="530" t="str">
        <x:f>IF(ISBLANK('_INSTANCE'!D458),"",'_INSTANCE'!D458)</x:f>
      </x:c>
      <x:c r="E539" s="530" t="str">
        <x:f>IF(ISBLANK('_INSTANCE'!E458),"",'_INSTANCE'!E458)</x:f>
      </x:c>
      <x:c r="F539" s="530" t="str">
        <x:f>IF(ISBLANK('_INSTANCE'!F458),"",'_INSTANCE'!F458)</x:f>
      </x:c>
      <x:c r="G539" s="530" t="str">
        <x:f>IF(ISBLANK('_INSTANCE'!G458),"",'_INSTANCE'!G458)</x:f>
      </x:c>
      <x:c r="H539" s="530" t="str">
        <x:f>IF(ISBLANK('_INSTANCE'!H458),"",'_INSTANCE'!H458)</x:f>
      </x:c>
      <x:c r="I539" s="530" t="str">
        <x:f>IF(ISBLANK('_INSTANCE'!I458),"",'_INSTANCE'!I458)</x:f>
      </x:c>
      <x:c r="J539" s="530" t="str">
        <x:f>IF(ISBLANK('_INSTANCE'!J458),"",'_INSTANCE'!J458)</x:f>
      </x:c>
      <x:c r="K539" s="38"/>
      <x:c r="L539" s="38"/>
      <x:c r="M539" s="38"/>
      <x:c r="N539" s="38"/>
      <x:c r="O539" s="38"/>
      <x:c r="P539" s="38"/>
      <x:c r="Q539" s="38"/>
    </x:row>
    <x:row r="540">
      <x:c r="A540" s="523" t="str">
        <x:f>IF(ISBLANK('_INSTANCE'!A459),"",'_INSTANCE'!A459)</x:f>
      </x:c>
      <x:c r="B540" s="523" t="str">
        <x:f>IF(ISBLANK('_INSTANCE'!B459),"",'_INSTANCE'!B459)</x:f>
      </x:c>
      <x:c r="C540" s="523" t="str">
        <x:f>IF(ISBLANK('_INSTANCE'!C459),"",'_INSTANCE'!C459)</x:f>
      </x:c>
      <x:c r="D540" s="530" t="str">
        <x:f>IF(ISBLANK('_INSTANCE'!D459),"",'_INSTANCE'!D459)</x:f>
      </x:c>
      <x:c r="E540" s="530" t="str">
        <x:f>IF(ISBLANK('_INSTANCE'!E459),"",'_INSTANCE'!E459)</x:f>
      </x:c>
      <x:c r="F540" s="530" t="str">
        <x:f>IF(ISBLANK('_INSTANCE'!F459),"",'_INSTANCE'!F459)</x:f>
      </x:c>
      <x:c r="G540" s="530" t="str">
        <x:f>IF(ISBLANK('_INSTANCE'!G459),"",'_INSTANCE'!G459)</x:f>
      </x:c>
      <x:c r="H540" s="530" t="str">
        <x:f>IF(ISBLANK('_INSTANCE'!H459),"",'_INSTANCE'!H459)</x:f>
      </x:c>
      <x:c r="I540" s="530" t="str">
        <x:f>IF(ISBLANK('_INSTANCE'!I459),"",'_INSTANCE'!I459)</x:f>
      </x:c>
      <x:c r="J540" s="530" t="str">
        <x:f>IF(ISBLANK('_INSTANCE'!J459),"",'_INSTANCE'!J459)</x:f>
      </x:c>
      <x:c r="K540" s="38"/>
      <x:c r="L540" s="38"/>
      <x:c r="M540" s="38"/>
      <x:c r="N540" s="38"/>
      <x:c r="O540" s="38"/>
      <x:c r="P540" s="38"/>
      <x:c r="Q540" s="38"/>
    </x:row>
    <x:row r="541">
      <x:c r="A541" s="523" t="str">
        <x:f>IF(ISBLANK('_INSTANCE'!A460),"",'_INSTANCE'!A460)</x:f>
      </x:c>
      <x:c r="B541" s="523" t="str">
        <x:f>IF(ISBLANK('_INSTANCE'!B460),"",'_INSTANCE'!B460)</x:f>
      </x:c>
      <x:c r="C541" s="523" t="str">
        <x:f>IF(ISBLANK('_INSTANCE'!C460),"",'_INSTANCE'!C460)</x:f>
      </x:c>
      <x:c r="D541" s="530" t="str">
        <x:f>IF(ISBLANK('_INSTANCE'!D460),"",'_INSTANCE'!D460)</x:f>
      </x:c>
      <x:c r="E541" s="530" t="str">
        <x:f>IF(ISBLANK('_INSTANCE'!E460),"",'_INSTANCE'!E460)</x:f>
      </x:c>
      <x:c r="F541" s="530" t="str">
        <x:f>IF(ISBLANK('_INSTANCE'!F460),"",'_INSTANCE'!F460)</x:f>
      </x:c>
      <x:c r="G541" s="530" t="str">
        <x:f>IF(ISBLANK('_INSTANCE'!G460),"",'_INSTANCE'!G460)</x:f>
      </x:c>
      <x:c r="H541" s="530" t="str">
        <x:f>IF(ISBLANK('_INSTANCE'!H460),"",'_INSTANCE'!H460)</x:f>
      </x:c>
      <x:c r="I541" s="530" t="str">
        <x:f>IF(ISBLANK('_INSTANCE'!I460),"",'_INSTANCE'!I460)</x:f>
      </x:c>
      <x:c r="J541" s="530" t="str">
        <x:f>IF(ISBLANK('_INSTANCE'!J460),"",'_INSTANCE'!J460)</x:f>
      </x:c>
      <x:c r="K541" s="38"/>
      <x:c r="L541" s="38"/>
      <x:c r="M541" s="38"/>
      <x:c r="N541" s="38"/>
      <x:c r="O541" s="38"/>
      <x:c r="P541" s="38"/>
      <x:c r="Q541" s="38"/>
    </x:row>
    <x:row r="542">
      <x:c r="A542" s="523" t="str">
        <x:f>IF(ISBLANK('_INSTANCE'!A461),"",'_INSTANCE'!A461)</x:f>
      </x:c>
      <x:c r="B542" s="523" t="str">
        <x:f>IF(ISBLANK('_INSTANCE'!B461),"",'_INSTANCE'!B461)</x:f>
      </x:c>
      <x:c r="C542" s="523" t="str">
        <x:f>IF(ISBLANK('_INSTANCE'!C461),"",'_INSTANCE'!C461)</x:f>
      </x:c>
      <x:c r="D542" s="530" t="str">
        <x:f>IF(ISBLANK('_INSTANCE'!D461),"",'_INSTANCE'!D461)</x:f>
      </x:c>
      <x:c r="E542" s="530" t="str">
        <x:f>IF(ISBLANK('_INSTANCE'!E461),"",'_INSTANCE'!E461)</x:f>
      </x:c>
      <x:c r="F542" s="530" t="str">
        <x:f>IF(ISBLANK('_INSTANCE'!F461),"",'_INSTANCE'!F461)</x:f>
      </x:c>
      <x:c r="G542" s="530" t="str">
        <x:f>IF(ISBLANK('_INSTANCE'!G461),"",'_INSTANCE'!G461)</x:f>
      </x:c>
      <x:c r="H542" s="530" t="str">
        <x:f>IF(ISBLANK('_INSTANCE'!H461),"",'_INSTANCE'!H461)</x:f>
      </x:c>
      <x:c r="I542" s="530" t="str">
        <x:f>IF(ISBLANK('_INSTANCE'!I461),"",'_INSTANCE'!I461)</x:f>
      </x:c>
      <x:c r="J542" s="530" t="str">
        <x:f>IF(ISBLANK('_INSTANCE'!J461),"",'_INSTANCE'!J461)</x:f>
      </x:c>
      <x:c r="K542" s="38"/>
      <x:c r="L542" s="38"/>
      <x:c r="M542" s="38"/>
      <x:c r="N542" s="38"/>
      <x:c r="O542" s="38"/>
      <x:c r="P542" s="38"/>
      <x:c r="Q542" s="38"/>
    </x:row>
    <x:row r="543">
      <x:c r="A543" s="523" t="str">
        <x:f>IF(ISBLANK('_INSTANCE'!A462),"",'_INSTANCE'!A462)</x:f>
      </x:c>
      <x:c r="B543" s="523" t="str">
        <x:f>IF(ISBLANK('_INSTANCE'!B462),"",'_INSTANCE'!B462)</x:f>
      </x:c>
      <x:c r="C543" s="523" t="str">
        <x:f>IF(ISBLANK('_INSTANCE'!C462),"",'_INSTANCE'!C462)</x:f>
      </x:c>
      <x:c r="D543" s="530" t="str">
        <x:f>IF(ISBLANK('_INSTANCE'!D462),"",'_INSTANCE'!D462)</x:f>
      </x:c>
      <x:c r="E543" s="530" t="str">
        <x:f>IF(ISBLANK('_INSTANCE'!E462),"",'_INSTANCE'!E462)</x:f>
      </x:c>
      <x:c r="F543" s="530" t="str">
        <x:f>IF(ISBLANK('_INSTANCE'!F462),"",'_INSTANCE'!F462)</x:f>
      </x:c>
      <x:c r="G543" s="530" t="str">
        <x:f>IF(ISBLANK('_INSTANCE'!G462),"",'_INSTANCE'!G462)</x:f>
      </x:c>
      <x:c r="H543" s="530" t="str">
        <x:f>IF(ISBLANK('_INSTANCE'!H462),"",'_INSTANCE'!H462)</x:f>
      </x:c>
      <x:c r="I543" s="530" t="str">
        <x:f>IF(ISBLANK('_INSTANCE'!I462),"",'_INSTANCE'!I462)</x:f>
      </x:c>
      <x:c r="J543" s="530" t="str">
        <x:f>IF(ISBLANK('_INSTANCE'!J462),"",'_INSTANCE'!J462)</x:f>
      </x:c>
      <x:c r="K543" s="38"/>
      <x:c r="L543" s="38"/>
      <x:c r="M543" s="38"/>
      <x:c r="N543" s="38"/>
      <x:c r="O543" s="38"/>
      <x:c r="P543" s="38"/>
      <x:c r="Q543" s="38"/>
    </x:row>
    <x:row r="544">
      <x:c r="A544" s="523" t="str">
        <x:f>IF(ISBLANK('_INSTANCE'!A463),"",'_INSTANCE'!A463)</x:f>
      </x:c>
      <x:c r="B544" s="523" t="str">
        <x:f>IF(ISBLANK('_INSTANCE'!B463),"",'_INSTANCE'!B463)</x:f>
      </x:c>
      <x:c r="C544" s="523" t="str">
        <x:f>IF(ISBLANK('_INSTANCE'!C463),"",'_INSTANCE'!C463)</x:f>
      </x:c>
      <x:c r="D544" s="530" t="str">
        <x:f>IF(ISBLANK('_INSTANCE'!D463),"",'_INSTANCE'!D463)</x:f>
      </x:c>
      <x:c r="E544" s="530" t="str">
        <x:f>IF(ISBLANK('_INSTANCE'!E463),"",'_INSTANCE'!E463)</x:f>
      </x:c>
      <x:c r="F544" s="530" t="str">
        <x:f>IF(ISBLANK('_INSTANCE'!F463),"",'_INSTANCE'!F463)</x:f>
      </x:c>
      <x:c r="G544" s="530" t="str">
        <x:f>IF(ISBLANK('_INSTANCE'!G463),"",'_INSTANCE'!G463)</x:f>
      </x:c>
      <x:c r="H544" s="530" t="str">
        <x:f>IF(ISBLANK('_INSTANCE'!H463),"",'_INSTANCE'!H463)</x:f>
      </x:c>
      <x:c r="I544" s="530" t="str">
        <x:f>IF(ISBLANK('_INSTANCE'!I463),"",'_INSTANCE'!I463)</x:f>
      </x:c>
      <x:c r="J544" s="530" t="str">
        <x:f>IF(ISBLANK('_INSTANCE'!J463),"",'_INSTANCE'!J463)</x:f>
      </x:c>
      <x:c r="K544" s="38"/>
      <x:c r="L544" s="38"/>
      <x:c r="M544" s="38"/>
      <x:c r="N544" s="38"/>
      <x:c r="O544" s="38"/>
      <x:c r="P544" s="38"/>
      <x:c r="Q544" s="38"/>
    </x:row>
    <x:row r="545">
      <x:c r="A545" s="523" t="str">
        <x:f>IF(ISBLANK('_INSTANCE'!A464),"",'_INSTANCE'!A464)</x:f>
      </x:c>
      <x:c r="B545" s="523" t="str">
        <x:f>IF(ISBLANK('_INSTANCE'!B464),"",'_INSTANCE'!B464)</x:f>
      </x:c>
      <x:c r="C545" s="523" t="str">
        <x:f>IF(ISBLANK('_INSTANCE'!C464),"",'_INSTANCE'!C464)</x:f>
      </x:c>
      <x:c r="D545" s="530" t="str">
        <x:f>IF(ISBLANK('_INSTANCE'!D464),"",'_INSTANCE'!D464)</x:f>
      </x:c>
      <x:c r="E545" s="530" t="str">
        <x:f>IF(ISBLANK('_INSTANCE'!E464),"",'_INSTANCE'!E464)</x:f>
      </x:c>
      <x:c r="F545" s="530" t="str">
        <x:f>IF(ISBLANK('_INSTANCE'!F464),"",'_INSTANCE'!F464)</x:f>
      </x:c>
      <x:c r="G545" s="530" t="str">
        <x:f>IF(ISBLANK('_INSTANCE'!G464),"",'_INSTANCE'!G464)</x:f>
      </x:c>
      <x:c r="H545" s="530" t="str">
        <x:f>IF(ISBLANK('_INSTANCE'!H464),"",'_INSTANCE'!H464)</x:f>
      </x:c>
      <x:c r="I545" s="530" t="str">
        <x:f>IF(ISBLANK('_INSTANCE'!I464),"",'_INSTANCE'!I464)</x:f>
      </x:c>
      <x:c r="J545" s="530" t="str">
        <x:f>IF(ISBLANK('_INSTANCE'!J464),"",'_INSTANCE'!J464)</x:f>
      </x:c>
      <x:c r="K545" s="38"/>
      <x:c r="L545" s="38"/>
      <x:c r="M545" s="38"/>
      <x:c r="N545" s="38"/>
      <x:c r="O545" s="38"/>
      <x:c r="P545" s="38"/>
      <x:c r="Q545" s="38"/>
    </x:row>
    <x:row r="546">
      <x:c r="A546" s="523" t="str">
        <x:f>IF(ISBLANK('_INSTANCE'!A465),"",'_INSTANCE'!A465)</x:f>
      </x:c>
      <x:c r="B546" s="523" t="str">
        <x:f>IF(ISBLANK('_INSTANCE'!B465),"",'_INSTANCE'!B465)</x:f>
      </x:c>
      <x:c r="C546" s="523" t="str">
        <x:f>IF(ISBLANK('_INSTANCE'!C465),"",'_INSTANCE'!C465)</x:f>
      </x:c>
      <x:c r="D546" s="530" t="str">
        <x:f>IF(ISBLANK('_INSTANCE'!D465),"",'_INSTANCE'!D465)</x:f>
      </x:c>
      <x:c r="E546" s="530" t="str">
        <x:f>IF(ISBLANK('_INSTANCE'!E465),"",'_INSTANCE'!E465)</x:f>
      </x:c>
      <x:c r="F546" s="530" t="str">
        <x:f>IF(ISBLANK('_INSTANCE'!F465),"",'_INSTANCE'!F465)</x:f>
      </x:c>
      <x:c r="G546" s="530" t="str">
        <x:f>IF(ISBLANK('_INSTANCE'!G465),"",'_INSTANCE'!G465)</x:f>
      </x:c>
      <x:c r="H546" s="530" t="str">
        <x:f>IF(ISBLANK('_INSTANCE'!H465),"",'_INSTANCE'!H465)</x:f>
      </x:c>
      <x:c r="I546" s="530" t="str">
        <x:f>IF(ISBLANK('_INSTANCE'!I465),"",'_INSTANCE'!I465)</x:f>
      </x:c>
      <x:c r="J546" s="530" t="str">
        <x:f>IF(ISBLANK('_INSTANCE'!J465),"",'_INSTANCE'!J465)</x:f>
      </x:c>
      <x:c r="K546" s="38"/>
      <x:c r="L546" s="38"/>
      <x:c r="M546" s="38"/>
      <x:c r="N546" s="38"/>
      <x:c r="O546" s="38"/>
      <x:c r="P546" s="38"/>
      <x:c r="Q546" s="38"/>
    </x:row>
    <x:row r="547">
      <x:c r="A547" s="523" t="str">
        <x:f>IF(ISBLANK('_INSTANCE'!A466),"",'_INSTANCE'!A466)</x:f>
      </x:c>
      <x:c r="B547" s="523" t="str">
        <x:f>IF(ISBLANK('_INSTANCE'!B466),"",'_INSTANCE'!B466)</x:f>
      </x:c>
      <x:c r="C547" s="523" t="str">
        <x:f>IF(ISBLANK('_INSTANCE'!C466),"",'_INSTANCE'!C466)</x:f>
      </x:c>
      <x:c r="D547" s="530" t="str">
        <x:f>IF(ISBLANK('_INSTANCE'!D466),"",'_INSTANCE'!D466)</x:f>
      </x:c>
      <x:c r="E547" s="530" t="str">
        <x:f>IF(ISBLANK('_INSTANCE'!E466),"",'_INSTANCE'!E466)</x:f>
      </x:c>
      <x:c r="F547" s="530" t="str">
        <x:f>IF(ISBLANK('_INSTANCE'!F466),"",'_INSTANCE'!F466)</x:f>
      </x:c>
      <x:c r="G547" s="530" t="str">
        <x:f>IF(ISBLANK('_INSTANCE'!G466),"",'_INSTANCE'!G466)</x:f>
      </x:c>
      <x:c r="H547" s="530" t="str">
        <x:f>IF(ISBLANK('_INSTANCE'!H466),"",'_INSTANCE'!H466)</x:f>
      </x:c>
      <x:c r="I547" s="530" t="str">
        <x:f>IF(ISBLANK('_INSTANCE'!I466),"",'_INSTANCE'!I466)</x:f>
      </x:c>
      <x:c r="J547" s="530" t="str">
        <x:f>IF(ISBLANK('_INSTANCE'!J466),"",'_INSTANCE'!J466)</x:f>
      </x:c>
      <x:c r="K547" s="38"/>
      <x:c r="L547" s="38"/>
      <x:c r="M547" s="38"/>
      <x:c r="N547" s="38"/>
      <x:c r="O547" s="38"/>
      <x:c r="P547" s="38"/>
      <x:c r="Q547" s="38"/>
    </x:row>
    <x:row r="548">
      <x:c r="A548" s="523" t="str">
        <x:f>IF(ISBLANK('_INSTANCE'!A467),"",'_INSTANCE'!A467)</x:f>
      </x:c>
      <x:c r="B548" s="523" t="str">
        <x:f>IF(ISBLANK('_INSTANCE'!B467),"",'_INSTANCE'!B467)</x:f>
      </x:c>
      <x:c r="C548" s="523" t="str">
        <x:f>IF(ISBLANK('_INSTANCE'!C467),"",'_INSTANCE'!C467)</x:f>
      </x:c>
      <x:c r="D548" s="530" t="str">
        <x:f>IF(ISBLANK('_INSTANCE'!D467),"",'_INSTANCE'!D467)</x:f>
      </x:c>
      <x:c r="E548" s="530" t="str">
        <x:f>IF(ISBLANK('_INSTANCE'!E467),"",'_INSTANCE'!E467)</x:f>
      </x:c>
      <x:c r="F548" s="530" t="str">
        <x:f>IF(ISBLANK('_INSTANCE'!F467),"",'_INSTANCE'!F467)</x:f>
      </x:c>
      <x:c r="G548" s="530" t="str">
        <x:f>IF(ISBLANK('_INSTANCE'!G467),"",'_INSTANCE'!G467)</x:f>
      </x:c>
      <x:c r="H548" s="530" t="str">
        <x:f>IF(ISBLANK('_INSTANCE'!H467),"",'_INSTANCE'!H467)</x:f>
      </x:c>
      <x:c r="I548" s="530" t="str">
        <x:f>IF(ISBLANK('_INSTANCE'!I467),"",'_INSTANCE'!I467)</x:f>
      </x:c>
      <x:c r="J548" s="530" t="str">
        <x:f>IF(ISBLANK('_INSTANCE'!J467),"",'_INSTANCE'!J467)</x:f>
      </x:c>
      <x:c r="K548" s="38"/>
      <x:c r="L548" s="38"/>
      <x:c r="M548" s="38"/>
      <x:c r="N548" s="38"/>
      <x:c r="O548" s="38"/>
      <x:c r="P548" s="38"/>
      <x:c r="Q548" s="38"/>
    </x:row>
    <x:row r="549">
      <x:c r="A549" s="523" t="str">
        <x:f>IF(ISBLANK('_INSTANCE'!A468),"",'_INSTANCE'!A468)</x:f>
      </x:c>
      <x:c r="B549" s="523" t="str">
        <x:f>IF(ISBLANK('_INSTANCE'!B468),"",'_INSTANCE'!B468)</x:f>
      </x:c>
      <x:c r="C549" s="523" t="str">
        <x:f>IF(ISBLANK('_INSTANCE'!C468),"",'_INSTANCE'!C468)</x:f>
      </x:c>
      <x:c r="D549" s="530" t="str">
        <x:f>IF(ISBLANK('_INSTANCE'!D468),"",'_INSTANCE'!D468)</x:f>
      </x:c>
      <x:c r="E549" s="530" t="str">
        <x:f>IF(ISBLANK('_INSTANCE'!E468),"",'_INSTANCE'!E468)</x:f>
      </x:c>
      <x:c r="F549" s="530" t="str">
        <x:f>IF(ISBLANK('_INSTANCE'!F468),"",'_INSTANCE'!F468)</x:f>
      </x:c>
      <x:c r="G549" s="530" t="str">
        <x:f>IF(ISBLANK('_INSTANCE'!G468),"",'_INSTANCE'!G468)</x:f>
      </x:c>
      <x:c r="H549" s="530" t="str">
        <x:f>IF(ISBLANK('_INSTANCE'!H468),"",'_INSTANCE'!H468)</x:f>
      </x:c>
      <x:c r="I549" s="530" t="str">
        <x:f>IF(ISBLANK('_INSTANCE'!I468),"",'_INSTANCE'!I468)</x:f>
      </x:c>
      <x:c r="J549" s="530" t="str">
        <x:f>IF(ISBLANK('_INSTANCE'!J468),"",'_INSTANCE'!J468)</x:f>
      </x:c>
      <x:c r="K549" s="38"/>
      <x:c r="L549" s="38"/>
      <x:c r="M549" s="38"/>
      <x:c r="N549" s="38"/>
      <x:c r="O549" s="38"/>
      <x:c r="P549" s="38"/>
      <x:c r="Q549" s="38"/>
    </x:row>
    <x:row r="550">
      <x:c r="A550" s="523" t="str">
        <x:f>IF(ISBLANK('_INSTANCE'!A469),"",'_INSTANCE'!A469)</x:f>
      </x:c>
      <x:c r="B550" s="523" t="str">
        <x:f>IF(ISBLANK('_INSTANCE'!B469),"",'_INSTANCE'!B469)</x:f>
      </x:c>
      <x:c r="C550" s="523" t="str">
        <x:f>IF(ISBLANK('_INSTANCE'!C469),"",'_INSTANCE'!C469)</x:f>
      </x:c>
      <x:c r="D550" s="530" t="str">
        <x:f>IF(ISBLANK('_INSTANCE'!D469),"",'_INSTANCE'!D469)</x:f>
      </x:c>
      <x:c r="E550" s="530" t="str">
        <x:f>IF(ISBLANK('_INSTANCE'!E469),"",'_INSTANCE'!E469)</x:f>
      </x:c>
      <x:c r="F550" s="530" t="str">
        <x:f>IF(ISBLANK('_INSTANCE'!F469),"",'_INSTANCE'!F469)</x:f>
      </x:c>
      <x:c r="G550" s="530" t="str">
        <x:f>IF(ISBLANK('_INSTANCE'!G469),"",'_INSTANCE'!G469)</x:f>
      </x:c>
      <x:c r="H550" s="530" t="str">
        <x:f>IF(ISBLANK('_INSTANCE'!H469),"",'_INSTANCE'!H469)</x:f>
      </x:c>
      <x:c r="I550" s="530" t="str">
        <x:f>IF(ISBLANK('_INSTANCE'!I469),"",'_INSTANCE'!I469)</x:f>
      </x:c>
      <x:c r="J550" s="530" t="str">
        <x:f>IF(ISBLANK('_INSTANCE'!J469),"",'_INSTANCE'!J469)</x:f>
      </x:c>
      <x:c r="K550" s="38"/>
      <x:c r="L550" s="38"/>
      <x:c r="M550" s="38"/>
      <x:c r="N550" s="38"/>
      <x:c r="O550" s="38"/>
      <x:c r="P550" s="38"/>
      <x:c r="Q550" s="38"/>
    </x:row>
    <x:row r="551">
      <x:c r="A551" s="523" t="str">
        <x:f>IF(ISBLANK('_INSTANCE'!A470),"",'_INSTANCE'!A470)</x:f>
      </x:c>
      <x:c r="B551" s="523" t="str">
        <x:f>IF(ISBLANK('_INSTANCE'!B470),"",'_INSTANCE'!B470)</x:f>
      </x:c>
      <x:c r="C551" s="523" t="str">
        <x:f>IF(ISBLANK('_INSTANCE'!C470),"",'_INSTANCE'!C470)</x:f>
      </x:c>
      <x:c r="D551" s="530" t="str">
        <x:f>IF(ISBLANK('_INSTANCE'!D470),"",'_INSTANCE'!D470)</x:f>
      </x:c>
      <x:c r="E551" s="530" t="str">
        <x:f>IF(ISBLANK('_INSTANCE'!E470),"",'_INSTANCE'!E470)</x:f>
      </x:c>
      <x:c r="F551" s="530" t="str">
        <x:f>IF(ISBLANK('_INSTANCE'!F470),"",'_INSTANCE'!F470)</x:f>
      </x:c>
      <x:c r="G551" s="530" t="str">
        <x:f>IF(ISBLANK('_INSTANCE'!G470),"",'_INSTANCE'!G470)</x:f>
      </x:c>
      <x:c r="H551" s="530" t="str">
        <x:f>IF(ISBLANK('_INSTANCE'!H470),"",'_INSTANCE'!H470)</x:f>
      </x:c>
      <x:c r="I551" s="530" t="str">
        <x:f>IF(ISBLANK('_INSTANCE'!I470),"",'_INSTANCE'!I470)</x:f>
      </x:c>
      <x:c r="J551" s="530" t="str">
        <x:f>IF(ISBLANK('_INSTANCE'!J470),"",'_INSTANCE'!J470)</x:f>
      </x:c>
      <x:c r="K551" s="38"/>
      <x:c r="L551" s="38"/>
      <x:c r="M551" s="38"/>
      <x:c r="N551" s="38"/>
      <x:c r="O551" s="38"/>
      <x:c r="P551" s="38"/>
      <x:c r="Q551" s="38"/>
    </x:row>
    <x:row r="552">
      <x:c r="A552" s="523" t="str">
        <x:f>IF(ISBLANK('_INSTANCE'!A471),"",'_INSTANCE'!A471)</x:f>
      </x:c>
      <x:c r="B552" s="523" t="str">
        <x:f>IF(ISBLANK('_INSTANCE'!B471),"",'_INSTANCE'!B471)</x:f>
      </x:c>
      <x:c r="C552" s="523" t="str">
        <x:f>IF(ISBLANK('_INSTANCE'!C471),"",'_INSTANCE'!C471)</x:f>
      </x:c>
      <x:c r="D552" s="530" t="str">
        <x:f>IF(ISBLANK('_INSTANCE'!D471),"",'_INSTANCE'!D471)</x:f>
      </x:c>
      <x:c r="E552" s="530" t="str">
        <x:f>IF(ISBLANK('_INSTANCE'!E471),"",'_INSTANCE'!E471)</x:f>
      </x:c>
      <x:c r="F552" s="530" t="str">
        <x:f>IF(ISBLANK('_INSTANCE'!F471),"",'_INSTANCE'!F471)</x:f>
      </x:c>
      <x:c r="G552" s="530" t="str">
        <x:f>IF(ISBLANK('_INSTANCE'!G471),"",'_INSTANCE'!G471)</x:f>
      </x:c>
      <x:c r="H552" s="530" t="str">
        <x:f>IF(ISBLANK('_INSTANCE'!H471),"",'_INSTANCE'!H471)</x:f>
      </x:c>
      <x:c r="I552" s="530" t="str">
        <x:f>IF(ISBLANK('_INSTANCE'!I471),"",'_INSTANCE'!I471)</x:f>
      </x:c>
      <x:c r="J552" s="530" t="str">
        <x:f>IF(ISBLANK('_INSTANCE'!J471),"",'_INSTANCE'!J471)</x:f>
      </x:c>
      <x:c r="K552" s="38"/>
      <x:c r="L552" s="38"/>
      <x:c r="M552" s="38"/>
      <x:c r="N552" s="38"/>
      <x:c r="O552" s="38"/>
      <x:c r="P552" s="38"/>
      <x:c r="Q552" s="38"/>
    </x:row>
    <x:row r="553">
      <x:c r="A553" s="523" t="str">
        <x:f>IF(ISBLANK('_INSTANCE'!A472),"",'_INSTANCE'!A472)</x:f>
      </x:c>
      <x:c r="B553" s="523" t="str">
        <x:f>IF(ISBLANK('_INSTANCE'!B472),"",'_INSTANCE'!B472)</x:f>
      </x:c>
      <x:c r="C553" s="523" t="str">
        <x:f>IF(ISBLANK('_INSTANCE'!C472),"",'_INSTANCE'!C472)</x:f>
      </x:c>
      <x:c r="D553" s="530" t="str">
        <x:f>IF(ISBLANK('_INSTANCE'!D472),"",'_INSTANCE'!D472)</x:f>
      </x:c>
      <x:c r="E553" s="530" t="str">
        <x:f>IF(ISBLANK('_INSTANCE'!E472),"",'_INSTANCE'!E472)</x:f>
      </x:c>
      <x:c r="F553" s="530" t="str">
        <x:f>IF(ISBLANK('_INSTANCE'!F472),"",'_INSTANCE'!F472)</x:f>
      </x:c>
      <x:c r="G553" s="530" t="str">
        <x:f>IF(ISBLANK('_INSTANCE'!G472),"",'_INSTANCE'!G472)</x:f>
      </x:c>
      <x:c r="H553" s="530" t="str">
        <x:f>IF(ISBLANK('_INSTANCE'!H472),"",'_INSTANCE'!H472)</x:f>
      </x:c>
      <x:c r="I553" s="530" t="str">
        <x:f>IF(ISBLANK('_INSTANCE'!I472),"",'_INSTANCE'!I472)</x:f>
      </x:c>
      <x:c r="J553" s="530" t="str">
        <x:f>IF(ISBLANK('_INSTANCE'!J472),"",'_INSTANCE'!J472)</x:f>
      </x:c>
      <x:c r="K553" s="38"/>
      <x:c r="L553" s="38"/>
      <x:c r="M553" s="38"/>
      <x:c r="N553" s="38"/>
      <x:c r="O553" s="38"/>
      <x:c r="P553" s="38"/>
      <x:c r="Q553" s="38"/>
    </x:row>
    <x:row r="554">
      <x:c r="A554" s="523" t="str">
        <x:f>IF(ISBLANK('_INSTANCE'!A473),"",'_INSTANCE'!A473)</x:f>
      </x:c>
      <x:c r="B554" s="523" t="str">
        <x:f>IF(ISBLANK('_INSTANCE'!B473),"",'_INSTANCE'!B473)</x:f>
      </x:c>
      <x:c r="C554" s="523" t="str">
        <x:f>IF(ISBLANK('_INSTANCE'!C473),"",'_INSTANCE'!C473)</x:f>
      </x:c>
      <x:c r="D554" s="530" t="str">
        <x:f>IF(ISBLANK('_INSTANCE'!D473),"",'_INSTANCE'!D473)</x:f>
      </x:c>
      <x:c r="E554" s="530" t="str">
        <x:f>IF(ISBLANK('_INSTANCE'!E473),"",'_INSTANCE'!E473)</x:f>
      </x:c>
      <x:c r="F554" s="530" t="str">
        <x:f>IF(ISBLANK('_INSTANCE'!F473),"",'_INSTANCE'!F473)</x:f>
      </x:c>
      <x:c r="G554" s="530" t="str">
        <x:f>IF(ISBLANK('_INSTANCE'!G473),"",'_INSTANCE'!G473)</x:f>
      </x:c>
      <x:c r="H554" s="530" t="str">
        <x:f>IF(ISBLANK('_INSTANCE'!H473),"",'_INSTANCE'!H473)</x:f>
      </x:c>
      <x:c r="I554" s="530" t="str">
        <x:f>IF(ISBLANK('_INSTANCE'!I473),"",'_INSTANCE'!I473)</x:f>
      </x:c>
      <x:c r="J554" s="530" t="str">
        <x:f>IF(ISBLANK('_INSTANCE'!J473),"",'_INSTANCE'!J473)</x:f>
      </x:c>
      <x:c r="K554" s="38"/>
      <x:c r="L554" s="38"/>
      <x:c r="M554" s="38"/>
      <x:c r="N554" s="38"/>
      <x:c r="O554" s="38"/>
      <x:c r="P554" s="38"/>
      <x:c r="Q554" s="38"/>
    </x:row>
    <x:row r="555">
      <x:c r="A555" s="523" t="str">
        <x:f>IF(ISBLANK('_INSTANCE'!A474),"",'_INSTANCE'!A474)</x:f>
      </x:c>
      <x:c r="B555" s="523" t="str">
        <x:f>IF(ISBLANK('_INSTANCE'!B474),"",'_INSTANCE'!B474)</x:f>
      </x:c>
      <x:c r="C555" s="523" t="str">
        <x:f>IF(ISBLANK('_INSTANCE'!C474),"",'_INSTANCE'!C474)</x:f>
      </x:c>
      <x:c r="D555" s="530" t="str">
        <x:f>IF(ISBLANK('_INSTANCE'!D474),"",'_INSTANCE'!D474)</x:f>
      </x:c>
      <x:c r="E555" s="530" t="str">
        <x:f>IF(ISBLANK('_INSTANCE'!E474),"",'_INSTANCE'!E474)</x:f>
      </x:c>
      <x:c r="F555" s="530" t="str">
        <x:f>IF(ISBLANK('_INSTANCE'!F474),"",'_INSTANCE'!F474)</x:f>
      </x:c>
      <x:c r="G555" s="530" t="str">
        <x:f>IF(ISBLANK('_INSTANCE'!G474),"",'_INSTANCE'!G474)</x:f>
      </x:c>
      <x:c r="H555" s="530" t="str">
        <x:f>IF(ISBLANK('_INSTANCE'!H474),"",'_INSTANCE'!H474)</x:f>
      </x:c>
      <x:c r="I555" s="530" t="str">
        <x:f>IF(ISBLANK('_INSTANCE'!I474),"",'_INSTANCE'!I474)</x:f>
      </x:c>
      <x:c r="J555" s="530" t="str">
        <x:f>IF(ISBLANK('_INSTANCE'!J474),"",'_INSTANCE'!J474)</x:f>
      </x:c>
      <x:c r="K555" s="38"/>
      <x:c r="L555" s="38"/>
      <x:c r="M555" s="38"/>
      <x:c r="N555" s="38"/>
      <x:c r="O555" s="38"/>
      <x:c r="P555" s="38"/>
      <x:c r="Q555" s="38"/>
    </x:row>
    <x:row r="556">
      <x:c r="A556" s="523" t="str">
        <x:f>IF(ISBLANK('_INSTANCE'!A475),"",'_INSTANCE'!A475)</x:f>
      </x:c>
      <x:c r="B556" s="523" t="str">
        <x:f>IF(ISBLANK('_INSTANCE'!B475),"",'_INSTANCE'!B475)</x:f>
      </x:c>
      <x:c r="C556" s="523" t="str">
        <x:f>IF(ISBLANK('_INSTANCE'!C475),"",'_INSTANCE'!C475)</x:f>
      </x:c>
      <x:c r="D556" s="530" t="str">
        <x:f>IF(ISBLANK('_INSTANCE'!D475),"",'_INSTANCE'!D475)</x:f>
      </x:c>
      <x:c r="E556" s="530" t="str">
        <x:f>IF(ISBLANK('_INSTANCE'!E475),"",'_INSTANCE'!E475)</x:f>
      </x:c>
      <x:c r="F556" s="530" t="str">
        <x:f>IF(ISBLANK('_INSTANCE'!F475),"",'_INSTANCE'!F475)</x:f>
      </x:c>
      <x:c r="G556" s="530" t="str">
        <x:f>IF(ISBLANK('_INSTANCE'!G475),"",'_INSTANCE'!G475)</x:f>
      </x:c>
      <x:c r="H556" s="530" t="str">
        <x:f>IF(ISBLANK('_INSTANCE'!H475),"",'_INSTANCE'!H475)</x:f>
      </x:c>
      <x:c r="I556" s="530" t="str">
        <x:f>IF(ISBLANK('_INSTANCE'!I475),"",'_INSTANCE'!I475)</x:f>
      </x:c>
      <x:c r="J556" s="530" t="str">
        <x:f>IF(ISBLANK('_INSTANCE'!J475),"",'_INSTANCE'!J475)</x:f>
      </x:c>
      <x:c r="K556" s="38"/>
      <x:c r="L556" s="38"/>
      <x:c r="M556" s="38"/>
      <x:c r="N556" s="38"/>
      <x:c r="O556" s="38"/>
      <x:c r="P556" s="38"/>
      <x:c r="Q556" s="38"/>
    </x:row>
    <x:row r="557">
      <x:c r="A557" s="523" t="str">
        <x:f>IF(ISBLANK('_INSTANCE'!A476),"",'_INSTANCE'!A476)</x:f>
      </x:c>
      <x:c r="B557" s="523" t="str">
        <x:f>IF(ISBLANK('_INSTANCE'!B476),"",'_INSTANCE'!B476)</x:f>
      </x:c>
      <x:c r="C557" s="523" t="str">
        <x:f>IF(ISBLANK('_INSTANCE'!C476),"",'_INSTANCE'!C476)</x:f>
      </x:c>
      <x:c r="D557" s="530" t="str">
        <x:f>IF(ISBLANK('_INSTANCE'!D476),"",'_INSTANCE'!D476)</x:f>
      </x:c>
      <x:c r="E557" s="530" t="str">
        <x:f>IF(ISBLANK('_INSTANCE'!E476),"",'_INSTANCE'!E476)</x:f>
      </x:c>
      <x:c r="F557" s="530" t="str">
        <x:f>IF(ISBLANK('_INSTANCE'!F476),"",'_INSTANCE'!F476)</x:f>
      </x:c>
      <x:c r="G557" s="530" t="str">
        <x:f>IF(ISBLANK('_INSTANCE'!G476),"",'_INSTANCE'!G476)</x:f>
      </x:c>
      <x:c r="H557" s="530" t="str">
        <x:f>IF(ISBLANK('_INSTANCE'!H476),"",'_INSTANCE'!H476)</x:f>
      </x:c>
      <x:c r="I557" s="530" t="str">
        <x:f>IF(ISBLANK('_INSTANCE'!I476),"",'_INSTANCE'!I476)</x:f>
      </x:c>
      <x:c r="J557" s="530" t="str">
        <x:f>IF(ISBLANK('_INSTANCE'!J476),"",'_INSTANCE'!J476)</x:f>
      </x:c>
      <x:c r="K557" s="38"/>
      <x:c r="L557" s="38"/>
      <x:c r="M557" s="38"/>
      <x:c r="N557" s="38"/>
      <x:c r="O557" s="38"/>
      <x:c r="P557" s="38"/>
      <x:c r="Q557" s="38"/>
    </x:row>
    <x:row r="558">
      <x:c r="A558" s="523" t="str">
        <x:f>IF(ISBLANK('_INSTANCE'!A477),"",'_INSTANCE'!A477)</x:f>
      </x:c>
      <x:c r="B558" s="523" t="str">
        <x:f>IF(ISBLANK('_INSTANCE'!B477),"",'_INSTANCE'!B477)</x:f>
      </x:c>
      <x:c r="C558" s="523" t="str">
        <x:f>IF(ISBLANK('_INSTANCE'!C477),"",'_INSTANCE'!C477)</x:f>
      </x:c>
      <x:c r="D558" s="530" t="str">
        <x:f>IF(ISBLANK('_INSTANCE'!D477),"",'_INSTANCE'!D477)</x:f>
      </x:c>
      <x:c r="E558" s="530" t="str">
        <x:f>IF(ISBLANK('_INSTANCE'!E477),"",'_INSTANCE'!E477)</x:f>
      </x:c>
      <x:c r="F558" s="530" t="str">
        <x:f>IF(ISBLANK('_INSTANCE'!F477),"",'_INSTANCE'!F477)</x:f>
      </x:c>
      <x:c r="G558" s="530" t="str">
        <x:f>IF(ISBLANK('_INSTANCE'!G477),"",'_INSTANCE'!G477)</x:f>
      </x:c>
      <x:c r="H558" s="530" t="str">
        <x:f>IF(ISBLANK('_INSTANCE'!H477),"",'_INSTANCE'!H477)</x:f>
      </x:c>
      <x:c r="I558" s="530" t="str">
        <x:f>IF(ISBLANK('_INSTANCE'!I477),"",'_INSTANCE'!I477)</x:f>
      </x:c>
      <x:c r="J558" s="530" t="str">
        <x:f>IF(ISBLANK('_INSTANCE'!J477),"",'_INSTANCE'!J477)</x:f>
      </x:c>
      <x:c r="K558" s="38"/>
      <x:c r="L558" s="38"/>
      <x:c r="M558" s="38"/>
      <x:c r="N558" s="38"/>
      <x:c r="O558" s="38"/>
      <x:c r="P558" s="38"/>
      <x:c r="Q558" s="38"/>
    </x:row>
    <x:row r="559">
      <x:c r="A559" s="523" t="str">
        <x:f>IF(ISBLANK('_INSTANCE'!A478),"",'_INSTANCE'!A478)</x:f>
      </x:c>
      <x:c r="B559" s="523" t="str">
        <x:f>IF(ISBLANK('_INSTANCE'!B478),"",'_INSTANCE'!B478)</x:f>
      </x:c>
      <x:c r="C559" s="523" t="str">
        <x:f>IF(ISBLANK('_INSTANCE'!C478),"",'_INSTANCE'!C478)</x:f>
      </x:c>
      <x:c r="D559" s="530" t="str">
        <x:f>IF(ISBLANK('_INSTANCE'!D478),"",'_INSTANCE'!D478)</x:f>
      </x:c>
      <x:c r="E559" s="530" t="str">
        <x:f>IF(ISBLANK('_INSTANCE'!E478),"",'_INSTANCE'!E478)</x:f>
      </x:c>
      <x:c r="F559" s="530" t="str">
        <x:f>IF(ISBLANK('_INSTANCE'!F478),"",'_INSTANCE'!F478)</x:f>
      </x:c>
      <x:c r="G559" s="530" t="str">
        <x:f>IF(ISBLANK('_INSTANCE'!G478),"",'_INSTANCE'!G478)</x:f>
      </x:c>
      <x:c r="H559" s="530" t="str">
        <x:f>IF(ISBLANK('_INSTANCE'!H478),"",'_INSTANCE'!H478)</x:f>
      </x:c>
      <x:c r="I559" s="530" t="str">
        <x:f>IF(ISBLANK('_INSTANCE'!I478),"",'_INSTANCE'!I478)</x:f>
      </x:c>
      <x:c r="J559" s="530" t="str">
        <x:f>IF(ISBLANK('_INSTANCE'!J478),"",'_INSTANCE'!J478)</x:f>
      </x:c>
      <x:c r="K559" s="38"/>
      <x:c r="L559" s="38"/>
      <x:c r="M559" s="38"/>
      <x:c r="N559" s="38"/>
      <x:c r="O559" s="38"/>
      <x:c r="P559" s="38"/>
      <x:c r="Q559" s="38"/>
    </x:row>
    <x:row r="560">
      <x:c r="A560" s="523" t="str">
        <x:f>IF(ISBLANK('_INSTANCE'!A479),"",'_INSTANCE'!A479)</x:f>
      </x:c>
      <x:c r="B560" s="523" t="str">
        <x:f>IF(ISBLANK('_INSTANCE'!B479),"",'_INSTANCE'!B479)</x:f>
      </x:c>
      <x:c r="C560" s="523" t="str">
        <x:f>IF(ISBLANK('_INSTANCE'!C479),"",'_INSTANCE'!C479)</x:f>
      </x:c>
      <x:c r="D560" s="530" t="str">
        <x:f>IF(ISBLANK('_INSTANCE'!D479),"",'_INSTANCE'!D479)</x:f>
      </x:c>
      <x:c r="E560" s="530" t="str">
        <x:f>IF(ISBLANK('_INSTANCE'!E479),"",'_INSTANCE'!E479)</x:f>
      </x:c>
      <x:c r="F560" s="530" t="str">
        <x:f>IF(ISBLANK('_INSTANCE'!F479),"",'_INSTANCE'!F479)</x:f>
      </x:c>
      <x:c r="G560" s="530" t="str">
        <x:f>IF(ISBLANK('_INSTANCE'!G479),"",'_INSTANCE'!G479)</x:f>
      </x:c>
      <x:c r="H560" s="530" t="str">
        <x:f>IF(ISBLANK('_INSTANCE'!H479),"",'_INSTANCE'!H479)</x:f>
      </x:c>
      <x:c r="I560" s="530" t="str">
        <x:f>IF(ISBLANK('_INSTANCE'!I479),"",'_INSTANCE'!I479)</x:f>
      </x:c>
      <x:c r="J560" s="530" t="str">
        <x:f>IF(ISBLANK('_INSTANCE'!J479),"",'_INSTANCE'!J479)</x:f>
      </x:c>
      <x:c r="K560" s="38"/>
      <x:c r="L560" s="38"/>
      <x:c r="M560" s="38"/>
      <x:c r="N560" s="38"/>
      <x:c r="O560" s="38"/>
      <x:c r="P560" s="38"/>
      <x:c r="Q560" s="38"/>
    </x:row>
    <x:row r="561">
      <x:c r="A561" s="523" t="str">
        <x:f>IF(ISBLANK('_INSTANCE'!A480),"",'_INSTANCE'!A480)</x:f>
      </x:c>
      <x:c r="B561" s="523" t="str">
        <x:f>IF(ISBLANK('_INSTANCE'!B480),"",'_INSTANCE'!B480)</x:f>
      </x:c>
      <x:c r="C561" s="523" t="str">
        <x:f>IF(ISBLANK('_INSTANCE'!C480),"",'_INSTANCE'!C480)</x:f>
      </x:c>
      <x:c r="D561" s="530" t="str">
        <x:f>IF(ISBLANK('_INSTANCE'!D480),"",'_INSTANCE'!D480)</x:f>
      </x:c>
      <x:c r="E561" s="530" t="str">
        <x:f>IF(ISBLANK('_INSTANCE'!E480),"",'_INSTANCE'!E480)</x:f>
      </x:c>
      <x:c r="F561" s="530" t="str">
        <x:f>IF(ISBLANK('_INSTANCE'!F480),"",'_INSTANCE'!F480)</x:f>
      </x:c>
      <x:c r="G561" s="530" t="str">
        <x:f>IF(ISBLANK('_INSTANCE'!G480),"",'_INSTANCE'!G480)</x:f>
      </x:c>
      <x:c r="H561" s="530" t="str">
        <x:f>IF(ISBLANK('_INSTANCE'!H480),"",'_INSTANCE'!H480)</x:f>
      </x:c>
      <x:c r="I561" s="530" t="str">
        <x:f>IF(ISBLANK('_INSTANCE'!I480),"",'_INSTANCE'!I480)</x:f>
      </x:c>
      <x:c r="J561" s="530" t="str">
        <x:f>IF(ISBLANK('_INSTANCE'!J480),"",'_INSTANCE'!J480)</x:f>
      </x:c>
      <x:c r="K561" s="38"/>
      <x:c r="L561" s="38"/>
      <x:c r="M561" s="38"/>
      <x:c r="N561" s="38"/>
      <x:c r="O561" s="38"/>
      <x:c r="P561" s="38"/>
      <x:c r="Q561" s="38"/>
    </x:row>
    <x:row r="562">
      <x:c r="A562" s="523" t="str">
        <x:f>IF(ISBLANK('_INSTANCE'!A481),"",'_INSTANCE'!A481)</x:f>
      </x:c>
      <x:c r="B562" s="523" t="str">
        <x:f>IF(ISBLANK('_INSTANCE'!B481),"",'_INSTANCE'!B481)</x:f>
      </x:c>
      <x:c r="C562" s="523" t="str">
        <x:f>IF(ISBLANK('_INSTANCE'!C481),"",'_INSTANCE'!C481)</x:f>
      </x:c>
      <x:c r="D562" s="530" t="str">
        <x:f>IF(ISBLANK('_INSTANCE'!D481),"",'_INSTANCE'!D481)</x:f>
      </x:c>
      <x:c r="E562" s="530" t="str">
        <x:f>IF(ISBLANK('_INSTANCE'!E481),"",'_INSTANCE'!E481)</x:f>
      </x:c>
      <x:c r="F562" s="530" t="str">
        <x:f>IF(ISBLANK('_INSTANCE'!F481),"",'_INSTANCE'!F481)</x:f>
      </x:c>
      <x:c r="G562" s="530" t="str">
        <x:f>IF(ISBLANK('_INSTANCE'!G481),"",'_INSTANCE'!G481)</x:f>
      </x:c>
      <x:c r="H562" s="530" t="str">
        <x:f>IF(ISBLANK('_INSTANCE'!H481),"",'_INSTANCE'!H481)</x:f>
      </x:c>
      <x:c r="I562" s="530" t="str">
        <x:f>IF(ISBLANK('_INSTANCE'!I481),"",'_INSTANCE'!I481)</x:f>
      </x:c>
      <x:c r="J562" s="530" t="str">
        <x:f>IF(ISBLANK('_INSTANCE'!J481),"",'_INSTANCE'!J481)</x:f>
      </x:c>
      <x:c r="K562" s="38"/>
      <x:c r="L562" s="38"/>
      <x:c r="M562" s="38"/>
      <x:c r="N562" s="38"/>
      <x:c r="O562" s="38"/>
      <x:c r="P562" s="38"/>
      <x:c r="Q562" s="38"/>
    </x:row>
    <x:row r="563">
      <x:c r="A563" s="523" t="str">
        <x:f>IF(ISBLANK('_INSTANCE'!A482),"",'_INSTANCE'!A482)</x:f>
      </x:c>
      <x:c r="B563" s="523" t="str">
        <x:f>IF(ISBLANK('_INSTANCE'!B482),"",'_INSTANCE'!B482)</x:f>
      </x:c>
      <x:c r="C563" s="523" t="str">
        <x:f>IF(ISBLANK('_INSTANCE'!C482),"",'_INSTANCE'!C482)</x:f>
      </x:c>
      <x:c r="D563" s="530" t="str">
        <x:f>IF(ISBLANK('_INSTANCE'!D482),"",'_INSTANCE'!D482)</x:f>
      </x:c>
      <x:c r="E563" s="530" t="str">
        <x:f>IF(ISBLANK('_INSTANCE'!E482),"",'_INSTANCE'!E482)</x:f>
      </x:c>
      <x:c r="F563" s="530" t="str">
        <x:f>IF(ISBLANK('_INSTANCE'!F482),"",'_INSTANCE'!F482)</x:f>
      </x:c>
      <x:c r="G563" s="530" t="str">
        <x:f>IF(ISBLANK('_INSTANCE'!G482),"",'_INSTANCE'!G482)</x:f>
      </x:c>
      <x:c r="H563" s="530" t="str">
        <x:f>IF(ISBLANK('_INSTANCE'!H482),"",'_INSTANCE'!H482)</x:f>
      </x:c>
      <x:c r="I563" s="530" t="str">
        <x:f>IF(ISBLANK('_INSTANCE'!I482),"",'_INSTANCE'!I482)</x:f>
      </x:c>
      <x:c r="J563" s="530" t="str">
        <x:f>IF(ISBLANK('_INSTANCE'!J482),"",'_INSTANCE'!J482)</x:f>
      </x:c>
      <x:c r="K563" s="38"/>
      <x:c r="L563" s="38"/>
      <x:c r="M563" s="38"/>
      <x:c r="N563" s="38"/>
      <x:c r="O563" s="38"/>
      <x:c r="P563" s="38"/>
      <x:c r="Q563" s="38"/>
    </x:row>
    <x:row r="564">
      <x:c r="A564" s="523" t="str">
        <x:f>IF(ISBLANK('_INSTANCE'!A483),"",'_INSTANCE'!A483)</x:f>
      </x:c>
      <x:c r="B564" s="523" t="str">
        <x:f>IF(ISBLANK('_INSTANCE'!B483),"",'_INSTANCE'!B483)</x:f>
      </x:c>
      <x:c r="C564" s="523" t="str">
        <x:f>IF(ISBLANK('_INSTANCE'!C483),"",'_INSTANCE'!C483)</x:f>
      </x:c>
      <x:c r="D564" s="530" t="str">
        <x:f>IF(ISBLANK('_INSTANCE'!D483),"",'_INSTANCE'!D483)</x:f>
      </x:c>
      <x:c r="E564" s="530" t="str">
        <x:f>IF(ISBLANK('_INSTANCE'!E483),"",'_INSTANCE'!E483)</x:f>
      </x:c>
      <x:c r="F564" s="530" t="str">
        <x:f>IF(ISBLANK('_INSTANCE'!F483),"",'_INSTANCE'!F483)</x:f>
      </x:c>
      <x:c r="G564" s="530" t="str">
        <x:f>IF(ISBLANK('_INSTANCE'!G483),"",'_INSTANCE'!G483)</x:f>
      </x:c>
      <x:c r="H564" s="530" t="str">
        <x:f>IF(ISBLANK('_INSTANCE'!H483),"",'_INSTANCE'!H483)</x:f>
      </x:c>
      <x:c r="I564" s="530" t="str">
        <x:f>IF(ISBLANK('_INSTANCE'!I483),"",'_INSTANCE'!I483)</x:f>
      </x:c>
      <x:c r="J564" s="530" t="str">
        <x:f>IF(ISBLANK('_INSTANCE'!J483),"",'_INSTANCE'!J483)</x:f>
      </x:c>
      <x:c r="K564" s="38"/>
      <x:c r="L564" s="38"/>
      <x:c r="M564" s="38"/>
      <x:c r="N564" s="38"/>
      <x:c r="O564" s="38"/>
      <x:c r="P564" s="38"/>
      <x:c r="Q564" s="38"/>
    </x:row>
    <x:row r="565">
      <x:c r="A565" s="523" t="str">
        <x:f>IF(ISBLANK('_INSTANCE'!A484),"",'_INSTANCE'!A484)</x:f>
      </x:c>
      <x:c r="B565" s="523" t="str">
        <x:f>IF(ISBLANK('_INSTANCE'!B484),"",'_INSTANCE'!B484)</x:f>
      </x:c>
      <x:c r="C565" s="523" t="str">
        <x:f>IF(ISBLANK('_INSTANCE'!C484),"",'_INSTANCE'!C484)</x:f>
      </x:c>
      <x:c r="D565" s="530" t="str">
        <x:f>IF(ISBLANK('_INSTANCE'!D484),"",'_INSTANCE'!D484)</x:f>
      </x:c>
      <x:c r="E565" s="530" t="str">
        <x:f>IF(ISBLANK('_INSTANCE'!E484),"",'_INSTANCE'!E484)</x:f>
      </x:c>
      <x:c r="F565" s="530" t="str">
        <x:f>IF(ISBLANK('_INSTANCE'!F484),"",'_INSTANCE'!F484)</x:f>
      </x:c>
      <x:c r="G565" s="530" t="str">
        <x:f>IF(ISBLANK('_INSTANCE'!G484),"",'_INSTANCE'!G484)</x:f>
      </x:c>
      <x:c r="H565" s="530" t="str">
        <x:f>IF(ISBLANK('_INSTANCE'!H484),"",'_INSTANCE'!H484)</x:f>
      </x:c>
      <x:c r="I565" s="530" t="str">
        <x:f>IF(ISBLANK('_INSTANCE'!I484),"",'_INSTANCE'!I484)</x:f>
      </x:c>
      <x:c r="J565" s="530" t="str">
        <x:f>IF(ISBLANK('_INSTANCE'!J484),"",'_INSTANCE'!J484)</x:f>
      </x:c>
      <x:c r="K565" s="38"/>
      <x:c r="L565" s="38"/>
      <x:c r="M565" s="38"/>
      <x:c r="N565" s="38"/>
      <x:c r="O565" s="38"/>
      <x:c r="P565" s="38"/>
      <x:c r="Q565" s="38"/>
    </x:row>
    <x:row r="566">
      <x:c r="A566" s="523" t="str">
        <x:f>IF(ISBLANK('_INSTANCE'!A485),"",'_INSTANCE'!A485)</x:f>
      </x:c>
      <x:c r="B566" s="523" t="str">
        <x:f>IF(ISBLANK('_INSTANCE'!B485),"",'_INSTANCE'!B485)</x:f>
      </x:c>
      <x:c r="C566" s="523" t="str">
        <x:f>IF(ISBLANK('_INSTANCE'!C485),"",'_INSTANCE'!C485)</x:f>
      </x:c>
      <x:c r="D566" s="530" t="str">
        <x:f>IF(ISBLANK('_INSTANCE'!D485),"",'_INSTANCE'!D485)</x:f>
      </x:c>
      <x:c r="E566" s="530" t="str">
        <x:f>IF(ISBLANK('_INSTANCE'!E485),"",'_INSTANCE'!E485)</x:f>
      </x:c>
      <x:c r="F566" s="530" t="str">
        <x:f>IF(ISBLANK('_INSTANCE'!F485),"",'_INSTANCE'!F485)</x:f>
      </x:c>
      <x:c r="G566" s="530" t="str">
        <x:f>IF(ISBLANK('_INSTANCE'!G485),"",'_INSTANCE'!G485)</x:f>
      </x:c>
      <x:c r="H566" s="530" t="str">
        <x:f>IF(ISBLANK('_INSTANCE'!H485),"",'_INSTANCE'!H485)</x:f>
      </x:c>
      <x:c r="I566" s="530" t="str">
        <x:f>IF(ISBLANK('_INSTANCE'!I485),"",'_INSTANCE'!I485)</x:f>
      </x:c>
      <x:c r="J566" s="530" t="str">
        <x:f>IF(ISBLANK('_INSTANCE'!J485),"",'_INSTANCE'!J485)</x:f>
      </x:c>
      <x:c r="K566" s="38"/>
      <x:c r="L566" s="38"/>
      <x:c r="M566" s="38"/>
      <x:c r="N566" s="38"/>
      <x:c r="O566" s="38"/>
      <x:c r="P566" s="38"/>
      <x:c r="Q566" s="38"/>
    </x:row>
    <x:row r="567">
      <x:c r="A567" s="523" t="str">
        <x:f>IF(ISBLANK('_INSTANCE'!A486),"",'_INSTANCE'!A486)</x:f>
      </x:c>
      <x:c r="B567" s="523" t="str">
        <x:f>IF(ISBLANK('_INSTANCE'!B486),"",'_INSTANCE'!B486)</x:f>
      </x:c>
      <x:c r="C567" s="523" t="str">
        <x:f>IF(ISBLANK('_INSTANCE'!C486),"",'_INSTANCE'!C486)</x:f>
      </x:c>
      <x:c r="D567" s="530" t="str">
        <x:f>IF(ISBLANK('_INSTANCE'!D486),"",'_INSTANCE'!D486)</x:f>
      </x:c>
      <x:c r="E567" s="530" t="str">
        <x:f>IF(ISBLANK('_INSTANCE'!E486),"",'_INSTANCE'!E486)</x:f>
      </x:c>
      <x:c r="F567" s="530" t="str">
        <x:f>IF(ISBLANK('_INSTANCE'!F486),"",'_INSTANCE'!F486)</x:f>
      </x:c>
      <x:c r="G567" s="530" t="str">
        <x:f>IF(ISBLANK('_INSTANCE'!G486),"",'_INSTANCE'!G486)</x:f>
      </x:c>
      <x:c r="H567" s="530" t="str">
        <x:f>IF(ISBLANK('_INSTANCE'!H486),"",'_INSTANCE'!H486)</x:f>
      </x:c>
      <x:c r="I567" s="530" t="str">
        <x:f>IF(ISBLANK('_INSTANCE'!I486),"",'_INSTANCE'!I486)</x:f>
      </x:c>
      <x:c r="J567" s="530" t="str">
        <x:f>IF(ISBLANK('_INSTANCE'!J486),"",'_INSTANCE'!J486)</x:f>
      </x:c>
      <x:c r="K567" s="38"/>
      <x:c r="L567" s="38"/>
      <x:c r="M567" s="38"/>
      <x:c r="N567" s="38"/>
      <x:c r="O567" s="38"/>
      <x:c r="P567" s="38"/>
      <x:c r="Q567" s="38"/>
    </x:row>
    <x:row r="568">
      <x:c r="A568" s="523" t="str">
        <x:f>IF(ISBLANK('_INSTANCE'!A487),"",'_INSTANCE'!A487)</x:f>
      </x:c>
      <x:c r="B568" s="523" t="str">
        <x:f>IF(ISBLANK('_INSTANCE'!B487),"",'_INSTANCE'!B487)</x:f>
      </x:c>
      <x:c r="C568" s="523" t="str">
        <x:f>IF(ISBLANK('_INSTANCE'!C487),"",'_INSTANCE'!C487)</x:f>
      </x:c>
      <x:c r="D568" s="530" t="str">
        <x:f>IF(ISBLANK('_INSTANCE'!D487),"",'_INSTANCE'!D487)</x:f>
      </x:c>
      <x:c r="E568" s="530" t="str">
        <x:f>IF(ISBLANK('_INSTANCE'!E487),"",'_INSTANCE'!E487)</x:f>
      </x:c>
      <x:c r="F568" s="530" t="str">
        <x:f>IF(ISBLANK('_INSTANCE'!F487),"",'_INSTANCE'!F487)</x:f>
      </x:c>
      <x:c r="G568" s="530" t="str">
        <x:f>IF(ISBLANK('_INSTANCE'!G487),"",'_INSTANCE'!G487)</x:f>
      </x:c>
      <x:c r="H568" s="530" t="str">
        <x:f>IF(ISBLANK('_INSTANCE'!H487),"",'_INSTANCE'!H487)</x:f>
      </x:c>
      <x:c r="I568" s="530" t="str">
        <x:f>IF(ISBLANK('_INSTANCE'!I487),"",'_INSTANCE'!I487)</x:f>
      </x:c>
      <x:c r="J568" s="530" t="str">
        <x:f>IF(ISBLANK('_INSTANCE'!J487),"",'_INSTANCE'!J487)</x:f>
      </x:c>
      <x:c r="K568" s="38"/>
      <x:c r="L568" s="38"/>
      <x:c r="M568" s="38"/>
      <x:c r="N568" s="38"/>
      <x:c r="O568" s="38"/>
      <x:c r="P568" s="38"/>
      <x:c r="Q568" s="38"/>
    </x:row>
    <x:row r="569">
      <x:c r="A569" s="523" t="str">
        <x:f>IF(ISBLANK('_INSTANCE'!A488),"",'_INSTANCE'!A488)</x:f>
      </x:c>
      <x:c r="B569" s="523" t="str">
        <x:f>IF(ISBLANK('_INSTANCE'!B488),"",'_INSTANCE'!B488)</x:f>
      </x:c>
      <x:c r="C569" s="523" t="str">
        <x:f>IF(ISBLANK('_INSTANCE'!C488),"",'_INSTANCE'!C488)</x:f>
      </x:c>
      <x:c r="D569" s="530" t="str">
        <x:f>IF(ISBLANK('_INSTANCE'!D488),"",'_INSTANCE'!D488)</x:f>
      </x:c>
      <x:c r="E569" s="530" t="str">
        <x:f>IF(ISBLANK('_INSTANCE'!E488),"",'_INSTANCE'!E488)</x:f>
      </x:c>
      <x:c r="F569" s="530" t="str">
        <x:f>IF(ISBLANK('_INSTANCE'!F488),"",'_INSTANCE'!F488)</x:f>
      </x:c>
      <x:c r="G569" s="530" t="str">
        <x:f>IF(ISBLANK('_INSTANCE'!G488),"",'_INSTANCE'!G488)</x:f>
      </x:c>
      <x:c r="H569" s="530" t="str">
        <x:f>IF(ISBLANK('_INSTANCE'!H488),"",'_INSTANCE'!H488)</x:f>
      </x:c>
      <x:c r="I569" s="530" t="str">
        <x:f>IF(ISBLANK('_INSTANCE'!I488),"",'_INSTANCE'!I488)</x:f>
      </x:c>
      <x:c r="J569" s="530" t="str">
        <x:f>IF(ISBLANK('_INSTANCE'!J488),"",'_INSTANCE'!J488)</x:f>
      </x:c>
      <x:c r="K569" s="38"/>
      <x:c r="L569" s="38"/>
      <x:c r="M569" s="38"/>
      <x:c r="N569" s="38"/>
      <x:c r="O569" s="38"/>
      <x:c r="P569" s="38"/>
      <x:c r="Q569" s="38"/>
    </x:row>
    <x:row r="570">
      <x:c r="A570" s="523" t="str">
        <x:f>IF(ISBLANK('_INSTANCE'!A489),"",'_INSTANCE'!A489)</x:f>
      </x:c>
      <x:c r="B570" s="523" t="str">
        <x:f>IF(ISBLANK('_INSTANCE'!B489),"",'_INSTANCE'!B489)</x:f>
      </x:c>
      <x:c r="C570" s="523" t="str">
        <x:f>IF(ISBLANK('_INSTANCE'!C489),"",'_INSTANCE'!C489)</x:f>
      </x:c>
      <x:c r="D570" s="530" t="str">
        <x:f>IF(ISBLANK('_INSTANCE'!D489),"",'_INSTANCE'!D489)</x:f>
      </x:c>
      <x:c r="E570" s="530" t="str">
        <x:f>IF(ISBLANK('_INSTANCE'!E489),"",'_INSTANCE'!E489)</x:f>
      </x:c>
      <x:c r="F570" s="530" t="str">
        <x:f>IF(ISBLANK('_INSTANCE'!F489),"",'_INSTANCE'!F489)</x:f>
      </x:c>
      <x:c r="G570" s="530" t="str">
        <x:f>IF(ISBLANK('_INSTANCE'!G489),"",'_INSTANCE'!G489)</x:f>
      </x:c>
      <x:c r="H570" s="530" t="str">
        <x:f>IF(ISBLANK('_INSTANCE'!H489),"",'_INSTANCE'!H489)</x:f>
      </x:c>
      <x:c r="I570" s="530" t="str">
        <x:f>IF(ISBLANK('_INSTANCE'!I489),"",'_INSTANCE'!I489)</x:f>
      </x:c>
      <x:c r="J570" s="530" t="str">
        <x:f>IF(ISBLANK('_INSTANCE'!J489),"",'_INSTANCE'!J489)</x:f>
      </x:c>
      <x:c r="K570" s="38"/>
      <x:c r="L570" s="38"/>
      <x:c r="M570" s="38"/>
      <x:c r="N570" s="38"/>
      <x:c r="O570" s="38"/>
      <x:c r="P570" s="38"/>
      <x:c r="Q570" s="38"/>
    </x:row>
    <x:row r="571">
      <x:c r="A571" s="523" t="str">
        <x:f>IF(ISBLANK('_INSTANCE'!A490),"",'_INSTANCE'!A490)</x:f>
      </x:c>
      <x:c r="B571" s="523" t="str">
        <x:f>IF(ISBLANK('_INSTANCE'!B490),"",'_INSTANCE'!B490)</x:f>
      </x:c>
      <x:c r="C571" s="523" t="str">
        <x:f>IF(ISBLANK('_INSTANCE'!C490),"",'_INSTANCE'!C490)</x:f>
      </x:c>
      <x:c r="D571" s="530" t="str">
        <x:f>IF(ISBLANK('_INSTANCE'!D490),"",'_INSTANCE'!D490)</x:f>
      </x:c>
      <x:c r="E571" s="530" t="str">
        <x:f>IF(ISBLANK('_INSTANCE'!E490),"",'_INSTANCE'!E490)</x:f>
      </x:c>
      <x:c r="F571" s="530" t="str">
        <x:f>IF(ISBLANK('_INSTANCE'!F490),"",'_INSTANCE'!F490)</x:f>
      </x:c>
      <x:c r="G571" s="530" t="str">
        <x:f>IF(ISBLANK('_INSTANCE'!G490),"",'_INSTANCE'!G490)</x:f>
      </x:c>
      <x:c r="H571" s="530" t="str">
        <x:f>IF(ISBLANK('_INSTANCE'!H490),"",'_INSTANCE'!H490)</x:f>
      </x:c>
      <x:c r="I571" s="530" t="str">
        <x:f>IF(ISBLANK('_INSTANCE'!I490),"",'_INSTANCE'!I490)</x:f>
      </x:c>
      <x:c r="J571" s="530" t="str">
        <x:f>IF(ISBLANK('_INSTANCE'!J490),"",'_INSTANCE'!J490)</x:f>
      </x:c>
      <x:c r="K571" s="38"/>
      <x:c r="L571" s="38"/>
      <x:c r="M571" s="38"/>
      <x:c r="N571" s="38"/>
      <x:c r="O571" s="38"/>
      <x:c r="P571" s="38"/>
      <x:c r="Q571" s="38"/>
    </x:row>
    <x:row r="572">
      <x:c r="A572" s="523" t="str">
        <x:f>IF(ISBLANK('_INSTANCE'!A491),"",'_INSTANCE'!A491)</x:f>
      </x:c>
      <x:c r="B572" s="523" t="str">
        <x:f>IF(ISBLANK('_INSTANCE'!B491),"",'_INSTANCE'!B491)</x:f>
      </x:c>
      <x:c r="C572" s="523" t="str">
        <x:f>IF(ISBLANK('_INSTANCE'!C491),"",'_INSTANCE'!C491)</x:f>
      </x:c>
      <x:c r="D572" s="530" t="str">
        <x:f>IF(ISBLANK('_INSTANCE'!D491),"",'_INSTANCE'!D491)</x:f>
      </x:c>
      <x:c r="E572" s="530" t="str">
        <x:f>IF(ISBLANK('_INSTANCE'!E491),"",'_INSTANCE'!E491)</x:f>
      </x:c>
      <x:c r="F572" s="530" t="str">
        <x:f>IF(ISBLANK('_INSTANCE'!F491),"",'_INSTANCE'!F491)</x:f>
      </x:c>
      <x:c r="G572" s="530" t="str">
        <x:f>IF(ISBLANK('_INSTANCE'!G491),"",'_INSTANCE'!G491)</x:f>
      </x:c>
      <x:c r="H572" s="530" t="str">
        <x:f>IF(ISBLANK('_INSTANCE'!H491),"",'_INSTANCE'!H491)</x:f>
      </x:c>
      <x:c r="I572" s="530" t="str">
        <x:f>IF(ISBLANK('_INSTANCE'!I491),"",'_INSTANCE'!I491)</x:f>
      </x:c>
      <x:c r="J572" s="530" t="str">
        <x:f>IF(ISBLANK('_INSTANCE'!J491),"",'_INSTANCE'!J491)</x:f>
      </x:c>
      <x:c r="K572" s="38"/>
      <x:c r="L572" s="38"/>
      <x:c r="M572" s="38"/>
      <x:c r="N572" s="38"/>
      <x:c r="O572" s="38"/>
      <x:c r="P572" s="38"/>
      <x:c r="Q572" s="38"/>
    </x:row>
    <x:row r="573">
      <x:c r="A573" s="523" t="str">
        <x:f>IF(ISBLANK('_INSTANCE'!A492),"",'_INSTANCE'!A492)</x:f>
      </x:c>
      <x:c r="B573" s="523" t="str">
        <x:f>IF(ISBLANK('_INSTANCE'!B492),"",'_INSTANCE'!B492)</x:f>
      </x:c>
      <x:c r="C573" s="523" t="str">
        <x:f>IF(ISBLANK('_INSTANCE'!C492),"",'_INSTANCE'!C492)</x:f>
      </x:c>
      <x:c r="D573" s="530" t="str">
        <x:f>IF(ISBLANK('_INSTANCE'!D492),"",'_INSTANCE'!D492)</x:f>
      </x:c>
      <x:c r="E573" s="530" t="str">
        <x:f>IF(ISBLANK('_INSTANCE'!E492),"",'_INSTANCE'!E492)</x:f>
      </x:c>
      <x:c r="F573" s="530" t="str">
        <x:f>IF(ISBLANK('_INSTANCE'!F492),"",'_INSTANCE'!F492)</x:f>
      </x:c>
      <x:c r="G573" s="530" t="str">
        <x:f>IF(ISBLANK('_INSTANCE'!G492),"",'_INSTANCE'!G492)</x:f>
      </x:c>
      <x:c r="H573" s="530" t="str">
        <x:f>IF(ISBLANK('_INSTANCE'!H492),"",'_INSTANCE'!H492)</x:f>
      </x:c>
      <x:c r="I573" s="530" t="str">
        <x:f>IF(ISBLANK('_INSTANCE'!I492),"",'_INSTANCE'!I492)</x:f>
      </x:c>
      <x:c r="J573" s="530" t="str">
        <x:f>IF(ISBLANK('_INSTANCE'!J492),"",'_INSTANCE'!J492)</x:f>
      </x:c>
      <x:c r="K573" s="38"/>
      <x:c r="L573" s="38"/>
      <x:c r="M573" s="38"/>
      <x:c r="N573" s="38"/>
      <x:c r="O573" s="38"/>
      <x:c r="P573" s="38"/>
      <x:c r="Q573" s="38"/>
    </x:row>
    <x:row r="574">
      <x:c r="A574" s="523" t="str">
        <x:f>IF(ISBLANK('_INSTANCE'!A493),"",'_INSTANCE'!A493)</x:f>
      </x:c>
      <x:c r="B574" s="523" t="str">
        <x:f>IF(ISBLANK('_INSTANCE'!B493),"",'_INSTANCE'!B493)</x:f>
      </x:c>
      <x:c r="C574" s="523" t="str">
        <x:f>IF(ISBLANK('_INSTANCE'!C493),"",'_INSTANCE'!C493)</x:f>
      </x:c>
      <x:c r="D574" s="530" t="str">
        <x:f>IF(ISBLANK('_INSTANCE'!D493),"",'_INSTANCE'!D493)</x:f>
      </x:c>
      <x:c r="E574" s="530" t="str">
        <x:f>IF(ISBLANK('_INSTANCE'!E493),"",'_INSTANCE'!E493)</x:f>
      </x:c>
      <x:c r="F574" s="530" t="str">
        <x:f>IF(ISBLANK('_INSTANCE'!F493),"",'_INSTANCE'!F493)</x:f>
      </x:c>
      <x:c r="G574" s="530" t="str">
        <x:f>IF(ISBLANK('_INSTANCE'!G493),"",'_INSTANCE'!G493)</x:f>
      </x:c>
      <x:c r="H574" s="530" t="str">
        <x:f>IF(ISBLANK('_INSTANCE'!H493),"",'_INSTANCE'!H493)</x:f>
      </x:c>
      <x:c r="I574" s="530" t="str">
        <x:f>IF(ISBLANK('_INSTANCE'!I493),"",'_INSTANCE'!I493)</x:f>
      </x:c>
      <x:c r="J574" s="530" t="str">
        <x:f>IF(ISBLANK('_INSTANCE'!J493),"",'_INSTANCE'!J493)</x:f>
      </x:c>
      <x:c r="K574" s="38"/>
      <x:c r="L574" s="38"/>
      <x:c r="M574" s="38"/>
      <x:c r="N574" s="38"/>
      <x:c r="O574" s="38"/>
      <x:c r="P574" s="38"/>
      <x:c r="Q574" s="38"/>
    </x:row>
    <x:row r="575">
      <x:c r="A575" s="523" t="str">
        <x:f>IF(ISBLANK('_INSTANCE'!A494),"",'_INSTANCE'!A494)</x:f>
      </x:c>
      <x:c r="B575" s="523" t="str">
        <x:f>IF(ISBLANK('_INSTANCE'!B494),"",'_INSTANCE'!B494)</x:f>
      </x:c>
      <x:c r="C575" s="523" t="str">
        <x:f>IF(ISBLANK('_INSTANCE'!C494),"",'_INSTANCE'!C494)</x:f>
      </x:c>
      <x:c r="D575" s="530" t="str">
        <x:f>IF(ISBLANK('_INSTANCE'!D494),"",'_INSTANCE'!D494)</x:f>
      </x:c>
      <x:c r="E575" s="530" t="str">
        <x:f>IF(ISBLANK('_INSTANCE'!E494),"",'_INSTANCE'!E494)</x:f>
      </x:c>
      <x:c r="F575" s="530" t="str">
        <x:f>IF(ISBLANK('_INSTANCE'!F494),"",'_INSTANCE'!F494)</x:f>
      </x:c>
      <x:c r="G575" s="530" t="str">
        <x:f>IF(ISBLANK('_INSTANCE'!G494),"",'_INSTANCE'!G494)</x:f>
      </x:c>
      <x:c r="H575" s="530" t="str">
        <x:f>IF(ISBLANK('_INSTANCE'!H494),"",'_INSTANCE'!H494)</x:f>
      </x:c>
      <x:c r="I575" s="530" t="str">
        <x:f>IF(ISBLANK('_INSTANCE'!I494),"",'_INSTANCE'!I494)</x:f>
      </x:c>
      <x:c r="J575" s="530" t="str">
        <x:f>IF(ISBLANK('_INSTANCE'!J494),"",'_INSTANCE'!J494)</x:f>
      </x:c>
      <x:c r="K575" s="38"/>
      <x:c r="L575" s="38"/>
      <x:c r="M575" s="38"/>
      <x:c r="N575" s="38"/>
      <x:c r="O575" s="38"/>
      <x:c r="P575" s="38"/>
      <x:c r="Q575" s="38"/>
    </x:row>
    <x:row r="576">
      <x:c r="A576" s="523" t="str">
        <x:f>IF(ISBLANK('_INSTANCE'!A495),"",'_INSTANCE'!A495)</x:f>
      </x:c>
      <x:c r="B576" s="523" t="str">
        <x:f>IF(ISBLANK('_INSTANCE'!B495),"",'_INSTANCE'!B495)</x:f>
      </x:c>
      <x:c r="C576" s="523" t="str">
        <x:f>IF(ISBLANK('_INSTANCE'!C495),"",'_INSTANCE'!C495)</x:f>
      </x:c>
      <x:c r="D576" s="530" t="str">
        <x:f>IF(ISBLANK('_INSTANCE'!D495),"",'_INSTANCE'!D495)</x:f>
      </x:c>
      <x:c r="E576" s="530" t="str">
        <x:f>IF(ISBLANK('_INSTANCE'!E495),"",'_INSTANCE'!E495)</x:f>
      </x:c>
      <x:c r="F576" s="530" t="str">
        <x:f>IF(ISBLANK('_INSTANCE'!F495),"",'_INSTANCE'!F495)</x:f>
      </x:c>
      <x:c r="G576" s="530" t="str">
        <x:f>IF(ISBLANK('_INSTANCE'!G495),"",'_INSTANCE'!G495)</x:f>
      </x:c>
      <x:c r="H576" s="530" t="str">
        <x:f>IF(ISBLANK('_INSTANCE'!H495),"",'_INSTANCE'!H495)</x:f>
      </x:c>
      <x:c r="I576" s="530" t="str">
        <x:f>IF(ISBLANK('_INSTANCE'!I495),"",'_INSTANCE'!I495)</x:f>
      </x:c>
      <x:c r="J576" s="530" t="str">
        <x:f>IF(ISBLANK('_INSTANCE'!J495),"",'_INSTANCE'!J495)</x:f>
      </x:c>
      <x:c r="K576" s="38"/>
      <x:c r="L576" s="38"/>
      <x:c r="M576" s="38"/>
      <x:c r="N576" s="38"/>
      <x:c r="O576" s="38"/>
      <x:c r="P576" s="38"/>
      <x:c r="Q576" s="38"/>
    </x:row>
    <x:row r="577">
      <x:c r="A577" s="523" t="str">
        <x:f>IF(ISBLANK('_INSTANCE'!A496),"",'_INSTANCE'!A496)</x:f>
      </x:c>
      <x:c r="B577" s="523" t="str">
        <x:f>IF(ISBLANK('_INSTANCE'!B496),"",'_INSTANCE'!B496)</x:f>
      </x:c>
      <x:c r="C577" s="523" t="str">
        <x:f>IF(ISBLANK('_INSTANCE'!C496),"",'_INSTANCE'!C496)</x:f>
      </x:c>
      <x:c r="D577" s="530" t="str">
        <x:f>IF(ISBLANK('_INSTANCE'!D496),"",'_INSTANCE'!D496)</x:f>
      </x:c>
      <x:c r="E577" s="530" t="str">
        <x:f>IF(ISBLANK('_INSTANCE'!E496),"",'_INSTANCE'!E496)</x:f>
      </x:c>
      <x:c r="F577" s="530" t="str">
        <x:f>IF(ISBLANK('_INSTANCE'!F496),"",'_INSTANCE'!F496)</x:f>
      </x:c>
      <x:c r="G577" s="530" t="str">
        <x:f>IF(ISBLANK('_INSTANCE'!G496),"",'_INSTANCE'!G496)</x:f>
      </x:c>
      <x:c r="H577" s="530" t="str">
        <x:f>IF(ISBLANK('_INSTANCE'!H496),"",'_INSTANCE'!H496)</x:f>
      </x:c>
      <x:c r="I577" s="530" t="str">
        <x:f>IF(ISBLANK('_INSTANCE'!I496),"",'_INSTANCE'!I496)</x:f>
      </x:c>
      <x:c r="J577" s="530" t="str">
        <x:f>IF(ISBLANK('_INSTANCE'!J496),"",'_INSTANCE'!J496)</x:f>
      </x:c>
      <x:c r="K577" s="38"/>
      <x:c r="L577" s="38"/>
      <x:c r="M577" s="38"/>
      <x:c r="N577" s="38"/>
      <x:c r="O577" s="38"/>
      <x:c r="P577" s="38"/>
      <x:c r="Q577" s="38"/>
    </x:row>
    <x:row r="578">
      <x:c r="A578" s="523" t="str">
        <x:f>IF(ISBLANK('_INSTANCE'!A497),"",'_INSTANCE'!A497)</x:f>
      </x:c>
      <x:c r="B578" s="523" t="str">
        <x:f>IF(ISBLANK('_INSTANCE'!B497),"",'_INSTANCE'!B497)</x:f>
      </x:c>
      <x:c r="C578" s="523" t="str">
        <x:f>IF(ISBLANK('_INSTANCE'!C497),"",'_INSTANCE'!C497)</x:f>
      </x:c>
      <x:c r="D578" s="530" t="str">
        <x:f>IF(ISBLANK('_INSTANCE'!D497),"",'_INSTANCE'!D497)</x:f>
      </x:c>
      <x:c r="E578" s="530" t="str">
        <x:f>IF(ISBLANK('_INSTANCE'!E497),"",'_INSTANCE'!E497)</x:f>
      </x:c>
      <x:c r="F578" s="530" t="str">
        <x:f>IF(ISBLANK('_INSTANCE'!F497),"",'_INSTANCE'!F497)</x:f>
      </x:c>
      <x:c r="G578" s="530" t="str">
        <x:f>IF(ISBLANK('_INSTANCE'!G497),"",'_INSTANCE'!G497)</x:f>
      </x:c>
      <x:c r="H578" s="530" t="str">
        <x:f>IF(ISBLANK('_INSTANCE'!H497),"",'_INSTANCE'!H497)</x:f>
      </x:c>
      <x:c r="I578" s="530" t="str">
        <x:f>IF(ISBLANK('_INSTANCE'!I497),"",'_INSTANCE'!I497)</x:f>
      </x:c>
      <x:c r="J578" s="530" t="str">
        <x:f>IF(ISBLANK('_INSTANCE'!J497),"",'_INSTANCE'!J497)</x:f>
      </x:c>
      <x:c r="K578" s="38"/>
      <x:c r="L578" s="38"/>
      <x:c r="M578" s="38"/>
      <x:c r="N578" s="38"/>
      <x:c r="O578" s="38"/>
      <x:c r="P578" s="38"/>
      <x:c r="Q578" s="38"/>
    </x:row>
    <x:row r="579">
      <x:c r="A579" s="523" t="str">
        <x:f>IF(ISBLANK('_INSTANCE'!A498),"",'_INSTANCE'!A498)</x:f>
      </x:c>
      <x:c r="B579" s="523" t="str">
        <x:f>IF(ISBLANK('_INSTANCE'!B498),"",'_INSTANCE'!B498)</x:f>
      </x:c>
      <x:c r="C579" s="523" t="str">
        <x:f>IF(ISBLANK('_INSTANCE'!C498),"",'_INSTANCE'!C498)</x:f>
      </x:c>
      <x:c r="D579" s="530" t="str">
        <x:f>IF(ISBLANK('_INSTANCE'!D498),"",'_INSTANCE'!D498)</x:f>
      </x:c>
      <x:c r="E579" s="530" t="str">
        <x:f>IF(ISBLANK('_INSTANCE'!E498),"",'_INSTANCE'!E498)</x:f>
      </x:c>
      <x:c r="F579" s="530" t="str">
        <x:f>IF(ISBLANK('_INSTANCE'!F498),"",'_INSTANCE'!F498)</x:f>
      </x:c>
      <x:c r="G579" s="530" t="str">
        <x:f>IF(ISBLANK('_INSTANCE'!G498),"",'_INSTANCE'!G498)</x:f>
      </x:c>
      <x:c r="H579" s="530" t="str">
        <x:f>IF(ISBLANK('_INSTANCE'!H498),"",'_INSTANCE'!H498)</x:f>
      </x:c>
      <x:c r="I579" s="530" t="str">
        <x:f>IF(ISBLANK('_INSTANCE'!I498),"",'_INSTANCE'!I498)</x:f>
      </x:c>
      <x:c r="J579" s="530" t="str">
        <x:f>IF(ISBLANK('_INSTANCE'!J498),"",'_INSTANCE'!J498)</x:f>
      </x:c>
      <x:c r="K579" s="38"/>
      <x:c r="L579" s="38"/>
      <x:c r="M579" s="38"/>
      <x:c r="N579" s="38"/>
      <x:c r="O579" s="38"/>
      <x:c r="P579" s="38"/>
      <x:c r="Q579" s="38"/>
    </x:row>
    <x:row r="580">
      <x:c r="A580" s="523" t="str">
        <x:f>IF(ISBLANK('_INSTANCE'!A499),"",'_INSTANCE'!A499)</x:f>
      </x:c>
      <x:c r="B580" s="523" t="str">
        <x:f>IF(ISBLANK('_INSTANCE'!B499),"",'_INSTANCE'!B499)</x:f>
      </x:c>
      <x:c r="C580" s="523" t="str">
        <x:f>IF(ISBLANK('_INSTANCE'!C499),"",'_INSTANCE'!C499)</x:f>
      </x:c>
      <x:c r="D580" s="530" t="str">
        <x:f>IF(ISBLANK('_INSTANCE'!D499),"",'_INSTANCE'!D499)</x:f>
      </x:c>
      <x:c r="E580" s="530" t="str">
        <x:f>IF(ISBLANK('_INSTANCE'!E499),"",'_INSTANCE'!E499)</x:f>
      </x:c>
      <x:c r="F580" s="530" t="str">
        <x:f>IF(ISBLANK('_INSTANCE'!F499),"",'_INSTANCE'!F499)</x:f>
      </x:c>
      <x:c r="G580" s="530" t="str">
        <x:f>IF(ISBLANK('_INSTANCE'!G499),"",'_INSTANCE'!G499)</x:f>
      </x:c>
      <x:c r="H580" s="530" t="str">
        <x:f>IF(ISBLANK('_INSTANCE'!H499),"",'_INSTANCE'!H499)</x:f>
      </x:c>
      <x:c r="I580" s="530" t="str">
        <x:f>IF(ISBLANK('_INSTANCE'!I499),"",'_INSTANCE'!I499)</x:f>
      </x:c>
      <x:c r="J580" s="530" t="str">
        <x:f>IF(ISBLANK('_INSTANCE'!J499),"",'_INSTANCE'!J499)</x:f>
      </x:c>
      <x:c r="K580" s="38"/>
      <x:c r="L580" s="38"/>
      <x:c r="M580" s="38"/>
      <x:c r="N580" s="38"/>
      <x:c r="O580" s="38"/>
      <x:c r="P580" s="38"/>
      <x:c r="Q580" s="38"/>
    </x:row>
    <x:row r="581">
      <x:c r="A581" s="523" t="str">
        <x:f>IF(ISBLANK('_INSTANCE'!A500),"",'_INSTANCE'!A500)</x:f>
      </x:c>
      <x:c r="B581" s="523" t="str">
        <x:f>IF(ISBLANK('_INSTANCE'!B500),"",'_INSTANCE'!B500)</x:f>
      </x:c>
      <x:c r="C581" s="523" t="str">
        <x:f>IF(ISBLANK('_INSTANCE'!C500),"",'_INSTANCE'!C500)</x:f>
      </x:c>
      <x:c r="D581" s="530" t="str">
        <x:f>IF(ISBLANK('_INSTANCE'!D500),"",'_INSTANCE'!D500)</x:f>
      </x:c>
      <x:c r="E581" s="530" t="str">
        <x:f>IF(ISBLANK('_INSTANCE'!E500),"",'_INSTANCE'!E500)</x:f>
      </x:c>
      <x:c r="F581" s="530" t="str">
        <x:f>IF(ISBLANK('_INSTANCE'!F500),"",'_INSTANCE'!F500)</x:f>
      </x:c>
      <x:c r="G581" s="530" t="str">
        <x:f>IF(ISBLANK('_INSTANCE'!G500),"",'_INSTANCE'!G500)</x:f>
      </x:c>
      <x:c r="H581" s="530" t="str">
        <x:f>IF(ISBLANK('_INSTANCE'!H500),"",'_INSTANCE'!H500)</x:f>
      </x:c>
      <x:c r="I581" s="530" t="str">
        <x:f>IF(ISBLANK('_INSTANCE'!I500),"",'_INSTANCE'!I500)</x:f>
      </x:c>
      <x:c r="J581" s="530" t="str">
        <x:f>IF(ISBLANK('_INSTANCE'!J500),"",'_INSTANCE'!J500)</x:f>
      </x:c>
      <x:c r="K581" s="38"/>
      <x:c r="L581" s="38"/>
      <x:c r="M581" s="38"/>
      <x:c r="N581" s="38"/>
      <x:c r="O581" s="38"/>
      <x:c r="P581" s="38"/>
      <x:c r="Q581" s="38"/>
    </x:row>
    <x:row r="582">
      <x:c r="A582" s="523" t="str">
        <x:f>IF(ISBLANK('_INSTANCE'!A501),"",'_INSTANCE'!A501)</x:f>
      </x:c>
      <x:c r="B582" s="523" t="str">
        <x:f>IF(ISBLANK('_INSTANCE'!B501),"",'_INSTANCE'!B501)</x:f>
      </x:c>
      <x:c r="C582" s="523" t="str">
        <x:f>IF(ISBLANK('_INSTANCE'!C501),"",'_INSTANCE'!C501)</x:f>
      </x:c>
      <x:c r="D582" s="530" t="str">
        <x:f>IF(ISBLANK('_INSTANCE'!D501),"",'_INSTANCE'!D501)</x:f>
      </x:c>
      <x:c r="E582" s="530" t="str">
        <x:f>IF(ISBLANK('_INSTANCE'!E501),"",'_INSTANCE'!E501)</x:f>
      </x:c>
      <x:c r="F582" s="530" t="str">
        <x:f>IF(ISBLANK('_INSTANCE'!F501),"",'_INSTANCE'!F501)</x:f>
      </x:c>
      <x:c r="G582" s="530" t="str">
        <x:f>IF(ISBLANK('_INSTANCE'!G501),"",'_INSTANCE'!G501)</x:f>
      </x:c>
      <x:c r="H582" s="530" t="str">
        <x:f>IF(ISBLANK('_INSTANCE'!H501),"",'_INSTANCE'!H501)</x:f>
      </x:c>
      <x:c r="I582" s="530" t="str">
        <x:f>IF(ISBLANK('_INSTANCE'!I501),"",'_INSTANCE'!I501)</x:f>
      </x:c>
      <x:c r="J582" s="530" t="str">
        <x:f>IF(ISBLANK('_INSTANCE'!J501),"",'_INSTANCE'!J501)</x:f>
      </x:c>
      <x:c r="K582" s="38"/>
      <x:c r="L582" s="38"/>
      <x:c r="M582" s="38"/>
      <x:c r="N582" s="38"/>
      <x:c r="O582" s="38"/>
      <x:c r="P582" s="38"/>
      <x:c r="Q582" s="38"/>
    </x:row>
    <x:row r="583">
      <x:c r="A583" s="523" t="str">
        <x:f>IF(ISBLANK('_INSTANCE'!A502),"",'_INSTANCE'!A502)</x:f>
      </x:c>
      <x:c r="B583" s="523" t="str">
        <x:f>IF(ISBLANK('_INSTANCE'!B502),"",'_INSTANCE'!B502)</x:f>
      </x:c>
      <x:c r="C583" s="523" t="str">
        <x:f>IF(ISBLANK('_INSTANCE'!C502),"",'_INSTANCE'!C502)</x:f>
      </x:c>
      <x:c r="D583" s="530" t="str">
        <x:f>IF(ISBLANK('_INSTANCE'!D502),"",'_INSTANCE'!D502)</x:f>
      </x:c>
      <x:c r="E583" s="530" t="str">
        <x:f>IF(ISBLANK('_INSTANCE'!E502),"",'_INSTANCE'!E502)</x:f>
      </x:c>
      <x:c r="F583" s="530" t="str">
        <x:f>IF(ISBLANK('_INSTANCE'!F502),"",'_INSTANCE'!F502)</x:f>
      </x:c>
      <x:c r="G583" s="530" t="str">
        <x:f>IF(ISBLANK('_INSTANCE'!G502),"",'_INSTANCE'!G502)</x:f>
      </x:c>
      <x:c r="H583" s="530" t="str">
        <x:f>IF(ISBLANK('_INSTANCE'!H502),"",'_INSTANCE'!H502)</x:f>
      </x:c>
      <x:c r="I583" s="530" t="str">
        <x:f>IF(ISBLANK('_INSTANCE'!I502),"",'_INSTANCE'!I502)</x:f>
      </x:c>
      <x:c r="J583" s="530" t="str">
        <x:f>IF(ISBLANK('_INSTANCE'!J502),"",'_INSTANCE'!J502)</x:f>
      </x:c>
      <x:c r="K583" s="38"/>
      <x:c r="L583" s="38"/>
      <x:c r="M583" s="38"/>
      <x:c r="N583" s="38"/>
      <x:c r="O583" s="38"/>
      <x:c r="P583" s="38"/>
      <x:c r="Q583" s="38"/>
    </x:row>
    <x:row r="584">
      <x:c r="A584" s="523" t="str">
        <x:f>IF(ISBLANK('_INSTANCE'!A503),"",'_INSTANCE'!A503)</x:f>
      </x:c>
      <x:c r="B584" s="523" t="str">
        <x:f>IF(ISBLANK('_INSTANCE'!B503),"",'_INSTANCE'!B503)</x:f>
      </x:c>
      <x:c r="C584" s="523" t="str">
        <x:f>IF(ISBLANK('_INSTANCE'!C503),"",'_INSTANCE'!C503)</x:f>
      </x:c>
      <x:c r="D584" s="530" t="str">
        <x:f>IF(ISBLANK('_INSTANCE'!D503),"",'_INSTANCE'!D503)</x:f>
      </x:c>
      <x:c r="E584" s="530" t="str">
        <x:f>IF(ISBLANK('_INSTANCE'!E503),"",'_INSTANCE'!E503)</x:f>
      </x:c>
      <x:c r="F584" s="530" t="str">
        <x:f>IF(ISBLANK('_INSTANCE'!F503),"",'_INSTANCE'!F503)</x:f>
      </x:c>
      <x:c r="G584" s="530" t="str">
        <x:f>IF(ISBLANK('_INSTANCE'!G503),"",'_INSTANCE'!G503)</x:f>
      </x:c>
      <x:c r="H584" s="530" t="str">
        <x:f>IF(ISBLANK('_INSTANCE'!H503),"",'_INSTANCE'!H503)</x:f>
      </x:c>
      <x:c r="I584" s="530" t="str">
        <x:f>IF(ISBLANK('_INSTANCE'!I503),"",'_INSTANCE'!I503)</x:f>
      </x:c>
      <x:c r="J584" s="530" t="str">
        <x:f>IF(ISBLANK('_INSTANCE'!J503),"",'_INSTANCE'!J503)</x:f>
      </x:c>
      <x:c r="K584" s="38"/>
      <x:c r="L584" s="38"/>
      <x:c r="M584" s="38"/>
      <x:c r="N584" s="38"/>
      <x:c r="O584" s="38"/>
      <x:c r="P584" s="38"/>
      <x:c r="Q584" s="38"/>
    </x:row>
    <x:row r="585">
      <x:c r="A585" s="523" t="str">
        <x:f>IF(ISBLANK('_INSTANCE'!A504),"",'_INSTANCE'!A504)</x:f>
      </x:c>
      <x:c r="B585" s="523" t="str">
        <x:f>IF(ISBLANK('_INSTANCE'!B504),"",'_INSTANCE'!B504)</x:f>
      </x:c>
      <x:c r="C585" s="523" t="str">
        <x:f>IF(ISBLANK('_INSTANCE'!C504),"",'_INSTANCE'!C504)</x:f>
      </x:c>
      <x:c r="D585" s="530" t="str">
        <x:f>IF(ISBLANK('_INSTANCE'!D504),"",'_INSTANCE'!D504)</x:f>
      </x:c>
      <x:c r="E585" s="530" t="str">
        <x:f>IF(ISBLANK('_INSTANCE'!E504),"",'_INSTANCE'!E504)</x:f>
      </x:c>
      <x:c r="F585" s="530" t="str">
        <x:f>IF(ISBLANK('_INSTANCE'!F504),"",'_INSTANCE'!F504)</x:f>
      </x:c>
      <x:c r="G585" s="530" t="str">
        <x:f>IF(ISBLANK('_INSTANCE'!G504),"",'_INSTANCE'!G504)</x:f>
      </x:c>
      <x:c r="H585" s="530" t="str">
        <x:f>IF(ISBLANK('_INSTANCE'!H504),"",'_INSTANCE'!H504)</x:f>
      </x:c>
      <x:c r="I585" s="530" t="str">
        <x:f>IF(ISBLANK('_INSTANCE'!I504),"",'_INSTANCE'!I504)</x:f>
      </x:c>
      <x:c r="J585" s="530" t="str">
        <x:f>IF(ISBLANK('_INSTANCE'!J504),"",'_INSTANCE'!J504)</x:f>
      </x:c>
      <x:c r="K585" s="38"/>
      <x:c r="L585" s="38"/>
      <x:c r="M585" s="38"/>
      <x:c r="N585" s="38"/>
      <x:c r="O585" s="38"/>
      <x:c r="P585" s="38"/>
      <x:c r="Q585" s="38"/>
    </x:row>
    <x:row r="586">
      <x:c r="A586" s="523" t="str">
        <x:f>IF(ISBLANK('_INSTANCE'!A505),"",'_INSTANCE'!A505)</x:f>
      </x:c>
      <x:c r="B586" s="523" t="str">
        <x:f>IF(ISBLANK('_INSTANCE'!B505),"",'_INSTANCE'!B505)</x:f>
      </x:c>
      <x:c r="C586" s="523" t="str">
        <x:f>IF(ISBLANK('_INSTANCE'!C505),"",'_INSTANCE'!C505)</x:f>
      </x:c>
      <x:c r="D586" s="530" t="str">
        <x:f>IF(ISBLANK('_INSTANCE'!D505),"",'_INSTANCE'!D505)</x:f>
      </x:c>
      <x:c r="E586" s="530" t="str">
        <x:f>IF(ISBLANK('_INSTANCE'!E505),"",'_INSTANCE'!E505)</x:f>
      </x:c>
      <x:c r="F586" s="530" t="str">
        <x:f>IF(ISBLANK('_INSTANCE'!F505),"",'_INSTANCE'!F505)</x:f>
      </x:c>
      <x:c r="G586" s="530" t="str">
        <x:f>IF(ISBLANK('_INSTANCE'!G505),"",'_INSTANCE'!G505)</x:f>
      </x:c>
      <x:c r="H586" s="530" t="str">
        <x:f>IF(ISBLANK('_INSTANCE'!H505),"",'_INSTANCE'!H505)</x:f>
      </x:c>
      <x:c r="I586" s="530" t="str">
        <x:f>IF(ISBLANK('_INSTANCE'!I505),"",'_INSTANCE'!I505)</x:f>
      </x:c>
      <x:c r="J586" s="530" t="str">
        <x:f>IF(ISBLANK('_INSTANCE'!J505),"",'_INSTANCE'!J505)</x:f>
      </x:c>
      <x:c r="K586" s="38"/>
      <x:c r="L586" s="38"/>
      <x:c r="M586" s="38"/>
      <x:c r="N586" s="38"/>
      <x:c r="O586" s="38"/>
      <x:c r="P586" s="38"/>
      <x:c r="Q586" s="38"/>
    </x:row>
    <x:row r="587">
      <x:c r="A587" s="523" t="str">
        <x:f>IF(ISBLANK('_INSTANCE'!A506),"",'_INSTANCE'!A506)</x:f>
      </x:c>
      <x:c r="B587" s="523" t="str">
        <x:f>IF(ISBLANK('_INSTANCE'!B506),"",'_INSTANCE'!B506)</x:f>
      </x:c>
      <x:c r="C587" s="523" t="str">
        <x:f>IF(ISBLANK('_INSTANCE'!C506),"",'_INSTANCE'!C506)</x:f>
      </x:c>
      <x:c r="D587" s="530" t="str">
        <x:f>IF(ISBLANK('_INSTANCE'!D506),"",'_INSTANCE'!D506)</x:f>
      </x:c>
      <x:c r="E587" s="530" t="str">
        <x:f>IF(ISBLANK('_INSTANCE'!E506),"",'_INSTANCE'!E506)</x:f>
      </x:c>
      <x:c r="F587" s="530" t="str">
        <x:f>IF(ISBLANK('_INSTANCE'!F506),"",'_INSTANCE'!F506)</x:f>
      </x:c>
      <x:c r="G587" s="530" t="str">
        <x:f>IF(ISBLANK('_INSTANCE'!G506),"",'_INSTANCE'!G506)</x:f>
      </x:c>
      <x:c r="H587" s="530" t="str">
        <x:f>IF(ISBLANK('_INSTANCE'!H506),"",'_INSTANCE'!H506)</x:f>
      </x:c>
      <x:c r="I587" s="530" t="str">
        <x:f>IF(ISBLANK('_INSTANCE'!I506),"",'_INSTANCE'!I506)</x:f>
      </x:c>
      <x:c r="J587" s="530" t="str">
        <x:f>IF(ISBLANK('_INSTANCE'!J506),"",'_INSTANCE'!J506)</x:f>
      </x:c>
      <x:c r="K587" s="38"/>
      <x:c r="L587" s="38"/>
      <x:c r="M587" s="38"/>
      <x:c r="N587" s="38"/>
      <x:c r="O587" s="38"/>
      <x:c r="P587" s="38"/>
      <x:c r="Q587" s="38"/>
    </x:row>
    <x:row r="588">
      <x:c r="A588" s="523" t="str">
        <x:f>IF(ISBLANK('_INSTANCE'!A507),"",'_INSTANCE'!A507)</x:f>
      </x:c>
      <x:c r="B588" s="523" t="str">
        <x:f>IF(ISBLANK('_INSTANCE'!B507),"",'_INSTANCE'!B507)</x:f>
      </x:c>
      <x:c r="C588" s="523" t="str">
        <x:f>IF(ISBLANK('_INSTANCE'!C507),"",'_INSTANCE'!C507)</x:f>
      </x:c>
      <x:c r="D588" s="530" t="str">
        <x:f>IF(ISBLANK('_INSTANCE'!D507),"",'_INSTANCE'!D507)</x:f>
      </x:c>
      <x:c r="E588" s="530" t="str">
        <x:f>IF(ISBLANK('_INSTANCE'!E507),"",'_INSTANCE'!E507)</x:f>
      </x:c>
      <x:c r="F588" s="530" t="str">
        <x:f>IF(ISBLANK('_INSTANCE'!F507),"",'_INSTANCE'!F507)</x:f>
      </x:c>
      <x:c r="G588" s="530" t="str">
        <x:f>IF(ISBLANK('_INSTANCE'!G507),"",'_INSTANCE'!G507)</x:f>
      </x:c>
      <x:c r="H588" s="530" t="str">
        <x:f>IF(ISBLANK('_INSTANCE'!H507),"",'_INSTANCE'!H507)</x:f>
      </x:c>
      <x:c r="I588" s="530" t="str">
        <x:f>IF(ISBLANK('_INSTANCE'!I507),"",'_INSTANCE'!I507)</x:f>
      </x:c>
      <x:c r="J588" s="530" t="str">
        <x:f>IF(ISBLANK('_INSTANCE'!J507),"",'_INSTANCE'!J507)</x:f>
      </x:c>
      <x:c r="K588" s="38"/>
      <x:c r="L588" s="38"/>
      <x:c r="M588" s="38"/>
      <x:c r="N588" s="38"/>
      <x:c r="O588" s="38"/>
      <x:c r="P588" s="38"/>
      <x:c r="Q588" s="38"/>
    </x:row>
    <x:row r="589">
      <x:c r="A589" s="523" t="str">
        <x:f>IF(ISBLANK('_INSTANCE'!A508),"",'_INSTANCE'!A508)</x:f>
      </x:c>
      <x:c r="B589" s="523" t="str">
        <x:f>IF(ISBLANK('_INSTANCE'!B508),"",'_INSTANCE'!B508)</x:f>
      </x:c>
      <x:c r="C589" s="523" t="str">
        <x:f>IF(ISBLANK('_INSTANCE'!C508),"",'_INSTANCE'!C508)</x:f>
      </x:c>
      <x:c r="D589" s="530" t="str">
        <x:f>IF(ISBLANK('_INSTANCE'!D508),"",'_INSTANCE'!D508)</x:f>
      </x:c>
      <x:c r="E589" s="530" t="str">
        <x:f>IF(ISBLANK('_INSTANCE'!E508),"",'_INSTANCE'!E508)</x:f>
      </x:c>
      <x:c r="F589" s="530" t="str">
        <x:f>IF(ISBLANK('_INSTANCE'!F508),"",'_INSTANCE'!F508)</x:f>
      </x:c>
      <x:c r="G589" s="530" t="str">
        <x:f>IF(ISBLANK('_INSTANCE'!G508),"",'_INSTANCE'!G508)</x:f>
      </x:c>
      <x:c r="H589" s="530" t="str">
        <x:f>IF(ISBLANK('_INSTANCE'!H508),"",'_INSTANCE'!H508)</x:f>
      </x:c>
      <x:c r="I589" s="530" t="str">
        <x:f>IF(ISBLANK('_INSTANCE'!I508),"",'_INSTANCE'!I508)</x:f>
      </x:c>
      <x:c r="J589" s="530" t="str">
        <x:f>IF(ISBLANK('_INSTANCE'!J508),"",'_INSTANCE'!J508)</x:f>
      </x:c>
      <x:c r="K589" s="38"/>
      <x:c r="L589" s="38"/>
      <x:c r="M589" s="38"/>
      <x:c r="N589" s="38"/>
      <x:c r="O589" s="38"/>
      <x:c r="P589" s="38"/>
      <x:c r="Q589" s="38"/>
    </x:row>
    <x:row r="590">
      <x:c r="A590" s="523" t="str">
        <x:f>IF(ISBLANK('_INSTANCE'!A509),"",'_INSTANCE'!A509)</x:f>
      </x:c>
      <x:c r="B590" s="523" t="str">
        <x:f>IF(ISBLANK('_INSTANCE'!B509),"",'_INSTANCE'!B509)</x:f>
      </x:c>
      <x:c r="C590" s="523" t="str">
        <x:f>IF(ISBLANK('_INSTANCE'!C509),"",'_INSTANCE'!C509)</x:f>
      </x:c>
      <x:c r="D590" s="530" t="str">
        <x:f>IF(ISBLANK('_INSTANCE'!D509),"",'_INSTANCE'!D509)</x:f>
      </x:c>
      <x:c r="E590" s="530" t="str">
        <x:f>IF(ISBLANK('_INSTANCE'!E509),"",'_INSTANCE'!E509)</x:f>
      </x:c>
      <x:c r="F590" s="530" t="str">
        <x:f>IF(ISBLANK('_INSTANCE'!F509),"",'_INSTANCE'!F509)</x:f>
      </x:c>
      <x:c r="G590" s="530" t="str">
        <x:f>IF(ISBLANK('_INSTANCE'!G509),"",'_INSTANCE'!G509)</x:f>
      </x:c>
      <x:c r="H590" s="530" t="str">
        <x:f>IF(ISBLANK('_INSTANCE'!H509),"",'_INSTANCE'!H509)</x:f>
      </x:c>
      <x:c r="I590" s="530" t="str">
        <x:f>IF(ISBLANK('_INSTANCE'!I509),"",'_INSTANCE'!I509)</x:f>
      </x:c>
      <x:c r="J590" s="530" t="str">
        <x:f>IF(ISBLANK('_INSTANCE'!J509),"",'_INSTANCE'!J509)</x:f>
      </x:c>
      <x:c r="K590" s="38"/>
      <x:c r="L590" s="38"/>
      <x:c r="M590" s="38"/>
      <x:c r="N590" s="38"/>
      <x:c r="O590" s="38"/>
      <x:c r="P590" s="38"/>
      <x:c r="Q590" s="38"/>
    </x:row>
    <x:row r="591">
      <x:c r="A591" s="523" t="str">
        <x:f>IF(ISBLANK('_INSTANCE'!A510),"",'_INSTANCE'!A510)</x:f>
      </x:c>
      <x:c r="B591" s="523" t="str">
        <x:f>IF(ISBLANK('_INSTANCE'!B510),"",'_INSTANCE'!B510)</x:f>
      </x:c>
      <x:c r="C591" s="523" t="str">
        <x:f>IF(ISBLANK('_INSTANCE'!C510),"",'_INSTANCE'!C510)</x:f>
      </x:c>
      <x:c r="D591" s="530" t="str">
        <x:f>IF(ISBLANK('_INSTANCE'!D510),"",'_INSTANCE'!D510)</x:f>
      </x:c>
      <x:c r="E591" s="530" t="str">
        <x:f>IF(ISBLANK('_INSTANCE'!E510),"",'_INSTANCE'!E510)</x:f>
      </x:c>
      <x:c r="F591" s="530" t="str">
        <x:f>IF(ISBLANK('_INSTANCE'!F510),"",'_INSTANCE'!F510)</x:f>
      </x:c>
      <x:c r="G591" s="530" t="str">
        <x:f>IF(ISBLANK('_INSTANCE'!G510),"",'_INSTANCE'!G510)</x:f>
      </x:c>
      <x:c r="H591" s="530" t="str">
        <x:f>IF(ISBLANK('_INSTANCE'!H510),"",'_INSTANCE'!H510)</x:f>
      </x:c>
      <x:c r="I591" s="530" t="str">
        <x:f>IF(ISBLANK('_INSTANCE'!I510),"",'_INSTANCE'!I510)</x:f>
      </x:c>
      <x:c r="J591" s="530" t="str">
        <x:f>IF(ISBLANK('_INSTANCE'!J510),"",'_INSTANCE'!J510)</x:f>
      </x:c>
      <x:c r="K591" s="38"/>
      <x:c r="L591" s="38"/>
      <x:c r="M591" s="38"/>
      <x:c r="N591" s="38"/>
      <x:c r="O591" s="38"/>
      <x:c r="P591" s="38"/>
      <x:c r="Q591" s="38"/>
    </x:row>
    <x:row r="592">
      <x:c r="A592" s="523" t="str">
        <x:f>IF(ISBLANK('_INSTANCE'!A511),"",'_INSTANCE'!A511)</x:f>
      </x:c>
      <x:c r="B592" s="523" t="str">
        <x:f>IF(ISBLANK('_INSTANCE'!B511),"",'_INSTANCE'!B511)</x:f>
      </x:c>
      <x:c r="C592" s="523" t="str">
        <x:f>IF(ISBLANK('_INSTANCE'!C511),"",'_INSTANCE'!C511)</x:f>
      </x:c>
      <x:c r="D592" s="530" t="str">
        <x:f>IF(ISBLANK('_INSTANCE'!D511),"",'_INSTANCE'!D511)</x:f>
      </x:c>
      <x:c r="E592" s="530" t="str">
        <x:f>IF(ISBLANK('_INSTANCE'!E511),"",'_INSTANCE'!E511)</x:f>
      </x:c>
      <x:c r="F592" s="530" t="str">
        <x:f>IF(ISBLANK('_INSTANCE'!F511),"",'_INSTANCE'!F511)</x:f>
      </x:c>
      <x:c r="G592" s="530" t="str">
        <x:f>IF(ISBLANK('_INSTANCE'!G511),"",'_INSTANCE'!G511)</x:f>
      </x:c>
      <x:c r="H592" s="530" t="str">
        <x:f>IF(ISBLANK('_INSTANCE'!H511),"",'_INSTANCE'!H511)</x:f>
      </x:c>
      <x:c r="I592" s="530" t="str">
        <x:f>IF(ISBLANK('_INSTANCE'!I511),"",'_INSTANCE'!I511)</x:f>
      </x:c>
      <x:c r="J592" s="530" t="str">
        <x:f>IF(ISBLANK('_INSTANCE'!J511),"",'_INSTANCE'!J511)</x:f>
      </x:c>
      <x:c r="K592" s="38"/>
      <x:c r="L592" s="38"/>
      <x:c r="M592" s="38"/>
      <x:c r="N592" s="38"/>
      <x:c r="O592" s="38"/>
      <x:c r="P592" s="38"/>
      <x:c r="Q592" s="38"/>
    </x:row>
    <x:row r="593">
      <x:c r="A593" s="523" t="str">
        <x:f>IF(ISBLANK('_INSTANCE'!A512),"",'_INSTANCE'!A512)</x:f>
      </x:c>
      <x:c r="B593" s="523" t="str">
        <x:f>IF(ISBLANK('_INSTANCE'!B512),"",'_INSTANCE'!B512)</x:f>
      </x:c>
      <x:c r="C593" s="523" t="str">
        <x:f>IF(ISBLANK('_INSTANCE'!C512),"",'_INSTANCE'!C512)</x:f>
      </x:c>
      <x:c r="D593" s="530" t="str">
        <x:f>IF(ISBLANK('_INSTANCE'!D512),"",'_INSTANCE'!D512)</x:f>
      </x:c>
      <x:c r="E593" s="530" t="str">
        <x:f>IF(ISBLANK('_INSTANCE'!E512),"",'_INSTANCE'!E512)</x:f>
      </x:c>
      <x:c r="F593" s="530" t="str">
        <x:f>IF(ISBLANK('_INSTANCE'!F512),"",'_INSTANCE'!F512)</x:f>
      </x:c>
      <x:c r="G593" s="530" t="str">
        <x:f>IF(ISBLANK('_INSTANCE'!G512),"",'_INSTANCE'!G512)</x:f>
      </x:c>
      <x:c r="H593" s="530" t="str">
        <x:f>IF(ISBLANK('_INSTANCE'!H512),"",'_INSTANCE'!H512)</x:f>
      </x:c>
      <x:c r="I593" s="530" t="str">
        <x:f>IF(ISBLANK('_INSTANCE'!I512),"",'_INSTANCE'!I512)</x:f>
      </x:c>
      <x:c r="J593" s="530" t="str">
        <x:f>IF(ISBLANK('_INSTANCE'!J512),"",'_INSTANCE'!J512)</x:f>
      </x:c>
      <x:c r="K593" s="38"/>
      <x:c r="L593" s="38"/>
      <x:c r="M593" s="38"/>
      <x:c r="N593" s="38"/>
      <x:c r="O593" s="38"/>
      <x:c r="P593" s="38"/>
      <x:c r="Q593" s="38"/>
    </x:row>
    <x:row r="594">
      <x:c r="A594" s="523" t="str">
        <x:f>IF(ISBLANK('_INSTANCE'!A513),"",'_INSTANCE'!A513)</x:f>
      </x:c>
      <x:c r="B594" s="523" t="str">
        <x:f>IF(ISBLANK('_INSTANCE'!B513),"",'_INSTANCE'!B513)</x:f>
      </x:c>
      <x:c r="C594" s="523" t="str">
        <x:f>IF(ISBLANK('_INSTANCE'!C513),"",'_INSTANCE'!C513)</x:f>
      </x:c>
      <x:c r="D594" s="530" t="str">
        <x:f>IF(ISBLANK('_INSTANCE'!D513),"",'_INSTANCE'!D513)</x:f>
      </x:c>
      <x:c r="E594" s="530" t="str">
        <x:f>IF(ISBLANK('_INSTANCE'!E513),"",'_INSTANCE'!E513)</x:f>
      </x:c>
      <x:c r="F594" s="530" t="str">
        <x:f>IF(ISBLANK('_INSTANCE'!F513),"",'_INSTANCE'!F513)</x:f>
      </x:c>
      <x:c r="G594" s="530" t="str">
        <x:f>IF(ISBLANK('_INSTANCE'!G513),"",'_INSTANCE'!G513)</x:f>
      </x:c>
      <x:c r="H594" s="530" t="str">
        <x:f>IF(ISBLANK('_INSTANCE'!H513),"",'_INSTANCE'!H513)</x:f>
      </x:c>
      <x:c r="I594" s="530" t="str">
        <x:f>IF(ISBLANK('_INSTANCE'!I513),"",'_INSTANCE'!I513)</x:f>
      </x:c>
      <x:c r="J594" s="530" t="str">
        <x:f>IF(ISBLANK('_INSTANCE'!J513),"",'_INSTANCE'!J513)</x:f>
      </x:c>
      <x:c r="K594" s="38"/>
      <x:c r="L594" s="38"/>
      <x:c r="M594" s="38"/>
      <x:c r="N594" s="38"/>
      <x:c r="O594" s="38"/>
      <x:c r="P594" s="38"/>
      <x:c r="Q594" s="38"/>
    </x:row>
    <x:row r="595">
      <x:c r="A595" s="523" t="str">
        <x:f>IF(ISBLANK('_INSTANCE'!A514),"",'_INSTANCE'!A514)</x:f>
      </x:c>
      <x:c r="B595" s="523" t="str">
        <x:f>IF(ISBLANK('_INSTANCE'!B514),"",'_INSTANCE'!B514)</x:f>
      </x:c>
      <x:c r="C595" s="523" t="str">
        <x:f>IF(ISBLANK('_INSTANCE'!C514),"",'_INSTANCE'!C514)</x:f>
      </x:c>
      <x:c r="D595" s="530" t="str">
        <x:f>IF(ISBLANK('_INSTANCE'!D514),"",'_INSTANCE'!D514)</x:f>
      </x:c>
      <x:c r="E595" s="530" t="str">
        <x:f>IF(ISBLANK('_INSTANCE'!E514),"",'_INSTANCE'!E514)</x:f>
      </x:c>
      <x:c r="F595" s="530" t="str">
        <x:f>IF(ISBLANK('_INSTANCE'!F514),"",'_INSTANCE'!F514)</x:f>
      </x:c>
      <x:c r="G595" s="530" t="str">
        <x:f>IF(ISBLANK('_INSTANCE'!G514),"",'_INSTANCE'!G514)</x:f>
      </x:c>
      <x:c r="H595" s="530" t="str">
        <x:f>IF(ISBLANK('_INSTANCE'!H514),"",'_INSTANCE'!H514)</x:f>
      </x:c>
      <x:c r="I595" s="530" t="str">
        <x:f>IF(ISBLANK('_INSTANCE'!I514),"",'_INSTANCE'!I514)</x:f>
      </x:c>
      <x:c r="J595" s="530" t="str">
        <x:f>IF(ISBLANK('_INSTANCE'!J514),"",'_INSTANCE'!J514)</x:f>
      </x:c>
      <x:c r="K595" s="38"/>
      <x:c r="L595" s="38"/>
      <x:c r="M595" s="38"/>
      <x:c r="N595" s="38"/>
      <x:c r="O595" s="38"/>
      <x:c r="P595" s="38"/>
      <x:c r="Q595" s="38"/>
    </x:row>
    <x:row r="596">
      <x:c r="A596" s="523" t="str">
        <x:f>IF(ISBLANK('_INSTANCE'!A515),"",'_INSTANCE'!A515)</x:f>
      </x:c>
      <x:c r="B596" s="523" t="str">
        <x:f>IF(ISBLANK('_INSTANCE'!B515),"",'_INSTANCE'!B515)</x:f>
      </x:c>
      <x:c r="C596" s="523" t="str">
        <x:f>IF(ISBLANK('_INSTANCE'!C515),"",'_INSTANCE'!C515)</x:f>
      </x:c>
      <x:c r="D596" s="530" t="str">
        <x:f>IF(ISBLANK('_INSTANCE'!D515),"",'_INSTANCE'!D515)</x:f>
      </x:c>
      <x:c r="E596" s="530" t="str">
        <x:f>IF(ISBLANK('_INSTANCE'!E515),"",'_INSTANCE'!E515)</x:f>
      </x:c>
      <x:c r="F596" s="530" t="str">
        <x:f>IF(ISBLANK('_INSTANCE'!F515),"",'_INSTANCE'!F515)</x:f>
      </x:c>
      <x:c r="G596" s="530" t="str">
        <x:f>IF(ISBLANK('_INSTANCE'!G515),"",'_INSTANCE'!G515)</x:f>
      </x:c>
      <x:c r="H596" s="530" t="str">
        <x:f>IF(ISBLANK('_INSTANCE'!H515),"",'_INSTANCE'!H515)</x:f>
      </x:c>
      <x:c r="I596" s="530" t="str">
        <x:f>IF(ISBLANK('_INSTANCE'!I515),"",'_INSTANCE'!I515)</x:f>
      </x:c>
      <x:c r="J596" s="530" t="str">
        <x:f>IF(ISBLANK('_INSTANCE'!J515),"",'_INSTANCE'!J515)</x:f>
      </x:c>
      <x:c r="K596" s="38"/>
      <x:c r="L596" s="38"/>
      <x:c r="M596" s="38"/>
      <x:c r="N596" s="38"/>
      <x:c r="O596" s="38"/>
      <x:c r="P596" s="38"/>
      <x:c r="Q596" s="38"/>
    </x:row>
    <x:row r="597">
      <x:c r="A597" s="523" t="str">
        <x:f>IF(ISBLANK('_INSTANCE'!A516),"",'_INSTANCE'!A516)</x:f>
      </x:c>
      <x:c r="B597" s="523" t="str">
        <x:f>IF(ISBLANK('_INSTANCE'!B516),"",'_INSTANCE'!B516)</x:f>
      </x:c>
      <x:c r="C597" s="523" t="str">
        <x:f>IF(ISBLANK('_INSTANCE'!C516),"",'_INSTANCE'!C516)</x:f>
      </x:c>
      <x:c r="D597" s="530" t="str">
        <x:f>IF(ISBLANK('_INSTANCE'!D516),"",'_INSTANCE'!D516)</x:f>
      </x:c>
      <x:c r="E597" s="530" t="str">
        <x:f>IF(ISBLANK('_INSTANCE'!E516),"",'_INSTANCE'!E516)</x:f>
      </x:c>
      <x:c r="F597" s="530" t="str">
        <x:f>IF(ISBLANK('_INSTANCE'!F516),"",'_INSTANCE'!F516)</x:f>
      </x:c>
      <x:c r="G597" s="530" t="str">
        <x:f>IF(ISBLANK('_INSTANCE'!G516),"",'_INSTANCE'!G516)</x:f>
      </x:c>
      <x:c r="H597" s="530" t="str">
        <x:f>IF(ISBLANK('_INSTANCE'!H516),"",'_INSTANCE'!H516)</x:f>
      </x:c>
      <x:c r="I597" s="530" t="str">
        <x:f>IF(ISBLANK('_INSTANCE'!I516),"",'_INSTANCE'!I516)</x:f>
      </x:c>
      <x:c r="J597" s="530" t="str">
        <x:f>IF(ISBLANK('_INSTANCE'!J516),"",'_INSTANCE'!J516)</x:f>
      </x:c>
      <x:c r="K597" s="38"/>
      <x:c r="L597" s="38"/>
      <x:c r="M597" s="38"/>
      <x:c r="N597" s="38"/>
      <x:c r="O597" s="38"/>
      <x:c r="P597" s="38"/>
      <x:c r="Q597" s="38"/>
    </x:row>
    <x:row r="598">
      <x:c r="A598" s="523" t="str">
        <x:f>IF(ISBLANK('_INSTANCE'!A517),"",'_INSTANCE'!A517)</x:f>
      </x:c>
      <x:c r="B598" s="523" t="str">
        <x:f>IF(ISBLANK('_INSTANCE'!B517),"",'_INSTANCE'!B517)</x:f>
      </x:c>
      <x:c r="C598" s="523" t="str">
        <x:f>IF(ISBLANK('_INSTANCE'!C517),"",'_INSTANCE'!C517)</x:f>
      </x:c>
      <x:c r="D598" s="530" t="str">
        <x:f>IF(ISBLANK('_INSTANCE'!D517),"",'_INSTANCE'!D517)</x:f>
      </x:c>
      <x:c r="E598" s="530" t="str">
        <x:f>IF(ISBLANK('_INSTANCE'!E517),"",'_INSTANCE'!E517)</x:f>
      </x:c>
      <x:c r="F598" s="530" t="str">
        <x:f>IF(ISBLANK('_INSTANCE'!F517),"",'_INSTANCE'!F517)</x:f>
      </x:c>
      <x:c r="G598" s="530" t="str">
        <x:f>IF(ISBLANK('_INSTANCE'!G517),"",'_INSTANCE'!G517)</x:f>
      </x:c>
      <x:c r="H598" s="530" t="str">
        <x:f>IF(ISBLANK('_INSTANCE'!H517),"",'_INSTANCE'!H517)</x:f>
      </x:c>
      <x:c r="I598" s="530" t="str">
        <x:f>IF(ISBLANK('_INSTANCE'!I517),"",'_INSTANCE'!I517)</x:f>
      </x:c>
      <x:c r="J598" s="530" t="str">
        <x:f>IF(ISBLANK('_INSTANCE'!J517),"",'_INSTANCE'!J517)</x:f>
      </x:c>
      <x:c r="K598" s="38"/>
      <x:c r="L598" s="38"/>
      <x:c r="M598" s="38"/>
      <x:c r="N598" s="38"/>
      <x:c r="O598" s="38"/>
      <x:c r="P598" s="38"/>
      <x:c r="Q598" s="38"/>
    </x:row>
    <x:row r="599">
      <x:c r="A599" s="523" t="str">
        <x:f>IF(ISBLANK('_INSTANCE'!A518),"",'_INSTANCE'!A518)</x:f>
      </x:c>
      <x:c r="B599" s="523" t="str">
        <x:f>IF(ISBLANK('_INSTANCE'!B518),"",'_INSTANCE'!B518)</x:f>
      </x:c>
      <x:c r="C599" s="523" t="str">
        <x:f>IF(ISBLANK('_INSTANCE'!C518),"",'_INSTANCE'!C518)</x:f>
      </x:c>
      <x:c r="D599" s="530" t="str">
        <x:f>IF(ISBLANK('_INSTANCE'!D518),"",'_INSTANCE'!D518)</x:f>
      </x:c>
      <x:c r="E599" s="530" t="str">
        <x:f>IF(ISBLANK('_INSTANCE'!E518),"",'_INSTANCE'!E518)</x:f>
      </x:c>
      <x:c r="F599" s="530" t="str">
        <x:f>IF(ISBLANK('_INSTANCE'!F518),"",'_INSTANCE'!F518)</x:f>
      </x:c>
      <x:c r="G599" s="530" t="str">
        <x:f>IF(ISBLANK('_INSTANCE'!G518),"",'_INSTANCE'!G518)</x:f>
      </x:c>
      <x:c r="H599" s="530" t="str">
        <x:f>IF(ISBLANK('_INSTANCE'!H518),"",'_INSTANCE'!H518)</x:f>
      </x:c>
      <x:c r="I599" s="530" t="str">
        <x:f>IF(ISBLANK('_INSTANCE'!I518),"",'_INSTANCE'!I518)</x:f>
      </x:c>
      <x:c r="J599" s="530" t="str">
        <x:f>IF(ISBLANK('_INSTANCE'!J518),"",'_INSTANCE'!J518)</x:f>
      </x:c>
      <x:c r="K599" s="38"/>
      <x:c r="L599" s="38"/>
      <x:c r="M599" s="38"/>
      <x:c r="N599" s="38"/>
      <x:c r="O599" s="38"/>
      <x:c r="P599" s="38"/>
      <x:c r="Q599" s="38"/>
    </x:row>
    <x:row r="600">
      <x:c r="A600" s="523" t="str">
        <x:f>IF(ISBLANK('_INSTANCE'!A519),"",'_INSTANCE'!A519)</x:f>
      </x:c>
      <x:c r="B600" s="523" t="str">
        <x:f>IF(ISBLANK('_INSTANCE'!B519),"",'_INSTANCE'!B519)</x:f>
      </x:c>
      <x:c r="C600" s="523" t="str">
        <x:f>IF(ISBLANK('_INSTANCE'!C519),"",'_INSTANCE'!C519)</x:f>
      </x:c>
      <x:c r="D600" s="530" t="str">
        <x:f>IF(ISBLANK('_INSTANCE'!D519),"",'_INSTANCE'!D519)</x:f>
      </x:c>
      <x:c r="E600" s="530" t="str">
        <x:f>IF(ISBLANK('_INSTANCE'!E519),"",'_INSTANCE'!E519)</x:f>
      </x:c>
      <x:c r="F600" s="530" t="str">
        <x:f>IF(ISBLANK('_INSTANCE'!F519),"",'_INSTANCE'!F519)</x:f>
      </x:c>
      <x:c r="G600" s="530" t="str">
        <x:f>IF(ISBLANK('_INSTANCE'!G519),"",'_INSTANCE'!G519)</x:f>
      </x:c>
      <x:c r="H600" s="530" t="str">
        <x:f>IF(ISBLANK('_INSTANCE'!H519),"",'_INSTANCE'!H519)</x:f>
      </x:c>
      <x:c r="I600" s="530" t="str">
        <x:f>IF(ISBLANK('_INSTANCE'!I519),"",'_INSTANCE'!I519)</x:f>
      </x:c>
      <x:c r="J600" s="530" t="str">
        <x:f>IF(ISBLANK('_INSTANCE'!J519),"",'_INSTANCE'!J519)</x:f>
      </x:c>
      <x:c r="K600" s="38"/>
      <x:c r="L600" s="38"/>
      <x:c r="M600" s="38"/>
      <x:c r="N600" s="38"/>
      <x:c r="O600" s="38"/>
      <x:c r="P600" s="38"/>
      <x:c r="Q600" s="38"/>
    </x:row>
    <x:row r="601">
      <x:c r="A601" s="523" t="str">
        <x:f>IF(ISBLANK('_INSTANCE'!A520),"",'_INSTANCE'!A520)</x:f>
      </x:c>
      <x:c r="B601" s="523" t="str">
        <x:f>IF(ISBLANK('_INSTANCE'!B520),"",'_INSTANCE'!B520)</x:f>
      </x:c>
      <x:c r="C601" s="523" t="str">
        <x:f>IF(ISBLANK('_INSTANCE'!C520),"",'_INSTANCE'!C520)</x:f>
      </x:c>
      <x:c r="D601" s="530" t="str">
        <x:f>IF(ISBLANK('_INSTANCE'!D520),"",'_INSTANCE'!D520)</x:f>
      </x:c>
      <x:c r="E601" s="530" t="str">
        <x:f>IF(ISBLANK('_INSTANCE'!E520),"",'_INSTANCE'!E520)</x:f>
      </x:c>
      <x:c r="F601" s="530" t="str">
        <x:f>IF(ISBLANK('_INSTANCE'!F520),"",'_INSTANCE'!F520)</x:f>
      </x:c>
      <x:c r="G601" s="530" t="str">
        <x:f>IF(ISBLANK('_INSTANCE'!G520),"",'_INSTANCE'!G520)</x:f>
      </x:c>
      <x:c r="H601" s="530" t="str">
        <x:f>IF(ISBLANK('_INSTANCE'!H520),"",'_INSTANCE'!H520)</x:f>
      </x:c>
      <x:c r="I601" s="530" t="str">
        <x:f>IF(ISBLANK('_INSTANCE'!I520),"",'_INSTANCE'!I520)</x:f>
      </x:c>
      <x:c r="J601" s="530" t="str">
        <x:f>IF(ISBLANK('_INSTANCE'!J520),"",'_INSTANCE'!J520)</x:f>
      </x:c>
      <x:c r="K601" s="38"/>
      <x:c r="L601" s="38"/>
      <x:c r="M601" s="38"/>
      <x:c r="N601" s="38"/>
      <x:c r="O601" s="38"/>
      <x:c r="P601" s="38"/>
      <x:c r="Q601" s="38"/>
    </x:row>
    <x:row r="602">
      <x:c r="A602" s="523" t="str">
        <x:f>IF(ISBLANK('_INSTANCE'!A521),"",'_INSTANCE'!A521)</x:f>
      </x:c>
      <x:c r="B602" s="523" t="str">
        <x:f>IF(ISBLANK('_INSTANCE'!B521),"",'_INSTANCE'!B521)</x:f>
      </x:c>
      <x:c r="C602" s="523" t="str">
        <x:f>IF(ISBLANK('_INSTANCE'!C521),"",'_INSTANCE'!C521)</x:f>
      </x:c>
      <x:c r="D602" s="530" t="str">
        <x:f>IF(ISBLANK('_INSTANCE'!D521),"",'_INSTANCE'!D521)</x:f>
      </x:c>
      <x:c r="E602" s="530" t="str">
        <x:f>IF(ISBLANK('_INSTANCE'!E521),"",'_INSTANCE'!E521)</x:f>
      </x:c>
      <x:c r="F602" s="530" t="str">
        <x:f>IF(ISBLANK('_INSTANCE'!F521),"",'_INSTANCE'!F521)</x:f>
      </x:c>
      <x:c r="G602" s="530" t="str">
        <x:f>IF(ISBLANK('_INSTANCE'!G521),"",'_INSTANCE'!G521)</x:f>
      </x:c>
      <x:c r="H602" s="530" t="str">
        <x:f>IF(ISBLANK('_INSTANCE'!H521),"",'_INSTANCE'!H521)</x:f>
      </x:c>
      <x:c r="I602" s="530" t="str">
        <x:f>IF(ISBLANK('_INSTANCE'!I521),"",'_INSTANCE'!I521)</x:f>
      </x:c>
      <x:c r="J602" s="530" t="str">
        <x:f>IF(ISBLANK('_INSTANCE'!J521),"",'_INSTANCE'!J521)</x:f>
      </x:c>
      <x:c r="K602" s="38"/>
      <x:c r="L602" s="38"/>
      <x:c r="M602" s="38"/>
      <x:c r="N602" s="38"/>
      <x:c r="O602" s="38"/>
      <x:c r="P602" s="38"/>
      <x:c r="Q602" s="38"/>
    </x:row>
    <x:row r="603">
      <x:c r="A603" s="523" t="str">
        <x:f>IF(ISBLANK('_INSTANCE'!A522),"",'_INSTANCE'!A522)</x:f>
      </x:c>
      <x:c r="B603" s="523" t="str">
        <x:f>IF(ISBLANK('_INSTANCE'!B522),"",'_INSTANCE'!B522)</x:f>
      </x:c>
      <x:c r="C603" s="523" t="str">
        <x:f>IF(ISBLANK('_INSTANCE'!C522),"",'_INSTANCE'!C522)</x:f>
      </x:c>
      <x:c r="D603" s="530" t="str">
        <x:f>IF(ISBLANK('_INSTANCE'!D522),"",'_INSTANCE'!D522)</x:f>
      </x:c>
      <x:c r="E603" s="530" t="str">
        <x:f>IF(ISBLANK('_INSTANCE'!E522),"",'_INSTANCE'!E522)</x:f>
      </x:c>
      <x:c r="F603" s="530" t="str">
        <x:f>IF(ISBLANK('_INSTANCE'!F522),"",'_INSTANCE'!F522)</x:f>
      </x:c>
      <x:c r="G603" s="530" t="str">
        <x:f>IF(ISBLANK('_INSTANCE'!G522),"",'_INSTANCE'!G522)</x:f>
      </x:c>
      <x:c r="H603" s="530" t="str">
        <x:f>IF(ISBLANK('_INSTANCE'!H522),"",'_INSTANCE'!H522)</x:f>
      </x:c>
      <x:c r="I603" s="530" t="str">
        <x:f>IF(ISBLANK('_INSTANCE'!I522),"",'_INSTANCE'!I522)</x:f>
      </x:c>
      <x:c r="J603" s="530" t="str">
        <x:f>IF(ISBLANK('_INSTANCE'!J522),"",'_INSTANCE'!J522)</x:f>
      </x:c>
      <x:c r="K603" s="38"/>
      <x:c r="L603" s="38"/>
      <x:c r="M603" s="38"/>
      <x:c r="N603" s="38"/>
      <x:c r="O603" s="38"/>
      <x:c r="P603" s="38"/>
      <x:c r="Q603" s="38"/>
    </x:row>
    <x:row r="604">
      <x:c r="A604" s="523" t="str">
        <x:f>IF(ISBLANK('_INSTANCE'!A523),"",'_INSTANCE'!A523)</x:f>
      </x:c>
      <x:c r="B604" s="523" t="str">
        <x:f>IF(ISBLANK('_INSTANCE'!B523),"",'_INSTANCE'!B523)</x:f>
      </x:c>
      <x:c r="C604" s="523" t="str">
        <x:f>IF(ISBLANK('_INSTANCE'!C523),"",'_INSTANCE'!C523)</x:f>
      </x:c>
      <x:c r="D604" s="530" t="str">
        <x:f>IF(ISBLANK('_INSTANCE'!D523),"",'_INSTANCE'!D523)</x:f>
      </x:c>
      <x:c r="E604" s="530" t="str">
        <x:f>IF(ISBLANK('_INSTANCE'!E523),"",'_INSTANCE'!E523)</x:f>
      </x:c>
      <x:c r="F604" s="530" t="str">
        <x:f>IF(ISBLANK('_INSTANCE'!F523),"",'_INSTANCE'!F523)</x:f>
      </x:c>
      <x:c r="G604" s="530" t="str">
        <x:f>IF(ISBLANK('_INSTANCE'!G523),"",'_INSTANCE'!G523)</x:f>
      </x:c>
      <x:c r="H604" s="530" t="str">
        <x:f>IF(ISBLANK('_INSTANCE'!H523),"",'_INSTANCE'!H523)</x:f>
      </x:c>
      <x:c r="I604" s="530" t="str">
        <x:f>IF(ISBLANK('_INSTANCE'!I523),"",'_INSTANCE'!I523)</x:f>
      </x:c>
      <x:c r="J604" s="530" t="str">
        <x:f>IF(ISBLANK('_INSTANCE'!J523),"",'_INSTANCE'!J523)</x:f>
      </x:c>
      <x:c r="K604" s="38"/>
      <x:c r="L604" s="38"/>
      <x:c r="M604" s="38"/>
      <x:c r="N604" s="38"/>
      <x:c r="O604" s="38"/>
      <x:c r="P604" s="38"/>
      <x:c r="Q604" s="38"/>
    </x:row>
    <x:row r="605">
      <x:c r="A605" s="523" t="str">
        <x:f>IF(ISBLANK('_INSTANCE'!A524),"",'_INSTANCE'!A524)</x:f>
      </x:c>
      <x:c r="B605" s="523" t="str">
        <x:f>IF(ISBLANK('_INSTANCE'!B524),"",'_INSTANCE'!B524)</x:f>
      </x:c>
      <x:c r="C605" s="523" t="str">
        <x:f>IF(ISBLANK('_INSTANCE'!C524),"",'_INSTANCE'!C524)</x:f>
      </x:c>
      <x:c r="D605" s="530" t="str">
        <x:f>IF(ISBLANK('_INSTANCE'!D524),"",'_INSTANCE'!D524)</x:f>
      </x:c>
      <x:c r="E605" s="530" t="str">
        <x:f>IF(ISBLANK('_INSTANCE'!E524),"",'_INSTANCE'!E524)</x:f>
      </x:c>
      <x:c r="F605" s="530" t="str">
        <x:f>IF(ISBLANK('_INSTANCE'!F524),"",'_INSTANCE'!F524)</x:f>
      </x:c>
      <x:c r="G605" s="530" t="str">
        <x:f>IF(ISBLANK('_INSTANCE'!G524),"",'_INSTANCE'!G524)</x:f>
      </x:c>
      <x:c r="H605" s="530" t="str">
        <x:f>IF(ISBLANK('_INSTANCE'!H524),"",'_INSTANCE'!H524)</x:f>
      </x:c>
      <x:c r="I605" s="530" t="str">
        <x:f>IF(ISBLANK('_INSTANCE'!I524),"",'_INSTANCE'!I524)</x:f>
      </x:c>
      <x:c r="J605" s="530" t="str">
        <x:f>IF(ISBLANK('_INSTANCE'!J524),"",'_INSTANCE'!J524)</x:f>
      </x:c>
      <x:c r="K605" s="38"/>
      <x:c r="L605" s="38"/>
      <x:c r="M605" s="38"/>
      <x:c r="N605" s="38"/>
      <x:c r="O605" s="38"/>
      <x:c r="P605" s="38"/>
      <x:c r="Q605" s="38"/>
    </x:row>
    <x:row r="606">
      <x:c r="A606" s="523" t="str">
        <x:f>IF(ISBLANK('_INSTANCE'!A525),"",'_INSTANCE'!A525)</x:f>
      </x:c>
      <x:c r="B606" s="523" t="str">
        <x:f>IF(ISBLANK('_INSTANCE'!B525),"",'_INSTANCE'!B525)</x:f>
      </x:c>
      <x:c r="C606" s="523" t="str">
        <x:f>IF(ISBLANK('_INSTANCE'!C525),"",'_INSTANCE'!C525)</x:f>
      </x:c>
      <x:c r="D606" s="530" t="str">
        <x:f>IF(ISBLANK('_INSTANCE'!D525),"",'_INSTANCE'!D525)</x:f>
      </x:c>
      <x:c r="E606" s="530" t="str">
        <x:f>IF(ISBLANK('_INSTANCE'!E525),"",'_INSTANCE'!E525)</x:f>
      </x:c>
      <x:c r="F606" s="530" t="str">
        <x:f>IF(ISBLANK('_INSTANCE'!F525),"",'_INSTANCE'!F525)</x:f>
      </x:c>
      <x:c r="G606" s="530" t="str">
        <x:f>IF(ISBLANK('_INSTANCE'!G525),"",'_INSTANCE'!G525)</x:f>
      </x:c>
      <x:c r="H606" s="530" t="str">
        <x:f>IF(ISBLANK('_INSTANCE'!H525),"",'_INSTANCE'!H525)</x:f>
      </x:c>
      <x:c r="I606" s="530" t="str">
        <x:f>IF(ISBLANK('_INSTANCE'!I525),"",'_INSTANCE'!I525)</x:f>
      </x:c>
      <x:c r="J606" s="530" t="str">
        <x:f>IF(ISBLANK('_INSTANCE'!J525),"",'_INSTANCE'!J525)</x:f>
      </x:c>
      <x:c r="K606" s="38"/>
      <x:c r="L606" s="38"/>
      <x:c r="M606" s="38"/>
      <x:c r="N606" s="38"/>
      <x:c r="O606" s="38"/>
      <x:c r="P606" s="38"/>
      <x:c r="Q606" s="38"/>
    </x:row>
    <x:row r="607">
      <x:c r="A607" s="523" t="str">
        <x:f>IF(ISBLANK('_INSTANCE'!A526),"",'_INSTANCE'!A526)</x:f>
      </x:c>
      <x:c r="B607" s="523" t="str">
        <x:f>IF(ISBLANK('_INSTANCE'!B526),"",'_INSTANCE'!B526)</x:f>
      </x:c>
      <x:c r="C607" s="523" t="str">
        <x:f>IF(ISBLANK('_INSTANCE'!C526),"",'_INSTANCE'!C526)</x:f>
      </x:c>
      <x:c r="D607" s="530" t="str">
        <x:f>IF(ISBLANK('_INSTANCE'!D526),"",'_INSTANCE'!D526)</x:f>
      </x:c>
      <x:c r="E607" s="530" t="str">
        <x:f>IF(ISBLANK('_INSTANCE'!E526),"",'_INSTANCE'!E526)</x:f>
      </x:c>
      <x:c r="F607" s="530" t="str">
        <x:f>IF(ISBLANK('_INSTANCE'!F526),"",'_INSTANCE'!F526)</x:f>
      </x:c>
      <x:c r="G607" s="530" t="str">
        <x:f>IF(ISBLANK('_INSTANCE'!G526),"",'_INSTANCE'!G526)</x:f>
      </x:c>
      <x:c r="H607" s="530" t="str">
        <x:f>IF(ISBLANK('_INSTANCE'!H526),"",'_INSTANCE'!H526)</x:f>
      </x:c>
      <x:c r="I607" s="530" t="str">
        <x:f>IF(ISBLANK('_INSTANCE'!I526),"",'_INSTANCE'!I526)</x:f>
      </x:c>
      <x:c r="J607" s="530" t="str">
        <x:f>IF(ISBLANK('_INSTANCE'!J526),"",'_INSTANCE'!J526)</x:f>
      </x:c>
      <x:c r="K607" s="38"/>
      <x:c r="L607" s="38"/>
      <x:c r="M607" s="38"/>
      <x:c r="N607" s="38"/>
      <x:c r="O607" s="38"/>
      <x:c r="P607" s="38"/>
      <x:c r="Q607" s="38"/>
    </x:row>
    <x:row r="608">
      <x:c r="A608" s="523" t="str">
        <x:f>IF(ISBLANK('_INSTANCE'!A527),"",'_INSTANCE'!A527)</x:f>
      </x:c>
      <x:c r="B608" s="523" t="str">
        <x:f>IF(ISBLANK('_INSTANCE'!B527),"",'_INSTANCE'!B527)</x:f>
      </x:c>
      <x:c r="C608" s="523" t="str">
        <x:f>IF(ISBLANK('_INSTANCE'!C527),"",'_INSTANCE'!C527)</x:f>
      </x:c>
      <x:c r="D608" s="530" t="str">
        <x:f>IF(ISBLANK('_INSTANCE'!D527),"",'_INSTANCE'!D527)</x:f>
      </x:c>
      <x:c r="E608" s="530" t="str">
        <x:f>IF(ISBLANK('_INSTANCE'!E527),"",'_INSTANCE'!E527)</x:f>
      </x:c>
      <x:c r="F608" s="530" t="str">
        <x:f>IF(ISBLANK('_INSTANCE'!F527),"",'_INSTANCE'!F527)</x:f>
      </x:c>
      <x:c r="G608" s="530" t="str">
        <x:f>IF(ISBLANK('_INSTANCE'!G527),"",'_INSTANCE'!G527)</x:f>
      </x:c>
      <x:c r="H608" s="530" t="str">
        <x:f>IF(ISBLANK('_INSTANCE'!H527),"",'_INSTANCE'!H527)</x:f>
      </x:c>
      <x:c r="I608" s="530" t="str">
        <x:f>IF(ISBLANK('_INSTANCE'!I527),"",'_INSTANCE'!I527)</x:f>
      </x:c>
      <x:c r="J608" s="530" t="str">
        <x:f>IF(ISBLANK('_INSTANCE'!J527),"",'_INSTANCE'!J527)</x:f>
      </x:c>
      <x:c r="K608" s="38"/>
      <x:c r="L608" s="38"/>
      <x:c r="M608" s="38"/>
      <x:c r="N608" s="38"/>
      <x:c r="O608" s="38"/>
      <x:c r="P608" s="38"/>
      <x:c r="Q608" s="38"/>
    </x:row>
    <x:row r="609">
      <x:c r="A609" s="523" t="str">
        <x:f>IF(ISBLANK('_INSTANCE'!A528),"",'_INSTANCE'!A528)</x:f>
      </x:c>
      <x:c r="B609" s="523" t="str">
        <x:f>IF(ISBLANK('_INSTANCE'!B528),"",'_INSTANCE'!B528)</x:f>
      </x:c>
      <x:c r="C609" s="523" t="str">
        <x:f>IF(ISBLANK('_INSTANCE'!C528),"",'_INSTANCE'!C528)</x:f>
      </x:c>
      <x:c r="D609" s="530" t="str">
        <x:f>IF(ISBLANK('_INSTANCE'!D528),"",'_INSTANCE'!D528)</x:f>
      </x:c>
      <x:c r="E609" s="530" t="str">
        <x:f>IF(ISBLANK('_INSTANCE'!E528),"",'_INSTANCE'!E528)</x:f>
      </x:c>
      <x:c r="F609" s="530" t="str">
        <x:f>IF(ISBLANK('_INSTANCE'!F528),"",'_INSTANCE'!F528)</x:f>
      </x:c>
      <x:c r="G609" s="530" t="str">
        <x:f>IF(ISBLANK('_INSTANCE'!G528),"",'_INSTANCE'!G528)</x:f>
      </x:c>
      <x:c r="H609" s="530" t="str">
        <x:f>IF(ISBLANK('_INSTANCE'!H528),"",'_INSTANCE'!H528)</x:f>
      </x:c>
      <x:c r="I609" s="530" t="str">
        <x:f>IF(ISBLANK('_INSTANCE'!I528),"",'_INSTANCE'!I528)</x:f>
      </x:c>
      <x:c r="J609" s="530" t="str">
        <x:f>IF(ISBLANK('_INSTANCE'!J528),"",'_INSTANCE'!J528)</x:f>
      </x:c>
      <x:c r="K609" s="38"/>
      <x:c r="L609" s="38"/>
      <x:c r="M609" s="38"/>
      <x:c r="N609" s="38"/>
      <x:c r="O609" s="38"/>
      <x:c r="P609" s="38"/>
      <x:c r="Q609" s="38"/>
    </x:row>
    <x:row r="610">
      <x:c r="A610" s="523" t="str">
        <x:f>IF(ISBLANK('_INSTANCE'!A529),"",'_INSTANCE'!A529)</x:f>
      </x:c>
      <x:c r="B610" s="523" t="str">
        <x:f>IF(ISBLANK('_INSTANCE'!B529),"",'_INSTANCE'!B529)</x:f>
      </x:c>
      <x:c r="C610" s="523" t="str">
        <x:f>IF(ISBLANK('_INSTANCE'!C529),"",'_INSTANCE'!C529)</x:f>
      </x:c>
      <x:c r="D610" s="530" t="str">
        <x:f>IF(ISBLANK('_INSTANCE'!D529),"",'_INSTANCE'!D529)</x:f>
      </x:c>
      <x:c r="E610" s="530" t="str">
        <x:f>IF(ISBLANK('_INSTANCE'!E529),"",'_INSTANCE'!E529)</x:f>
      </x:c>
      <x:c r="F610" s="530" t="str">
        <x:f>IF(ISBLANK('_INSTANCE'!F529),"",'_INSTANCE'!F529)</x:f>
      </x:c>
      <x:c r="G610" s="530" t="str">
        <x:f>IF(ISBLANK('_INSTANCE'!G529),"",'_INSTANCE'!G529)</x:f>
      </x:c>
      <x:c r="H610" s="530" t="str">
        <x:f>IF(ISBLANK('_INSTANCE'!H529),"",'_INSTANCE'!H529)</x:f>
      </x:c>
      <x:c r="I610" s="530" t="str">
        <x:f>IF(ISBLANK('_INSTANCE'!I529),"",'_INSTANCE'!I529)</x:f>
      </x:c>
      <x:c r="J610" s="530" t="str">
        <x:f>IF(ISBLANK('_INSTANCE'!J529),"",'_INSTANCE'!J529)</x:f>
      </x:c>
      <x:c r="K610" s="38"/>
      <x:c r="L610" s="38"/>
      <x:c r="M610" s="38"/>
      <x:c r="N610" s="38"/>
      <x:c r="O610" s="38"/>
      <x:c r="P610" s="38"/>
      <x:c r="Q610" s="38"/>
    </x:row>
    <x:row r="611">
      <x:c r="A611" s="523" t="str">
        <x:f>IF(ISBLANK('_INSTANCE'!A530),"",'_INSTANCE'!A530)</x:f>
      </x:c>
      <x:c r="B611" s="523" t="str">
        <x:f>IF(ISBLANK('_INSTANCE'!B530),"",'_INSTANCE'!B530)</x:f>
      </x:c>
      <x:c r="C611" s="523" t="str">
        <x:f>IF(ISBLANK('_INSTANCE'!C530),"",'_INSTANCE'!C530)</x:f>
      </x:c>
      <x:c r="D611" s="530" t="str">
        <x:f>IF(ISBLANK('_INSTANCE'!D530),"",'_INSTANCE'!D530)</x:f>
      </x:c>
      <x:c r="E611" s="530" t="str">
        <x:f>IF(ISBLANK('_INSTANCE'!E530),"",'_INSTANCE'!E530)</x:f>
      </x:c>
      <x:c r="F611" s="530" t="str">
        <x:f>IF(ISBLANK('_INSTANCE'!F530),"",'_INSTANCE'!F530)</x:f>
      </x:c>
      <x:c r="G611" s="530" t="str">
        <x:f>IF(ISBLANK('_INSTANCE'!G530),"",'_INSTANCE'!G530)</x:f>
      </x:c>
      <x:c r="H611" s="530" t="str">
        <x:f>IF(ISBLANK('_INSTANCE'!H530),"",'_INSTANCE'!H530)</x:f>
      </x:c>
      <x:c r="I611" s="530" t="str">
        <x:f>IF(ISBLANK('_INSTANCE'!I530),"",'_INSTANCE'!I530)</x:f>
      </x:c>
      <x:c r="J611" s="530" t="str">
        <x:f>IF(ISBLANK('_INSTANCE'!J530),"",'_INSTANCE'!J530)</x:f>
      </x:c>
      <x:c r="K611" s="38"/>
      <x:c r="L611" s="38"/>
      <x:c r="M611" s="38"/>
      <x:c r="N611" s="38"/>
      <x:c r="O611" s="38"/>
      <x:c r="P611" s="38"/>
      <x:c r="Q611" s="38"/>
    </x:row>
    <x:row r="612">
      <x:c r="A612" s="523" t="str">
        <x:f>IF(ISBLANK('_INSTANCE'!A531),"",'_INSTANCE'!A531)</x:f>
      </x:c>
      <x:c r="B612" s="523" t="str">
        <x:f>IF(ISBLANK('_INSTANCE'!B531),"",'_INSTANCE'!B531)</x:f>
      </x:c>
      <x:c r="C612" s="523" t="str">
        <x:f>IF(ISBLANK('_INSTANCE'!C531),"",'_INSTANCE'!C531)</x:f>
      </x:c>
      <x:c r="D612" s="530" t="str">
        <x:f>IF(ISBLANK('_INSTANCE'!D531),"",'_INSTANCE'!D531)</x:f>
      </x:c>
      <x:c r="E612" s="530" t="str">
        <x:f>IF(ISBLANK('_INSTANCE'!E531),"",'_INSTANCE'!E531)</x:f>
      </x:c>
      <x:c r="F612" s="530" t="str">
        <x:f>IF(ISBLANK('_INSTANCE'!F531),"",'_INSTANCE'!F531)</x:f>
      </x:c>
      <x:c r="G612" s="530" t="str">
        <x:f>IF(ISBLANK('_INSTANCE'!G531),"",'_INSTANCE'!G531)</x:f>
      </x:c>
      <x:c r="H612" s="530" t="str">
        <x:f>IF(ISBLANK('_INSTANCE'!H531),"",'_INSTANCE'!H531)</x:f>
      </x:c>
      <x:c r="I612" s="530" t="str">
        <x:f>IF(ISBLANK('_INSTANCE'!I531),"",'_INSTANCE'!I531)</x:f>
      </x:c>
      <x:c r="J612" s="530" t="str">
        <x:f>IF(ISBLANK('_INSTANCE'!J531),"",'_INSTANCE'!J531)</x:f>
      </x:c>
      <x:c r="K612" s="38"/>
      <x:c r="L612" s="38"/>
      <x:c r="M612" s="38"/>
      <x:c r="N612" s="38"/>
      <x:c r="O612" s="38"/>
      <x:c r="P612" s="38"/>
      <x:c r="Q612" s="38"/>
    </x:row>
    <x:row r="613">
      <x:c r="A613" s="523" t="str">
        <x:f>IF(ISBLANK('_INSTANCE'!A532),"",'_INSTANCE'!A532)</x:f>
      </x:c>
      <x:c r="B613" s="523" t="str">
        <x:f>IF(ISBLANK('_INSTANCE'!B532),"",'_INSTANCE'!B532)</x:f>
      </x:c>
      <x:c r="C613" s="523" t="str">
        <x:f>IF(ISBLANK('_INSTANCE'!C532),"",'_INSTANCE'!C532)</x:f>
      </x:c>
      <x:c r="D613" s="530" t="str">
        <x:f>IF(ISBLANK('_INSTANCE'!D532),"",'_INSTANCE'!D532)</x:f>
      </x:c>
      <x:c r="E613" s="530" t="str">
        <x:f>IF(ISBLANK('_INSTANCE'!E532),"",'_INSTANCE'!E532)</x:f>
      </x:c>
      <x:c r="F613" s="530" t="str">
        <x:f>IF(ISBLANK('_INSTANCE'!F532),"",'_INSTANCE'!F532)</x:f>
      </x:c>
      <x:c r="G613" s="530" t="str">
        <x:f>IF(ISBLANK('_INSTANCE'!G532),"",'_INSTANCE'!G532)</x:f>
      </x:c>
      <x:c r="H613" s="530" t="str">
        <x:f>IF(ISBLANK('_INSTANCE'!H532),"",'_INSTANCE'!H532)</x:f>
      </x:c>
      <x:c r="I613" s="530" t="str">
        <x:f>IF(ISBLANK('_INSTANCE'!I532),"",'_INSTANCE'!I532)</x:f>
      </x:c>
      <x:c r="J613" s="530" t="str">
        <x:f>IF(ISBLANK('_INSTANCE'!J532),"",'_INSTANCE'!J532)</x:f>
      </x:c>
      <x:c r="K613" s="38"/>
      <x:c r="L613" s="38"/>
      <x:c r="M613" s="38"/>
      <x:c r="N613" s="38"/>
      <x:c r="O613" s="38"/>
      <x:c r="P613" s="38"/>
      <x:c r="Q613" s="38"/>
    </x:row>
    <x:row r="614">
      <x:c r="A614" s="523" t="str">
        <x:f>IF(ISBLANK('_INSTANCE'!A533),"",'_INSTANCE'!A533)</x:f>
      </x:c>
      <x:c r="B614" s="523" t="str">
        <x:f>IF(ISBLANK('_INSTANCE'!B533),"",'_INSTANCE'!B533)</x:f>
      </x:c>
      <x:c r="C614" s="523" t="str">
        <x:f>IF(ISBLANK('_INSTANCE'!C533),"",'_INSTANCE'!C533)</x:f>
      </x:c>
      <x:c r="D614" s="530" t="str">
        <x:f>IF(ISBLANK('_INSTANCE'!D533),"",'_INSTANCE'!D533)</x:f>
      </x:c>
      <x:c r="E614" s="530" t="str">
        <x:f>IF(ISBLANK('_INSTANCE'!E533),"",'_INSTANCE'!E533)</x:f>
      </x:c>
      <x:c r="F614" s="530" t="str">
        <x:f>IF(ISBLANK('_INSTANCE'!F533),"",'_INSTANCE'!F533)</x:f>
      </x:c>
      <x:c r="G614" s="530" t="str">
        <x:f>IF(ISBLANK('_INSTANCE'!G533),"",'_INSTANCE'!G533)</x:f>
      </x:c>
      <x:c r="H614" s="530" t="str">
        <x:f>IF(ISBLANK('_INSTANCE'!H533),"",'_INSTANCE'!H533)</x:f>
      </x:c>
      <x:c r="I614" s="530" t="str">
        <x:f>IF(ISBLANK('_INSTANCE'!I533),"",'_INSTANCE'!I533)</x:f>
      </x:c>
      <x:c r="J614" s="530" t="str">
        <x:f>IF(ISBLANK('_INSTANCE'!J533),"",'_INSTANCE'!J533)</x:f>
      </x:c>
      <x:c r="K614" s="38"/>
      <x:c r="L614" s="38"/>
      <x:c r="M614" s="38"/>
      <x:c r="N614" s="38"/>
      <x:c r="O614" s="38"/>
      <x:c r="P614" s="38"/>
      <x:c r="Q614" s="38"/>
    </x:row>
    <x:row r="615">
      <x:c r="A615" s="523" t="str">
        <x:f>IF(ISBLANK('_INSTANCE'!A534),"",'_INSTANCE'!A534)</x:f>
      </x:c>
      <x:c r="B615" s="523" t="str">
        <x:f>IF(ISBLANK('_INSTANCE'!B534),"",'_INSTANCE'!B534)</x:f>
      </x:c>
      <x:c r="C615" s="523" t="str">
        <x:f>IF(ISBLANK('_INSTANCE'!C534),"",'_INSTANCE'!C534)</x:f>
      </x:c>
      <x:c r="D615" s="530" t="str">
        <x:f>IF(ISBLANK('_INSTANCE'!D534),"",'_INSTANCE'!D534)</x:f>
      </x:c>
      <x:c r="E615" s="530" t="str">
        <x:f>IF(ISBLANK('_INSTANCE'!E534),"",'_INSTANCE'!E534)</x:f>
      </x:c>
      <x:c r="F615" s="530" t="str">
        <x:f>IF(ISBLANK('_INSTANCE'!F534),"",'_INSTANCE'!F534)</x:f>
      </x:c>
      <x:c r="G615" s="530" t="str">
        <x:f>IF(ISBLANK('_INSTANCE'!G534),"",'_INSTANCE'!G534)</x:f>
      </x:c>
      <x:c r="H615" s="530" t="str">
        <x:f>IF(ISBLANK('_INSTANCE'!H534),"",'_INSTANCE'!H534)</x:f>
      </x:c>
      <x:c r="I615" s="530" t="str">
        <x:f>IF(ISBLANK('_INSTANCE'!I534),"",'_INSTANCE'!I534)</x:f>
      </x:c>
      <x:c r="J615" s="530" t="str">
        <x:f>IF(ISBLANK('_INSTANCE'!J534),"",'_INSTANCE'!J534)</x:f>
      </x:c>
      <x:c r="K615" s="38"/>
      <x:c r="L615" s="38"/>
      <x:c r="M615" s="38"/>
      <x:c r="N615" s="38"/>
      <x:c r="O615" s="38"/>
      <x:c r="P615" s="38"/>
      <x:c r="Q615" s="38"/>
    </x:row>
    <x:row r="616">
      <x:c r="A616" s="523" t="str">
        <x:f>IF(ISBLANK('_INSTANCE'!A535),"",'_INSTANCE'!A535)</x:f>
      </x:c>
      <x:c r="B616" s="523" t="str">
        <x:f>IF(ISBLANK('_INSTANCE'!B535),"",'_INSTANCE'!B535)</x:f>
      </x:c>
      <x:c r="C616" s="523" t="str">
        <x:f>IF(ISBLANK('_INSTANCE'!C535),"",'_INSTANCE'!C535)</x:f>
      </x:c>
      <x:c r="D616" s="530" t="str">
        <x:f>IF(ISBLANK('_INSTANCE'!D535),"",'_INSTANCE'!D535)</x:f>
      </x:c>
      <x:c r="E616" s="530" t="str">
        <x:f>IF(ISBLANK('_INSTANCE'!E535),"",'_INSTANCE'!E535)</x:f>
      </x:c>
      <x:c r="F616" s="530" t="str">
        <x:f>IF(ISBLANK('_INSTANCE'!F535),"",'_INSTANCE'!F535)</x:f>
      </x:c>
      <x:c r="G616" s="530" t="str">
        <x:f>IF(ISBLANK('_INSTANCE'!G535),"",'_INSTANCE'!G535)</x:f>
      </x:c>
      <x:c r="H616" s="530" t="str">
        <x:f>IF(ISBLANK('_INSTANCE'!H535),"",'_INSTANCE'!H535)</x:f>
      </x:c>
      <x:c r="I616" s="530" t="str">
        <x:f>IF(ISBLANK('_INSTANCE'!I535),"",'_INSTANCE'!I535)</x:f>
      </x:c>
      <x:c r="J616" s="530" t="str">
        <x:f>IF(ISBLANK('_INSTANCE'!J535),"",'_INSTANCE'!J535)</x:f>
      </x:c>
      <x:c r="K616" s="38"/>
      <x:c r="L616" s="38"/>
      <x:c r="M616" s="38"/>
      <x:c r="N616" s="38"/>
      <x:c r="O616" s="38"/>
      <x:c r="P616" s="38"/>
      <x:c r="Q616" s="38"/>
    </x:row>
    <x:row r="617">
      <x:c r="A617" s="523" t="str">
        <x:f>IF(ISBLANK('_INSTANCE'!A536),"",'_INSTANCE'!A536)</x:f>
      </x:c>
      <x:c r="B617" s="523" t="str">
        <x:f>IF(ISBLANK('_INSTANCE'!B536),"",'_INSTANCE'!B536)</x:f>
      </x:c>
      <x:c r="C617" s="523" t="str">
        <x:f>IF(ISBLANK('_INSTANCE'!C536),"",'_INSTANCE'!C536)</x:f>
      </x:c>
      <x:c r="D617" s="530" t="str">
        <x:f>IF(ISBLANK('_INSTANCE'!D536),"",'_INSTANCE'!D536)</x:f>
      </x:c>
      <x:c r="E617" s="530" t="str">
        <x:f>IF(ISBLANK('_INSTANCE'!E536),"",'_INSTANCE'!E536)</x:f>
      </x:c>
      <x:c r="F617" s="530" t="str">
        <x:f>IF(ISBLANK('_INSTANCE'!F536),"",'_INSTANCE'!F536)</x:f>
      </x:c>
      <x:c r="G617" s="530" t="str">
        <x:f>IF(ISBLANK('_INSTANCE'!G536),"",'_INSTANCE'!G536)</x:f>
      </x:c>
      <x:c r="H617" s="530" t="str">
        <x:f>IF(ISBLANK('_INSTANCE'!H536),"",'_INSTANCE'!H536)</x:f>
      </x:c>
      <x:c r="I617" s="530" t="str">
        <x:f>IF(ISBLANK('_INSTANCE'!I536),"",'_INSTANCE'!I536)</x:f>
      </x:c>
      <x:c r="J617" s="530" t="str">
        <x:f>IF(ISBLANK('_INSTANCE'!J536),"",'_INSTANCE'!J536)</x:f>
      </x:c>
      <x:c r="K617" s="38"/>
      <x:c r="L617" s="38"/>
      <x:c r="M617" s="38"/>
      <x:c r="N617" s="38"/>
      <x:c r="O617" s="38"/>
      <x:c r="P617" s="38"/>
      <x:c r="Q617" s="38"/>
    </x:row>
    <x:row r="618">
      <x:c r="A618" s="523" t="str">
        <x:f>IF(ISBLANK('_INSTANCE'!A537),"",'_INSTANCE'!A537)</x:f>
      </x:c>
      <x:c r="B618" s="523" t="str">
        <x:f>IF(ISBLANK('_INSTANCE'!B537),"",'_INSTANCE'!B537)</x:f>
      </x:c>
      <x:c r="C618" s="523" t="str">
        <x:f>IF(ISBLANK('_INSTANCE'!C537),"",'_INSTANCE'!C537)</x:f>
      </x:c>
      <x:c r="D618" s="530" t="str">
        <x:f>IF(ISBLANK('_INSTANCE'!D537),"",'_INSTANCE'!D537)</x:f>
      </x:c>
      <x:c r="E618" s="530" t="str">
        <x:f>IF(ISBLANK('_INSTANCE'!E537),"",'_INSTANCE'!E537)</x:f>
      </x:c>
      <x:c r="F618" s="530" t="str">
        <x:f>IF(ISBLANK('_INSTANCE'!F537),"",'_INSTANCE'!F537)</x:f>
      </x:c>
      <x:c r="G618" s="530" t="str">
        <x:f>IF(ISBLANK('_INSTANCE'!G537),"",'_INSTANCE'!G537)</x:f>
      </x:c>
      <x:c r="H618" s="530" t="str">
        <x:f>IF(ISBLANK('_INSTANCE'!H537),"",'_INSTANCE'!H537)</x:f>
      </x:c>
      <x:c r="I618" s="530" t="str">
        <x:f>IF(ISBLANK('_INSTANCE'!I537),"",'_INSTANCE'!I537)</x:f>
      </x:c>
      <x:c r="J618" s="530" t="str">
        <x:f>IF(ISBLANK('_INSTANCE'!J537),"",'_INSTANCE'!J537)</x:f>
      </x:c>
      <x:c r="K618" s="38"/>
      <x:c r="L618" s="38"/>
      <x:c r="M618" s="38"/>
      <x:c r="N618" s="38"/>
      <x:c r="O618" s="38"/>
      <x:c r="P618" s="38"/>
      <x:c r="Q618" s="38"/>
    </x:row>
    <x:row r="619">
      <x:c r="A619" s="523" t="str">
        <x:f>IF(ISBLANK('_INSTANCE'!A538),"",'_INSTANCE'!A538)</x:f>
      </x:c>
      <x:c r="B619" s="523" t="str">
        <x:f>IF(ISBLANK('_INSTANCE'!B538),"",'_INSTANCE'!B538)</x:f>
      </x:c>
      <x:c r="C619" s="523" t="str">
        <x:f>IF(ISBLANK('_INSTANCE'!C538),"",'_INSTANCE'!C538)</x:f>
      </x:c>
      <x:c r="D619" s="530" t="str">
        <x:f>IF(ISBLANK('_INSTANCE'!D538),"",'_INSTANCE'!D538)</x:f>
      </x:c>
      <x:c r="E619" s="530" t="str">
        <x:f>IF(ISBLANK('_INSTANCE'!E538),"",'_INSTANCE'!E538)</x:f>
      </x:c>
      <x:c r="F619" s="530" t="str">
        <x:f>IF(ISBLANK('_INSTANCE'!F538),"",'_INSTANCE'!F538)</x:f>
      </x:c>
      <x:c r="G619" s="530" t="str">
        <x:f>IF(ISBLANK('_INSTANCE'!G538),"",'_INSTANCE'!G538)</x:f>
      </x:c>
      <x:c r="H619" s="530" t="str">
        <x:f>IF(ISBLANK('_INSTANCE'!H538),"",'_INSTANCE'!H538)</x:f>
      </x:c>
      <x:c r="I619" s="530" t="str">
        <x:f>IF(ISBLANK('_INSTANCE'!I538),"",'_INSTANCE'!I538)</x:f>
      </x:c>
      <x:c r="J619" s="530" t="str">
        <x:f>IF(ISBLANK('_INSTANCE'!J538),"",'_INSTANCE'!J538)</x:f>
      </x:c>
      <x:c r="K619" s="38"/>
      <x:c r="L619" s="38"/>
      <x:c r="M619" s="38"/>
      <x:c r="N619" s="38"/>
      <x:c r="O619" s="38"/>
      <x:c r="P619" s="38"/>
      <x:c r="Q619" s="38"/>
    </x:row>
    <x:row r="620">
      <x:c r="A620" s="523" t="str">
        <x:f>IF(ISBLANK('_INSTANCE'!A539),"",'_INSTANCE'!A539)</x:f>
      </x:c>
      <x:c r="B620" s="523" t="str">
        <x:f>IF(ISBLANK('_INSTANCE'!B539),"",'_INSTANCE'!B539)</x:f>
      </x:c>
      <x:c r="C620" s="523" t="str">
        <x:f>IF(ISBLANK('_INSTANCE'!C539),"",'_INSTANCE'!C539)</x:f>
      </x:c>
      <x:c r="D620" s="530" t="str">
        <x:f>IF(ISBLANK('_INSTANCE'!D539),"",'_INSTANCE'!D539)</x:f>
      </x:c>
      <x:c r="E620" s="530" t="str">
        <x:f>IF(ISBLANK('_INSTANCE'!E539),"",'_INSTANCE'!E539)</x:f>
      </x:c>
      <x:c r="F620" s="530" t="str">
        <x:f>IF(ISBLANK('_INSTANCE'!F539),"",'_INSTANCE'!F539)</x:f>
      </x:c>
      <x:c r="G620" s="530" t="str">
        <x:f>IF(ISBLANK('_INSTANCE'!G539),"",'_INSTANCE'!G539)</x:f>
      </x:c>
      <x:c r="H620" s="530" t="str">
        <x:f>IF(ISBLANK('_INSTANCE'!H539),"",'_INSTANCE'!H539)</x:f>
      </x:c>
      <x:c r="I620" s="530" t="str">
        <x:f>IF(ISBLANK('_INSTANCE'!I539),"",'_INSTANCE'!I539)</x:f>
      </x:c>
      <x:c r="J620" s="530" t="str">
        <x:f>IF(ISBLANK('_INSTANCE'!J539),"",'_INSTANCE'!J539)</x:f>
      </x:c>
      <x:c r="K620" s="38"/>
      <x:c r="L620" s="38"/>
      <x:c r="M620" s="38"/>
      <x:c r="N620" s="38"/>
      <x:c r="O620" s="38"/>
      <x:c r="P620" s="38"/>
      <x:c r="Q620" s="38"/>
    </x:row>
    <x:row r="621">
      <x:c r="A621" s="523" t="str">
        <x:f>IF(ISBLANK('_INSTANCE'!A540),"",'_INSTANCE'!A540)</x:f>
      </x:c>
      <x:c r="B621" s="523" t="str">
        <x:f>IF(ISBLANK('_INSTANCE'!B540),"",'_INSTANCE'!B540)</x:f>
      </x:c>
      <x:c r="C621" s="523" t="str">
        <x:f>IF(ISBLANK('_INSTANCE'!C540),"",'_INSTANCE'!C540)</x:f>
      </x:c>
      <x:c r="D621" s="530" t="str">
        <x:f>IF(ISBLANK('_INSTANCE'!D540),"",'_INSTANCE'!D540)</x:f>
      </x:c>
      <x:c r="E621" s="530" t="str">
        <x:f>IF(ISBLANK('_INSTANCE'!E540),"",'_INSTANCE'!E540)</x:f>
      </x:c>
      <x:c r="F621" s="530" t="str">
        <x:f>IF(ISBLANK('_INSTANCE'!F540),"",'_INSTANCE'!F540)</x:f>
      </x:c>
      <x:c r="G621" s="530" t="str">
        <x:f>IF(ISBLANK('_INSTANCE'!G540),"",'_INSTANCE'!G540)</x:f>
      </x:c>
      <x:c r="H621" s="530" t="str">
        <x:f>IF(ISBLANK('_INSTANCE'!H540),"",'_INSTANCE'!H540)</x:f>
      </x:c>
      <x:c r="I621" s="530" t="str">
        <x:f>IF(ISBLANK('_INSTANCE'!I540),"",'_INSTANCE'!I540)</x:f>
      </x:c>
      <x:c r="J621" s="530" t="str">
        <x:f>IF(ISBLANK('_INSTANCE'!J540),"",'_INSTANCE'!J540)</x:f>
      </x:c>
      <x:c r="K621" s="38"/>
      <x:c r="L621" s="38"/>
      <x:c r="M621" s="38"/>
      <x:c r="N621" s="38"/>
      <x:c r="O621" s="38"/>
      <x:c r="P621" s="38"/>
      <x:c r="Q621" s="38"/>
    </x:row>
    <x:row r="622">
      <x:c r="A622" s="523" t="str">
        <x:f>IF(ISBLANK('_INSTANCE'!A541),"",'_INSTANCE'!A541)</x:f>
      </x:c>
      <x:c r="B622" s="523" t="str">
        <x:f>IF(ISBLANK('_INSTANCE'!B541),"",'_INSTANCE'!B541)</x:f>
      </x:c>
      <x:c r="C622" s="523" t="str">
        <x:f>IF(ISBLANK('_INSTANCE'!C541),"",'_INSTANCE'!C541)</x:f>
      </x:c>
      <x:c r="D622" s="530" t="str">
        <x:f>IF(ISBLANK('_INSTANCE'!D541),"",'_INSTANCE'!D541)</x:f>
      </x:c>
      <x:c r="E622" s="530" t="str">
        <x:f>IF(ISBLANK('_INSTANCE'!E541),"",'_INSTANCE'!E541)</x:f>
      </x:c>
      <x:c r="F622" s="530" t="str">
        <x:f>IF(ISBLANK('_INSTANCE'!F541),"",'_INSTANCE'!F541)</x:f>
      </x:c>
      <x:c r="G622" s="530" t="str">
        <x:f>IF(ISBLANK('_INSTANCE'!G541),"",'_INSTANCE'!G541)</x:f>
      </x:c>
      <x:c r="H622" s="530" t="str">
        <x:f>IF(ISBLANK('_INSTANCE'!H541),"",'_INSTANCE'!H541)</x:f>
      </x:c>
      <x:c r="I622" s="530" t="str">
        <x:f>IF(ISBLANK('_INSTANCE'!I541),"",'_INSTANCE'!I541)</x:f>
      </x:c>
      <x:c r="J622" s="530" t="str">
        <x:f>IF(ISBLANK('_INSTANCE'!J541),"",'_INSTANCE'!J541)</x:f>
      </x:c>
      <x:c r="K622" s="38"/>
      <x:c r="L622" s="38"/>
      <x:c r="M622" s="38"/>
      <x:c r="N622" s="38"/>
      <x:c r="O622" s="38"/>
      <x:c r="P622" s="38"/>
      <x:c r="Q622" s="38"/>
    </x:row>
    <x:row r="623">
      <x:c r="A623" s="523" t="str">
        <x:f>IF(ISBLANK('_INSTANCE'!A542),"",'_INSTANCE'!A542)</x:f>
      </x:c>
      <x:c r="B623" s="523" t="str">
        <x:f>IF(ISBLANK('_INSTANCE'!B542),"",'_INSTANCE'!B542)</x:f>
      </x:c>
      <x:c r="C623" s="523" t="str">
        <x:f>IF(ISBLANK('_INSTANCE'!C542),"",'_INSTANCE'!C542)</x:f>
      </x:c>
      <x:c r="D623" s="530" t="str">
        <x:f>IF(ISBLANK('_INSTANCE'!D542),"",'_INSTANCE'!D542)</x:f>
      </x:c>
      <x:c r="E623" s="530" t="str">
        <x:f>IF(ISBLANK('_INSTANCE'!E542),"",'_INSTANCE'!E542)</x:f>
      </x:c>
      <x:c r="F623" s="530" t="str">
        <x:f>IF(ISBLANK('_INSTANCE'!F542),"",'_INSTANCE'!F542)</x:f>
      </x:c>
      <x:c r="G623" s="530" t="str">
        <x:f>IF(ISBLANK('_INSTANCE'!G542),"",'_INSTANCE'!G542)</x:f>
      </x:c>
      <x:c r="H623" s="530" t="str">
        <x:f>IF(ISBLANK('_INSTANCE'!H542),"",'_INSTANCE'!H542)</x:f>
      </x:c>
      <x:c r="I623" s="530" t="str">
        <x:f>IF(ISBLANK('_INSTANCE'!I542),"",'_INSTANCE'!I542)</x:f>
      </x:c>
      <x:c r="J623" s="530" t="str">
        <x:f>IF(ISBLANK('_INSTANCE'!J542),"",'_INSTANCE'!J542)</x:f>
      </x:c>
      <x:c r="K623" s="38"/>
      <x:c r="L623" s="38"/>
      <x:c r="M623" s="38"/>
      <x:c r="N623" s="38"/>
      <x:c r="O623" s="38"/>
      <x:c r="P623" s="38"/>
      <x:c r="Q623" s="38"/>
    </x:row>
    <x:row r="624">
      <x:c r="A624" s="523" t="str">
        <x:f>IF(ISBLANK('_INSTANCE'!A543),"",'_INSTANCE'!A543)</x:f>
      </x:c>
      <x:c r="B624" s="523" t="str">
        <x:f>IF(ISBLANK('_INSTANCE'!B543),"",'_INSTANCE'!B543)</x:f>
      </x:c>
      <x:c r="C624" s="523" t="str">
        <x:f>IF(ISBLANK('_INSTANCE'!C543),"",'_INSTANCE'!C543)</x:f>
      </x:c>
      <x:c r="D624" s="530" t="str">
        <x:f>IF(ISBLANK('_INSTANCE'!D543),"",'_INSTANCE'!D543)</x:f>
      </x:c>
      <x:c r="E624" s="530" t="str">
        <x:f>IF(ISBLANK('_INSTANCE'!E543),"",'_INSTANCE'!E543)</x:f>
      </x:c>
      <x:c r="F624" s="530" t="str">
        <x:f>IF(ISBLANK('_INSTANCE'!F543),"",'_INSTANCE'!F543)</x:f>
      </x:c>
      <x:c r="G624" s="530" t="str">
        <x:f>IF(ISBLANK('_INSTANCE'!G543),"",'_INSTANCE'!G543)</x:f>
      </x:c>
      <x:c r="H624" s="530" t="str">
        <x:f>IF(ISBLANK('_INSTANCE'!H543),"",'_INSTANCE'!H543)</x:f>
      </x:c>
      <x:c r="I624" s="530" t="str">
        <x:f>IF(ISBLANK('_INSTANCE'!I543),"",'_INSTANCE'!I543)</x:f>
      </x:c>
      <x:c r="J624" s="530" t="str">
        <x:f>IF(ISBLANK('_INSTANCE'!J543),"",'_INSTANCE'!J543)</x:f>
      </x:c>
      <x:c r="K624" s="38"/>
      <x:c r="L624" s="38"/>
      <x:c r="M624" s="38"/>
      <x:c r="N624" s="38"/>
      <x:c r="O624" s="38"/>
      <x:c r="P624" s="38"/>
      <x:c r="Q624" s="38"/>
    </x:row>
    <x:row r="625">
      <x:c r="A625" s="523" t="str">
        <x:f>IF(ISBLANK('_INSTANCE'!A544),"",'_INSTANCE'!A544)</x:f>
      </x:c>
      <x:c r="B625" s="523" t="str">
        <x:f>IF(ISBLANK('_INSTANCE'!B544),"",'_INSTANCE'!B544)</x:f>
      </x:c>
      <x:c r="C625" s="523" t="str">
        <x:f>IF(ISBLANK('_INSTANCE'!C544),"",'_INSTANCE'!C544)</x:f>
      </x:c>
      <x:c r="D625" s="530" t="str">
        <x:f>IF(ISBLANK('_INSTANCE'!D544),"",'_INSTANCE'!D544)</x:f>
      </x:c>
      <x:c r="E625" s="530" t="str">
        <x:f>IF(ISBLANK('_INSTANCE'!E544),"",'_INSTANCE'!E544)</x:f>
      </x:c>
      <x:c r="F625" s="530" t="str">
        <x:f>IF(ISBLANK('_INSTANCE'!F544),"",'_INSTANCE'!F544)</x:f>
      </x:c>
      <x:c r="G625" s="530" t="str">
        <x:f>IF(ISBLANK('_INSTANCE'!G544),"",'_INSTANCE'!G544)</x:f>
      </x:c>
      <x:c r="H625" s="530" t="str">
        <x:f>IF(ISBLANK('_INSTANCE'!H544),"",'_INSTANCE'!H544)</x:f>
      </x:c>
      <x:c r="I625" s="530" t="str">
        <x:f>IF(ISBLANK('_INSTANCE'!I544),"",'_INSTANCE'!I544)</x:f>
      </x:c>
      <x:c r="J625" s="530" t="str">
        <x:f>IF(ISBLANK('_INSTANCE'!J544),"",'_INSTANCE'!J544)</x:f>
      </x:c>
      <x:c r="K625" s="38"/>
      <x:c r="L625" s="38"/>
      <x:c r="M625" s="38"/>
      <x:c r="N625" s="38"/>
      <x:c r="O625" s="38"/>
      <x:c r="P625" s="38"/>
      <x:c r="Q625" s="38"/>
    </x:row>
    <x:row r="626">
      <x:c r="A626" s="523" t="str">
        <x:f>IF(ISBLANK('_INSTANCE'!A545),"",'_INSTANCE'!A545)</x:f>
      </x:c>
      <x:c r="B626" s="523" t="str">
        <x:f>IF(ISBLANK('_INSTANCE'!B545),"",'_INSTANCE'!B545)</x:f>
      </x:c>
      <x:c r="C626" s="523" t="str">
        <x:f>IF(ISBLANK('_INSTANCE'!C545),"",'_INSTANCE'!C545)</x:f>
      </x:c>
      <x:c r="D626" s="530" t="str">
        <x:f>IF(ISBLANK('_INSTANCE'!D545),"",'_INSTANCE'!D545)</x:f>
      </x:c>
      <x:c r="E626" s="530" t="str">
        <x:f>IF(ISBLANK('_INSTANCE'!E545),"",'_INSTANCE'!E545)</x:f>
      </x:c>
      <x:c r="F626" s="530" t="str">
        <x:f>IF(ISBLANK('_INSTANCE'!F545),"",'_INSTANCE'!F545)</x:f>
      </x:c>
      <x:c r="G626" s="530" t="str">
        <x:f>IF(ISBLANK('_INSTANCE'!G545),"",'_INSTANCE'!G545)</x:f>
      </x:c>
      <x:c r="H626" s="530" t="str">
        <x:f>IF(ISBLANK('_INSTANCE'!H545),"",'_INSTANCE'!H545)</x:f>
      </x:c>
      <x:c r="I626" s="530" t="str">
        <x:f>IF(ISBLANK('_INSTANCE'!I545),"",'_INSTANCE'!I545)</x:f>
      </x:c>
      <x:c r="J626" s="530" t="str">
        <x:f>IF(ISBLANK('_INSTANCE'!J545),"",'_INSTANCE'!J545)</x:f>
      </x:c>
      <x:c r="K626" s="38"/>
      <x:c r="L626" s="38"/>
      <x:c r="M626" s="38"/>
      <x:c r="N626" s="38"/>
      <x:c r="O626" s="38"/>
      <x:c r="P626" s="38"/>
      <x:c r="Q626" s="38"/>
    </x:row>
    <x:row r="627">
      <x:c r="A627" s="523" t="str">
        <x:f>IF(ISBLANK('_INSTANCE'!A546),"",'_INSTANCE'!A546)</x:f>
      </x:c>
      <x:c r="B627" s="523" t="str">
        <x:f>IF(ISBLANK('_INSTANCE'!B546),"",'_INSTANCE'!B546)</x:f>
      </x:c>
      <x:c r="C627" s="523" t="str">
        <x:f>IF(ISBLANK('_INSTANCE'!C546),"",'_INSTANCE'!C546)</x:f>
      </x:c>
      <x:c r="D627" s="530" t="str">
        <x:f>IF(ISBLANK('_INSTANCE'!D546),"",'_INSTANCE'!D546)</x:f>
      </x:c>
      <x:c r="E627" s="530" t="str">
        <x:f>IF(ISBLANK('_INSTANCE'!E546),"",'_INSTANCE'!E546)</x:f>
      </x:c>
      <x:c r="F627" s="530" t="str">
        <x:f>IF(ISBLANK('_INSTANCE'!F546),"",'_INSTANCE'!F546)</x:f>
      </x:c>
      <x:c r="G627" s="530" t="str">
        <x:f>IF(ISBLANK('_INSTANCE'!G546),"",'_INSTANCE'!G546)</x:f>
      </x:c>
      <x:c r="H627" s="530" t="str">
        <x:f>IF(ISBLANK('_INSTANCE'!H546),"",'_INSTANCE'!H546)</x:f>
      </x:c>
      <x:c r="I627" s="530" t="str">
        <x:f>IF(ISBLANK('_INSTANCE'!I546),"",'_INSTANCE'!I546)</x:f>
      </x:c>
      <x:c r="J627" s="530" t="str">
        <x:f>IF(ISBLANK('_INSTANCE'!J546),"",'_INSTANCE'!J546)</x:f>
      </x:c>
      <x:c r="K627" s="38"/>
      <x:c r="L627" s="38"/>
      <x:c r="M627" s="38"/>
      <x:c r="N627" s="38"/>
      <x:c r="O627" s="38"/>
      <x:c r="P627" s="38"/>
      <x:c r="Q627" s="38"/>
    </x:row>
    <x:row r="628">
      <x:c r="A628" s="523" t="str">
        <x:f>IF(ISBLANK('_INSTANCE'!A547),"",'_INSTANCE'!A547)</x:f>
      </x:c>
      <x:c r="B628" s="523" t="str">
        <x:f>IF(ISBLANK('_INSTANCE'!B547),"",'_INSTANCE'!B547)</x:f>
      </x:c>
      <x:c r="C628" s="523" t="str">
        <x:f>IF(ISBLANK('_INSTANCE'!C547),"",'_INSTANCE'!C547)</x:f>
      </x:c>
      <x:c r="D628" s="530" t="str">
        <x:f>IF(ISBLANK('_INSTANCE'!D547),"",'_INSTANCE'!D547)</x:f>
      </x:c>
      <x:c r="E628" s="530" t="str">
        <x:f>IF(ISBLANK('_INSTANCE'!E547),"",'_INSTANCE'!E547)</x:f>
      </x:c>
      <x:c r="F628" s="530" t="str">
        <x:f>IF(ISBLANK('_INSTANCE'!F547),"",'_INSTANCE'!F547)</x:f>
      </x:c>
      <x:c r="G628" s="530" t="str">
        <x:f>IF(ISBLANK('_INSTANCE'!G547),"",'_INSTANCE'!G547)</x:f>
      </x:c>
      <x:c r="H628" s="530" t="str">
        <x:f>IF(ISBLANK('_INSTANCE'!H547),"",'_INSTANCE'!H547)</x:f>
      </x:c>
      <x:c r="I628" s="530" t="str">
        <x:f>IF(ISBLANK('_INSTANCE'!I547),"",'_INSTANCE'!I547)</x:f>
      </x:c>
      <x:c r="J628" s="530" t="str">
        <x:f>IF(ISBLANK('_INSTANCE'!J547),"",'_INSTANCE'!J547)</x:f>
      </x:c>
      <x:c r="K628" s="38"/>
      <x:c r="L628" s="38"/>
      <x:c r="M628" s="38"/>
      <x:c r="N628" s="38"/>
      <x:c r="O628" s="38"/>
      <x:c r="P628" s="38"/>
      <x:c r="Q628" s="38"/>
    </x:row>
    <x:row r="629">
      <x:c r="A629" s="523" t="str">
        <x:f>IF(ISBLANK('_INSTANCE'!A548),"",'_INSTANCE'!A548)</x:f>
      </x:c>
      <x:c r="B629" s="523" t="str">
        <x:f>IF(ISBLANK('_INSTANCE'!B548),"",'_INSTANCE'!B548)</x:f>
      </x:c>
      <x:c r="C629" s="523" t="str">
        <x:f>IF(ISBLANK('_INSTANCE'!C548),"",'_INSTANCE'!C548)</x:f>
      </x:c>
      <x:c r="D629" s="530" t="str">
        <x:f>IF(ISBLANK('_INSTANCE'!D548),"",'_INSTANCE'!D548)</x:f>
      </x:c>
      <x:c r="E629" s="530" t="str">
        <x:f>IF(ISBLANK('_INSTANCE'!E548),"",'_INSTANCE'!E548)</x:f>
      </x:c>
      <x:c r="F629" s="530" t="str">
        <x:f>IF(ISBLANK('_INSTANCE'!F548),"",'_INSTANCE'!F548)</x:f>
      </x:c>
      <x:c r="G629" s="530" t="str">
        <x:f>IF(ISBLANK('_INSTANCE'!G548),"",'_INSTANCE'!G548)</x:f>
      </x:c>
      <x:c r="H629" s="530" t="str">
        <x:f>IF(ISBLANK('_INSTANCE'!H548),"",'_INSTANCE'!H548)</x:f>
      </x:c>
      <x:c r="I629" s="530" t="str">
        <x:f>IF(ISBLANK('_INSTANCE'!I548),"",'_INSTANCE'!I548)</x:f>
      </x:c>
      <x:c r="J629" s="530" t="str">
        <x:f>IF(ISBLANK('_INSTANCE'!J548),"",'_INSTANCE'!J548)</x:f>
      </x:c>
      <x:c r="K629" s="38"/>
      <x:c r="L629" s="38"/>
      <x:c r="M629" s="38"/>
      <x:c r="N629" s="38"/>
      <x:c r="O629" s="38"/>
      <x:c r="P629" s="38"/>
      <x:c r="Q629" s="38"/>
    </x:row>
    <x:row r="630">
      <x:c r="A630" s="523" t="str">
        <x:f>IF(ISBLANK('_INSTANCE'!A549),"",'_INSTANCE'!A549)</x:f>
      </x:c>
      <x:c r="B630" s="523" t="str">
        <x:f>IF(ISBLANK('_INSTANCE'!B549),"",'_INSTANCE'!B549)</x:f>
      </x:c>
      <x:c r="C630" s="523" t="str">
        <x:f>IF(ISBLANK('_INSTANCE'!C549),"",'_INSTANCE'!C549)</x:f>
      </x:c>
      <x:c r="D630" s="530" t="str">
        <x:f>IF(ISBLANK('_INSTANCE'!D549),"",'_INSTANCE'!D549)</x:f>
      </x:c>
      <x:c r="E630" s="530" t="str">
        <x:f>IF(ISBLANK('_INSTANCE'!E549),"",'_INSTANCE'!E549)</x:f>
      </x:c>
      <x:c r="F630" s="530" t="str">
        <x:f>IF(ISBLANK('_INSTANCE'!F549),"",'_INSTANCE'!F549)</x:f>
      </x:c>
      <x:c r="G630" s="530" t="str">
        <x:f>IF(ISBLANK('_INSTANCE'!G549),"",'_INSTANCE'!G549)</x:f>
      </x:c>
      <x:c r="H630" s="530" t="str">
        <x:f>IF(ISBLANK('_INSTANCE'!H549),"",'_INSTANCE'!H549)</x:f>
      </x:c>
      <x:c r="I630" s="530" t="str">
        <x:f>IF(ISBLANK('_INSTANCE'!I549),"",'_INSTANCE'!I549)</x:f>
      </x:c>
      <x:c r="J630" s="530" t="str">
        <x:f>IF(ISBLANK('_INSTANCE'!J549),"",'_INSTANCE'!J549)</x:f>
      </x:c>
      <x:c r="K630" s="38"/>
      <x:c r="L630" s="38"/>
      <x:c r="M630" s="38"/>
      <x:c r="N630" s="38"/>
      <x:c r="O630" s="38"/>
      <x:c r="P630" s="38"/>
      <x:c r="Q630" s="38"/>
    </x:row>
    <x:row r="631">
      <x:c r="A631" s="523" t="str">
        <x:f>IF(ISBLANK('_INSTANCE'!A550),"",'_INSTANCE'!A550)</x:f>
      </x:c>
      <x:c r="B631" s="523" t="str">
        <x:f>IF(ISBLANK('_INSTANCE'!B550),"",'_INSTANCE'!B550)</x:f>
      </x:c>
      <x:c r="C631" s="523" t="str">
        <x:f>IF(ISBLANK('_INSTANCE'!C550),"",'_INSTANCE'!C550)</x:f>
      </x:c>
      <x:c r="D631" s="530" t="str">
        <x:f>IF(ISBLANK('_INSTANCE'!D550),"",'_INSTANCE'!D550)</x:f>
      </x:c>
      <x:c r="E631" s="530" t="str">
        <x:f>IF(ISBLANK('_INSTANCE'!E550),"",'_INSTANCE'!E550)</x:f>
      </x:c>
      <x:c r="F631" s="530" t="str">
        <x:f>IF(ISBLANK('_INSTANCE'!F550),"",'_INSTANCE'!F550)</x:f>
      </x:c>
      <x:c r="G631" s="530" t="str">
        <x:f>IF(ISBLANK('_INSTANCE'!G550),"",'_INSTANCE'!G550)</x:f>
      </x:c>
      <x:c r="H631" s="530" t="str">
        <x:f>IF(ISBLANK('_INSTANCE'!H550),"",'_INSTANCE'!H550)</x:f>
      </x:c>
      <x:c r="I631" s="530" t="str">
        <x:f>IF(ISBLANK('_INSTANCE'!I550),"",'_INSTANCE'!I550)</x:f>
      </x:c>
      <x:c r="J631" s="530" t="str">
        <x:f>IF(ISBLANK('_INSTANCE'!J550),"",'_INSTANCE'!J550)</x:f>
      </x:c>
      <x:c r="K631" s="38"/>
      <x:c r="L631" s="38"/>
      <x:c r="M631" s="38"/>
      <x:c r="N631" s="38"/>
      <x:c r="O631" s="38"/>
      <x:c r="P631" s="38"/>
      <x:c r="Q631" s="38"/>
    </x:row>
    <x:row r="632">
      <x:c r="A632" s="523" t="str">
        <x:f>IF(ISBLANK('_INSTANCE'!A551),"",'_INSTANCE'!A551)</x:f>
      </x:c>
      <x:c r="B632" s="523" t="str">
        <x:f>IF(ISBLANK('_INSTANCE'!B551),"",'_INSTANCE'!B551)</x:f>
      </x:c>
      <x:c r="C632" s="523" t="str">
        <x:f>IF(ISBLANK('_INSTANCE'!C551),"",'_INSTANCE'!C551)</x:f>
      </x:c>
      <x:c r="D632" s="530" t="str">
        <x:f>IF(ISBLANK('_INSTANCE'!D551),"",'_INSTANCE'!D551)</x:f>
      </x:c>
      <x:c r="E632" s="530" t="str">
        <x:f>IF(ISBLANK('_INSTANCE'!E551),"",'_INSTANCE'!E551)</x:f>
      </x:c>
      <x:c r="F632" s="530" t="str">
        <x:f>IF(ISBLANK('_INSTANCE'!F551),"",'_INSTANCE'!F551)</x:f>
      </x:c>
      <x:c r="G632" s="530" t="str">
        <x:f>IF(ISBLANK('_INSTANCE'!G551),"",'_INSTANCE'!G551)</x:f>
      </x:c>
      <x:c r="H632" s="530" t="str">
        <x:f>IF(ISBLANK('_INSTANCE'!H551),"",'_INSTANCE'!H551)</x:f>
      </x:c>
      <x:c r="I632" s="530" t="str">
        <x:f>IF(ISBLANK('_INSTANCE'!I551),"",'_INSTANCE'!I551)</x:f>
      </x:c>
      <x:c r="J632" s="530" t="str">
        <x:f>IF(ISBLANK('_INSTANCE'!J551),"",'_INSTANCE'!J551)</x:f>
      </x:c>
      <x:c r="K632" s="38"/>
      <x:c r="L632" s="38"/>
      <x:c r="M632" s="38"/>
      <x:c r="N632" s="38"/>
      <x:c r="O632" s="38"/>
      <x:c r="P632" s="38"/>
      <x:c r="Q632" s="38"/>
    </x:row>
    <x:row r="633">
      <x:c r="A633" s="523" t="str">
        <x:f>IF(ISBLANK('_INSTANCE'!A552),"",'_INSTANCE'!A552)</x:f>
      </x:c>
      <x:c r="B633" s="523" t="str">
        <x:f>IF(ISBLANK('_INSTANCE'!B552),"",'_INSTANCE'!B552)</x:f>
      </x:c>
      <x:c r="C633" s="523" t="str">
        <x:f>IF(ISBLANK('_INSTANCE'!C552),"",'_INSTANCE'!C552)</x:f>
      </x:c>
      <x:c r="D633" s="530" t="str">
        <x:f>IF(ISBLANK('_INSTANCE'!D552),"",'_INSTANCE'!D552)</x:f>
      </x:c>
      <x:c r="E633" s="530" t="str">
        <x:f>IF(ISBLANK('_INSTANCE'!E552),"",'_INSTANCE'!E552)</x:f>
      </x:c>
      <x:c r="F633" s="530" t="str">
        <x:f>IF(ISBLANK('_INSTANCE'!F552),"",'_INSTANCE'!F552)</x:f>
      </x:c>
      <x:c r="G633" s="530" t="str">
        <x:f>IF(ISBLANK('_INSTANCE'!G552),"",'_INSTANCE'!G552)</x:f>
      </x:c>
      <x:c r="H633" s="530" t="str">
        <x:f>IF(ISBLANK('_INSTANCE'!H552),"",'_INSTANCE'!H552)</x:f>
      </x:c>
      <x:c r="I633" s="530" t="str">
        <x:f>IF(ISBLANK('_INSTANCE'!I552),"",'_INSTANCE'!I552)</x:f>
      </x:c>
      <x:c r="J633" s="530" t="str">
        <x:f>IF(ISBLANK('_INSTANCE'!J552),"",'_INSTANCE'!J552)</x:f>
      </x:c>
      <x:c r="K633" s="38"/>
      <x:c r="L633" s="38"/>
      <x:c r="M633" s="38"/>
      <x:c r="N633" s="38"/>
      <x:c r="O633" s="38"/>
      <x:c r="P633" s="38"/>
      <x:c r="Q633" s="38"/>
    </x:row>
    <x:row r="634">
      <x:c r="A634" s="523" t="str">
        <x:f>IF(ISBLANK('_INSTANCE'!A553),"",'_INSTANCE'!A553)</x:f>
      </x:c>
      <x:c r="B634" s="523" t="str">
        <x:f>IF(ISBLANK('_INSTANCE'!B553),"",'_INSTANCE'!B553)</x:f>
      </x:c>
      <x:c r="C634" s="523" t="str">
        <x:f>IF(ISBLANK('_INSTANCE'!C553),"",'_INSTANCE'!C553)</x:f>
      </x:c>
      <x:c r="D634" s="530" t="str">
        <x:f>IF(ISBLANK('_INSTANCE'!D553),"",'_INSTANCE'!D553)</x:f>
      </x:c>
      <x:c r="E634" s="530" t="str">
        <x:f>IF(ISBLANK('_INSTANCE'!E553),"",'_INSTANCE'!E553)</x:f>
      </x:c>
      <x:c r="F634" s="530" t="str">
        <x:f>IF(ISBLANK('_INSTANCE'!F553),"",'_INSTANCE'!F553)</x:f>
      </x:c>
      <x:c r="G634" s="530" t="str">
        <x:f>IF(ISBLANK('_INSTANCE'!G553),"",'_INSTANCE'!G553)</x:f>
      </x:c>
      <x:c r="H634" s="530" t="str">
        <x:f>IF(ISBLANK('_INSTANCE'!H553),"",'_INSTANCE'!H553)</x:f>
      </x:c>
      <x:c r="I634" s="530" t="str">
        <x:f>IF(ISBLANK('_INSTANCE'!I553),"",'_INSTANCE'!I553)</x:f>
      </x:c>
      <x:c r="J634" s="530" t="str">
        <x:f>IF(ISBLANK('_INSTANCE'!J553),"",'_INSTANCE'!J553)</x:f>
      </x:c>
      <x:c r="K634" s="38"/>
      <x:c r="L634" s="38"/>
      <x:c r="M634" s="38"/>
      <x:c r="N634" s="38"/>
      <x:c r="O634" s="38"/>
      <x:c r="P634" s="38"/>
      <x:c r="Q634" s="38"/>
    </x:row>
    <x:row r="635">
      <x:c r="A635" s="523" t="str">
        <x:f>IF(ISBLANK('_INSTANCE'!A554),"",'_INSTANCE'!A554)</x:f>
      </x:c>
      <x:c r="B635" s="523" t="str">
        <x:f>IF(ISBLANK('_INSTANCE'!B554),"",'_INSTANCE'!B554)</x:f>
      </x:c>
      <x:c r="C635" s="523" t="str">
        <x:f>IF(ISBLANK('_INSTANCE'!C554),"",'_INSTANCE'!C554)</x:f>
      </x:c>
      <x:c r="D635" s="530" t="str">
        <x:f>IF(ISBLANK('_INSTANCE'!D554),"",'_INSTANCE'!D554)</x:f>
      </x:c>
      <x:c r="E635" s="530" t="str">
        <x:f>IF(ISBLANK('_INSTANCE'!E554),"",'_INSTANCE'!E554)</x:f>
      </x:c>
      <x:c r="F635" s="530" t="str">
        <x:f>IF(ISBLANK('_INSTANCE'!F554),"",'_INSTANCE'!F554)</x:f>
      </x:c>
      <x:c r="G635" s="530" t="str">
        <x:f>IF(ISBLANK('_INSTANCE'!G554),"",'_INSTANCE'!G554)</x:f>
      </x:c>
      <x:c r="H635" s="530" t="str">
        <x:f>IF(ISBLANK('_INSTANCE'!H554),"",'_INSTANCE'!H554)</x:f>
      </x:c>
      <x:c r="I635" s="530" t="str">
        <x:f>IF(ISBLANK('_INSTANCE'!I554),"",'_INSTANCE'!I554)</x:f>
      </x:c>
      <x:c r="J635" s="530" t="str">
        <x:f>IF(ISBLANK('_INSTANCE'!J554),"",'_INSTANCE'!J554)</x:f>
      </x:c>
      <x:c r="K635" s="38"/>
      <x:c r="L635" s="38"/>
      <x:c r="M635" s="38"/>
      <x:c r="N635" s="38"/>
      <x:c r="O635" s="38"/>
      <x:c r="P635" s="38"/>
      <x:c r="Q635" s="38"/>
    </x:row>
    <x:row r="636">
      <x:c r="A636" s="523" t="str">
        <x:f>IF(ISBLANK('_INSTANCE'!A555),"",'_INSTANCE'!A555)</x:f>
      </x:c>
      <x:c r="B636" s="523" t="str">
        <x:f>IF(ISBLANK('_INSTANCE'!B555),"",'_INSTANCE'!B555)</x:f>
      </x:c>
      <x:c r="C636" s="523" t="str">
        <x:f>IF(ISBLANK('_INSTANCE'!C555),"",'_INSTANCE'!C555)</x:f>
      </x:c>
      <x:c r="D636" s="530" t="str">
        <x:f>IF(ISBLANK('_INSTANCE'!D555),"",'_INSTANCE'!D555)</x:f>
      </x:c>
      <x:c r="E636" s="530" t="str">
        <x:f>IF(ISBLANK('_INSTANCE'!E555),"",'_INSTANCE'!E555)</x:f>
      </x:c>
      <x:c r="F636" s="530" t="str">
        <x:f>IF(ISBLANK('_INSTANCE'!F555),"",'_INSTANCE'!F555)</x:f>
      </x:c>
      <x:c r="G636" s="530" t="str">
        <x:f>IF(ISBLANK('_INSTANCE'!G555),"",'_INSTANCE'!G555)</x:f>
      </x:c>
      <x:c r="H636" s="530" t="str">
        <x:f>IF(ISBLANK('_INSTANCE'!H555),"",'_INSTANCE'!H555)</x:f>
      </x:c>
      <x:c r="I636" s="530" t="str">
        <x:f>IF(ISBLANK('_INSTANCE'!I555),"",'_INSTANCE'!I555)</x:f>
      </x:c>
      <x:c r="J636" s="530" t="str">
        <x:f>IF(ISBLANK('_INSTANCE'!J555),"",'_INSTANCE'!J555)</x:f>
      </x:c>
      <x:c r="K636" s="38"/>
      <x:c r="L636" s="38"/>
      <x:c r="M636" s="38"/>
      <x:c r="N636" s="38"/>
      <x:c r="O636" s="38"/>
      <x:c r="P636" s="38"/>
      <x:c r="Q636" s="38"/>
    </x:row>
    <x:row r="637">
      <x:c r="A637" s="523" t="str">
        <x:f>IF(ISBLANK('_INSTANCE'!A556),"",'_INSTANCE'!A556)</x:f>
      </x:c>
      <x:c r="B637" s="523" t="str">
        <x:f>IF(ISBLANK('_INSTANCE'!B556),"",'_INSTANCE'!B556)</x:f>
      </x:c>
      <x:c r="C637" s="523" t="str">
        <x:f>IF(ISBLANK('_INSTANCE'!C556),"",'_INSTANCE'!C556)</x:f>
      </x:c>
      <x:c r="D637" s="530" t="str">
        <x:f>IF(ISBLANK('_INSTANCE'!D556),"",'_INSTANCE'!D556)</x:f>
      </x:c>
      <x:c r="E637" s="530" t="str">
        <x:f>IF(ISBLANK('_INSTANCE'!E556),"",'_INSTANCE'!E556)</x:f>
      </x:c>
      <x:c r="F637" s="530" t="str">
        <x:f>IF(ISBLANK('_INSTANCE'!F556),"",'_INSTANCE'!F556)</x:f>
      </x:c>
      <x:c r="G637" s="530" t="str">
        <x:f>IF(ISBLANK('_INSTANCE'!G556),"",'_INSTANCE'!G556)</x:f>
      </x:c>
      <x:c r="H637" s="530" t="str">
        <x:f>IF(ISBLANK('_INSTANCE'!H556),"",'_INSTANCE'!H556)</x:f>
      </x:c>
      <x:c r="I637" s="530" t="str">
        <x:f>IF(ISBLANK('_INSTANCE'!I556),"",'_INSTANCE'!I556)</x:f>
      </x:c>
      <x:c r="J637" s="530" t="str">
        <x:f>IF(ISBLANK('_INSTANCE'!J556),"",'_INSTANCE'!J556)</x:f>
      </x:c>
      <x:c r="K637" s="38"/>
      <x:c r="L637" s="38"/>
      <x:c r="M637" s="38"/>
      <x:c r="N637" s="38"/>
      <x:c r="O637" s="38"/>
      <x:c r="P637" s="38"/>
      <x:c r="Q637" s="38"/>
    </x:row>
    <x:row r="638">
      <x:c r="A638" s="523" t="str">
        <x:f>IF(ISBLANK('_INSTANCE'!A557),"",'_INSTANCE'!A557)</x:f>
      </x:c>
      <x:c r="B638" s="523" t="str">
        <x:f>IF(ISBLANK('_INSTANCE'!B557),"",'_INSTANCE'!B557)</x:f>
      </x:c>
      <x:c r="C638" s="523" t="str">
        <x:f>IF(ISBLANK('_INSTANCE'!C557),"",'_INSTANCE'!C557)</x:f>
      </x:c>
      <x:c r="D638" s="530" t="str">
        <x:f>IF(ISBLANK('_INSTANCE'!D557),"",'_INSTANCE'!D557)</x:f>
      </x:c>
      <x:c r="E638" s="530" t="str">
        <x:f>IF(ISBLANK('_INSTANCE'!E557),"",'_INSTANCE'!E557)</x:f>
      </x:c>
      <x:c r="F638" s="530" t="str">
        <x:f>IF(ISBLANK('_INSTANCE'!F557),"",'_INSTANCE'!F557)</x:f>
      </x:c>
      <x:c r="G638" s="530" t="str">
        <x:f>IF(ISBLANK('_INSTANCE'!G557),"",'_INSTANCE'!G557)</x:f>
      </x:c>
      <x:c r="H638" s="530" t="str">
        <x:f>IF(ISBLANK('_INSTANCE'!H557),"",'_INSTANCE'!H557)</x:f>
      </x:c>
      <x:c r="I638" s="530" t="str">
        <x:f>IF(ISBLANK('_INSTANCE'!I557),"",'_INSTANCE'!I557)</x:f>
      </x:c>
      <x:c r="J638" s="530" t="str">
        <x:f>IF(ISBLANK('_INSTANCE'!J557),"",'_INSTANCE'!J557)</x:f>
      </x:c>
      <x:c r="K638" s="38"/>
      <x:c r="L638" s="38"/>
      <x:c r="M638" s="38"/>
      <x:c r="N638" s="38"/>
      <x:c r="O638" s="38"/>
      <x:c r="P638" s="38"/>
      <x:c r="Q638" s="38"/>
    </x:row>
    <x:row r="639">
      <x:c r="A639" s="523" t="str">
        <x:f>IF(ISBLANK('_INSTANCE'!A558),"",'_INSTANCE'!A558)</x:f>
      </x:c>
      <x:c r="B639" s="523" t="str">
        <x:f>IF(ISBLANK('_INSTANCE'!B558),"",'_INSTANCE'!B558)</x:f>
      </x:c>
      <x:c r="C639" s="523" t="str">
        <x:f>IF(ISBLANK('_INSTANCE'!C558),"",'_INSTANCE'!C558)</x:f>
      </x:c>
      <x:c r="D639" s="530" t="str">
        <x:f>IF(ISBLANK('_INSTANCE'!D558),"",'_INSTANCE'!D558)</x:f>
      </x:c>
      <x:c r="E639" s="530" t="str">
        <x:f>IF(ISBLANK('_INSTANCE'!E558),"",'_INSTANCE'!E558)</x:f>
      </x:c>
      <x:c r="F639" s="530" t="str">
        <x:f>IF(ISBLANK('_INSTANCE'!F558),"",'_INSTANCE'!F558)</x:f>
      </x:c>
      <x:c r="G639" s="530" t="str">
        <x:f>IF(ISBLANK('_INSTANCE'!G558),"",'_INSTANCE'!G558)</x:f>
      </x:c>
      <x:c r="H639" s="530" t="str">
        <x:f>IF(ISBLANK('_INSTANCE'!H558),"",'_INSTANCE'!H558)</x:f>
      </x:c>
      <x:c r="I639" s="530" t="str">
        <x:f>IF(ISBLANK('_INSTANCE'!I558),"",'_INSTANCE'!I558)</x:f>
      </x:c>
      <x:c r="J639" s="530" t="str">
        <x:f>IF(ISBLANK('_INSTANCE'!J558),"",'_INSTANCE'!J558)</x:f>
      </x:c>
      <x:c r="K639" s="38"/>
      <x:c r="L639" s="38"/>
      <x:c r="M639" s="38"/>
      <x:c r="N639" s="38"/>
      <x:c r="O639" s="38"/>
      <x:c r="P639" s="38"/>
      <x:c r="Q639" s="38"/>
    </x:row>
    <x:row r="640">
      <x:c r="A640" s="523" t="str">
        <x:f>IF(ISBLANK('_INSTANCE'!A559),"",'_INSTANCE'!A559)</x:f>
      </x:c>
      <x:c r="B640" s="523" t="str">
        <x:f>IF(ISBLANK('_INSTANCE'!B559),"",'_INSTANCE'!B559)</x:f>
      </x:c>
      <x:c r="C640" s="523" t="str">
        <x:f>IF(ISBLANK('_INSTANCE'!C559),"",'_INSTANCE'!C559)</x:f>
      </x:c>
      <x:c r="D640" s="530" t="str">
        <x:f>IF(ISBLANK('_INSTANCE'!D559),"",'_INSTANCE'!D559)</x:f>
      </x:c>
      <x:c r="E640" s="530" t="str">
        <x:f>IF(ISBLANK('_INSTANCE'!E559),"",'_INSTANCE'!E559)</x:f>
      </x:c>
      <x:c r="F640" s="530" t="str">
        <x:f>IF(ISBLANK('_INSTANCE'!F559),"",'_INSTANCE'!F559)</x:f>
      </x:c>
      <x:c r="G640" s="530" t="str">
        <x:f>IF(ISBLANK('_INSTANCE'!G559),"",'_INSTANCE'!G559)</x:f>
      </x:c>
      <x:c r="H640" s="530" t="str">
        <x:f>IF(ISBLANK('_INSTANCE'!H559),"",'_INSTANCE'!H559)</x:f>
      </x:c>
      <x:c r="I640" s="530" t="str">
        <x:f>IF(ISBLANK('_INSTANCE'!I559),"",'_INSTANCE'!I559)</x:f>
      </x:c>
      <x:c r="J640" s="530" t="str">
        <x:f>IF(ISBLANK('_INSTANCE'!J559),"",'_INSTANCE'!J559)</x:f>
      </x:c>
      <x:c r="K640" s="38"/>
      <x:c r="L640" s="38"/>
      <x:c r="M640" s="38"/>
      <x:c r="N640" s="38"/>
      <x:c r="O640" s="38"/>
      <x:c r="P640" s="38"/>
      <x:c r="Q640" s="38"/>
    </x:row>
    <x:row r="641">
      <x:c r="A641" s="523" t="str">
        <x:f>IF(ISBLANK('_INSTANCE'!A560),"",'_INSTANCE'!A560)</x:f>
      </x:c>
      <x:c r="B641" s="523" t="str">
        <x:f>IF(ISBLANK('_INSTANCE'!B560),"",'_INSTANCE'!B560)</x:f>
      </x:c>
      <x:c r="C641" s="523" t="str">
        <x:f>IF(ISBLANK('_INSTANCE'!C560),"",'_INSTANCE'!C560)</x:f>
      </x:c>
      <x:c r="D641" s="530" t="str">
        <x:f>IF(ISBLANK('_INSTANCE'!D560),"",'_INSTANCE'!D560)</x:f>
      </x:c>
      <x:c r="E641" s="530" t="str">
        <x:f>IF(ISBLANK('_INSTANCE'!E560),"",'_INSTANCE'!E560)</x:f>
      </x:c>
      <x:c r="F641" s="530" t="str">
        <x:f>IF(ISBLANK('_INSTANCE'!F560),"",'_INSTANCE'!F560)</x:f>
      </x:c>
      <x:c r="G641" s="530" t="str">
        <x:f>IF(ISBLANK('_INSTANCE'!G560),"",'_INSTANCE'!G560)</x:f>
      </x:c>
      <x:c r="H641" s="530" t="str">
        <x:f>IF(ISBLANK('_INSTANCE'!H560),"",'_INSTANCE'!H560)</x:f>
      </x:c>
      <x:c r="I641" s="530" t="str">
        <x:f>IF(ISBLANK('_INSTANCE'!I560),"",'_INSTANCE'!I560)</x:f>
      </x:c>
      <x:c r="J641" s="530" t="str">
        <x:f>IF(ISBLANK('_INSTANCE'!J560),"",'_INSTANCE'!J560)</x:f>
      </x:c>
      <x:c r="K641" s="38"/>
      <x:c r="L641" s="38"/>
      <x:c r="M641" s="38"/>
      <x:c r="N641" s="38"/>
      <x:c r="O641" s="38"/>
      <x:c r="P641" s="38"/>
      <x:c r="Q641" s="38"/>
    </x:row>
    <x:row r="642">
      <x:c r="A642" s="523" t="str">
        <x:f>IF(ISBLANK('_INSTANCE'!A561),"",'_INSTANCE'!A561)</x:f>
      </x:c>
      <x:c r="B642" s="523" t="str">
        <x:f>IF(ISBLANK('_INSTANCE'!B561),"",'_INSTANCE'!B561)</x:f>
      </x:c>
      <x:c r="C642" s="523" t="str">
        <x:f>IF(ISBLANK('_INSTANCE'!C561),"",'_INSTANCE'!C561)</x:f>
      </x:c>
      <x:c r="D642" s="530" t="str">
        <x:f>IF(ISBLANK('_INSTANCE'!D561),"",'_INSTANCE'!D561)</x:f>
      </x:c>
      <x:c r="E642" s="530" t="str">
        <x:f>IF(ISBLANK('_INSTANCE'!E561),"",'_INSTANCE'!E561)</x:f>
      </x:c>
      <x:c r="F642" s="530" t="str">
        <x:f>IF(ISBLANK('_INSTANCE'!F561),"",'_INSTANCE'!F561)</x:f>
      </x:c>
      <x:c r="G642" s="530" t="str">
        <x:f>IF(ISBLANK('_INSTANCE'!G561),"",'_INSTANCE'!G561)</x:f>
      </x:c>
      <x:c r="H642" s="530" t="str">
        <x:f>IF(ISBLANK('_INSTANCE'!H561),"",'_INSTANCE'!H561)</x:f>
      </x:c>
      <x:c r="I642" s="530" t="str">
        <x:f>IF(ISBLANK('_INSTANCE'!I561),"",'_INSTANCE'!I561)</x:f>
      </x:c>
      <x:c r="J642" s="530" t="str">
        <x:f>IF(ISBLANK('_INSTANCE'!J561),"",'_INSTANCE'!J561)</x:f>
      </x:c>
      <x:c r="K642" s="38"/>
      <x:c r="L642" s="38"/>
      <x:c r="M642" s="38"/>
      <x:c r="N642" s="38"/>
      <x:c r="O642" s="38"/>
      <x:c r="P642" s="38"/>
      <x:c r="Q642" s="38"/>
    </x:row>
    <x:row r="643">
      <x:c r="A643" s="523" t="str">
        <x:f>IF(ISBLANK('_INSTANCE'!A562),"",'_INSTANCE'!A562)</x:f>
      </x:c>
      <x:c r="B643" s="523" t="str">
        <x:f>IF(ISBLANK('_INSTANCE'!B562),"",'_INSTANCE'!B562)</x:f>
      </x:c>
      <x:c r="C643" s="523" t="str">
        <x:f>IF(ISBLANK('_INSTANCE'!C562),"",'_INSTANCE'!C562)</x:f>
      </x:c>
      <x:c r="D643" s="530" t="str">
        <x:f>IF(ISBLANK('_INSTANCE'!D562),"",'_INSTANCE'!D562)</x:f>
      </x:c>
      <x:c r="E643" s="530" t="str">
        <x:f>IF(ISBLANK('_INSTANCE'!E562),"",'_INSTANCE'!E562)</x:f>
      </x:c>
      <x:c r="F643" s="530" t="str">
        <x:f>IF(ISBLANK('_INSTANCE'!F562),"",'_INSTANCE'!F562)</x:f>
      </x:c>
      <x:c r="G643" s="530" t="str">
        <x:f>IF(ISBLANK('_INSTANCE'!G562),"",'_INSTANCE'!G562)</x:f>
      </x:c>
      <x:c r="H643" s="530" t="str">
        <x:f>IF(ISBLANK('_INSTANCE'!H562),"",'_INSTANCE'!H562)</x:f>
      </x:c>
      <x:c r="I643" s="530" t="str">
        <x:f>IF(ISBLANK('_INSTANCE'!I562),"",'_INSTANCE'!I562)</x:f>
      </x:c>
      <x:c r="J643" s="530" t="str">
        <x:f>IF(ISBLANK('_INSTANCE'!J562),"",'_INSTANCE'!J562)</x:f>
      </x:c>
      <x:c r="K643" s="38"/>
      <x:c r="L643" s="38"/>
      <x:c r="M643" s="38"/>
      <x:c r="N643" s="38"/>
      <x:c r="O643" s="38"/>
      <x:c r="P643" s="38"/>
      <x:c r="Q643" s="38"/>
    </x:row>
    <x:row r="644">
      <x:c r="A644" s="523" t="str">
        <x:f>IF(ISBLANK('_INSTANCE'!A563),"",'_INSTANCE'!A563)</x:f>
      </x:c>
      <x:c r="B644" s="523" t="str">
        <x:f>IF(ISBLANK('_INSTANCE'!B563),"",'_INSTANCE'!B563)</x:f>
      </x:c>
      <x:c r="C644" s="523" t="str">
        <x:f>IF(ISBLANK('_INSTANCE'!C563),"",'_INSTANCE'!C563)</x:f>
      </x:c>
      <x:c r="D644" s="530" t="str">
        <x:f>IF(ISBLANK('_INSTANCE'!D563),"",'_INSTANCE'!D563)</x:f>
      </x:c>
      <x:c r="E644" s="530" t="str">
        <x:f>IF(ISBLANK('_INSTANCE'!E563),"",'_INSTANCE'!E563)</x:f>
      </x:c>
      <x:c r="F644" s="530" t="str">
        <x:f>IF(ISBLANK('_INSTANCE'!F563),"",'_INSTANCE'!F563)</x:f>
      </x:c>
      <x:c r="G644" s="530" t="str">
        <x:f>IF(ISBLANK('_INSTANCE'!G563),"",'_INSTANCE'!G563)</x:f>
      </x:c>
      <x:c r="H644" s="530" t="str">
        <x:f>IF(ISBLANK('_INSTANCE'!H563),"",'_INSTANCE'!H563)</x:f>
      </x:c>
      <x:c r="I644" s="530" t="str">
        <x:f>IF(ISBLANK('_INSTANCE'!I563),"",'_INSTANCE'!I563)</x:f>
      </x:c>
      <x:c r="J644" s="530" t="str">
        <x:f>IF(ISBLANK('_INSTANCE'!J563),"",'_INSTANCE'!J563)</x:f>
      </x:c>
      <x:c r="K644" s="38"/>
      <x:c r="L644" s="38"/>
      <x:c r="M644" s="38"/>
      <x:c r="N644" s="38"/>
      <x:c r="O644" s="38"/>
      <x:c r="P644" s="38"/>
      <x:c r="Q644" s="38"/>
    </x:row>
    <x:row r="645">
      <x:c r="A645" s="523" t="str">
        <x:f>IF(ISBLANK('_INSTANCE'!A564),"",'_INSTANCE'!A564)</x:f>
      </x:c>
      <x:c r="B645" s="523" t="str">
        <x:f>IF(ISBLANK('_INSTANCE'!B564),"",'_INSTANCE'!B564)</x:f>
      </x:c>
      <x:c r="C645" s="523" t="str">
        <x:f>IF(ISBLANK('_INSTANCE'!C564),"",'_INSTANCE'!C564)</x:f>
      </x:c>
      <x:c r="D645" s="530" t="str">
        <x:f>IF(ISBLANK('_INSTANCE'!D564),"",'_INSTANCE'!D564)</x:f>
      </x:c>
      <x:c r="E645" s="530" t="str">
        <x:f>IF(ISBLANK('_INSTANCE'!E564),"",'_INSTANCE'!E564)</x:f>
      </x:c>
      <x:c r="F645" s="530" t="str">
        <x:f>IF(ISBLANK('_INSTANCE'!F564),"",'_INSTANCE'!F564)</x:f>
      </x:c>
      <x:c r="G645" s="530" t="str">
        <x:f>IF(ISBLANK('_INSTANCE'!G564),"",'_INSTANCE'!G564)</x:f>
      </x:c>
      <x:c r="H645" s="530" t="str">
        <x:f>IF(ISBLANK('_INSTANCE'!H564),"",'_INSTANCE'!H564)</x:f>
      </x:c>
      <x:c r="I645" s="530" t="str">
        <x:f>IF(ISBLANK('_INSTANCE'!I564),"",'_INSTANCE'!I564)</x:f>
      </x:c>
      <x:c r="J645" s="530" t="str">
        <x:f>IF(ISBLANK('_INSTANCE'!J564),"",'_INSTANCE'!J564)</x:f>
      </x:c>
      <x:c r="K645" s="38"/>
      <x:c r="L645" s="38"/>
      <x:c r="M645" s="38"/>
      <x:c r="N645" s="38"/>
      <x:c r="O645" s="38"/>
      <x:c r="P645" s="38"/>
      <x:c r="Q645" s="38"/>
    </x:row>
    <x:row r="646">
      <x:c r="A646" s="523" t="str">
        <x:f>IF(ISBLANK('_INSTANCE'!A565),"",'_INSTANCE'!A565)</x:f>
      </x:c>
      <x:c r="B646" s="523" t="str">
        <x:f>IF(ISBLANK('_INSTANCE'!B565),"",'_INSTANCE'!B565)</x:f>
      </x:c>
      <x:c r="C646" s="523" t="str">
        <x:f>IF(ISBLANK('_INSTANCE'!C565),"",'_INSTANCE'!C565)</x:f>
      </x:c>
      <x:c r="D646" s="530" t="str">
        <x:f>IF(ISBLANK('_INSTANCE'!D565),"",'_INSTANCE'!D565)</x:f>
      </x:c>
      <x:c r="E646" s="530" t="str">
        <x:f>IF(ISBLANK('_INSTANCE'!E565),"",'_INSTANCE'!E565)</x:f>
      </x:c>
      <x:c r="F646" s="530" t="str">
        <x:f>IF(ISBLANK('_INSTANCE'!F565),"",'_INSTANCE'!F565)</x:f>
      </x:c>
      <x:c r="G646" s="530" t="str">
        <x:f>IF(ISBLANK('_INSTANCE'!G565),"",'_INSTANCE'!G565)</x:f>
      </x:c>
      <x:c r="H646" s="530" t="str">
        <x:f>IF(ISBLANK('_INSTANCE'!H565),"",'_INSTANCE'!H565)</x:f>
      </x:c>
      <x:c r="I646" s="530" t="str">
        <x:f>IF(ISBLANK('_INSTANCE'!I565),"",'_INSTANCE'!I565)</x:f>
      </x:c>
      <x:c r="J646" s="530" t="str">
        <x:f>IF(ISBLANK('_INSTANCE'!J565),"",'_INSTANCE'!J565)</x:f>
      </x:c>
      <x:c r="K646" s="38"/>
      <x:c r="L646" s="38"/>
      <x:c r="M646" s="38"/>
      <x:c r="N646" s="38"/>
      <x:c r="O646" s="38"/>
      <x:c r="P646" s="38"/>
      <x:c r="Q646" s="38"/>
    </x:row>
    <x:row r="647">
      <x:c r="A647" s="523" t="str">
        <x:f>IF(ISBLANK('_INSTANCE'!A566),"",'_INSTANCE'!A566)</x:f>
      </x:c>
      <x:c r="B647" s="523" t="str">
        <x:f>IF(ISBLANK('_INSTANCE'!B566),"",'_INSTANCE'!B566)</x:f>
      </x:c>
      <x:c r="C647" s="523" t="str">
        <x:f>IF(ISBLANK('_INSTANCE'!C566),"",'_INSTANCE'!C566)</x:f>
      </x:c>
      <x:c r="D647" s="530" t="str">
        <x:f>IF(ISBLANK('_INSTANCE'!D566),"",'_INSTANCE'!D566)</x:f>
      </x:c>
      <x:c r="E647" s="530" t="str">
        <x:f>IF(ISBLANK('_INSTANCE'!E566),"",'_INSTANCE'!E566)</x:f>
      </x:c>
      <x:c r="F647" s="530" t="str">
        <x:f>IF(ISBLANK('_INSTANCE'!F566),"",'_INSTANCE'!F566)</x:f>
      </x:c>
      <x:c r="G647" s="530" t="str">
        <x:f>IF(ISBLANK('_INSTANCE'!G566),"",'_INSTANCE'!G566)</x:f>
      </x:c>
      <x:c r="H647" s="530" t="str">
        <x:f>IF(ISBLANK('_INSTANCE'!H566),"",'_INSTANCE'!H566)</x:f>
      </x:c>
      <x:c r="I647" s="530" t="str">
        <x:f>IF(ISBLANK('_INSTANCE'!I566),"",'_INSTANCE'!I566)</x:f>
      </x:c>
      <x:c r="J647" s="530" t="str">
        <x:f>IF(ISBLANK('_INSTANCE'!J566),"",'_INSTANCE'!J566)</x:f>
      </x:c>
      <x:c r="K647" s="38"/>
      <x:c r="L647" s="38"/>
      <x:c r="M647" s="38"/>
      <x:c r="N647" s="38"/>
      <x:c r="O647" s="38"/>
      <x:c r="P647" s="38"/>
      <x:c r="Q647" s="38"/>
    </x:row>
    <x:row r="648">
      <x:c r="A648" s="523" t="str">
        <x:f>IF(ISBLANK('_INSTANCE'!A567),"",'_INSTANCE'!A567)</x:f>
      </x:c>
      <x:c r="B648" s="523" t="str">
        <x:f>IF(ISBLANK('_INSTANCE'!B567),"",'_INSTANCE'!B567)</x:f>
      </x:c>
      <x:c r="C648" s="523" t="str">
        <x:f>IF(ISBLANK('_INSTANCE'!C567),"",'_INSTANCE'!C567)</x:f>
      </x:c>
      <x:c r="D648" s="530" t="str">
        <x:f>IF(ISBLANK('_INSTANCE'!D567),"",'_INSTANCE'!D567)</x:f>
      </x:c>
      <x:c r="E648" s="530" t="str">
        <x:f>IF(ISBLANK('_INSTANCE'!E567),"",'_INSTANCE'!E567)</x:f>
      </x:c>
      <x:c r="F648" s="530" t="str">
        <x:f>IF(ISBLANK('_INSTANCE'!F567),"",'_INSTANCE'!F567)</x:f>
      </x:c>
      <x:c r="G648" s="530" t="str">
        <x:f>IF(ISBLANK('_INSTANCE'!G567),"",'_INSTANCE'!G567)</x:f>
      </x:c>
      <x:c r="H648" s="530" t="str">
        <x:f>IF(ISBLANK('_INSTANCE'!H567),"",'_INSTANCE'!H567)</x:f>
      </x:c>
      <x:c r="I648" s="530" t="str">
        <x:f>IF(ISBLANK('_INSTANCE'!I567),"",'_INSTANCE'!I567)</x:f>
      </x:c>
      <x:c r="J648" s="530" t="str">
        <x:f>IF(ISBLANK('_INSTANCE'!J567),"",'_INSTANCE'!J567)</x:f>
      </x:c>
      <x:c r="K648" s="38"/>
      <x:c r="L648" s="38"/>
      <x:c r="M648" s="38"/>
      <x:c r="N648" s="38"/>
      <x:c r="O648" s="38"/>
      <x:c r="P648" s="38"/>
      <x:c r="Q648" s="38"/>
    </x:row>
    <x:row r="649">
      <x:c r="A649" s="523" t="str">
        <x:f>IF(ISBLANK('_INSTANCE'!A568),"",'_INSTANCE'!A568)</x:f>
      </x:c>
      <x:c r="B649" s="523" t="str">
        <x:f>IF(ISBLANK('_INSTANCE'!B568),"",'_INSTANCE'!B568)</x:f>
      </x:c>
      <x:c r="C649" s="523" t="str">
        <x:f>IF(ISBLANK('_INSTANCE'!C568),"",'_INSTANCE'!C568)</x:f>
      </x:c>
      <x:c r="D649" s="530" t="str">
        <x:f>IF(ISBLANK('_INSTANCE'!D568),"",'_INSTANCE'!D568)</x:f>
      </x:c>
      <x:c r="E649" s="530" t="str">
        <x:f>IF(ISBLANK('_INSTANCE'!E568),"",'_INSTANCE'!E568)</x:f>
      </x:c>
      <x:c r="F649" s="530" t="str">
        <x:f>IF(ISBLANK('_INSTANCE'!F568),"",'_INSTANCE'!F568)</x:f>
      </x:c>
      <x:c r="G649" s="530" t="str">
        <x:f>IF(ISBLANK('_INSTANCE'!G568),"",'_INSTANCE'!G568)</x:f>
      </x:c>
      <x:c r="H649" s="530" t="str">
        <x:f>IF(ISBLANK('_INSTANCE'!H568),"",'_INSTANCE'!H568)</x:f>
      </x:c>
      <x:c r="I649" s="530" t="str">
        <x:f>IF(ISBLANK('_INSTANCE'!I568),"",'_INSTANCE'!I568)</x:f>
      </x:c>
      <x:c r="J649" s="530" t="str">
        <x:f>IF(ISBLANK('_INSTANCE'!J568),"",'_INSTANCE'!J568)</x:f>
      </x:c>
      <x:c r="K649" s="38"/>
      <x:c r="L649" s="38"/>
      <x:c r="M649" s="38"/>
      <x:c r="N649" s="38"/>
      <x:c r="O649" s="38"/>
      <x:c r="P649" s="38"/>
      <x:c r="Q649" s="38"/>
    </x:row>
    <x:row r="650">
      <x:c r="A650" s="523" t="str">
        <x:f>IF(ISBLANK('_INSTANCE'!A569),"",'_INSTANCE'!A569)</x:f>
      </x:c>
      <x:c r="B650" s="523" t="str">
        <x:f>IF(ISBLANK('_INSTANCE'!B569),"",'_INSTANCE'!B569)</x:f>
      </x:c>
      <x:c r="C650" s="523" t="str">
        <x:f>IF(ISBLANK('_INSTANCE'!C569),"",'_INSTANCE'!C569)</x:f>
      </x:c>
      <x:c r="D650" s="530" t="str">
        <x:f>IF(ISBLANK('_INSTANCE'!D569),"",'_INSTANCE'!D569)</x:f>
      </x:c>
      <x:c r="E650" s="530" t="str">
        <x:f>IF(ISBLANK('_INSTANCE'!E569),"",'_INSTANCE'!E569)</x:f>
      </x:c>
      <x:c r="F650" s="530" t="str">
        <x:f>IF(ISBLANK('_INSTANCE'!F569),"",'_INSTANCE'!F569)</x:f>
      </x:c>
      <x:c r="G650" s="530" t="str">
        <x:f>IF(ISBLANK('_INSTANCE'!G569),"",'_INSTANCE'!G569)</x:f>
      </x:c>
      <x:c r="H650" s="530" t="str">
        <x:f>IF(ISBLANK('_INSTANCE'!H569),"",'_INSTANCE'!H569)</x:f>
      </x:c>
      <x:c r="I650" s="530" t="str">
        <x:f>IF(ISBLANK('_INSTANCE'!I569),"",'_INSTANCE'!I569)</x:f>
      </x:c>
      <x:c r="J650" s="530" t="str">
        <x:f>IF(ISBLANK('_INSTANCE'!J569),"",'_INSTANCE'!J569)</x:f>
      </x:c>
      <x:c r="K650" s="38"/>
      <x:c r="L650" s="38"/>
      <x:c r="M650" s="38"/>
      <x:c r="N650" s="38"/>
      <x:c r="O650" s="38"/>
      <x:c r="P650" s="38"/>
      <x:c r="Q650" s="38"/>
    </x:row>
    <x:row r="651">
      <x:c r="A651" s="523" t="str">
        <x:f>IF(ISBLANK('_INSTANCE'!A570),"",'_INSTANCE'!A570)</x:f>
      </x:c>
      <x:c r="B651" s="523" t="str">
        <x:f>IF(ISBLANK('_INSTANCE'!B570),"",'_INSTANCE'!B570)</x:f>
      </x:c>
      <x:c r="C651" s="523" t="str">
        <x:f>IF(ISBLANK('_INSTANCE'!C570),"",'_INSTANCE'!C570)</x:f>
      </x:c>
      <x:c r="D651" s="530" t="str">
        <x:f>IF(ISBLANK('_INSTANCE'!D570),"",'_INSTANCE'!D570)</x:f>
      </x:c>
      <x:c r="E651" s="530" t="str">
        <x:f>IF(ISBLANK('_INSTANCE'!E570),"",'_INSTANCE'!E570)</x:f>
      </x:c>
      <x:c r="F651" s="530" t="str">
        <x:f>IF(ISBLANK('_INSTANCE'!F570),"",'_INSTANCE'!F570)</x:f>
      </x:c>
      <x:c r="G651" s="530" t="str">
        <x:f>IF(ISBLANK('_INSTANCE'!G570),"",'_INSTANCE'!G570)</x:f>
      </x:c>
      <x:c r="H651" s="530" t="str">
        <x:f>IF(ISBLANK('_INSTANCE'!H570),"",'_INSTANCE'!H570)</x:f>
      </x:c>
      <x:c r="I651" s="530" t="str">
        <x:f>IF(ISBLANK('_INSTANCE'!I570),"",'_INSTANCE'!I570)</x:f>
      </x:c>
      <x:c r="J651" s="530" t="str">
        <x:f>IF(ISBLANK('_INSTANCE'!J570),"",'_INSTANCE'!J570)</x:f>
      </x:c>
      <x:c r="K651" s="38"/>
      <x:c r="L651" s="38"/>
      <x:c r="M651" s="38"/>
      <x:c r="N651" s="38"/>
      <x:c r="O651" s="38"/>
      <x:c r="P651" s="38"/>
      <x:c r="Q651" s="38"/>
    </x:row>
    <x:row r="652">
      <x:c r="A652" s="523" t="str">
        <x:f>IF(ISBLANK('_INSTANCE'!A571),"",'_INSTANCE'!A571)</x:f>
      </x:c>
      <x:c r="B652" s="523" t="str">
        <x:f>IF(ISBLANK('_INSTANCE'!B571),"",'_INSTANCE'!B571)</x:f>
      </x:c>
      <x:c r="C652" s="523" t="str">
        <x:f>IF(ISBLANK('_INSTANCE'!C571),"",'_INSTANCE'!C571)</x:f>
      </x:c>
      <x:c r="D652" s="530" t="str">
        <x:f>IF(ISBLANK('_INSTANCE'!D571),"",'_INSTANCE'!D571)</x:f>
      </x:c>
      <x:c r="E652" s="530" t="str">
        <x:f>IF(ISBLANK('_INSTANCE'!E571),"",'_INSTANCE'!E571)</x:f>
      </x:c>
      <x:c r="F652" s="530" t="str">
        <x:f>IF(ISBLANK('_INSTANCE'!F571),"",'_INSTANCE'!F571)</x:f>
      </x:c>
      <x:c r="G652" s="530" t="str">
        <x:f>IF(ISBLANK('_INSTANCE'!G571),"",'_INSTANCE'!G571)</x:f>
      </x:c>
      <x:c r="H652" s="530" t="str">
        <x:f>IF(ISBLANK('_INSTANCE'!H571),"",'_INSTANCE'!H571)</x:f>
      </x:c>
      <x:c r="I652" s="530" t="str">
        <x:f>IF(ISBLANK('_INSTANCE'!I571),"",'_INSTANCE'!I571)</x:f>
      </x:c>
      <x:c r="J652" s="530" t="str">
        <x:f>IF(ISBLANK('_INSTANCE'!J571),"",'_INSTANCE'!J571)</x:f>
      </x:c>
      <x:c r="K652" s="38"/>
      <x:c r="L652" s="38"/>
      <x:c r="M652" s="38"/>
      <x:c r="N652" s="38"/>
      <x:c r="O652" s="38"/>
      <x:c r="P652" s="38"/>
      <x:c r="Q652" s="38"/>
    </x:row>
    <x:row r="653">
      <x:c r="A653" s="523" t="str">
        <x:f>IF(ISBLANK('_INSTANCE'!A572),"",'_INSTANCE'!A572)</x:f>
      </x:c>
      <x:c r="B653" s="523" t="str">
        <x:f>IF(ISBLANK('_INSTANCE'!B572),"",'_INSTANCE'!B572)</x:f>
      </x:c>
      <x:c r="C653" s="523" t="str">
        <x:f>IF(ISBLANK('_INSTANCE'!C572),"",'_INSTANCE'!C572)</x:f>
      </x:c>
      <x:c r="D653" s="530" t="str">
        <x:f>IF(ISBLANK('_INSTANCE'!D572),"",'_INSTANCE'!D572)</x:f>
      </x:c>
      <x:c r="E653" s="530" t="str">
        <x:f>IF(ISBLANK('_INSTANCE'!E572),"",'_INSTANCE'!E572)</x:f>
      </x:c>
      <x:c r="F653" s="530" t="str">
        <x:f>IF(ISBLANK('_INSTANCE'!F572),"",'_INSTANCE'!F572)</x:f>
      </x:c>
      <x:c r="G653" s="530" t="str">
        <x:f>IF(ISBLANK('_INSTANCE'!G572),"",'_INSTANCE'!G572)</x:f>
      </x:c>
      <x:c r="H653" s="530" t="str">
        <x:f>IF(ISBLANK('_INSTANCE'!H572),"",'_INSTANCE'!H572)</x:f>
      </x:c>
      <x:c r="I653" s="530" t="str">
        <x:f>IF(ISBLANK('_INSTANCE'!I572),"",'_INSTANCE'!I572)</x:f>
      </x:c>
      <x:c r="J653" s="530" t="str">
        <x:f>IF(ISBLANK('_INSTANCE'!J572),"",'_INSTANCE'!J572)</x:f>
      </x:c>
      <x:c r="K653" s="38"/>
      <x:c r="L653" s="38"/>
      <x:c r="M653" s="38"/>
      <x:c r="N653" s="38"/>
      <x:c r="O653" s="38"/>
      <x:c r="P653" s="38"/>
      <x:c r="Q653" s="38"/>
    </x:row>
    <x:row r="654">
      <x:c r="A654" s="523" t="str">
        <x:f>IF(ISBLANK('_INSTANCE'!A573),"",'_INSTANCE'!A573)</x:f>
      </x:c>
      <x:c r="B654" s="523" t="str">
        <x:f>IF(ISBLANK('_INSTANCE'!B573),"",'_INSTANCE'!B573)</x:f>
      </x:c>
      <x:c r="C654" s="523" t="str">
        <x:f>IF(ISBLANK('_INSTANCE'!C573),"",'_INSTANCE'!C573)</x:f>
      </x:c>
      <x:c r="D654" s="530" t="str">
        <x:f>IF(ISBLANK('_INSTANCE'!D573),"",'_INSTANCE'!D573)</x:f>
      </x:c>
      <x:c r="E654" s="530" t="str">
        <x:f>IF(ISBLANK('_INSTANCE'!E573),"",'_INSTANCE'!E573)</x:f>
      </x:c>
      <x:c r="F654" s="530" t="str">
        <x:f>IF(ISBLANK('_INSTANCE'!F573),"",'_INSTANCE'!F573)</x:f>
      </x:c>
      <x:c r="G654" s="530" t="str">
        <x:f>IF(ISBLANK('_INSTANCE'!G573),"",'_INSTANCE'!G573)</x:f>
      </x:c>
      <x:c r="H654" s="530" t="str">
        <x:f>IF(ISBLANK('_INSTANCE'!H573),"",'_INSTANCE'!H573)</x:f>
      </x:c>
      <x:c r="I654" s="530" t="str">
        <x:f>IF(ISBLANK('_INSTANCE'!I573),"",'_INSTANCE'!I573)</x:f>
      </x:c>
      <x:c r="J654" s="530" t="str">
        <x:f>IF(ISBLANK('_INSTANCE'!J573),"",'_INSTANCE'!J573)</x:f>
      </x:c>
      <x:c r="K654" s="38"/>
      <x:c r="L654" s="38"/>
      <x:c r="M654" s="38"/>
      <x:c r="N654" s="38"/>
      <x:c r="O654" s="38"/>
      <x:c r="P654" s="38"/>
      <x:c r="Q654" s="38"/>
    </x:row>
    <x:row r="655">
      <x:c r="A655" s="523" t="str">
        <x:f>IF(ISBLANK('_INSTANCE'!A574),"",'_INSTANCE'!A574)</x:f>
      </x:c>
      <x:c r="B655" s="523" t="str">
        <x:f>IF(ISBLANK('_INSTANCE'!B574),"",'_INSTANCE'!B574)</x:f>
      </x:c>
      <x:c r="C655" s="523" t="str">
        <x:f>IF(ISBLANK('_INSTANCE'!C574),"",'_INSTANCE'!C574)</x:f>
      </x:c>
      <x:c r="D655" s="530" t="str">
        <x:f>IF(ISBLANK('_INSTANCE'!D574),"",'_INSTANCE'!D574)</x:f>
      </x:c>
      <x:c r="E655" s="530" t="str">
        <x:f>IF(ISBLANK('_INSTANCE'!E574),"",'_INSTANCE'!E574)</x:f>
      </x:c>
      <x:c r="F655" s="530" t="str">
        <x:f>IF(ISBLANK('_INSTANCE'!F574),"",'_INSTANCE'!F574)</x:f>
      </x:c>
      <x:c r="G655" s="530" t="str">
        <x:f>IF(ISBLANK('_INSTANCE'!G574),"",'_INSTANCE'!G574)</x:f>
      </x:c>
      <x:c r="H655" s="530" t="str">
        <x:f>IF(ISBLANK('_INSTANCE'!H574),"",'_INSTANCE'!H574)</x:f>
      </x:c>
      <x:c r="I655" s="530" t="str">
        <x:f>IF(ISBLANK('_INSTANCE'!I574),"",'_INSTANCE'!I574)</x:f>
      </x:c>
      <x:c r="J655" s="530" t="str">
        <x:f>IF(ISBLANK('_INSTANCE'!J574),"",'_INSTANCE'!J574)</x:f>
      </x:c>
      <x:c r="K655" s="38"/>
      <x:c r="L655" s="38"/>
      <x:c r="M655" s="38"/>
      <x:c r="N655" s="38"/>
      <x:c r="O655" s="38"/>
      <x:c r="P655" s="38"/>
      <x:c r="Q655" s="38"/>
    </x:row>
    <x:row r="656">
      <x:c r="A656" s="523" t="str">
        <x:f>IF(ISBLANK('_INSTANCE'!A575),"",'_INSTANCE'!A575)</x:f>
      </x:c>
      <x:c r="B656" s="523" t="str">
        <x:f>IF(ISBLANK('_INSTANCE'!B575),"",'_INSTANCE'!B575)</x:f>
      </x:c>
      <x:c r="C656" s="523" t="str">
        <x:f>IF(ISBLANK('_INSTANCE'!C575),"",'_INSTANCE'!C575)</x:f>
      </x:c>
      <x:c r="D656" s="530" t="str">
        <x:f>IF(ISBLANK('_INSTANCE'!D575),"",'_INSTANCE'!D575)</x:f>
      </x:c>
      <x:c r="E656" s="530" t="str">
        <x:f>IF(ISBLANK('_INSTANCE'!E575),"",'_INSTANCE'!E575)</x:f>
      </x:c>
      <x:c r="F656" s="530" t="str">
        <x:f>IF(ISBLANK('_INSTANCE'!F575),"",'_INSTANCE'!F575)</x:f>
      </x:c>
      <x:c r="G656" s="530" t="str">
        <x:f>IF(ISBLANK('_INSTANCE'!G575),"",'_INSTANCE'!G575)</x:f>
      </x:c>
      <x:c r="H656" s="530" t="str">
        <x:f>IF(ISBLANK('_INSTANCE'!H575),"",'_INSTANCE'!H575)</x:f>
      </x:c>
      <x:c r="I656" s="530" t="str">
        <x:f>IF(ISBLANK('_INSTANCE'!I575),"",'_INSTANCE'!I575)</x:f>
      </x:c>
      <x:c r="J656" s="530" t="str">
        <x:f>IF(ISBLANK('_INSTANCE'!J575),"",'_INSTANCE'!J575)</x:f>
      </x:c>
      <x:c r="K656" s="38"/>
      <x:c r="L656" s="38"/>
      <x:c r="M656" s="38"/>
      <x:c r="N656" s="38"/>
      <x:c r="O656" s="38"/>
      <x:c r="P656" s="38"/>
      <x:c r="Q656" s="38"/>
    </x:row>
    <x:row r="657">
      <x:c r="A657" s="523" t="str">
        <x:f>IF(ISBLANK('_INSTANCE'!A576),"",'_INSTANCE'!A576)</x:f>
      </x:c>
      <x:c r="B657" s="523" t="str">
        <x:f>IF(ISBLANK('_INSTANCE'!B576),"",'_INSTANCE'!B576)</x:f>
      </x:c>
      <x:c r="C657" s="523" t="str">
        <x:f>IF(ISBLANK('_INSTANCE'!C576),"",'_INSTANCE'!C576)</x:f>
      </x:c>
      <x:c r="D657" s="530" t="str">
        <x:f>IF(ISBLANK('_INSTANCE'!D576),"",'_INSTANCE'!D576)</x:f>
      </x:c>
      <x:c r="E657" s="530" t="str">
        <x:f>IF(ISBLANK('_INSTANCE'!E576),"",'_INSTANCE'!E576)</x:f>
      </x:c>
      <x:c r="F657" s="530" t="str">
        <x:f>IF(ISBLANK('_INSTANCE'!F576),"",'_INSTANCE'!F576)</x:f>
      </x:c>
      <x:c r="G657" s="530" t="str">
        <x:f>IF(ISBLANK('_INSTANCE'!G576),"",'_INSTANCE'!G576)</x:f>
      </x:c>
      <x:c r="H657" s="530" t="str">
        <x:f>IF(ISBLANK('_INSTANCE'!H576),"",'_INSTANCE'!H576)</x:f>
      </x:c>
      <x:c r="I657" s="530" t="str">
        <x:f>IF(ISBLANK('_INSTANCE'!I576),"",'_INSTANCE'!I576)</x:f>
      </x:c>
      <x:c r="J657" s="530" t="str">
        <x:f>IF(ISBLANK('_INSTANCE'!J576),"",'_INSTANCE'!J576)</x:f>
      </x:c>
      <x:c r="K657" s="38"/>
      <x:c r="L657" s="38"/>
      <x:c r="M657" s="38"/>
      <x:c r="N657" s="38"/>
      <x:c r="O657" s="38"/>
      <x:c r="P657" s="38"/>
      <x:c r="Q657" s="38"/>
    </x:row>
    <x:row r="658">
      <x:c r="A658" s="523" t="str">
        <x:f>IF(ISBLANK('_INSTANCE'!A577),"",'_INSTANCE'!A577)</x:f>
      </x:c>
      <x:c r="B658" s="523" t="str">
        <x:f>IF(ISBLANK('_INSTANCE'!B577),"",'_INSTANCE'!B577)</x:f>
      </x:c>
      <x:c r="C658" s="523" t="str">
        <x:f>IF(ISBLANK('_INSTANCE'!C577),"",'_INSTANCE'!C577)</x:f>
      </x:c>
      <x:c r="D658" s="530" t="str">
        <x:f>IF(ISBLANK('_INSTANCE'!D577),"",'_INSTANCE'!D577)</x:f>
      </x:c>
      <x:c r="E658" s="530" t="str">
        <x:f>IF(ISBLANK('_INSTANCE'!E577),"",'_INSTANCE'!E577)</x:f>
      </x:c>
      <x:c r="F658" s="530" t="str">
        <x:f>IF(ISBLANK('_INSTANCE'!F577),"",'_INSTANCE'!F577)</x:f>
      </x:c>
      <x:c r="G658" s="530" t="str">
        <x:f>IF(ISBLANK('_INSTANCE'!G577),"",'_INSTANCE'!G577)</x:f>
      </x:c>
      <x:c r="H658" s="530" t="str">
        <x:f>IF(ISBLANK('_INSTANCE'!H577),"",'_INSTANCE'!H577)</x:f>
      </x:c>
      <x:c r="I658" s="530" t="str">
        <x:f>IF(ISBLANK('_INSTANCE'!I577),"",'_INSTANCE'!I577)</x:f>
      </x:c>
      <x:c r="J658" s="530" t="str">
        <x:f>IF(ISBLANK('_INSTANCE'!J577),"",'_INSTANCE'!J577)</x:f>
      </x:c>
      <x:c r="K658" s="38"/>
      <x:c r="L658" s="38"/>
      <x:c r="M658" s="38"/>
      <x:c r="N658" s="38"/>
      <x:c r="O658" s="38"/>
      <x:c r="P658" s="38"/>
      <x:c r="Q658" s="38"/>
    </x:row>
    <x:row r="659">
      <x:c r="A659" s="523" t="str">
        <x:f>IF(ISBLANK('_INSTANCE'!A578),"",'_INSTANCE'!A578)</x:f>
      </x:c>
      <x:c r="B659" s="523" t="str">
        <x:f>IF(ISBLANK('_INSTANCE'!B578),"",'_INSTANCE'!B578)</x:f>
      </x:c>
      <x:c r="C659" s="523" t="str">
        <x:f>IF(ISBLANK('_INSTANCE'!C578),"",'_INSTANCE'!C578)</x:f>
      </x:c>
      <x:c r="D659" s="530" t="str">
        <x:f>IF(ISBLANK('_INSTANCE'!D578),"",'_INSTANCE'!D578)</x:f>
      </x:c>
      <x:c r="E659" s="530" t="str">
        <x:f>IF(ISBLANK('_INSTANCE'!E578),"",'_INSTANCE'!E578)</x:f>
      </x:c>
      <x:c r="F659" s="530" t="str">
        <x:f>IF(ISBLANK('_INSTANCE'!F578),"",'_INSTANCE'!F578)</x:f>
      </x:c>
      <x:c r="G659" s="530" t="str">
        <x:f>IF(ISBLANK('_INSTANCE'!G578),"",'_INSTANCE'!G578)</x:f>
      </x:c>
      <x:c r="H659" s="530" t="str">
        <x:f>IF(ISBLANK('_INSTANCE'!H578),"",'_INSTANCE'!H578)</x:f>
      </x:c>
      <x:c r="I659" s="530" t="str">
        <x:f>IF(ISBLANK('_INSTANCE'!I578),"",'_INSTANCE'!I578)</x:f>
      </x:c>
      <x:c r="J659" s="530" t="str">
        <x:f>IF(ISBLANK('_INSTANCE'!J578),"",'_INSTANCE'!J578)</x:f>
      </x:c>
      <x:c r="K659" s="38"/>
      <x:c r="L659" s="38"/>
      <x:c r="M659" s="38"/>
      <x:c r="N659" s="38"/>
      <x:c r="O659" s="38"/>
      <x:c r="P659" s="38"/>
      <x:c r="Q659" s="38"/>
    </x:row>
    <x:row r="660">
      <x:c r="A660" s="523" t="str">
        <x:f>IF(ISBLANK('_INSTANCE'!A579),"",'_INSTANCE'!A579)</x:f>
      </x:c>
      <x:c r="B660" s="523" t="str">
        <x:f>IF(ISBLANK('_INSTANCE'!B579),"",'_INSTANCE'!B579)</x:f>
      </x:c>
      <x:c r="C660" s="523" t="str">
        <x:f>IF(ISBLANK('_INSTANCE'!C579),"",'_INSTANCE'!C579)</x:f>
      </x:c>
      <x:c r="D660" s="530" t="str">
        <x:f>IF(ISBLANK('_INSTANCE'!D579),"",'_INSTANCE'!D579)</x:f>
      </x:c>
      <x:c r="E660" s="530" t="str">
        <x:f>IF(ISBLANK('_INSTANCE'!E579),"",'_INSTANCE'!E579)</x:f>
      </x:c>
      <x:c r="F660" s="530" t="str">
        <x:f>IF(ISBLANK('_INSTANCE'!F579),"",'_INSTANCE'!F579)</x:f>
      </x:c>
      <x:c r="G660" s="530" t="str">
        <x:f>IF(ISBLANK('_INSTANCE'!G579),"",'_INSTANCE'!G579)</x:f>
      </x:c>
      <x:c r="H660" s="530" t="str">
        <x:f>IF(ISBLANK('_INSTANCE'!H579),"",'_INSTANCE'!H579)</x:f>
      </x:c>
      <x:c r="I660" s="530" t="str">
        <x:f>IF(ISBLANK('_INSTANCE'!I579),"",'_INSTANCE'!I579)</x:f>
      </x:c>
      <x:c r="J660" s="530" t="str">
        <x:f>IF(ISBLANK('_INSTANCE'!J579),"",'_INSTANCE'!J579)</x:f>
      </x:c>
      <x:c r="K660" s="38"/>
      <x:c r="L660" s="38"/>
      <x:c r="M660" s="38"/>
      <x:c r="N660" s="38"/>
      <x:c r="O660" s="38"/>
      <x:c r="P660" s="38"/>
      <x:c r="Q660" s="38"/>
    </x:row>
    <x:row r="661">
      <x:c r="A661" s="523" t="str">
        <x:f>IF(ISBLANK('_INSTANCE'!A580),"",'_INSTANCE'!A580)</x:f>
      </x:c>
      <x:c r="B661" s="523" t="str">
        <x:f>IF(ISBLANK('_INSTANCE'!B580),"",'_INSTANCE'!B580)</x:f>
      </x:c>
      <x:c r="C661" s="523" t="str">
        <x:f>IF(ISBLANK('_INSTANCE'!C580),"",'_INSTANCE'!C580)</x:f>
      </x:c>
      <x:c r="D661" s="530" t="str">
        <x:f>IF(ISBLANK('_INSTANCE'!D580),"",'_INSTANCE'!D580)</x:f>
      </x:c>
      <x:c r="E661" s="530" t="str">
        <x:f>IF(ISBLANK('_INSTANCE'!E580),"",'_INSTANCE'!E580)</x:f>
      </x:c>
      <x:c r="F661" s="530" t="str">
        <x:f>IF(ISBLANK('_INSTANCE'!F580),"",'_INSTANCE'!F580)</x:f>
      </x:c>
      <x:c r="G661" s="530" t="str">
        <x:f>IF(ISBLANK('_INSTANCE'!G580),"",'_INSTANCE'!G580)</x:f>
      </x:c>
      <x:c r="H661" s="530" t="str">
        <x:f>IF(ISBLANK('_INSTANCE'!H580),"",'_INSTANCE'!H580)</x:f>
      </x:c>
      <x:c r="I661" s="530" t="str">
        <x:f>IF(ISBLANK('_INSTANCE'!I580),"",'_INSTANCE'!I580)</x:f>
      </x:c>
      <x:c r="J661" s="530" t="str">
        <x:f>IF(ISBLANK('_INSTANCE'!J580),"",'_INSTANCE'!J580)</x:f>
      </x:c>
      <x:c r="K661" s="38"/>
      <x:c r="L661" s="38"/>
      <x:c r="M661" s="38"/>
      <x:c r="N661" s="38"/>
      <x:c r="O661" s="38"/>
      <x:c r="P661" s="38"/>
      <x:c r="Q661" s="38"/>
    </x:row>
    <x:row r="662">
      <x:c r="A662" s="523" t="str">
        <x:f>IF(ISBLANK('_INSTANCE'!A581),"",'_INSTANCE'!A581)</x:f>
      </x:c>
      <x:c r="B662" s="523" t="str">
        <x:f>IF(ISBLANK('_INSTANCE'!B581),"",'_INSTANCE'!B581)</x:f>
      </x:c>
      <x:c r="C662" s="523" t="str">
        <x:f>IF(ISBLANK('_INSTANCE'!C581),"",'_INSTANCE'!C581)</x:f>
      </x:c>
      <x:c r="D662" s="530" t="str">
        <x:f>IF(ISBLANK('_INSTANCE'!D581),"",'_INSTANCE'!D581)</x:f>
      </x:c>
      <x:c r="E662" s="530" t="str">
        <x:f>IF(ISBLANK('_INSTANCE'!E581),"",'_INSTANCE'!E581)</x:f>
      </x:c>
      <x:c r="F662" s="530" t="str">
        <x:f>IF(ISBLANK('_INSTANCE'!F581),"",'_INSTANCE'!F581)</x:f>
      </x:c>
      <x:c r="G662" s="530" t="str">
        <x:f>IF(ISBLANK('_INSTANCE'!G581),"",'_INSTANCE'!G581)</x:f>
      </x:c>
      <x:c r="H662" s="530" t="str">
        <x:f>IF(ISBLANK('_INSTANCE'!H581),"",'_INSTANCE'!H581)</x:f>
      </x:c>
      <x:c r="I662" s="530" t="str">
        <x:f>IF(ISBLANK('_INSTANCE'!I581),"",'_INSTANCE'!I581)</x:f>
      </x:c>
      <x:c r="J662" s="530" t="str">
        <x:f>IF(ISBLANK('_INSTANCE'!J581),"",'_INSTANCE'!J581)</x:f>
      </x:c>
      <x:c r="K662" s="38"/>
      <x:c r="L662" s="38"/>
      <x:c r="M662" s="38"/>
      <x:c r="N662" s="38"/>
      <x:c r="O662" s="38"/>
      <x:c r="P662" s="38"/>
      <x:c r="Q662" s="38"/>
    </x:row>
    <x:row r="663">
      <x:c r="A663" s="523" t="str">
        <x:f>IF(ISBLANK('_INSTANCE'!A582),"",'_INSTANCE'!A582)</x:f>
      </x:c>
      <x:c r="B663" s="523" t="str">
        <x:f>IF(ISBLANK('_INSTANCE'!B582),"",'_INSTANCE'!B582)</x:f>
      </x:c>
      <x:c r="C663" s="523" t="str">
        <x:f>IF(ISBLANK('_INSTANCE'!C582),"",'_INSTANCE'!C582)</x:f>
      </x:c>
      <x:c r="D663" s="530" t="str">
        <x:f>IF(ISBLANK('_INSTANCE'!D582),"",'_INSTANCE'!D582)</x:f>
      </x:c>
      <x:c r="E663" s="530" t="str">
        <x:f>IF(ISBLANK('_INSTANCE'!E582),"",'_INSTANCE'!E582)</x:f>
      </x:c>
      <x:c r="F663" s="530" t="str">
        <x:f>IF(ISBLANK('_INSTANCE'!F582),"",'_INSTANCE'!F582)</x:f>
      </x:c>
      <x:c r="G663" s="530" t="str">
        <x:f>IF(ISBLANK('_INSTANCE'!G582),"",'_INSTANCE'!G582)</x:f>
      </x:c>
      <x:c r="H663" s="530" t="str">
        <x:f>IF(ISBLANK('_INSTANCE'!H582),"",'_INSTANCE'!H582)</x:f>
      </x:c>
      <x:c r="I663" s="530" t="str">
        <x:f>IF(ISBLANK('_INSTANCE'!I582),"",'_INSTANCE'!I582)</x:f>
      </x:c>
      <x:c r="J663" s="530" t="str">
        <x:f>IF(ISBLANK('_INSTANCE'!J582),"",'_INSTANCE'!J582)</x:f>
      </x:c>
      <x:c r="K663" s="38"/>
      <x:c r="L663" s="38"/>
      <x:c r="M663" s="38"/>
      <x:c r="N663" s="38"/>
      <x:c r="O663" s="38"/>
      <x:c r="P663" s="38"/>
      <x:c r="Q663" s="38"/>
    </x:row>
    <x:row r="664">
      <x:c r="A664" s="523" t="str">
        <x:f>IF(ISBLANK('_INSTANCE'!A583),"",'_INSTANCE'!A583)</x:f>
      </x:c>
      <x:c r="B664" s="523" t="str">
        <x:f>IF(ISBLANK('_INSTANCE'!B583),"",'_INSTANCE'!B583)</x:f>
      </x:c>
      <x:c r="C664" s="523" t="str">
        <x:f>IF(ISBLANK('_INSTANCE'!C583),"",'_INSTANCE'!C583)</x:f>
      </x:c>
      <x:c r="D664" s="530" t="str">
        <x:f>IF(ISBLANK('_INSTANCE'!D583),"",'_INSTANCE'!D583)</x:f>
      </x:c>
      <x:c r="E664" s="530" t="str">
        <x:f>IF(ISBLANK('_INSTANCE'!E583),"",'_INSTANCE'!E583)</x:f>
      </x:c>
      <x:c r="F664" s="530" t="str">
        <x:f>IF(ISBLANK('_INSTANCE'!F583),"",'_INSTANCE'!F583)</x:f>
      </x:c>
      <x:c r="G664" s="530" t="str">
        <x:f>IF(ISBLANK('_INSTANCE'!G583),"",'_INSTANCE'!G583)</x:f>
      </x:c>
      <x:c r="H664" s="530" t="str">
        <x:f>IF(ISBLANK('_INSTANCE'!H583),"",'_INSTANCE'!H583)</x:f>
      </x:c>
      <x:c r="I664" s="530" t="str">
        <x:f>IF(ISBLANK('_INSTANCE'!I583),"",'_INSTANCE'!I583)</x:f>
      </x:c>
      <x:c r="J664" s="530" t="str">
        <x:f>IF(ISBLANK('_INSTANCE'!J583),"",'_INSTANCE'!J583)</x:f>
      </x:c>
      <x:c r="K664" s="38"/>
      <x:c r="L664" s="38"/>
      <x:c r="M664" s="38"/>
      <x:c r="N664" s="38"/>
      <x:c r="O664" s="38"/>
      <x:c r="P664" s="38"/>
      <x:c r="Q664" s="38"/>
    </x:row>
    <x:row r="665">
      <x:c r="A665" s="523" t="str">
        <x:f>IF(ISBLANK('_INSTANCE'!A584),"",'_INSTANCE'!A584)</x:f>
      </x:c>
      <x:c r="B665" s="523" t="str">
        <x:f>IF(ISBLANK('_INSTANCE'!B584),"",'_INSTANCE'!B584)</x:f>
      </x:c>
      <x:c r="C665" s="523" t="str">
        <x:f>IF(ISBLANK('_INSTANCE'!C584),"",'_INSTANCE'!C584)</x:f>
      </x:c>
      <x:c r="D665" s="530" t="str">
        <x:f>IF(ISBLANK('_INSTANCE'!D584),"",'_INSTANCE'!D584)</x:f>
      </x:c>
      <x:c r="E665" s="530" t="str">
        <x:f>IF(ISBLANK('_INSTANCE'!E584),"",'_INSTANCE'!E584)</x:f>
      </x:c>
      <x:c r="F665" s="530" t="str">
        <x:f>IF(ISBLANK('_INSTANCE'!F584),"",'_INSTANCE'!F584)</x:f>
      </x:c>
      <x:c r="G665" s="530" t="str">
        <x:f>IF(ISBLANK('_INSTANCE'!G584),"",'_INSTANCE'!G584)</x:f>
      </x:c>
      <x:c r="H665" s="530" t="str">
        <x:f>IF(ISBLANK('_INSTANCE'!H584),"",'_INSTANCE'!H584)</x:f>
      </x:c>
      <x:c r="I665" s="530" t="str">
        <x:f>IF(ISBLANK('_INSTANCE'!I584),"",'_INSTANCE'!I584)</x:f>
      </x:c>
      <x:c r="J665" s="530" t="str">
        <x:f>IF(ISBLANK('_INSTANCE'!J584),"",'_INSTANCE'!J584)</x:f>
      </x:c>
      <x:c r="K665" s="38"/>
      <x:c r="L665" s="38"/>
      <x:c r="M665" s="38"/>
      <x:c r="N665" s="38"/>
      <x:c r="O665" s="38"/>
      <x:c r="P665" s="38"/>
      <x:c r="Q665" s="38"/>
    </x:row>
    <x:row r="666">
      <x:c r="A666" s="523" t="str">
        <x:f>IF(ISBLANK('_INSTANCE'!A585),"",'_INSTANCE'!A585)</x:f>
      </x:c>
      <x:c r="B666" s="523" t="str">
        <x:f>IF(ISBLANK('_INSTANCE'!B585),"",'_INSTANCE'!B585)</x:f>
      </x:c>
      <x:c r="C666" s="523" t="str">
        <x:f>IF(ISBLANK('_INSTANCE'!C585),"",'_INSTANCE'!C585)</x:f>
      </x:c>
      <x:c r="D666" s="530" t="str">
        <x:f>IF(ISBLANK('_INSTANCE'!D585),"",'_INSTANCE'!D585)</x:f>
      </x:c>
      <x:c r="E666" s="530" t="str">
        <x:f>IF(ISBLANK('_INSTANCE'!E585),"",'_INSTANCE'!E585)</x:f>
      </x:c>
      <x:c r="F666" s="530" t="str">
        <x:f>IF(ISBLANK('_INSTANCE'!F585),"",'_INSTANCE'!F585)</x:f>
      </x:c>
      <x:c r="G666" s="530" t="str">
        <x:f>IF(ISBLANK('_INSTANCE'!G585),"",'_INSTANCE'!G585)</x:f>
      </x:c>
      <x:c r="H666" s="530" t="str">
        <x:f>IF(ISBLANK('_INSTANCE'!H585),"",'_INSTANCE'!H585)</x:f>
      </x:c>
      <x:c r="I666" s="530" t="str">
        <x:f>IF(ISBLANK('_INSTANCE'!I585),"",'_INSTANCE'!I585)</x:f>
      </x:c>
      <x:c r="J666" s="530" t="str">
        <x:f>IF(ISBLANK('_INSTANCE'!J585),"",'_INSTANCE'!J585)</x:f>
      </x:c>
      <x:c r="K666" s="38"/>
      <x:c r="L666" s="38"/>
      <x:c r="M666" s="38"/>
      <x:c r="N666" s="38"/>
      <x:c r="O666" s="38"/>
      <x:c r="P666" s="38"/>
      <x:c r="Q666" s="38"/>
    </x:row>
    <x:row r="667">
      <x:c r="A667" s="523" t="str">
        <x:f>IF(ISBLANK('_INSTANCE'!A586),"",'_INSTANCE'!A586)</x:f>
      </x:c>
      <x:c r="B667" s="523" t="str">
        <x:f>IF(ISBLANK('_INSTANCE'!B586),"",'_INSTANCE'!B586)</x:f>
      </x:c>
      <x:c r="C667" s="523" t="str">
        <x:f>IF(ISBLANK('_INSTANCE'!C586),"",'_INSTANCE'!C586)</x:f>
      </x:c>
      <x:c r="D667" s="530" t="str">
        <x:f>IF(ISBLANK('_INSTANCE'!D586),"",'_INSTANCE'!D586)</x:f>
      </x:c>
      <x:c r="E667" s="530" t="str">
        <x:f>IF(ISBLANK('_INSTANCE'!E586),"",'_INSTANCE'!E586)</x:f>
      </x:c>
      <x:c r="F667" s="530" t="str">
        <x:f>IF(ISBLANK('_INSTANCE'!F586),"",'_INSTANCE'!F586)</x:f>
      </x:c>
      <x:c r="G667" s="530" t="str">
        <x:f>IF(ISBLANK('_INSTANCE'!G586),"",'_INSTANCE'!G586)</x:f>
      </x:c>
      <x:c r="H667" s="530" t="str">
        <x:f>IF(ISBLANK('_INSTANCE'!H586),"",'_INSTANCE'!H586)</x:f>
      </x:c>
      <x:c r="I667" s="530" t="str">
        <x:f>IF(ISBLANK('_INSTANCE'!I586),"",'_INSTANCE'!I586)</x:f>
      </x:c>
      <x:c r="J667" s="530" t="str">
        <x:f>IF(ISBLANK('_INSTANCE'!J586),"",'_INSTANCE'!J586)</x:f>
      </x:c>
      <x:c r="K667" s="38"/>
      <x:c r="L667" s="38"/>
      <x:c r="M667" s="38"/>
      <x:c r="N667" s="38"/>
      <x:c r="O667" s="38"/>
      <x:c r="P667" s="38"/>
      <x:c r="Q667" s="38"/>
    </x:row>
    <x:row r="668">
      <x:c r="A668" s="523" t="str">
        <x:f>IF(ISBLANK('_INSTANCE'!A587),"",'_INSTANCE'!A587)</x:f>
      </x:c>
      <x:c r="B668" s="523" t="str">
        <x:f>IF(ISBLANK('_INSTANCE'!B587),"",'_INSTANCE'!B587)</x:f>
      </x:c>
      <x:c r="C668" s="523" t="str">
        <x:f>IF(ISBLANK('_INSTANCE'!C587),"",'_INSTANCE'!C587)</x:f>
      </x:c>
      <x:c r="D668" s="530" t="str">
        <x:f>IF(ISBLANK('_INSTANCE'!D587),"",'_INSTANCE'!D587)</x:f>
      </x:c>
      <x:c r="E668" s="530" t="str">
        <x:f>IF(ISBLANK('_INSTANCE'!E587),"",'_INSTANCE'!E587)</x:f>
      </x:c>
      <x:c r="F668" s="530" t="str">
        <x:f>IF(ISBLANK('_INSTANCE'!F587),"",'_INSTANCE'!F587)</x:f>
      </x:c>
      <x:c r="G668" s="530" t="str">
        <x:f>IF(ISBLANK('_INSTANCE'!G587),"",'_INSTANCE'!G587)</x:f>
      </x:c>
      <x:c r="H668" s="530" t="str">
        <x:f>IF(ISBLANK('_INSTANCE'!H587),"",'_INSTANCE'!H587)</x:f>
      </x:c>
      <x:c r="I668" s="530" t="str">
        <x:f>IF(ISBLANK('_INSTANCE'!I587),"",'_INSTANCE'!I587)</x:f>
      </x:c>
      <x:c r="J668" s="530" t="str">
        <x:f>IF(ISBLANK('_INSTANCE'!J587),"",'_INSTANCE'!J587)</x:f>
      </x:c>
      <x:c r="K668" s="38"/>
      <x:c r="L668" s="38"/>
      <x:c r="M668" s="38"/>
      <x:c r="N668" s="38"/>
      <x:c r="O668" s="38"/>
      <x:c r="P668" s="38"/>
      <x:c r="Q668" s="38"/>
    </x:row>
    <x:row r="669">
      <x:c r="A669" s="523" t="str">
        <x:f>IF(ISBLANK('_INSTANCE'!A588),"",'_INSTANCE'!A588)</x:f>
      </x:c>
      <x:c r="B669" s="523" t="str">
        <x:f>IF(ISBLANK('_INSTANCE'!B588),"",'_INSTANCE'!B588)</x:f>
      </x:c>
      <x:c r="C669" s="523" t="str">
        <x:f>IF(ISBLANK('_INSTANCE'!C588),"",'_INSTANCE'!C588)</x:f>
      </x:c>
      <x:c r="D669" s="530" t="str">
        <x:f>IF(ISBLANK('_INSTANCE'!D588),"",'_INSTANCE'!D588)</x:f>
      </x:c>
      <x:c r="E669" s="530" t="str">
        <x:f>IF(ISBLANK('_INSTANCE'!E588),"",'_INSTANCE'!E588)</x:f>
      </x:c>
      <x:c r="F669" s="530" t="str">
        <x:f>IF(ISBLANK('_INSTANCE'!F588),"",'_INSTANCE'!F588)</x:f>
      </x:c>
      <x:c r="G669" s="530" t="str">
        <x:f>IF(ISBLANK('_INSTANCE'!G588),"",'_INSTANCE'!G588)</x:f>
      </x:c>
      <x:c r="H669" s="530" t="str">
        <x:f>IF(ISBLANK('_INSTANCE'!H588),"",'_INSTANCE'!H588)</x:f>
      </x:c>
      <x:c r="I669" s="530" t="str">
        <x:f>IF(ISBLANK('_INSTANCE'!I588),"",'_INSTANCE'!I588)</x:f>
      </x:c>
      <x:c r="J669" s="530" t="str">
        <x:f>IF(ISBLANK('_INSTANCE'!J588),"",'_INSTANCE'!J588)</x:f>
      </x:c>
      <x:c r="K669" s="38"/>
      <x:c r="L669" s="38"/>
      <x:c r="M669" s="38"/>
      <x:c r="N669" s="38"/>
      <x:c r="O669" s="38"/>
      <x:c r="P669" s="38"/>
      <x:c r="Q669" s="38"/>
    </x:row>
    <x:row r="670">
      <x:c r="A670" s="523" t="str">
        <x:f>IF(ISBLANK('_INSTANCE'!A589),"",'_INSTANCE'!A589)</x:f>
      </x:c>
      <x:c r="B670" s="523" t="str">
        <x:f>IF(ISBLANK('_INSTANCE'!B589),"",'_INSTANCE'!B589)</x:f>
      </x:c>
      <x:c r="C670" s="523" t="str">
        <x:f>IF(ISBLANK('_INSTANCE'!C589),"",'_INSTANCE'!C589)</x:f>
      </x:c>
      <x:c r="D670" s="530" t="str">
        <x:f>IF(ISBLANK('_INSTANCE'!D589),"",'_INSTANCE'!D589)</x:f>
      </x:c>
      <x:c r="E670" s="530" t="str">
        <x:f>IF(ISBLANK('_INSTANCE'!E589),"",'_INSTANCE'!E589)</x:f>
      </x:c>
      <x:c r="F670" s="530" t="str">
        <x:f>IF(ISBLANK('_INSTANCE'!F589),"",'_INSTANCE'!F589)</x:f>
      </x:c>
      <x:c r="G670" s="530" t="str">
        <x:f>IF(ISBLANK('_INSTANCE'!G589),"",'_INSTANCE'!G589)</x:f>
      </x:c>
      <x:c r="H670" s="530" t="str">
        <x:f>IF(ISBLANK('_INSTANCE'!H589),"",'_INSTANCE'!H589)</x:f>
      </x:c>
      <x:c r="I670" s="530" t="str">
        <x:f>IF(ISBLANK('_INSTANCE'!I589),"",'_INSTANCE'!I589)</x:f>
      </x:c>
      <x:c r="J670" s="530" t="str">
        <x:f>IF(ISBLANK('_INSTANCE'!J589),"",'_INSTANCE'!J589)</x:f>
      </x:c>
      <x:c r="K670" s="38"/>
      <x:c r="L670" s="38"/>
      <x:c r="M670" s="38"/>
      <x:c r="N670" s="38"/>
      <x:c r="O670" s="38"/>
      <x:c r="P670" s="38"/>
      <x:c r="Q670" s="38"/>
    </x:row>
    <x:row r="671">
      <x:c r="A671" s="523" t="str">
        <x:f>IF(ISBLANK('_INSTANCE'!A590),"",'_INSTANCE'!A590)</x:f>
      </x:c>
      <x:c r="B671" s="523" t="str">
        <x:f>IF(ISBLANK('_INSTANCE'!B590),"",'_INSTANCE'!B590)</x:f>
      </x:c>
      <x:c r="C671" s="523" t="str">
        <x:f>IF(ISBLANK('_INSTANCE'!C590),"",'_INSTANCE'!C590)</x:f>
      </x:c>
      <x:c r="D671" s="530" t="str">
        <x:f>IF(ISBLANK('_INSTANCE'!D590),"",'_INSTANCE'!D590)</x:f>
      </x:c>
      <x:c r="E671" s="530" t="str">
        <x:f>IF(ISBLANK('_INSTANCE'!E590),"",'_INSTANCE'!E590)</x:f>
      </x:c>
      <x:c r="F671" s="530" t="str">
        <x:f>IF(ISBLANK('_INSTANCE'!F590),"",'_INSTANCE'!F590)</x:f>
      </x:c>
      <x:c r="G671" s="530" t="str">
        <x:f>IF(ISBLANK('_INSTANCE'!G590),"",'_INSTANCE'!G590)</x:f>
      </x:c>
      <x:c r="H671" s="530" t="str">
        <x:f>IF(ISBLANK('_INSTANCE'!H590),"",'_INSTANCE'!H590)</x:f>
      </x:c>
      <x:c r="I671" s="530" t="str">
        <x:f>IF(ISBLANK('_INSTANCE'!I590),"",'_INSTANCE'!I590)</x:f>
      </x:c>
      <x:c r="J671" s="530" t="str">
        <x:f>IF(ISBLANK('_INSTANCE'!J590),"",'_INSTANCE'!J590)</x:f>
      </x:c>
      <x:c r="K671" s="38"/>
      <x:c r="L671" s="38"/>
      <x:c r="M671" s="38"/>
      <x:c r="N671" s="38"/>
      <x:c r="O671" s="38"/>
      <x:c r="P671" s="38"/>
      <x:c r="Q671" s="38"/>
    </x:row>
    <x:row r="672">
      <x:c r="A672" s="523" t="str">
        <x:f>IF(ISBLANK('_INSTANCE'!A591),"",'_INSTANCE'!A591)</x:f>
      </x:c>
      <x:c r="B672" s="523" t="str">
        <x:f>IF(ISBLANK('_INSTANCE'!B591),"",'_INSTANCE'!B591)</x:f>
      </x:c>
      <x:c r="C672" s="523" t="str">
        <x:f>IF(ISBLANK('_INSTANCE'!C591),"",'_INSTANCE'!C591)</x:f>
      </x:c>
      <x:c r="D672" s="530" t="str">
        <x:f>IF(ISBLANK('_INSTANCE'!D591),"",'_INSTANCE'!D591)</x:f>
      </x:c>
      <x:c r="E672" s="530" t="str">
        <x:f>IF(ISBLANK('_INSTANCE'!E591),"",'_INSTANCE'!E591)</x:f>
      </x:c>
      <x:c r="F672" s="530" t="str">
        <x:f>IF(ISBLANK('_INSTANCE'!F591),"",'_INSTANCE'!F591)</x:f>
      </x:c>
      <x:c r="G672" s="530" t="str">
        <x:f>IF(ISBLANK('_INSTANCE'!G591),"",'_INSTANCE'!G591)</x:f>
      </x:c>
      <x:c r="H672" s="530" t="str">
        <x:f>IF(ISBLANK('_INSTANCE'!H591),"",'_INSTANCE'!H591)</x:f>
      </x:c>
      <x:c r="I672" s="530" t="str">
        <x:f>IF(ISBLANK('_INSTANCE'!I591),"",'_INSTANCE'!I591)</x:f>
      </x:c>
      <x:c r="J672" s="530" t="str">
        <x:f>IF(ISBLANK('_INSTANCE'!J591),"",'_INSTANCE'!J591)</x:f>
      </x:c>
      <x:c r="K672" s="38"/>
      <x:c r="L672" s="38"/>
      <x:c r="M672" s="38"/>
      <x:c r="N672" s="38"/>
      <x:c r="O672" s="38"/>
      <x:c r="P672" s="38"/>
      <x:c r="Q672" s="38"/>
    </x:row>
    <x:row r="673">
      <x:c r="A673" s="523" t="str">
        <x:f>IF(ISBLANK('_INSTANCE'!A592),"",'_INSTANCE'!A592)</x:f>
      </x:c>
      <x:c r="B673" s="523" t="str">
        <x:f>IF(ISBLANK('_INSTANCE'!B592),"",'_INSTANCE'!B592)</x:f>
      </x:c>
      <x:c r="C673" s="523" t="str">
        <x:f>IF(ISBLANK('_INSTANCE'!C592),"",'_INSTANCE'!C592)</x:f>
      </x:c>
      <x:c r="D673" s="530" t="str">
        <x:f>IF(ISBLANK('_INSTANCE'!D592),"",'_INSTANCE'!D592)</x:f>
      </x:c>
      <x:c r="E673" s="530" t="str">
        <x:f>IF(ISBLANK('_INSTANCE'!E592),"",'_INSTANCE'!E592)</x:f>
      </x:c>
      <x:c r="F673" s="530" t="str">
        <x:f>IF(ISBLANK('_INSTANCE'!F592),"",'_INSTANCE'!F592)</x:f>
      </x:c>
      <x:c r="G673" s="530" t="str">
        <x:f>IF(ISBLANK('_INSTANCE'!G592),"",'_INSTANCE'!G592)</x:f>
      </x:c>
      <x:c r="H673" s="530" t="str">
        <x:f>IF(ISBLANK('_INSTANCE'!H592),"",'_INSTANCE'!H592)</x:f>
      </x:c>
      <x:c r="I673" s="530" t="str">
        <x:f>IF(ISBLANK('_INSTANCE'!I592),"",'_INSTANCE'!I592)</x:f>
      </x:c>
      <x:c r="J673" s="530" t="str">
        <x:f>IF(ISBLANK('_INSTANCE'!J592),"",'_INSTANCE'!J592)</x:f>
      </x:c>
      <x:c r="K673" s="38"/>
      <x:c r="L673" s="38"/>
      <x:c r="M673" s="38"/>
      <x:c r="N673" s="38"/>
      <x:c r="O673" s="38"/>
      <x:c r="P673" s="38"/>
      <x:c r="Q673" s="38"/>
    </x:row>
    <x:row r="674">
      <x:c r="A674" s="523" t="str">
        <x:f>IF(ISBLANK('_INSTANCE'!A593),"",'_INSTANCE'!A593)</x:f>
      </x:c>
      <x:c r="B674" s="523" t="str">
        <x:f>IF(ISBLANK('_INSTANCE'!B593),"",'_INSTANCE'!B593)</x:f>
      </x:c>
      <x:c r="C674" s="523" t="str">
        <x:f>IF(ISBLANK('_INSTANCE'!C593),"",'_INSTANCE'!C593)</x:f>
      </x:c>
      <x:c r="D674" s="530" t="str">
        <x:f>IF(ISBLANK('_INSTANCE'!D593),"",'_INSTANCE'!D593)</x:f>
      </x:c>
      <x:c r="E674" s="530" t="str">
        <x:f>IF(ISBLANK('_INSTANCE'!E593),"",'_INSTANCE'!E593)</x:f>
      </x:c>
      <x:c r="F674" s="530" t="str">
        <x:f>IF(ISBLANK('_INSTANCE'!F593),"",'_INSTANCE'!F593)</x:f>
      </x:c>
      <x:c r="G674" s="530" t="str">
        <x:f>IF(ISBLANK('_INSTANCE'!G593),"",'_INSTANCE'!G593)</x:f>
      </x:c>
      <x:c r="H674" s="530" t="str">
        <x:f>IF(ISBLANK('_INSTANCE'!H593),"",'_INSTANCE'!H593)</x:f>
      </x:c>
      <x:c r="I674" s="530" t="str">
        <x:f>IF(ISBLANK('_INSTANCE'!I593),"",'_INSTANCE'!I593)</x:f>
      </x:c>
      <x:c r="J674" s="530" t="str">
        <x:f>IF(ISBLANK('_INSTANCE'!J593),"",'_INSTANCE'!J593)</x:f>
      </x:c>
      <x:c r="K674" s="38"/>
      <x:c r="L674" s="38"/>
      <x:c r="M674" s="38"/>
      <x:c r="N674" s="38"/>
      <x:c r="O674" s="38"/>
      <x:c r="P674" s="38"/>
      <x:c r="Q674" s="38"/>
    </x:row>
    <x:row r="675">
      <x:c r="A675" s="523" t="str">
        <x:f>IF(ISBLANK('_INSTANCE'!A594),"",'_INSTANCE'!A594)</x:f>
      </x:c>
      <x:c r="B675" s="523" t="str">
        <x:f>IF(ISBLANK('_INSTANCE'!B594),"",'_INSTANCE'!B594)</x:f>
      </x:c>
      <x:c r="C675" s="523" t="str">
        <x:f>IF(ISBLANK('_INSTANCE'!C594),"",'_INSTANCE'!C594)</x:f>
      </x:c>
      <x:c r="D675" s="530" t="str">
        <x:f>IF(ISBLANK('_INSTANCE'!D594),"",'_INSTANCE'!D594)</x:f>
      </x:c>
      <x:c r="E675" s="530" t="str">
        <x:f>IF(ISBLANK('_INSTANCE'!E594),"",'_INSTANCE'!E594)</x:f>
      </x:c>
      <x:c r="F675" s="530" t="str">
        <x:f>IF(ISBLANK('_INSTANCE'!F594),"",'_INSTANCE'!F594)</x:f>
      </x:c>
      <x:c r="G675" s="530" t="str">
        <x:f>IF(ISBLANK('_INSTANCE'!G594),"",'_INSTANCE'!G594)</x:f>
      </x:c>
      <x:c r="H675" s="530" t="str">
        <x:f>IF(ISBLANK('_INSTANCE'!H594),"",'_INSTANCE'!H594)</x:f>
      </x:c>
      <x:c r="I675" s="530" t="str">
        <x:f>IF(ISBLANK('_INSTANCE'!I594),"",'_INSTANCE'!I594)</x:f>
      </x:c>
      <x:c r="J675" s="530" t="str">
        <x:f>IF(ISBLANK('_INSTANCE'!J594),"",'_INSTANCE'!J594)</x:f>
      </x:c>
      <x:c r="K675" s="38"/>
      <x:c r="L675" s="38"/>
      <x:c r="M675" s="38"/>
      <x:c r="N675" s="38"/>
      <x:c r="O675" s="38"/>
      <x:c r="P675" s="38"/>
      <x:c r="Q675" s="38"/>
    </x:row>
    <x:row r="676">
      <x:c r="A676" s="523" t="str">
        <x:f>IF(ISBLANK('_INSTANCE'!A595),"",'_INSTANCE'!A595)</x:f>
      </x:c>
      <x:c r="B676" s="523" t="str">
        <x:f>IF(ISBLANK('_INSTANCE'!B595),"",'_INSTANCE'!B595)</x:f>
      </x:c>
      <x:c r="C676" s="523" t="str">
        <x:f>IF(ISBLANK('_INSTANCE'!C595),"",'_INSTANCE'!C595)</x:f>
      </x:c>
      <x:c r="D676" s="530" t="str">
        <x:f>IF(ISBLANK('_INSTANCE'!D595),"",'_INSTANCE'!D595)</x:f>
      </x:c>
      <x:c r="E676" s="530" t="str">
        <x:f>IF(ISBLANK('_INSTANCE'!E595),"",'_INSTANCE'!E595)</x:f>
      </x:c>
      <x:c r="F676" s="530" t="str">
        <x:f>IF(ISBLANK('_INSTANCE'!F595),"",'_INSTANCE'!F595)</x:f>
      </x:c>
      <x:c r="G676" s="530" t="str">
        <x:f>IF(ISBLANK('_INSTANCE'!G595),"",'_INSTANCE'!G595)</x:f>
      </x:c>
      <x:c r="H676" s="530" t="str">
        <x:f>IF(ISBLANK('_INSTANCE'!H595),"",'_INSTANCE'!H595)</x:f>
      </x:c>
      <x:c r="I676" s="530" t="str">
        <x:f>IF(ISBLANK('_INSTANCE'!I595),"",'_INSTANCE'!I595)</x:f>
      </x:c>
      <x:c r="J676" s="530" t="str">
        <x:f>IF(ISBLANK('_INSTANCE'!J595),"",'_INSTANCE'!J595)</x:f>
      </x:c>
      <x:c r="K676" s="38"/>
      <x:c r="L676" s="38"/>
      <x:c r="M676" s="38"/>
      <x:c r="N676" s="38"/>
      <x:c r="O676" s="38"/>
      <x:c r="P676" s="38"/>
      <x:c r="Q676" s="38"/>
    </x:row>
    <x:row r="677">
      <x:c r="A677" s="523" t="str">
        <x:f>IF(ISBLANK('_INSTANCE'!A596),"",'_INSTANCE'!A596)</x:f>
      </x:c>
      <x:c r="B677" s="523" t="str">
        <x:f>IF(ISBLANK('_INSTANCE'!B596),"",'_INSTANCE'!B596)</x:f>
      </x:c>
      <x:c r="C677" s="523" t="str">
        <x:f>IF(ISBLANK('_INSTANCE'!C596),"",'_INSTANCE'!C596)</x:f>
      </x:c>
      <x:c r="D677" s="530" t="str">
        <x:f>IF(ISBLANK('_INSTANCE'!D596),"",'_INSTANCE'!D596)</x:f>
      </x:c>
      <x:c r="E677" s="530" t="str">
        <x:f>IF(ISBLANK('_INSTANCE'!E596),"",'_INSTANCE'!E596)</x:f>
      </x:c>
      <x:c r="F677" s="530" t="str">
        <x:f>IF(ISBLANK('_INSTANCE'!F596),"",'_INSTANCE'!F596)</x:f>
      </x:c>
      <x:c r="G677" s="530" t="str">
        <x:f>IF(ISBLANK('_INSTANCE'!G596),"",'_INSTANCE'!G596)</x:f>
      </x:c>
      <x:c r="H677" s="530" t="str">
        <x:f>IF(ISBLANK('_INSTANCE'!H596),"",'_INSTANCE'!H596)</x:f>
      </x:c>
      <x:c r="I677" s="530" t="str">
        <x:f>IF(ISBLANK('_INSTANCE'!I596),"",'_INSTANCE'!I596)</x:f>
      </x:c>
      <x:c r="J677" s="530" t="str">
        <x:f>IF(ISBLANK('_INSTANCE'!J596),"",'_INSTANCE'!J596)</x:f>
      </x:c>
      <x:c r="K677" s="38"/>
      <x:c r="L677" s="38"/>
      <x:c r="M677" s="38"/>
      <x:c r="N677" s="38"/>
      <x:c r="O677" s="38"/>
      <x:c r="P677" s="38"/>
      <x:c r="Q677" s="38"/>
    </x:row>
    <x:row r="678">
      <x:c r="A678" s="523" t="str">
        <x:f>IF(ISBLANK('_INSTANCE'!A597),"",'_INSTANCE'!A597)</x:f>
      </x:c>
      <x:c r="B678" s="523" t="str">
        <x:f>IF(ISBLANK('_INSTANCE'!B597),"",'_INSTANCE'!B597)</x:f>
      </x:c>
      <x:c r="C678" s="523" t="str">
        <x:f>IF(ISBLANK('_INSTANCE'!C597),"",'_INSTANCE'!C597)</x:f>
      </x:c>
      <x:c r="D678" s="530" t="str">
        <x:f>IF(ISBLANK('_INSTANCE'!D597),"",'_INSTANCE'!D597)</x:f>
      </x:c>
      <x:c r="E678" s="530" t="str">
        <x:f>IF(ISBLANK('_INSTANCE'!E597),"",'_INSTANCE'!E597)</x:f>
      </x:c>
      <x:c r="F678" s="530" t="str">
        <x:f>IF(ISBLANK('_INSTANCE'!F597),"",'_INSTANCE'!F597)</x:f>
      </x:c>
      <x:c r="G678" s="530" t="str">
        <x:f>IF(ISBLANK('_INSTANCE'!G597),"",'_INSTANCE'!G597)</x:f>
      </x:c>
      <x:c r="H678" s="530" t="str">
        <x:f>IF(ISBLANK('_INSTANCE'!H597),"",'_INSTANCE'!H597)</x:f>
      </x:c>
      <x:c r="I678" s="530" t="str">
        <x:f>IF(ISBLANK('_INSTANCE'!I597),"",'_INSTANCE'!I597)</x:f>
      </x:c>
      <x:c r="J678" s="530" t="str">
        <x:f>IF(ISBLANK('_INSTANCE'!J597),"",'_INSTANCE'!J597)</x:f>
      </x:c>
      <x:c r="K678" s="38"/>
      <x:c r="L678" s="38"/>
      <x:c r="M678" s="38"/>
      <x:c r="N678" s="38"/>
      <x:c r="O678" s="38"/>
      <x:c r="P678" s="38"/>
      <x:c r="Q678" s="38"/>
    </x:row>
    <x:row r="679">
      <x:c r="A679" s="523" t="str">
        <x:f>IF(ISBLANK('_INSTANCE'!A598),"",'_INSTANCE'!A598)</x:f>
      </x:c>
      <x:c r="B679" s="523" t="str">
        <x:f>IF(ISBLANK('_INSTANCE'!B598),"",'_INSTANCE'!B598)</x:f>
      </x:c>
      <x:c r="C679" s="523" t="str">
        <x:f>IF(ISBLANK('_INSTANCE'!C598),"",'_INSTANCE'!C598)</x:f>
      </x:c>
      <x:c r="D679" s="530" t="str">
        <x:f>IF(ISBLANK('_INSTANCE'!D598),"",'_INSTANCE'!D598)</x:f>
      </x:c>
      <x:c r="E679" s="530" t="str">
        <x:f>IF(ISBLANK('_INSTANCE'!E598),"",'_INSTANCE'!E598)</x:f>
      </x:c>
      <x:c r="F679" s="530" t="str">
        <x:f>IF(ISBLANK('_INSTANCE'!F598),"",'_INSTANCE'!F598)</x:f>
      </x:c>
      <x:c r="G679" s="530" t="str">
        <x:f>IF(ISBLANK('_INSTANCE'!G598),"",'_INSTANCE'!G598)</x:f>
      </x:c>
      <x:c r="H679" s="530" t="str">
        <x:f>IF(ISBLANK('_INSTANCE'!H598),"",'_INSTANCE'!H598)</x:f>
      </x:c>
      <x:c r="I679" s="530" t="str">
        <x:f>IF(ISBLANK('_INSTANCE'!I598),"",'_INSTANCE'!I598)</x:f>
      </x:c>
      <x:c r="J679" s="530" t="str">
        <x:f>IF(ISBLANK('_INSTANCE'!J598),"",'_INSTANCE'!J598)</x:f>
      </x:c>
      <x:c r="K679" s="38"/>
      <x:c r="L679" s="38"/>
      <x:c r="M679" s="38"/>
      <x:c r="N679" s="38"/>
      <x:c r="O679" s="38"/>
      <x:c r="P679" s="38"/>
      <x:c r="Q679" s="38"/>
    </x:row>
    <x:row r="680">
      <x:c r="A680" s="523" t="str">
        <x:f>IF(ISBLANK('_INSTANCE'!A599),"",'_INSTANCE'!A599)</x:f>
      </x:c>
      <x:c r="B680" s="523" t="str">
        <x:f>IF(ISBLANK('_INSTANCE'!B599),"",'_INSTANCE'!B599)</x:f>
      </x:c>
      <x:c r="C680" s="523" t="str">
        <x:f>IF(ISBLANK('_INSTANCE'!C599),"",'_INSTANCE'!C599)</x:f>
      </x:c>
      <x:c r="D680" s="530" t="str">
        <x:f>IF(ISBLANK('_INSTANCE'!D599),"",'_INSTANCE'!D599)</x:f>
      </x:c>
      <x:c r="E680" s="530" t="str">
        <x:f>IF(ISBLANK('_INSTANCE'!E599),"",'_INSTANCE'!E599)</x:f>
      </x:c>
      <x:c r="F680" s="530" t="str">
        <x:f>IF(ISBLANK('_INSTANCE'!F599),"",'_INSTANCE'!F599)</x:f>
      </x:c>
      <x:c r="G680" s="530" t="str">
        <x:f>IF(ISBLANK('_INSTANCE'!G599),"",'_INSTANCE'!G599)</x:f>
      </x:c>
      <x:c r="H680" s="530" t="str">
        <x:f>IF(ISBLANK('_INSTANCE'!H599),"",'_INSTANCE'!H599)</x:f>
      </x:c>
      <x:c r="I680" s="530" t="str">
        <x:f>IF(ISBLANK('_INSTANCE'!I599),"",'_INSTANCE'!I599)</x:f>
      </x:c>
      <x:c r="J680" s="530" t="str">
        <x:f>IF(ISBLANK('_INSTANCE'!J599),"",'_INSTANCE'!J599)</x:f>
      </x:c>
      <x:c r="K680" s="38"/>
      <x:c r="L680" s="38"/>
      <x:c r="M680" s="38"/>
      <x:c r="N680" s="38"/>
      <x:c r="O680" s="38"/>
      <x:c r="P680" s="38"/>
      <x:c r="Q680" s="38"/>
    </x:row>
    <x:row r="681">
      <x:c r="A681" s="523" t="str">
        <x:f>IF(ISBLANK('_INSTANCE'!A600),"",'_INSTANCE'!A600)</x:f>
      </x:c>
      <x:c r="B681" s="523" t="str">
        <x:f>IF(ISBLANK('_INSTANCE'!B600),"",'_INSTANCE'!B600)</x:f>
      </x:c>
      <x:c r="C681" s="523" t="str">
        <x:f>IF(ISBLANK('_INSTANCE'!C600),"",'_INSTANCE'!C600)</x:f>
      </x:c>
      <x:c r="D681" s="530" t="str">
        <x:f>IF(ISBLANK('_INSTANCE'!D600),"",'_INSTANCE'!D600)</x:f>
      </x:c>
      <x:c r="E681" s="530" t="str">
        <x:f>IF(ISBLANK('_INSTANCE'!E600),"",'_INSTANCE'!E600)</x:f>
      </x:c>
      <x:c r="F681" s="530" t="str">
        <x:f>IF(ISBLANK('_INSTANCE'!F600),"",'_INSTANCE'!F600)</x:f>
      </x:c>
      <x:c r="G681" s="530" t="str">
        <x:f>IF(ISBLANK('_INSTANCE'!G600),"",'_INSTANCE'!G600)</x:f>
      </x:c>
      <x:c r="H681" s="530" t="str">
        <x:f>IF(ISBLANK('_INSTANCE'!H600),"",'_INSTANCE'!H600)</x:f>
      </x:c>
      <x:c r="I681" s="530" t="str">
        <x:f>IF(ISBLANK('_INSTANCE'!I600),"",'_INSTANCE'!I600)</x:f>
      </x:c>
      <x:c r="J681" s="530" t="str">
        <x:f>IF(ISBLANK('_INSTANCE'!J600),"",'_INSTANCE'!J600)</x:f>
      </x:c>
      <x:c r="K681" s="38"/>
      <x:c r="L681" s="38"/>
      <x:c r="M681" s="38"/>
      <x:c r="N681" s="38"/>
      <x:c r="O681" s="38"/>
      <x:c r="P681" s="38"/>
      <x:c r="Q681" s="38"/>
    </x:row>
    <x:row r="682">
      <x:c r="A682" s="523" t="str">
        <x:f>IF(ISBLANK('_INSTANCE'!A601),"",'_INSTANCE'!A601)</x:f>
      </x:c>
      <x:c r="B682" s="523" t="str">
        <x:f>IF(ISBLANK('_INSTANCE'!B601),"",'_INSTANCE'!B601)</x:f>
      </x:c>
      <x:c r="C682" s="523" t="str">
        <x:f>IF(ISBLANK('_INSTANCE'!C601),"",'_INSTANCE'!C601)</x:f>
      </x:c>
      <x:c r="D682" s="530" t="str">
        <x:f>IF(ISBLANK('_INSTANCE'!D601),"",'_INSTANCE'!D601)</x:f>
      </x:c>
      <x:c r="E682" s="530" t="str">
        <x:f>IF(ISBLANK('_INSTANCE'!E601),"",'_INSTANCE'!E601)</x:f>
      </x:c>
      <x:c r="F682" s="530" t="str">
        <x:f>IF(ISBLANK('_INSTANCE'!F601),"",'_INSTANCE'!F601)</x:f>
      </x:c>
      <x:c r="G682" s="530" t="str">
        <x:f>IF(ISBLANK('_INSTANCE'!G601),"",'_INSTANCE'!G601)</x:f>
      </x:c>
      <x:c r="H682" s="530" t="str">
        <x:f>IF(ISBLANK('_INSTANCE'!H601),"",'_INSTANCE'!H601)</x:f>
      </x:c>
      <x:c r="I682" s="530" t="str">
        <x:f>IF(ISBLANK('_INSTANCE'!I601),"",'_INSTANCE'!I601)</x:f>
      </x:c>
      <x:c r="J682" s="530" t="str">
        <x:f>IF(ISBLANK('_INSTANCE'!J601),"",'_INSTANCE'!J601)</x:f>
      </x:c>
      <x:c r="K682" s="38"/>
      <x:c r="L682" s="38"/>
      <x:c r="M682" s="38"/>
      <x:c r="N682" s="38"/>
      <x:c r="O682" s="38"/>
      <x:c r="P682" s="38"/>
      <x:c r="Q682" s="38"/>
    </x:row>
    <x:row r="683">
      <x:c r="A683" s="38"/>
      <x:c r="B683" s="38"/>
      <x:c r="C683" s="38"/>
      <x:c r="D683" s="38"/>
      <x:c r="E683" s="38"/>
      <x:c r="F683" s="38"/>
      <x:c r="G683" s="38"/>
      <x:c r="H683" s="38"/>
      <x:c r="I683" s="38"/>
      <x:c r="J683" s="38"/>
      <x:c r="K683" s="38"/>
      <x:c r="L683" s="38"/>
      <x:c r="M683" s="38"/>
      <x:c r="N683" s="38"/>
      <x:c r="O683" s="38"/>
      <x:c r="P683" s="38"/>
      <x:c r="Q683" s="38"/>
    </x:row>
    <x:row r="684">
      <x:c r="A684" s="38"/>
      <x:c r="B684" s="38"/>
      <x:c r="C684" s="38"/>
      <x:c r="D684" s="38"/>
      <x:c r="E684" s="38"/>
      <x:c r="F684" s="38"/>
      <x:c r="G684" s="38"/>
      <x:c r="H684" s="38"/>
      <x:c r="I684" s="38"/>
      <x:c r="J684" s="38"/>
      <x:c r="K684" s="38"/>
      <x:c r="L684" s="38"/>
      <x:c r="M684" s="38"/>
      <x:c r="N684" s="38"/>
      <x:c r="O684" s="38"/>
      <x:c r="P684" s="38"/>
      <x:c r="Q684" s="38"/>
    </x:row>
    <x:row r="685">
      <x:c r="A685" s="38"/>
      <x:c r="B685" s="38"/>
      <x:c r="C685" s="38"/>
      <x:c r="D685" s="38"/>
      <x:c r="E685" s="38"/>
      <x:c r="F685" s="38"/>
      <x:c r="G685" s="38"/>
      <x:c r="H685" s="38"/>
      <x:c r="I685" s="38"/>
      <x:c r="J685" s="38"/>
      <x:c r="K685" s="38"/>
      <x:c r="L685" s="38"/>
      <x:c r="M685" s="38"/>
      <x:c r="N685" s="38"/>
      <x:c r="O685" s="38"/>
      <x:c r="P685" s="38"/>
      <x:c r="Q685" s="38"/>
    </x:row>
  </x:sheetData>
  <x:mergeCells>
    <x:mergeCell ref="A1:C2"/>
    <x:mergeCell ref="D1:Q1"/>
    <x:mergeCell ref="D2:Q2"/>
    <x:mergeCell ref="A4:D4"/>
    <x:mergeCell ref="A5:D7"/>
    <x:mergeCell ref="A8:D8"/>
    <x:mergeCell ref="E4:H4"/>
    <x:mergeCell ref="E5:H7"/>
    <x:mergeCell ref="E8:H8"/>
    <x:mergeCell ref="I4:L4"/>
    <x:mergeCell ref="I5:L7"/>
    <x:mergeCell ref="I8:L8"/>
    <x:mergeCell ref="M4:Q4"/>
    <x:mergeCell ref="M5:Q7"/>
    <x:mergeCell ref="M8:Q8"/>
    <x:mergeCell ref="A10:H11"/>
    <x:mergeCell ref="J10:Q11"/>
    <x:mergeCell ref="A31:H32"/>
    <x:mergeCell ref="A33:H43"/>
    <x:mergeCell ref="J31:Q32"/>
    <x:mergeCell ref="A46:Q47"/>
    <x:mergeCell ref="A49:L49"/>
    <x:mergeCell ref="A64:L64"/>
    <x:mergeCell ref="N49:Q76"/>
    <x:mergeCell ref="A79:Q80"/>
    <x:mergeCell ref="L82:Q90"/>
  </x:mergeCells>
  <x:conditionalFormatting sqref="B51:L61">
    <x:cfRule type="colorScale" priority="1">
      <x:colorScale>
        <x:cfvo type="min"/>
        <x:cfvo type="percentile" val="50"/>
        <x:cfvo type="max"/>
        <x:color rgb="FFFFFFFF"/>
        <x:color rgb="FFDFE9F0"/>
        <x:color rgb="FF467AA0"/>
      </x:colorScale>
    </x:cfRule>
  </x:conditionalFormatting>
  <x:conditionalFormatting sqref="B66:L76">
    <x:cfRule type="colorScale" priority="2">
      <x:colorScale>
        <x:cfvo type="min"/>
        <x:cfvo type="percentile" val="50"/>
        <x:cfvo type="max"/>
        <x:color rgb="FFFFFFFF"/>
        <x:color rgb="FFF5E9CF"/>
        <x:color rgb="FFD99A2B"/>
      </x:colorScale>
    </x:cfRule>
  </x:conditionalFormatting>
  <x:pageMargins left="0.7" right="0.7" top="0.75" bottom="0.75" header="0.3" footer="0.3"/>
  <x:drawing xmlns:r="http://schemas.openxmlformats.org/officeDocument/2006/relationships" r:id="Rcfa6fe17a53942e5"/>
</x:worksheet>
</file>

<file path=xl/worksheets/sheet6.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s>
  <x:sheetData>
    <x:row r="1" ht="24" customHeight="1">
      <x:c r="A1" s="42" t="str">
        <x:f>IF('_CONFIG'!$B$2="pt-BR","MÉTODO","METHOD")</x:f>
        <x:v>METHOD</x:v>
      </x:c>
      <x:c r="B1" s="42"/>
      <x:c r="C1" s="42"/>
      <x:c r="D1" s="44" t="str">
        <x:f>IF('_CONFIG'!$B$2="pt-BR","Iterated Greedy: perturbação controlada como motor de busca.","Iterated Greedy: controlled disruption as a search engine.")</x:f>
        <x:v>Iterated Greedy: controlled disruption as a search engine.</x:v>
      </x:c>
      <x:c r="E1" s="44"/>
      <x:c r="F1" s="44"/>
      <x:c r="G1" s="44"/>
      <x:c r="H1" s="44"/>
      <x:c r="I1" s="44"/>
      <x:c r="J1" s="44"/>
      <x:c r="K1" s="44"/>
      <x:c r="L1" s="44"/>
      <x:c r="M1" s="44"/>
      <x:c r="N1" s="44"/>
      <x:c r="O1" s="44"/>
      <x:c r="P1" s="44"/>
      <x:c r="Q1" s="44"/>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IF('_CONFIG'!$B$2="pt-BR","Um ciclo simples que explora um espaço combinatório sem enumerar todas as programações","A simple loop that explores a combinatorial space without enumerating every schedule")</x:f>
        <x:v>A simple loop that explores a combinatorial space without enumerating every schedule</x:v>
      </x:c>
      <x:c r="E2" s="45"/>
      <x:c r="F2" s="45"/>
      <x:c r="G2" s="45"/>
      <x:c r="H2" s="45"/>
      <x:c r="I2" s="45"/>
      <x:c r="J2" s="45"/>
      <x:c r="K2" s="45"/>
      <x:c r="L2" s="45"/>
      <x:c r="M2" s="45"/>
      <x:c r="N2" s="45"/>
      <x:c r="O2" s="45"/>
      <x:c r="P2" s="45"/>
      <x:c r="Q2" s="4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38"/>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ht="24" customHeight="1">
      <x:c r="A4" s="713" t="str">
        <x:f>IF('_CONFIG'!$B$2="pt-BR","Enumerar todas as ordens rapidamente se torna impraticável: n jobs já implicam n! permutações, antes das decisões de tempo, rejeição e preparação. O IG realiza uma busca: preserva uma boa programação, remove um pequeno conjunto, reconstrói sob o objetivo real e escolhe o estado que orientará a próxima iteração.","Enumerating every order quickly becomes impractical: n jobs already imply n! permutations, before timing, rejection, and setup decisions. IG searches instead. It keeps a strong schedule, removes a small set, rebuilds under the real objective, and chooses the state that guides the next iteration.")</x:f>
        <x:v>Enumerating every order quickly becomes impractical: n jobs already imply n! permutations, before timing, rejection, and setup decisions. IG searches instead. It keeps a strong schedule, removes a small set, rebuilds under the real objective, and chooses the state that guides the next iteration.</x:v>
      </x:c>
      <x:c r="B4" s="714"/>
      <x:c r="C4" s="714"/>
      <x:c r="D4" s="714"/>
      <x:c r="E4" s="714"/>
      <x:c r="F4" s="714"/>
      <x:c r="G4" s="714"/>
      <x:c r="H4" s="714"/>
      <x:c r="I4" s="714"/>
      <x:c r="J4" s="714"/>
      <x:c r="K4" s="714"/>
      <x:c r="L4" s="714"/>
      <x:c r="M4" s="714"/>
      <x:c r="N4" s="714"/>
      <x:c r="O4" s="714"/>
      <x:c r="P4" s="714"/>
      <x:c r="Q4" s="715"/>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ht="24" customHeight="1">
      <x:c r="A5" s="716"/>
      <x:c r="B5" s="207"/>
      <x:c r="C5" s="207"/>
      <x:c r="D5" s="207"/>
      <x:c r="E5" s="207"/>
      <x:c r="F5" s="207"/>
      <x:c r="G5" s="207"/>
      <x:c r="H5" s="207"/>
      <x:c r="I5" s="207"/>
      <x:c r="J5" s="207"/>
      <x:c r="K5" s="207"/>
      <x:c r="L5" s="207"/>
      <x:c r="M5" s="207"/>
      <x:c r="N5" s="207"/>
      <x:c r="O5" s="207"/>
      <x:c r="P5" s="207"/>
      <x:c r="Q5" s="717"/>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ht="24" customHeight="1">
      <x:c r="A6" s="716"/>
      <x:c r="B6" s="207"/>
      <x:c r="C6" s="207"/>
      <x:c r="D6" s="207"/>
      <x:c r="E6" s="207"/>
      <x:c r="F6" s="207"/>
      <x:c r="G6" s="207"/>
      <x:c r="H6" s="207"/>
      <x:c r="I6" s="207"/>
      <x:c r="J6" s="207"/>
      <x:c r="K6" s="207"/>
      <x:c r="L6" s="207"/>
      <x:c r="M6" s="207"/>
      <x:c r="N6" s="207"/>
      <x:c r="O6" s="207"/>
      <x:c r="P6" s="207"/>
      <x:c r="Q6" s="717"/>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ht="24" customHeight="1">
      <x:c r="A7" s="718"/>
      <x:c r="B7" s="719"/>
      <x:c r="C7" s="719"/>
      <x:c r="D7" s="719"/>
      <x:c r="E7" s="719"/>
      <x:c r="F7" s="719"/>
      <x:c r="G7" s="719"/>
      <x:c r="H7" s="719"/>
      <x:c r="I7" s="719"/>
      <x:c r="J7" s="719"/>
      <x:c r="K7" s="719"/>
      <x:c r="L7" s="719"/>
      <x:c r="M7" s="719"/>
      <x:c r="N7" s="719"/>
      <x:c r="O7" s="719"/>
      <x:c r="P7" s="719"/>
      <x:c r="Q7" s="720"/>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x:c r="A8" s="38"/>
      <x:c r="B8" s="38"/>
      <x:c r="C8" s="38"/>
      <x:c r="D8" s="38"/>
      <x:c r="E8" s="38"/>
      <x:c r="F8" s="38"/>
      <x:c r="G8" s="38"/>
      <x:c r="H8" s="38"/>
      <x:c r="I8" s="38"/>
      <x:c r="J8" s="38"/>
      <x:c r="K8" s="38"/>
      <x:c r="L8" s="38"/>
      <x:c r="M8" s="38"/>
      <x:c r="N8" s="38"/>
      <x:c r="O8" s="38"/>
      <x:c r="P8" s="38"/>
      <x:c r="Q8" s="38"/>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x:c r="A9" s="314" t="str">
        <x:f>IF('_CONFIG'!$B$2="pt-BR","01
CONSTRUIR
Crie uma programação inicial viável com custos e restrições reais.","01
CONSTRUCT
Build a feasible starting schedule with real costs and constraints.")</x:f>
        <x:v>01
CONSTRUCT
Build a feasible starting schedule with real costs and constraints.</x:v>
      </x:c>
      <x:c r="B9" s="315"/>
      <x:c r="C9" s="315"/>
      <x:c r="D9" s="316"/>
      <x:c r="E9" s="350" t="str">
        <x:f>IF('_CONFIG'!$B$2="pt-BR","02
DESTRUIR
Remova d jobs. A aleatoriedade abre uma vizinhança diferente.","02
DESTROY
Remove d jobs. Randomness opens a different neighborhood.")</x:f>
        <x:v>02
DESTROY
Remove d jobs. Randomness opens a different neighborhood.</x:v>
      </x:c>
      <x:c r="F9" s="351"/>
      <x:c r="G9" s="351"/>
      <x:c r="H9" s="352"/>
      <x:c r="I9" s="314" t="str">
        <x:f>IF('_CONFIG'!$B$2="pt-BR","03
RECONSTRUIR
Reinsira os jobs nas posições que mais melhoram o objetivo avaliado.","03
REBUILD
Reinsert jobs where the evaluated objective improves most.")</x:f>
        <x:v>03
REBUILD
Reinsert jobs where the evaluated objective improves most.</x:v>
      </x:c>
      <x:c r="J9" s="315"/>
      <x:c r="K9" s="315"/>
      <x:c r="L9" s="316"/>
      <x:c r="M9" s="350" t="str">
        <x:f>IF('_CONFIG'!$B$2="pt-BR","04
ACEITAR
Preserve a melhor programação encontrada e escolha o estado que orientará o próximo ciclo.","04
ACCEPT
Keep the best-ever schedule; choose the state that guides the next loop.")</x:f>
        <x:v>04
ACCEPT
Keep the best-ever schedule; choose the state that guides the next loop.</x:v>
      </x:c>
      <x:c r="N9" s="351"/>
      <x:c r="O9" s="351"/>
      <x:c r="P9" s="351"/>
      <x:c r="Q9" s="352"/>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317"/>
      <x:c r="B10" s="318"/>
      <x:c r="C10" s="318"/>
      <x:c r="D10" s="319"/>
      <x:c r="E10" s="353"/>
      <x:c r="F10" s="354"/>
      <x:c r="G10" s="354"/>
      <x:c r="H10" s="355"/>
      <x:c r="I10" s="317"/>
      <x:c r="J10" s="318"/>
      <x:c r="K10" s="318"/>
      <x:c r="L10" s="319"/>
      <x:c r="M10" s="353"/>
      <x:c r="N10" s="354"/>
      <x:c r="O10" s="354"/>
      <x:c r="P10" s="354"/>
      <x:c r="Q10" s="355"/>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317"/>
      <x:c r="B11" s="318"/>
      <x:c r="C11" s="318"/>
      <x:c r="D11" s="319"/>
      <x:c r="E11" s="353"/>
      <x:c r="F11" s="354"/>
      <x:c r="G11" s="354"/>
      <x:c r="H11" s="355"/>
      <x:c r="I11" s="317"/>
      <x:c r="J11" s="318"/>
      <x:c r="K11" s="318"/>
      <x:c r="L11" s="319"/>
      <x:c r="M11" s="353"/>
      <x:c r="N11" s="354"/>
      <x:c r="O11" s="354"/>
      <x:c r="P11" s="354"/>
      <x:c r="Q11" s="355"/>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317"/>
      <x:c r="B12" s="318"/>
      <x:c r="C12" s="318"/>
      <x:c r="D12" s="319"/>
      <x:c r="E12" s="353"/>
      <x:c r="F12" s="354"/>
      <x:c r="G12" s="354"/>
      <x:c r="H12" s="355"/>
      <x:c r="I12" s="317"/>
      <x:c r="J12" s="318"/>
      <x:c r="K12" s="318"/>
      <x:c r="L12" s="319"/>
      <x:c r="M12" s="353"/>
      <x:c r="N12" s="354"/>
      <x:c r="O12" s="354"/>
      <x:c r="P12" s="354"/>
      <x:c r="Q12" s="355"/>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x:c r="A13" s="317"/>
      <x:c r="B13" s="318"/>
      <x:c r="C13" s="318"/>
      <x:c r="D13" s="319"/>
      <x:c r="E13" s="353"/>
      <x:c r="F13" s="354"/>
      <x:c r="G13" s="354"/>
      <x:c r="H13" s="355"/>
      <x:c r="I13" s="317"/>
      <x:c r="J13" s="318"/>
      <x:c r="K13" s="318"/>
      <x:c r="L13" s="319"/>
      <x:c r="M13" s="353"/>
      <x:c r="N13" s="354"/>
      <x:c r="O13" s="354"/>
      <x:c r="P13" s="354"/>
      <x:c r="Q13" s="355"/>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x:c r="A14" s="317"/>
      <x:c r="B14" s="318"/>
      <x:c r="C14" s="318"/>
      <x:c r="D14" s="319"/>
      <x:c r="E14" s="353"/>
      <x:c r="F14" s="354"/>
      <x:c r="G14" s="354"/>
      <x:c r="H14" s="355"/>
      <x:c r="I14" s="317"/>
      <x:c r="J14" s="318"/>
      <x:c r="K14" s="318"/>
      <x:c r="L14" s="319"/>
      <x:c r="M14" s="353"/>
      <x:c r="N14" s="354"/>
      <x:c r="O14" s="354"/>
      <x:c r="P14" s="354"/>
      <x:c r="Q14" s="355"/>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x:c r="A15" s="317"/>
      <x:c r="B15" s="318"/>
      <x:c r="C15" s="318"/>
      <x:c r="D15" s="319"/>
      <x:c r="E15" s="353"/>
      <x:c r="F15" s="354"/>
      <x:c r="G15" s="354"/>
      <x:c r="H15" s="355"/>
      <x:c r="I15" s="317"/>
      <x:c r="J15" s="318"/>
      <x:c r="K15" s="318"/>
      <x:c r="L15" s="319"/>
      <x:c r="M15" s="353"/>
      <x:c r="N15" s="354"/>
      <x:c r="O15" s="354"/>
      <x:c r="P15" s="354"/>
      <x:c r="Q15" s="355"/>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x:c r="A16" s="317"/>
      <x:c r="B16" s="318"/>
      <x:c r="C16" s="318"/>
      <x:c r="D16" s="319"/>
      <x:c r="E16" s="353"/>
      <x:c r="F16" s="354"/>
      <x:c r="G16" s="354"/>
      <x:c r="H16" s="355"/>
      <x:c r="I16" s="317"/>
      <x:c r="J16" s="318"/>
      <x:c r="K16" s="318"/>
      <x:c r="L16" s="319"/>
      <x:c r="M16" s="353"/>
      <x:c r="N16" s="354"/>
      <x:c r="O16" s="354"/>
      <x:c r="P16" s="354"/>
      <x:c r="Q16" s="355"/>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x:c r="A17" s="317"/>
      <x:c r="B17" s="318"/>
      <x:c r="C17" s="318"/>
      <x:c r="D17" s="319"/>
      <x:c r="E17" s="353"/>
      <x:c r="F17" s="354"/>
      <x:c r="G17" s="354"/>
      <x:c r="H17" s="355"/>
      <x:c r="I17" s="317"/>
      <x:c r="J17" s="318"/>
      <x:c r="K17" s="318"/>
      <x:c r="L17" s="319"/>
      <x:c r="M17" s="353"/>
      <x:c r="N17" s="354"/>
      <x:c r="O17" s="354"/>
      <x:c r="P17" s="354"/>
      <x:c r="Q17" s="355"/>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x:c r="A18" s="317"/>
      <x:c r="B18" s="318"/>
      <x:c r="C18" s="318"/>
      <x:c r="D18" s="319"/>
      <x:c r="E18" s="353"/>
      <x:c r="F18" s="354"/>
      <x:c r="G18" s="354"/>
      <x:c r="H18" s="355"/>
      <x:c r="I18" s="317"/>
      <x:c r="J18" s="318"/>
      <x:c r="K18" s="318"/>
      <x:c r="L18" s="319"/>
      <x:c r="M18" s="353"/>
      <x:c r="N18" s="354"/>
      <x:c r="O18" s="354"/>
      <x:c r="P18" s="354"/>
      <x:c r="Q18" s="355"/>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320"/>
      <x:c r="B19" s="321"/>
      <x:c r="C19" s="321"/>
      <x:c r="D19" s="322"/>
      <x:c r="E19" s="356"/>
      <x:c r="F19" s="357"/>
      <x:c r="G19" s="357"/>
      <x:c r="H19" s="358"/>
      <x:c r="I19" s="320"/>
      <x:c r="J19" s="321"/>
      <x:c r="K19" s="321"/>
      <x:c r="L19" s="322"/>
      <x:c r="M19" s="356"/>
      <x:c r="N19" s="357"/>
      <x:c r="O19" s="357"/>
      <x:c r="P19" s="357"/>
      <x:c r="Q19" s="358"/>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x:c r="A20" s="38"/>
      <x:c r="B20" s="38"/>
      <x:c r="C20" s="38"/>
      <x:c r="D20" s="38"/>
      <x:c r="E20" s="38"/>
      <x:c r="F20" s="38"/>
      <x:c r="G20" s="38"/>
      <x:c r="H20" s="38"/>
      <x:c r="I20" s="38"/>
      <x:c r="J20" s="38"/>
      <x:c r="K20" s="38"/>
      <x:c r="L20" s="38"/>
      <x:c r="M20" s="38"/>
      <x:c r="N20" s="38"/>
      <x:c r="O20" s="38"/>
      <x:c r="P20" s="38"/>
      <x:c r="Q20" s="38"/>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x:c r="A21" s="38"/>
      <x:c r="B21" s="38"/>
      <x:c r="C21" s="38"/>
      <x:c r="D21" s="38"/>
      <x:c r="E21" s="38"/>
      <x:c r="F21" s="38"/>
      <x:c r="G21" s="38"/>
      <x:c r="H21" s="38"/>
      <x:c r="I21" s="38"/>
      <x:c r="J21" s="38"/>
      <x:c r="K21" s="38"/>
      <x:c r="L21" s="38"/>
      <x:c r="M21" s="38"/>
      <x:c r="N21" s="38"/>
      <x:c r="O21" s="38"/>
      <x:c r="P21" s="38"/>
      <x:c r="Q21" s="38"/>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x:c r="A22" s="129" t="str">
        <x:f>IF('_CONFIG'!$B$2="pt-BR","CONFIGURAÇÃO ATUAL","LIVE CONFIGURATION")</x:f>
        <x:v>LIVE CONFIGURATION</x:v>
      </x:c>
      <x:c r="B22" s="129"/>
      <x:c r="C22" s="129"/>
      <x:c r="D22" s="129"/>
      <x:c r="E22" s="129"/>
      <x:c r="F22" s="129"/>
      <x:c r="G22" s="129"/>
      <x:c r="H22" s="129"/>
      <x:c r="I22" s="38"/>
      <x:c r="J22" s="184" t="str">
        <x:f>IF('_CONFIG'!$B$2="pt-BR","OBJETIVO","OBJECTIVE")</x:f>
        <x:v>OBJECTIVE</x:v>
      </x:c>
      <x:c r="K22" s="184"/>
      <x:c r="L22" s="184"/>
      <x:c r="M22" s="184"/>
      <x:c r="N22" s="184"/>
      <x:c r="O22" s="184"/>
      <x:c r="P22" s="184"/>
      <x:c r="Q22" s="184"/>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x:c r="A23" s="129"/>
      <x:c r="B23" s="129"/>
      <x:c r="C23" s="129"/>
      <x:c r="D23" s="129"/>
      <x:c r="E23" s="129"/>
      <x:c r="F23" s="129"/>
      <x:c r="G23" s="129"/>
      <x:c r="H23" s="129"/>
      <x:c r="I23" s="38"/>
      <x:c r="J23" s="184"/>
      <x:c r="K23" s="184"/>
      <x:c r="L23" s="184"/>
      <x:c r="M23" s="184"/>
      <x:c r="N23" s="184"/>
      <x:c r="O23" s="184"/>
      <x:c r="P23" s="184"/>
      <x:c r="Q23" s="184"/>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ht="19.5" customHeight="1">
      <x:c r="A24" s="478" t="str">
        <x:f>IF('_CONFIG'!$B$2="pt-BR","Parâmetro","Parameter")</x:f>
        <x:v>Parameter</x:v>
      </x:c>
      <x:c r="B24" s="479"/>
      <x:c r="C24" s="479" t="str">
        <x:f>IF('_CONFIG'!$B$2="pt-BR","Valor","Value")</x:f>
        <x:v>Value</x:v>
      </x:c>
      <x:c r="D24" s="479" t="str">
        <x:f>IF('_CONFIG'!$B$2="pt-BR","Função","Role")</x:f>
        <x:v>Role</x:v>
      </x:c>
      <x:c r="E24" s="479"/>
      <x:c r="F24" s="479"/>
      <x:c r="G24" s="479"/>
      <x:c r="H24" s="480" t="str">
        <x:f>IF('_CONFIG'!$B$2="pt-BR","Auditoria","Audit")</x:f>
        <x:v>Audit</x:v>
      </x:c>
      <x:c r="I24" s="38"/>
      <x:c r="J24" s="750" t="str">
        <x:f>IF('_CONFIG'!$B$2="pt-BR","MINIMIZAR
Σ preparação + Σ execução + Σ atraso ponderado + Σ custo dos jobs rejeitados
sujeito a liberações, limites rígidos, estado da máquina e capacidade de uma máquina.","MINIMIZE
Σ setup + Σ execution + Σ weighted tardiness + Σ rejected-job cost
subject to release times, hard deadlines, machine state, and one-machine capacity.")</x:f>
        <x:v>MINIMIZE
Σ setup + Σ execution + Σ weighted tardiness + Σ rejected-job cost
subject to release times, hard deadlines, machine state, and one-machine capacity.</x:v>
      </x:c>
      <x:c r="K24" s="751"/>
      <x:c r="L24" s="751"/>
      <x:c r="M24" s="751"/>
      <x:c r="N24" s="751"/>
      <x:c r="O24" s="751"/>
      <x:c r="P24" s="751"/>
      <x:c r="Q24" s="752"/>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ht="25.5" customHeight="1">
      <x:c r="A25" s="472" t="str">
        <x:f>IF('_CONFIG'!$B$2="pt-BR","Iterações","Iterations")</x:f>
        <x:v>Iterations</x:v>
      </x:c>
      <x:c r="B25" s="472"/>
      <x:c r="C25" s="731" t="n">
        <x:f>'_CONFIG'!$B$7</x:f>
        <x:v>2500</x:v>
      </x:c>
      <x:c r="D25" s="472" t="str">
        <x:f>IF('_CONFIG'!$B$2="pt-BR","Mesmo orçamento de busca por semente","Equal search budget per seed")</x:f>
        <x:v>Equal search budget per seed</x:v>
      </x:c>
      <x:c r="E25" s="472"/>
      <x:c r="F25" s="472"/>
      <x:c r="G25" s="472"/>
      <x:c r="H25" s="472" t="str">
        <x:f>IF('_CONFIG'!$B$2="pt-BR","fixo","fixed")</x:f>
        <x:v>fixed</x:v>
      </x:c>
      <x:c r="I25" s="38"/>
      <x:c r="J25" s="753"/>
      <x:c r="K25" s="754"/>
      <x:c r="L25" s="754"/>
      <x:c r="M25" s="754"/>
      <x:c r="N25" s="754"/>
      <x:c r="O25" s="754"/>
      <x:c r="P25" s="754"/>
      <x:c r="Q25" s="755"/>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ht="25.5" customHeight="1">
      <x:c r="A26" s="472" t="str">
        <x:f>IF('_CONFIG'!$B$2="pt-BR","Tamanho de destruição d","Destroy size d")</x:f>
        <x:v>Destroy size d</x:v>
      </x:c>
      <x:c r="B26" s="472"/>
      <x:c r="C26" s="731" t="n">
        <x:f>'_CONFIG'!$B$8</x:f>
        <x:v>2</x:v>
      </x:c>
      <x:c r="D26" s="472" t="str">
        <x:f>IF('_CONFIG'!$B$2="pt-BR","Jobs removidos por iteração","Jobs removed per iteration")</x:f>
        <x:v>Jobs removed per iteration</x:v>
      </x:c>
      <x:c r="E26" s="472"/>
      <x:c r="F26" s="472"/>
      <x:c r="G26" s="472"/>
      <x:c r="H26" s="472" t="str">
        <x:f>IF('_CONFIG'!$B$2="pt-BR","fixo","fixed")</x:f>
        <x:v>fixed</x:v>
      </x:c>
      <x:c r="I26" s="38"/>
      <x:c r="J26" s="753"/>
      <x:c r="K26" s="754"/>
      <x:c r="L26" s="754"/>
      <x:c r="M26" s="754"/>
      <x:c r="N26" s="754"/>
      <x:c r="O26" s="754"/>
      <x:c r="P26" s="754"/>
      <x:c r="Q26" s="755"/>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ht="25.5" customHeight="1">
      <x:c r="A27" s="472" t="str">
        <x:f>IF('_CONFIG'!$B$2="pt-BR","Aceitação","Acceptance")</x:f>
        <x:v>Acceptance</x:v>
      </x:c>
      <x:c r="B27" s="472"/>
      <x:c r="C27" s="731" t="str">
        <x:f>'_CONFIG'!$B$9</x:f>
        <x:v>current</x:v>
      </x:c>
      <x:c r="D27" s="472" t="str">
        <x:f>IF('_CONFIG'!$B$2="pt-BR","Estado usado para continuar a busca","State used to continue search")</x:f>
        <x:v>State used to continue search</x:v>
      </x:c>
      <x:c r="E27" s="472"/>
      <x:c r="F27" s="472"/>
      <x:c r="G27" s="472"/>
      <x:c r="H27" s="472" t="str">
        <x:f>IF('_CONFIG'!$B$2="pt-BR","declarado","declared")</x:f>
        <x:v>declared</x:v>
      </x:c>
      <x:c r="I27" s="38"/>
      <x:c r="J27" s="753"/>
      <x:c r="K27" s="754"/>
      <x:c r="L27" s="754"/>
      <x:c r="M27" s="754"/>
      <x:c r="N27" s="754"/>
      <x:c r="O27" s="754"/>
      <x:c r="P27" s="754"/>
      <x:c r="Q27" s="755"/>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ht="25.5" customHeight="1">
      <x:c r="A28" s="472" t="str">
        <x:f>IF('_CONFIG'!$B$2="pt-BR","Passo aceitos ↔ rejeitados","Accepted ↔ rejected pass")</x:f>
        <x:v>Accepted ↔ rejected pass</x:v>
      </x:c>
      <x:c r="B28" s="472"/>
      <x:c r="C28" s="731" t="str">
        <x:f>IF('_CONFIG'!$B$10,IF('_CONFIG'!$B$2="pt-BR","ligado","on"),IF('_CONFIG'!$B$2="pt-BR","desligado","off"))</x:f>
        <x:v>on</x:v>
      </x:c>
      <x:c r="D28" s="472" t="str">
        <x:f>IF('_CONFIG'!$B$2="pt-BR","Testa trocas após cada reconstrução","Tests swaps after each rebuild")</x:f>
        <x:v>Tests swaps after each rebuild</x:v>
      </x:c>
      <x:c r="E28" s="472"/>
      <x:c r="F28" s="472"/>
      <x:c r="G28" s="472"/>
      <x:c r="H28" s="472" t="str">
        <x:f>IF('_CONFIG'!$B$2="pt-BR","declarado","declared")</x:f>
        <x:v>declared</x:v>
      </x:c>
      <x:c r="I28" s="38"/>
      <x:c r="J28" s="753"/>
      <x:c r="K28" s="754"/>
      <x:c r="L28" s="754"/>
      <x:c r="M28" s="754"/>
      <x:c r="N28" s="754"/>
      <x:c r="O28" s="754"/>
      <x:c r="P28" s="754"/>
      <x:c r="Q28" s="755"/>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ht="25.5" customHeight="1">
      <x:c r="A29" s="472" t="str">
        <x:f>IF('_CONFIG'!$B$2="pt-BR","Sementes","Seeds")</x:f>
        <x:v>Seeds</x:v>
      </x:c>
      <x:c r="B29" s="472"/>
      <x:c r="C29" s="731" t="n">
        <x:f>'_CONFIG'!$B$24</x:f>
        <x:v>10</x:v>
      </x:c>
      <x:c r="D29" s="472" t="str">
        <x:f>IF('_CONFIG'!$B$2="pt-BR","Repetições independentes","Independent replications")</x:f>
        <x:v>Independent replications</x:v>
      </x:c>
      <x:c r="E29" s="472"/>
      <x:c r="F29" s="472"/>
      <x:c r="G29" s="472"/>
      <x:c r="H29" s="472" t="str">
        <x:f>IF('_CONFIG'!$B$2="pt-BR","únicas","unique")</x:f>
        <x:v>unique</x:v>
      </x:c>
      <x:c r="I29" s="38"/>
      <x:c r="J29" s="756"/>
      <x:c r="K29" s="757"/>
      <x:c r="L29" s="757"/>
      <x:c r="M29" s="757"/>
      <x:c r="N29" s="757"/>
      <x:c r="O29" s="757"/>
      <x:c r="P29" s="757"/>
      <x:c r="Q29" s="758"/>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x:c r="A30" s="38"/>
      <x:c r="B30" s="38"/>
      <x:c r="C30" s="38"/>
      <x:c r="D30" s="38"/>
      <x:c r="E30" s="38"/>
      <x:c r="F30" s="38"/>
      <x:c r="G30" s="38"/>
      <x:c r="H30" s="38"/>
      <x:c r="I30" s="38"/>
      <x:c r="J30" s="38"/>
      <x:c r="K30" s="38"/>
      <x:c r="L30" s="38"/>
      <x:c r="M30" s="38"/>
      <x:c r="N30" s="38"/>
      <x:c r="O30" s="38"/>
      <x:c r="P30" s="38"/>
      <x:c r="Q30" s="38"/>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x:c r="A31" s="38"/>
      <x:c r="B31" s="38"/>
      <x:c r="C31" s="38"/>
      <x:c r="D31" s="38"/>
      <x:c r="E31" s="38"/>
      <x:c r="F31" s="38"/>
      <x:c r="G31" s="38"/>
      <x:c r="H31" s="38"/>
      <x:c r="I31" s="38"/>
      <x:c r="J31" s="38"/>
      <x:c r="K31" s="38"/>
      <x:c r="L31" s="38"/>
      <x:c r="M31" s="38"/>
      <x:c r="N31" s="38"/>
      <x:c r="O31" s="38"/>
      <x:c r="P31" s="38"/>
      <x:c r="Q31" s="38"/>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x:c r="A32" s="294" t="str">
        <x:f>IF('_CONFIG'!$B$2="pt-BR","PSEUDOCÓDIGO DE REFERÊNCIA","REFERENCE PSEUDOCODE")</x:f>
        <x:v>REFERENCE PSEUDOCODE</x:v>
      </x:c>
      <x:c r="B32" s="294"/>
      <x:c r="C32" s="294"/>
      <x:c r="D32" s="294"/>
      <x:c r="E32" s="294"/>
      <x:c r="F32" s="294"/>
      <x:c r="G32" s="294"/>
      <x:c r="H32" s="294"/>
      <x:c r="I32" s="38"/>
      <x:c r="J32" s="129" t="str">
        <x:f>IF('_CONFIG'!$B$2="pt-BR","POR QUE A ALEATORIEDADE AJUDA","WHY RANDOMNESS HELPS")</x:f>
        <x:v>WHY RANDOMNESS HELPS</x:v>
      </x:c>
      <x:c r="K32" s="129"/>
      <x:c r="L32" s="129"/>
      <x:c r="M32" s="129"/>
      <x:c r="N32" s="129"/>
      <x:c r="O32" s="129"/>
      <x:c r="P32" s="129"/>
      <x:c r="Q32" s="129"/>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x:c r="A33" s="294"/>
      <x:c r="B33" s="294"/>
      <x:c r="C33" s="294"/>
      <x:c r="D33" s="294"/>
      <x:c r="E33" s="294"/>
      <x:c r="F33" s="294"/>
      <x:c r="G33" s="294"/>
      <x:c r="H33" s="294"/>
      <x:c r="I33" s="38"/>
      <x:c r="J33" s="129"/>
      <x:c r="K33" s="129"/>
      <x:c r="L33" s="129"/>
      <x:c r="M33" s="129"/>
      <x:c r="N33" s="129"/>
      <x:c r="O33" s="129"/>
      <x:c r="P33" s="129"/>
      <x:c r="Q33" s="129"/>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x:c r="A34" s="777" t="str">
        <x:f>IF('_CONFIG'!$B$2="pt-BR","atual ← construir(instância)
melhor ← atual
repetir pelo orçamento de iterações:
  removidos, parcial ← destruir(atual, d, semente)
  candidato ← reconstruir(parcial, removidos)
  candidato.custo ← avaliar(candidato)
  se candidato.custo &lt; melhor.custo:
    melhor ← candidato
  atual ← aceitar(atual, candidato)
retornar melhor","current ← construct(instance)
best ← current
repeat for iteration budget:
  removed, partial ← destroy(current, d, seed)
  candidate ← reconstruct(partial, removed)
  candidate.cost ← evaluate(candidate)
  if candidate.cost &lt; best.cost:
    best ← candidate
  current ← acceptance(current, candidate)
return best")</x:f>
        <x:v>current ← construct(instance)
best ← current
repeat for iteration budget:
  removed, partial ← destroy(current, d, seed)
  candidate ← reconstruct(partial, removed)
  candidate.cost ← evaluate(candidate)
  if candidate.cost &lt; best.cost:
    best ← candidate
  current ← acceptance(current, candidate)
return best</x:v>
      </x:c>
      <x:c r="B34" s="778"/>
      <x:c r="C34" s="778"/>
      <x:c r="D34" s="778"/>
      <x:c r="E34" s="778"/>
      <x:c r="F34" s="778"/>
      <x:c r="G34" s="778"/>
      <x:c r="H34" s="779"/>
      <x:c r="I34" s="38"/>
      <x:c r="J34" s="203" t="str">
        <x:f>IF('_CONFIG'!$B$2="pt-BR","A aleatoriedade não é ruído decorativo. Ela é o motor que escolhe jobs diferentes durante a destruição e, quando habilitada, orienta os testes de troca entre aceitos e rejeitados. Isso ajuda a busca a sair de um padrão local. Sementes reproduzíveis tornam essa exploração mensurável.","Randomness is not decorative noise. It is the motor that chooses different jobs during destruction and, when enabled, guides accepted ↔ rejected swap tests. This helps the search leave one local pattern. Reproducible seeds make that exploration measurable.")</x:f>
        <x:v>Randomness is not decorative noise. It is the motor that chooses different jobs during destruction and, when enabled, guides accepted ↔ rejected swap tests. This helps the search leave one local pattern. Reproducible seeds make that exploration measurable.</x:v>
      </x:c>
      <x:c r="K34" s="204"/>
      <x:c r="L34" s="204"/>
      <x:c r="M34" s="204"/>
      <x:c r="N34" s="204"/>
      <x:c r="O34" s="204"/>
      <x:c r="P34" s="204"/>
      <x:c r="Q34" s="205"/>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x:c r="A35" s="780"/>
      <x:c r="B35" s="781"/>
      <x:c r="C35" s="781"/>
      <x:c r="D35" s="781"/>
      <x:c r="E35" s="781"/>
      <x:c r="F35" s="781"/>
      <x:c r="G35" s="781"/>
      <x:c r="H35" s="782"/>
      <x:c r="I35" s="38"/>
      <x:c r="J35" s="206"/>
      <x:c r="K35" s="207"/>
      <x:c r="L35" s="207"/>
      <x:c r="M35" s="207"/>
      <x:c r="N35" s="207"/>
      <x:c r="O35" s="207"/>
      <x:c r="P35" s="207"/>
      <x:c r="Q35" s="208"/>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x:c r="A36" s="780"/>
      <x:c r="B36" s="781"/>
      <x:c r="C36" s="781"/>
      <x:c r="D36" s="781"/>
      <x:c r="E36" s="781"/>
      <x:c r="F36" s="781"/>
      <x:c r="G36" s="781"/>
      <x:c r="H36" s="782"/>
      <x:c r="I36" s="38"/>
      <x:c r="J36" s="206"/>
      <x:c r="K36" s="207"/>
      <x:c r="L36" s="207"/>
      <x:c r="M36" s="207"/>
      <x:c r="N36" s="207"/>
      <x:c r="O36" s="207"/>
      <x:c r="P36" s="207"/>
      <x:c r="Q36" s="208"/>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x:c r="A37" s="780"/>
      <x:c r="B37" s="781"/>
      <x:c r="C37" s="781"/>
      <x:c r="D37" s="781"/>
      <x:c r="E37" s="781"/>
      <x:c r="F37" s="781"/>
      <x:c r="G37" s="781"/>
      <x:c r="H37" s="782"/>
      <x:c r="I37" s="38"/>
      <x:c r="J37" s="206"/>
      <x:c r="K37" s="207"/>
      <x:c r="L37" s="207"/>
      <x:c r="M37" s="207"/>
      <x:c r="N37" s="207"/>
      <x:c r="O37" s="207"/>
      <x:c r="P37" s="207"/>
      <x:c r="Q37" s="208"/>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x:c r="A38" s="780"/>
      <x:c r="B38" s="781"/>
      <x:c r="C38" s="781"/>
      <x:c r="D38" s="781"/>
      <x:c r="E38" s="781"/>
      <x:c r="F38" s="781"/>
      <x:c r="G38" s="781"/>
      <x:c r="H38" s="782"/>
      <x:c r="I38" s="38"/>
      <x:c r="J38" s="206"/>
      <x:c r="K38" s="207"/>
      <x:c r="L38" s="207"/>
      <x:c r="M38" s="207"/>
      <x:c r="N38" s="207"/>
      <x:c r="O38" s="207"/>
      <x:c r="P38" s="207"/>
      <x:c r="Q38" s="208"/>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x:c r="A39" s="780"/>
      <x:c r="B39" s="781"/>
      <x:c r="C39" s="781"/>
      <x:c r="D39" s="781"/>
      <x:c r="E39" s="781"/>
      <x:c r="F39" s="781"/>
      <x:c r="G39" s="781"/>
      <x:c r="H39" s="782"/>
      <x:c r="I39" s="38"/>
      <x:c r="J39" s="206"/>
      <x:c r="K39" s="207"/>
      <x:c r="L39" s="207"/>
      <x:c r="M39" s="207"/>
      <x:c r="N39" s="207"/>
      <x:c r="O39" s="207"/>
      <x:c r="P39" s="207"/>
      <x:c r="Q39" s="208"/>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780"/>
      <x:c r="B40" s="781"/>
      <x:c r="C40" s="781"/>
      <x:c r="D40" s="781"/>
      <x:c r="E40" s="781"/>
      <x:c r="F40" s="781"/>
      <x:c r="G40" s="781"/>
      <x:c r="H40" s="782"/>
      <x:c r="I40" s="38"/>
      <x:c r="J40" s="206"/>
      <x:c r="K40" s="207"/>
      <x:c r="L40" s="207"/>
      <x:c r="M40" s="207"/>
      <x:c r="N40" s="207"/>
      <x:c r="O40" s="207"/>
      <x:c r="P40" s="207"/>
      <x:c r="Q40" s="208"/>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780"/>
      <x:c r="B41" s="781"/>
      <x:c r="C41" s="781"/>
      <x:c r="D41" s="781"/>
      <x:c r="E41" s="781"/>
      <x:c r="F41" s="781"/>
      <x:c r="G41" s="781"/>
      <x:c r="H41" s="782"/>
      <x:c r="I41" s="38"/>
      <x:c r="J41" s="206"/>
      <x:c r="K41" s="207"/>
      <x:c r="L41" s="207"/>
      <x:c r="M41" s="207"/>
      <x:c r="N41" s="207"/>
      <x:c r="O41" s="207"/>
      <x:c r="P41" s="207"/>
      <x:c r="Q41" s="208"/>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x:c r="A42" s="780"/>
      <x:c r="B42" s="781"/>
      <x:c r="C42" s="781"/>
      <x:c r="D42" s="781"/>
      <x:c r="E42" s="781"/>
      <x:c r="F42" s="781"/>
      <x:c r="G42" s="781"/>
      <x:c r="H42" s="782"/>
      <x:c r="I42" s="38"/>
      <x:c r="J42" s="206"/>
      <x:c r="K42" s="207"/>
      <x:c r="L42" s="207"/>
      <x:c r="M42" s="207"/>
      <x:c r="N42" s="207"/>
      <x:c r="O42" s="207"/>
      <x:c r="P42" s="207"/>
      <x:c r="Q42" s="208"/>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x:c r="A43" s="780"/>
      <x:c r="B43" s="781"/>
      <x:c r="C43" s="781"/>
      <x:c r="D43" s="781"/>
      <x:c r="E43" s="781"/>
      <x:c r="F43" s="781"/>
      <x:c r="G43" s="781"/>
      <x:c r="H43" s="782"/>
      <x:c r="I43" s="38"/>
      <x:c r="J43" s="206"/>
      <x:c r="K43" s="207"/>
      <x:c r="L43" s="207"/>
      <x:c r="M43" s="207"/>
      <x:c r="N43" s="207"/>
      <x:c r="O43" s="207"/>
      <x:c r="P43" s="207"/>
      <x:c r="Q43" s="208"/>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x:c r="A44" s="780"/>
      <x:c r="B44" s="781"/>
      <x:c r="C44" s="781"/>
      <x:c r="D44" s="781"/>
      <x:c r="E44" s="781"/>
      <x:c r="F44" s="781"/>
      <x:c r="G44" s="781"/>
      <x:c r="H44" s="782"/>
      <x:c r="I44" s="38"/>
      <x:c r="J44" s="206"/>
      <x:c r="K44" s="207"/>
      <x:c r="L44" s="207"/>
      <x:c r="M44" s="207"/>
      <x:c r="N44" s="207"/>
      <x:c r="O44" s="207"/>
      <x:c r="P44" s="207"/>
      <x:c r="Q44" s="208"/>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780"/>
      <x:c r="B45" s="781"/>
      <x:c r="C45" s="781"/>
      <x:c r="D45" s="781"/>
      <x:c r="E45" s="781"/>
      <x:c r="F45" s="781"/>
      <x:c r="G45" s="781"/>
      <x:c r="H45" s="782"/>
      <x:c r="I45" s="38"/>
      <x:c r="J45" s="206"/>
      <x:c r="K45" s="207"/>
      <x:c r="L45" s="207"/>
      <x:c r="M45" s="207"/>
      <x:c r="N45" s="207"/>
      <x:c r="O45" s="207"/>
      <x:c r="P45" s="207"/>
      <x:c r="Q45" s="208"/>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783"/>
      <x:c r="B46" s="784"/>
      <x:c r="C46" s="784"/>
      <x:c r="D46" s="784"/>
      <x:c r="E46" s="784"/>
      <x:c r="F46" s="784"/>
      <x:c r="G46" s="784"/>
      <x:c r="H46" s="785"/>
      <x:c r="I46" s="38"/>
      <x:c r="J46" s="209"/>
      <x:c r="K46" s="210"/>
      <x:c r="L46" s="210"/>
      <x:c r="M46" s="210"/>
      <x:c r="N46" s="210"/>
      <x:c r="O46" s="210"/>
      <x:c r="P46" s="210"/>
      <x:c r="Q46" s="211"/>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38"/>
      <x:c r="B47" s="38"/>
      <x:c r="C47" s="38"/>
      <x:c r="D47" s="38"/>
      <x:c r="E47" s="38"/>
      <x:c r="F47" s="38"/>
      <x:c r="G47" s="38"/>
      <x:c r="H47" s="38"/>
      <x:c r="I47" s="38"/>
      <x:c r="J47" s="38"/>
      <x:c r="K47" s="38"/>
      <x:c r="L47" s="38"/>
      <x:c r="M47" s="38"/>
      <x:c r="N47" s="38"/>
      <x:c r="O47" s="38"/>
      <x:c r="P47" s="38"/>
      <x:c r="Q47" s="38"/>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38"/>
      <x:c r="B48" s="38"/>
      <x:c r="C48" s="38"/>
      <x:c r="D48" s="38"/>
      <x:c r="E48" s="38"/>
      <x:c r="F48" s="38"/>
      <x:c r="G48" s="38"/>
      <x:c r="H48" s="38"/>
      <x:c r="I48" s="38"/>
      <x:c r="J48" s="38"/>
      <x:c r="K48" s="38"/>
      <x:c r="L48" s="38"/>
      <x:c r="M48" s="38"/>
      <x:c r="N48" s="38"/>
      <x:c r="O48" s="38"/>
      <x:c r="P48" s="38"/>
      <x:c r="Q48" s="38"/>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x:c r="A49" s="387" t="str">
        <x:f>IF('_CONFIG'!$B$2="pt-BR","Leitura científica: reporte a distribuição entre sementes, use orçamentos iguais, declare a regra de aceitação, mantenha a instância fixa e compare a qualidade do objetivo separadamente do tempo de execução dependente do ambiente.","Scientific reading: report the distribution across seeds, use equal budgets, disclose the acceptance rule, keep the instance fixed, and compare objective quality separately from environment-dependent runtime.")</x:f>
        <x:v>Scientific reading: report the distribution across seeds, use equal budgets, disclose the acceptance rule, keep the instance fixed, and compare objective quality separately from environment-dependent runtime.</x:v>
      </x:c>
      <x:c r="B49" s="388"/>
      <x:c r="C49" s="388"/>
      <x:c r="D49" s="388"/>
      <x:c r="E49" s="388"/>
      <x:c r="F49" s="388"/>
      <x:c r="G49" s="388"/>
      <x:c r="H49" s="388"/>
      <x:c r="I49" s="388"/>
      <x:c r="J49" s="388"/>
      <x:c r="K49" s="388"/>
      <x:c r="L49" s="388"/>
      <x:c r="M49" s="388"/>
      <x:c r="N49" s="388"/>
      <x:c r="O49" s="388"/>
      <x:c r="P49" s="388"/>
      <x:c r="Q49" s="389"/>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x:c r="A50" s="390"/>
      <x:c r="B50" s="391"/>
      <x:c r="C50" s="391"/>
      <x:c r="D50" s="391"/>
      <x:c r="E50" s="391"/>
      <x:c r="F50" s="391"/>
      <x:c r="G50" s="391"/>
      <x:c r="H50" s="391"/>
      <x:c r="I50" s="391"/>
      <x:c r="J50" s="391"/>
      <x:c r="K50" s="391"/>
      <x:c r="L50" s="391"/>
      <x:c r="M50" s="391"/>
      <x:c r="N50" s="391"/>
      <x:c r="O50" s="391"/>
      <x:c r="P50" s="391"/>
      <x:c r="Q50" s="392"/>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x:c r="A51" s="390"/>
      <x:c r="B51" s="391"/>
      <x:c r="C51" s="391"/>
      <x:c r="D51" s="391"/>
      <x:c r="E51" s="391"/>
      <x:c r="F51" s="391"/>
      <x:c r="G51" s="391"/>
      <x:c r="H51" s="391"/>
      <x:c r="I51" s="391"/>
      <x:c r="J51" s="391"/>
      <x:c r="K51" s="391"/>
      <x:c r="L51" s="391"/>
      <x:c r="M51" s="391"/>
      <x:c r="N51" s="391"/>
      <x:c r="O51" s="391"/>
      <x:c r="P51" s="391"/>
      <x:c r="Q51" s="392"/>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x:c r="A52" s="393"/>
      <x:c r="B52" s="394"/>
      <x:c r="C52" s="394"/>
      <x:c r="D52" s="394"/>
      <x:c r="E52" s="394"/>
      <x:c r="F52" s="394"/>
      <x:c r="G52" s="394"/>
      <x:c r="H52" s="394"/>
      <x:c r="I52" s="394"/>
      <x:c r="J52" s="394"/>
      <x:c r="K52" s="394"/>
      <x:c r="L52" s="394"/>
      <x:c r="M52" s="394"/>
      <x:c r="N52" s="394"/>
      <x:c r="O52" s="394"/>
      <x:c r="P52" s="394"/>
      <x:c r="Q52" s="395"/>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x:c r="A53" s="38"/>
      <x:c r="B53" s="38"/>
      <x:c r="C53" s="38"/>
      <x:c r="D53" s="38"/>
      <x:c r="E53" s="38"/>
      <x:c r="F53" s="38"/>
      <x:c r="G53" s="38"/>
      <x:c r="H53" s="38"/>
      <x:c r="I53" s="38"/>
      <x:c r="J53" s="38"/>
      <x:c r="K53" s="38"/>
      <x:c r="L53" s="38"/>
      <x:c r="M53" s="38"/>
      <x:c r="N53" s="38"/>
      <x:c r="O53" s="38"/>
      <x:c r="P53" s="38"/>
      <x:c r="Q53" s="38"/>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x:c r="A54" s="38"/>
      <x:c r="B54" s="38"/>
      <x:c r="C54" s="38"/>
      <x:c r="D54" s="38"/>
      <x:c r="E54" s="38"/>
      <x:c r="F54" s="38"/>
      <x:c r="G54" s="38"/>
      <x:c r="H54" s="38"/>
      <x:c r="I54" s="38"/>
      <x:c r="J54" s="38"/>
      <x:c r="K54" s="38"/>
      <x:c r="L54" s="38"/>
      <x:c r="M54" s="38"/>
      <x:c r="N54" s="38"/>
      <x:c r="O54" s="38"/>
      <x:c r="P54" s="38"/>
      <x:c r="Q54" s="38"/>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x:c r="A55" s="38"/>
      <x:c r="B55" s="38"/>
      <x:c r="C55" s="38"/>
      <x:c r="D55" s="38"/>
      <x:c r="E55" s="38"/>
      <x:c r="F55" s="38"/>
      <x:c r="G55" s="38"/>
      <x:c r="H55" s="38"/>
      <x:c r="I55" s="38"/>
      <x:c r="J55" s="38"/>
      <x:c r="K55" s="38"/>
      <x:c r="L55" s="38"/>
      <x:c r="M55" s="38"/>
      <x:c r="N55" s="38"/>
      <x:c r="O55" s="38"/>
      <x:c r="P55" s="38"/>
      <x:c r="Q55" s="38"/>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38"/>
      <x:c r="B56" s="38"/>
      <x:c r="C56" s="38"/>
      <x:c r="D56" s="38"/>
      <x:c r="E56" s="38"/>
      <x:c r="F56" s="38"/>
      <x:c r="G56" s="38"/>
      <x:c r="H56" s="38"/>
      <x:c r="I56" s="38"/>
      <x:c r="J56" s="38"/>
      <x:c r="K56" s="38"/>
      <x:c r="L56" s="38"/>
      <x:c r="M56" s="38"/>
      <x:c r="N56" s="38"/>
      <x:c r="O56" s="38"/>
      <x:c r="P56" s="38"/>
      <x:c r="Q56" s="38"/>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875"/>
      <x:c r="B57" s="875"/>
      <x:c r="C57" s="875"/>
      <x:c r="D57" s="875"/>
      <x:c r="E57" s="875"/>
      <x:c r="F57" s="875"/>
      <x:c r="G57" s="875"/>
      <x:c r="H57" s="875"/>
      <x:c r="I57" s="875"/>
      <x:c r="J57" s="875"/>
      <x:c r="K57" s="875"/>
      <x:c r="L57" s="875"/>
      <x:c r="M57" s="875"/>
      <x:c r="N57" s="875"/>
      <x:c r="O57" s="875"/>
      <x:c r="P57" s="875"/>
      <x:c r="Q57" s="875"/>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875"/>
      <x:c r="B58" s="875"/>
      <x:c r="C58" s="875"/>
      <x:c r="D58" s="875"/>
      <x:c r="E58" s="875"/>
      <x:c r="F58" s="875"/>
      <x:c r="G58" s="875"/>
      <x:c r="H58" s="875"/>
      <x:c r="I58" s="875"/>
      <x:c r="J58" s="875"/>
      <x:c r="K58" s="875"/>
      <x:c r="L58" s="875"/>
      <x:c r="M58" s="875"/>
      <x:c r="N58" s="875"/>
      <x:c r="O58" s="875"/>
      <x:c r="P58" s="875"/>
      <x:c r="Q58" s="875"/>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875"/>
      <x:c r="B59" s="875"/>
      <x:c r="C59" s="875"/>
      <x:c r="D59" s="875"/>
      <x:c r="E59" s="875"/>
      <x:c r="F59" s="875"/>
      <x:c r="G59" s="875"/>
      <x:c r="H59" s="875"/>
      <x:c r="I59" s="875"/>
      <x:c r="J59" s="875"/>
      <x:c r="K59" s="875"/>
      <x:c r="L59" s="875"/>
      <x:c r="M59" s="875"/>
      <x:c r="N59" s="875"/>
      <x:c r="O59" s="875"/>
      <x:c r="P59" s="875"/>
      <x:c r="Q59" s="875"/>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875"/>
      <x:c r="B60" s="875"/>
      <x:c r="C60" s="875"/>
      <x:c r="D60" s="875"/>
      <x:c r="E60" s="875"/>
      <x:c r="F60" s="875"/>
      <x:c r="G60" s="875"/>
      <x:c r="H60" s="875"/>
      <x:c r="I60" s="875"/>
      <x:c r="J60" s="875"/>
      <x:c r="K60" s="875"/>
      <x:c r="L60" s="875"/>
      <x:c r="M60" s="875"/>
      <x:c r="N60" s="875"/>
      <x:c r="O60" s="875"/>
      <x:c r="P60" s="875"/>
      <x:c r="Q60" s="875"/>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875"/>
      <x:c r="B61" s="875"/>
      <x:c r="C61" s="875"/>
      <x:c r="D61" s="875"/>
      <x:c r="E61" s="875"/>
      <x:c r="F61" s="875"/>
      <x:c r="G61" s="875"/>
      <x:c r="H61" s="875"/>
      <x:c r="I61" s="875"/>
      <x:c r="J61" s="875"/>
      <x:c r="K61" s="875"/>
      <x:c r="L61" s="875"/>
      <x:c r="M61" s="875"/>
      <x:c r="N61" s="875"/>
      <x:c r="O61" s="875"/>
      <x:c r="P61" s="875"/>
      <x:c r="Q61" s="875"/>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875"/>
      <x:c r="B62" s="875"/>
      <x:c r="C62" s="875"/>
      <x:c r="D62" s="875"/>
      <x:c r="E62" s="875"/>
      <x:c r="F62" s="875"/>
      <x:c r="G62" s="875"/>
      <x:c r="H62" s="875"/>
      <x:c r="I62" s="875"/>
      <x:c r="J62" s="875"/>
      <x:c r="K62" s="875"/>
      <x:c r="L62" s="875"/>
      <x:c r="M62" s="875"/>
      <x:c r="N62" s="875"/>
      <x:c r="O62" s="875"/>
      <x:c r="P62" s="875"/>
      <x:c r="Q62" s="875"/>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875"/>
      <x:c r="B63" s="875"/>
      <x:c r="C63" s="875"/>
      <x:c r="D63" s="875"/>
      <x:c r="E63" s="875"/>
      <x:c r="F63" s="875"/>
      <x:c r="G63" s="875"/>
      <x:c r="H63" s="875"/>
      <x:c r="I63" s="875"/>
      <x:c r="J63" s="875"/>
      <x:c r="K63" s="875"/>
      <x:c r="L63" s="875"/>
      <x:c r="M63" s="875"/>
      <x:c r="N63" s="875"/>
      <x:c r="O63" s="875"/>
      <x:c r="P63" s="875"/>
      <x:c r="Q63" s="875"/>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875"/>
      <x:c r="B64" s="875"/>
      <x:c r="C64" s="875"/>
      <x:c r="D64" s="875"/>
      <x:c r="E64" s="875"/>
      <x:c r="F64" s="875"/>
      <x:c r="G64" s="875"/>
      <x:c r="H64" s="875"/>
      <x:c r="I64" s="875"/>
      <x:c r="J64" s="875"/>
      <x:c r="K64" s="875"/>
      <x:c r="L64" s="875"/>
      <x:c r="M64" s="875"/>
      <x:c r="N64" s="875"/>
      <x:c r="O64" s="875"/>
      <x:c r="P64" s="875"/>
      <x:c r="Q64" s="875"/>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875"/>
      <x:c r="B65" s="875"/>
      <x:c r="C65" s="875"/>
      <x:c r="D65" s="875"/>
      <x:c r="E65" s="875"/>
      <x:c r="F65" s="875"/>
      <x:c r="G65" s="875"/>
      <x:c r="H65" s="875"/>
      <x:c r="I65" s="875"/>
      <x:c r="J65" s="875"/>
      <x:c r="K65" s="875"/>
      <x:c r="L65" s="875"/>
      <x:c r="M65" s="875"/>
      <x:c r="N65" s="875"/>
      <x:c r="O65" s="875"/>
      <x:c r="P65" s="875"/>
      <x:c r="Q65" s="875"/>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875"/>
      <x:c r="B66" s="875"/>
      <x:c r="C66" s="875"/>
      <x:c r="D66" s="875"/>
      <x:c r="E66" s="875"/>
      <x:c r="F66" s="875"/>
      <x:c r="G66" s="875"/>
      <x:c r="H66" s="875"/>
      <x:c r="I66" s="875"/>
      <x:c r="J66" s="875"/>
      <x:c r="K66" s="875"/>
      <x:c r="L66" s="875"/>
      <x:c r="M66" s="875"/>
      <x:c r="N66" s="875"/>
      <x:c r="O66" s="875"/>
      <x:c r="P66" s="875"/>
      <x:c r="Q66" s="875"/>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875"/>
      <x:c r="B67" s="875"/>
      <x:c r="C67" s="875"/>
      <x:c r="D67" s="875"/>
      <x:c r="E67" s="875"/>
      <x:c r="F67" s="875"/>
      <x:c r="G67" s="875"/>
      <x:c r="H67" s="875"/>
      <x:c r="I67" s="875"/>
      <x:c r="J67" s="875"/>
      <x:c r="K67" s="875"/>
      <x:c r="L67" s="875"/>
      <x:c r="M67" s="875"/>
      <x:c r="N67" s="875"/>
      <x:c r="O67" s="875"/>
      <x:c r="P67" s="875"/>
      <x:c r="Q67" s="875"/>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875"/>
      <x:c r="B68" s="875"/>
      <x:c r="C68" s="875"/>
      <x:c r="D68" s="875"/>
      <x:c r="E68" s="875"/>
      <x:c r="F68" s="875"/>
      <x:c r="G68" s="875"/>
      <x:c r="H68" s="875"/>
      <x:c r="I68" s="875"/>
      <x:c r="J68" s="875"/>
      <x:c r="K68" s="875"/>
      <x:c r="L68" s="875"/>
      <x:c r="M68" s="875"/>
      <x:c r="N68" s="875"/>
      <x:c r="O68" s="875"/>
      <x:c r="P68" s="875"/>
      <x:c r="Q68" s="875"/>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875"/>
      <x:c r="B69" s="875"/>
      <x:c r="C69" s="875"/>
      <x:c r="D69" s="875"/>
      <x:c r="E69" s="875"/>
      <x:c r="F69" s="875"/>
      <x:c r="G69" s="875"/>
      <x:c r="H69" s="875"/>
      <x:c r="I69" s="875"/>
      <x:c r="J69" s="875"/>
      <x:c r="K69" s="875"/>
      <x:c r="L69" s="875"/>
      <x:c r="M69" s="875"/>
      <x:c r="N69" s="875"/>
      <x:c r="O69" s="875"/>
      <x:c r="P69" s="875"/>
      <x:c r="Q69" s="875"/>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875"/>
      <x:c r="B70" s="875"/>
      <x:c r="C70" s="875"/>
      <x:c r="D70" s="875"/>
      <x:c r="E70" s="875"/>
      <x:c r="F70" s="875"/>
      <x:c r="G70" s="875"/>
      <x:c r="H70" s="875"/>
      <x:c r="I70" s="875"/>
      <x:c r="J70" s="875"/>
      <x:c r="K70" s="875"/>
      <x:c r="L70" s="875"/>
      <x:c r="M70" s="875"/>
      <x:c r="N70" s="875"/>
      <x:c r="O70" s="875"/>
      <x:c r="P70" s="875"/>
      <x:c r="Q70" s="875"/>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875"/>
      <x:c r="B71" s="875"/>
      <x:c r="C71" s="875"/>
      <x:c r="D71" s="875"/>
      <x:c r="E71" s="875"/>
      <x:c r="F71" s="875"/>
      <x:c r="G71" s="875"/>
      <x:c r="H71" s="875"/>
      <x:c r="I71" s="875"/>
      <x:c r="J71" s="875"/>
      <x:c r="K71" s="875"/>
      <x:c r="L71" s="875"/>
      <x:c r="M71" s="875"/>
      <x:c r="N71" s="875"/>
      <x:c r="O71" s="875"/>
      <x:c r="P71" s="875"/>
      <x:c r="Q71" s="875"/>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875"/>
      <x:c r="B72" s="875"/>
      <x:c r="C72" s="875"/>
      <x:c r="D72" s="875"/>
      <x:c r="E72" s="875"/>
      <x:c r="F72" s="875"/>
      <x:c r="G72" s="875"/>
      <x:c r="H72" s="875"/>
      <x:c r="I72" s="875"/>
      <x:c r="J72" s="875"/>
      <x:c r="K72" s="875"/>
      <x:c r="L72" s="875"/>
      <x:c r="M72" s="875"/>
      <x:c r="N72" s="875"/>
      <x:c r="O72" s="875"/>
      <x:c r="P72" s="875"/>
      <x:c r="Q72" s="875"/>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875"/>
      <x:c r="B73" s="875"/>
      <x:c r="C73" s="875"/>
      <x:c r="D73" s="875"/>
      <x:c r="E73" s="875"/>
      <x:c r="F73" s="875"/>
      <x:c r="G73" s="875"/>
      <x:c r="H73" s="875"/>
      <x:c r="I73" s="875"/>
      <x:c r="J73" s="875"/>
      <x:c r="K73" s="875"/>
      <x:c r="L73" s="875"/>
      <x:c r="M73" s="875"/>
      <x:c r="N73" s="875"/>
      <x:c r="O73" s="875"/>
      <x:c r="P73" s="875"/>
      <x:c r="Q73" s="875"/>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875"/>
      <x:c r="B74" s="875"/>
      <x:c r="C74" s="875"/>
      <x:c r="D74" s="875"/>
      <x:c r="E74" s="875"/>
      <x:c r="F74" s="875"/>
      <x:c r="G74" s="875"/>
      <x:c r="H74" s="875"/>
      <x:c r="I74" s="875"/>
      <x:c r="J74" s="875"/>
      <x:c r="K74" s="875"/>
      <x:c r="L74" s="875"/>
      <x:c r="M74" s="875"/>
      <x:c r="N74" s="875"/>
      <x:c r="O74" s="875"/>
      <x:c r="P74" s="875"/>
      <x:c r="Q74" s="875"/>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875"/>
      <x:c r="B75" s="875"/>
      <x:c r="C75" s="875"/>
      <x:c r="D75" s="875"/>
      <x:c r="E75" s="875"/>
      <x:c r="F75" s="875"/>
      <x:c r="G75" s="875"/>
      <x:c r="H75" s="875"/>
      <x:c r="I75" s="875"/>
      <x:c r="J75" s="875"/>
      <x:c r="K75" s="875"/>
      <x:c r="L75" s="875"/>
      <x:c r="M75" s="875"/>
      <x:c r="N75" s="875"/>
      <x:c r="O75" s="875"/>
      <x:c r="P75" s="875"/>
      <x:c r="Q75" s="875"/>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875"/>
      <x:c r="B76" s="875"/>
      <x:c r="C76" s="875"/>
      <x:c r="D76" s="875"/>
      <x:c r="E76" s="875"/>
      <x:c r="F76" s="875"/>
      <x:c r="G76" s="875"/>
      <x:c r="H76" s="875"/>
      <x:c r="I76" s="875"/>
      <x:c r="J76" s="875"/>
      <x:c r="K76" s="875"/>
      <x:c r="L76" s="875"/>
      <x:c r="M76" s="875"/>
      <x:c r="N76" s="875"/>
      <x:c r="O76" s="875"/>
      <x:c r="P76" s="875"/>
      <x:c r="Q76" s="875"/>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875"/>
      <x:c r="B77" s="875"/>
      <x:c r="C77" s="875"/>
      <x:c r="D77" s="875"/>
      <x:c r="E77" s="875"/>
      <x:c r="F77" s="875"/>
      <x:c r="G77" s="875"/>
      <x:c r="H77" s="875"/>
      <x:c r="I77" s="875"/>
      <x:c r="J77" s="875"/>
      <x:c r="K77" s="875"/>
      <x:c r="L77" s="875"/>
      <x:c r="M77" s="875"/>
      <x:c r="N77" s="875"/>
      <x:c r="O77" s="875"/>
      <x:c r="P77" s="875"/>
      <x:c r="Q77" s="875"/>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875"/>
      <x:c r="B78" s="875"/>
      <x:c r="C78" s="875"/>
      <x:c r="D78" s="875"/>
      <x:c r="E78" s="875"/>
      <x:c r="F78" s="875"/>
      <x:c r="G78" s="875"/>
      <x:c r="H78" s="875"/>
      <x:c r="I78" s="875"/>
      <x:c r="J78" s="875"/>
      <x:c r="K78" s="875"/>
      <x:c r="L78" s="875"/>
      <x:c r="M78" s="875"/>
      <x:c r="N78" s="875"/>
      <x:c r="O78" s="875"/>
      <x:c r="P78" s="875"/>
      <x:c r="Q78" s="875"/>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875"/>
      <x:c r="B79" s="875"/>
      <x:c r="C79" s="875"/>
      <x:c r="D79" s="875"/>
      <x:c r="E79" s="875"/>
      <x:c r="F79" s="875"/>
      <x:c r="G79" s="875"/>
      <x:c r="H79" s="875"/>
      <x:c r="I79" s="875"/>
      <x:c r="J79" s="875"/>
      <x:c r="K79" s="875"/>
      <x:c r="L79" s="875"/>
      <x:c r="M79" s="875"/>
      <x:c r="N79" s="875"/>
      <x:c r="O79" s="875"/>
      <x:c r="P79" s="875"/>
      <x:c r="Q79" s="875"/>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875"/>
      <x:c r="B80" s="875"/>
      <x:c r="C80" s="875"/>
      <x:c r="D80" s="875"/>
      <x:c r="E80" s="875"/>
      <x:c r="F80" s="875"/>
      <x:c r="G80" s="875"/>
      <x:c r="H80" s="875"/>
      <x:c r="I80" s="875"/>
      <x:c r="J80" s="875"/>
      <x:c r="K80" s="875"/>
      <x:c r="L80" s="875"/>
      <x:c r="M80" s="875"/>
      <x:c r="N80" s="875"/>
      <x:c r="O80" s="875"/>
      <x:c r="P80" s="875"/>
      <x:c r="Q80" s="875"/>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875"/>
      <x:c r="B81" s="875"/>
      <x:c r="C81" s="875"/>
      <x:c r="D81" s="875"/>
      <x:c r="E81" s="875"/>
      <x:c r="F81" s="875"/>
      <x:c r="G81" s="875"/>
      <x:c r="H81" s="875"/>
      <x:c r="I81" s="875"/>
      <x:c r="J81" s="875"/>
      <x:c r="K81" s="875"/>
      <x:c r="L81" s="875"/>
      <x:c r="M81" s="875"/>
      <x:c r="N81" s="875"/>
      <x:c r="O81" s="875"/>
      <x:c r="P81" s="875"/>
      <x:c r="Q81" s="875"/>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875"/>
      <x:c r="B82" s="875"/>
      <x:c r="C82" s="875"/>
      <x:c r="D82" s="875"/>
      <x:c r="E82" s="875"/>
      <x:c r="F82" s="875"/>
      <x:c r="G82" s="875"/>
      <x:c r="H82" s="875"/>
      <x:c r="I82" s="875"/>
      <x:c r="J82" s="875"/>
      <x:c r="K82" s="875"/>
      <x:c r="L82" s="875"/>
      <x:c r="M82" s="875"/>
      <x:c r="N82" s="875"/>
      <x:c r="O82" s="875"/>
      <x:c r="P82" s="875"/>
      <x:c r="Q82" s="875"/>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875"/>
      <x:c r="B83" s="875"/>
      <x:c r="C83" s="875"/>
      <x:c r="D83" s="875"/>
      <x:c r="E83" s="875"/>
      <x:c r="F83" s="875"/>
      <x:c r="G83" s="875"/>
      <x:c r="H83" s="875"/>
      <x:c r="I83" s="875"/>
      <x:c r="J83" s="875"/>
      <x:c r="K83" s="875"/>
      <x:c r="L83" s="875"/>
      <x:c r="M83" s="875"/>
      <x:c r="N83" s="875"/>
      <x:c r="O83" s="875"/>
      <x:c r="P83" s="875"/>
      <x:c r="Q83" s="875"/>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875"/>
      <x:c r="B84" s="875"/>
      <x:c r="C84" s="875"/>
      <x:c r="D84" s="875"/>
      <x:c r="E84" s="875"/>
      <x:c r="F84" s="875"/>
      <x:c r="G84" s="875"/>
      <x:c r="H84" s="875"/>
      <x:c r="I84" s="875"/>
      <x:c r="J84" s="875"/>
      <x:c r="K84" s="875"/>
      <x:c r="L84" s="875"/>
      <x:c r="M84" s="875"/>
      <x:c r="N84" s="875"/>
      <x:c r="O84" s="875"/>
      <x:c r="P84" s="875"/>
      <x:c r="Q84" s="875"/>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875"/>
      <x:c r="B85" s="875"/>
      <x:c r="C85" s="875"/>
      <x:c r="D85" s="875"/>
      <x:c r="E85" s="875"/>
      <x:c r="F85" s="875"/>
      <x:c r="G85" s="875"/>
      <x:c r="H85" s="875"/>
      <x:c r="I85" s="875"/>
      <x:c r="J85" s="875"/>
      <x:c r="K85" s="875"/>
      <x:c r="L85" s="875"/>
      <x:c r="M85" s="875"/>
      <x:c r="N85" s="875"/>
      <x:c r="O85" s="875"/>
      <x:c r="P85" s="875"/>
      <x:c r="Q85" s="875"/>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875"/>
      <x:c r="B86" s="875"/>
      <x:c r="C86" s="875"/>
      <x:c r="D86" s="875"/>
      <x:c r="E86" s="875"/>
      <x:c r="F86" s="875"/>
      <x:c r="G86" s="875"/>
      <x:c r="H86" s="875"/>
      <x:c r="I86" s="875"/>
      <x:c r="J86" s="875"/>
      <x:c r="K86" s="875"/>
      <x:c r="L86" s="875"/>
      <x:c r="M86" s="875"/>
      <x:c r="N86" s="875"/>
      <x:c r="O86" s="875"/>
      <x:c r="P86" s="875"/>
      <x:c r="Q86" s="875"/>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875"/>
      <x:c r="B87" s="875"/>
      <x:c r="C87" s="875"/>
      <x:c r="D87" s="875"/>
      <x:c r="E87" s="875"/>
      <x:c r="F87" s="875"/>
      <x:c r="G87" s="875"/>
      <x:c r="H87" s="875"/>
      <x:c r="I87" s="875"/>
      <x:c r="J87" s="875"/>
      <x:c r="K87" s="875"/>
      <x:c r="L87" s="875"/>
      <x:c r="M87" s="875"/>
      <x:c r="N87" s="875"/>
      <x:c r="O87" s="875"/>
      <x:c r="P87" s="875"/>
      <x:c r="Q87" s="875"/>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875"/>
      <x:c r="B88" s="875"/>
      <x:c r="C88" s="875"/>
      <x:c r="D88" s="875"/>
      <x:c r="E88" s="875"/>
      <x:c r="F88" s="875"/>
      <x:c r="G88" s="875"/>
      <x:c r="H88" s="875"/>
      <x:c r="I88" s="875"/>
      <x:c r="J88" s="875"/>
      <x:c r="K88" s="875"/>
      <x:c r="L88" s="875"/>
      <x:c r="M88" s="875"/>
      <x:c r="N88" s="875"/>
      <x:c r="O88" s="875"/>
      <x:c r="P88" s="875"/>
      <x:c r="Q88" s="875"/>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875"/>
      <x:c r="B89" s="875"/>
      <x:c r="C89" s="875"/>
      <x:c r="D89" s="875"/>
      <x:c r="E89" s="875"/>
      <x:c r="F89" s="875"/>
      <x:c r="G89" s="875"/>
      <x:c r="H89" s="875"/>
      <x:c r="I89" s="875"/>
      <x:c r="J89" s="875"/>
      <x:c r="K89" s="875"/>
      <x:c r="L89" s="875"/>
      <x:c r="M89" s="875"/>
      <x:c r="N89" s="875"/>
      <x:c r="O89" s="875"/>
      <x:c r="P89" s="875"/>
      <x:c r="Q89" s="875"/>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875"/>
      <x:c r="B90" s="875"/>
      <x:c r="C90" s="875"/>
      <x:c r="D90" s="875"/>
      <x:c r="E90" s="875"/>
      <x:c r="F90" s="875"/>
      <x:c r="G90" s="875"/>
      <x:c r="H90" s="875"/>
      <x:c r="I90" s="875"/>
      <x:c r="J90" s="875"/>
      <x:c r="K90" s="875"/>
      <x:c r="L90" s="875"/>
      <x:c r="M90" s="875"/>
      <x:c r="N90" s="875"/>
      <x:c r="O90" s="875"/>
      <x:c r="P90" s="875"/>
      <x:c r="Q90" s="875"/>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875"/>
      <x:c r="B91" s="875"/>
      <x:c r="C91" s="875"/>
      <x:c r="D91" s="875"/>
      <x:c r="E91" s="875"/>
      <x:c r="F91" s="875"/>
      <x:c r="G91" s="875"/>
      <x:c r="H91" s="875"/>
      <x:c r="I91" s="875"/>
      <x:c r="J91" s="875"/>
      <x:c r="K91" s="875"/>
      <x:c r="L91" s="875"/>
      <x:c r="M91" s="875"/>
      <x:c r="N91" s="875"/>
      <x:c r="O91" s="875"/>
      <x:c r="P91" s="875"/>
      <x:c r="Q91" s="875"/>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875"/>
      <x:c r="B92" s="875"/>
      <x:c r="C92" s="875"/>
      <x:c r="D92" s="875"/>
      <x:c r="E92" s="875"/>
      <x:c r="F92" s="875"/>
      <x:c r="G92" s="875"/>
      <x:c r="H92" s="875"/>
      <x:c r="I92" s="875"/>
      <x:c r="J92" s="875"/>
      <x:c r="K92" s="875"/>
      <x:c r="L92" s="875"/>
      <x:c r="M92" s="875"/>
      <x:c r="N92" s="875"/>
      <x:c r="O92" s="875"/>
      <x:c r="P92" s="875"/>
      <x:c r="Q92" s="875"/>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875"/>
      <x:c r="B93" s="875"/>
      <x:c r="C93" s="875"/>
      <x:c r="D93" s="875"/>
      <x:c r="E93" s="875"/>
      <x:c r="F93" s="875"/>
      <x:c r="G93" s="875"/>
      <x:c r="H93" s="875"/>
      <x:c r="I93" s="875"/>
      <x:c r="J93" s="875"/>
      <x:c r="K93" s="875"/>
      <x:c r="L93" s="875"/>
      <x:c r="M93" s="875"/>
      <x:c r="N93" s="875"/>
      <x:c r="O93" s="875"/>
      <x:c r="P93" s="875"/>
      <x:c r="Q93" s="875"/>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875"/>
      <x:c r="B94" s="875"/>
      <x:c r="C94" s="875"/>
      <x:c r="D94" s="875"/>
      <x:c r="E94" s="875"/>
      <x:c r="F94" s="875"/>
      <x:c r="G94" s="875"/>
      <x:c r="H94" s="875"/>
      <x:c r="I94" s="875"/>
      <x:c r="J94" s="875"/>
      <x:c r="K94" s="875"/>
      <x:c r="L94" s="875"/>
      <x:c r="M94" s="875"/>
      <x:c r="N94" s="875"/>
      <x:c r="O94" s="875"/>
      <x:c r="P94" s="875"/>
      <x:c r="Q94" s="875"/>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875"/>
      <x:c r="B95" s="875"/>
      <x:c r="C95" s="875"/>
      <x:c r="D95" s="875"/>
      <x:c r="E95" s="875"/>
      <x:c r="F95" s="875"/>
      <x:c r="G95" s="875"/>
      <x:c r="H95" s="875"/>
      <x:c r="I95" s="875"/>
      <x:c r="J95" s="875"/>
      <x:c r="K95" s="875"/>
      <x:c r="L95" s="875"/>
      <x:c r="M95" s="875"/>
      <x:c r="N95" s="875"/>
      <x:c r="O95" s="875"/>
      <x:c r="P95" s="875"/>
      <x:c r="Q95" s="875"/>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875"/>
      <x:c r="B96" s="875"/>
      <x:c r="C96" s="875"/>
      <x:c r="D96" s="875"/>
      <x:c r="E96" s="875"/>
      <x:c r="F96" s="875"/>
      <x:c r="G96" s="875"/>
      <x:c r="H96" s="875"/>
      <x:c r="I96" s="875"/>
      <x:c r="J96" s="875"/>
      <x:c r="K96" s="875"/>
      <x:c r="L96" s="875"/>
      <x:c r="M96" s="875"/>
      <x:c r="N96" s="875"/>
      <x:c r="O96" s="875"/>
      <x:c r="P96" s="875"/>
      <x:c r="Q96" s="875"/>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875"/>
      <x:c r="B97" s="875"/>
      <x:c r="C97" s="875"/>
      <x:c r="D97" s="875"/>
      <x:c r="E97" s="875"/>
      <x:c r="F97" s="875"/>
      <x:c r="G97" s="875"/>
      <x:c r="H97" s="875"/>
      <x:c r="I97" s="875"/>
      <x:c r="J97" s="875"/>
      <x:c r="K97" s="875"/>
      <x:c r="L97" s="875"/>
      <x:c r="M97" s="875"/>
      <x:c r="N97" s="875"/>
      <x:c r="O97" s="875"/>
      <x:c r="P97" s="875"/>
      <x:c r="Q97" s="875"/>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875"/>
      <x:c r="B98" s="875"/>
      <x:c r="C98" s="875"/>
      <x:c r="D98" s="875"/>
      <x:c r="E98" s="875"/>
      <x:c r="F98" s="875"/>
      <x:c r="G98" s="875"/>
      <x:c r="H98" s="875"/>
      <x:c r="I98" s="875"/>
      <x:c r="J98" s="875"/>
      <x:c r="K98" s="875"/>
      <x:c r="L98" s="875"/>
      <x:c r="M98" s="875"/>
      <x:c r="N98" s="875"/>
      <x:c r="O98" s="875"/>
      <x:c r="P98" s="875"/>
      <x:c r="Q98" s="875"/>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875"/>
      <x:c r="B99" s="875"/>
      <x:c r="C99" s="875"/>
      <x:c r="D99" s="875"/>
      <x:c r="E99" s="875"/>
      <x:c r="F99" s="875"/>
      <x:c r="G99" s="875"/>
      <x:c r="H99" s="875"/>
      <x:c r="I99" s="875"/>
      <x:c r="J99" s="875"/>
      <x:c r="K99" s="875"/>
      <x:c r="L99" s="875"/>
      <x:c r="M99" s="875"/>
      <x:c r="N99" s="875"/>
      <x:c r="O99" s="875"/>
      <x:c r="P99" s="875"/>
      <x:c r="Q99" s="875"/>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875"/>
      <x:c r="B100" s="875"/>
      <x:c r="C100" s="875"/>
      <x:c r="D100" s="875"/>
      <x:c r="E100" s="875"/>
      <x:c r="F100" s="875"/>
      <x:c r="G100" s="875"/>
      <x:c r="H100" s="875"/>
      <x:c r="I100" s="875"/>
      <x:c r="J100" s="875"/>
      <x:c r="K100" s="875"/>
      <x:c r="L100" s="875"/>
      <x:c r="M100" s="875"/>
      <x:c r="N100" s="875"/>
      <x:c r="O100" s="875"/>
      <x:c r="P100" s="875"/>
      <x:c r="Q100" s="875"/>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875"/>
      <x:c r="B101" s="875"/>
      <x:c r="C101" s="875"/>
      <x:c r="D101" s="875"/>
      <x:c r="E101" s="875"/>
      <x:c r="F101" s="875"/>
      <x:c r="G101" s="875"/>
      <x:c r="H101" s="875"/>
      <x:c r="I101" s="875"/>
      <x:c r="J101" s="875"/>
      <x:c r="K101" s="875"/>
      <x:c r="L101" s="875"/>
      <x:c r="M101" s="875"/>
      <x:c r="N101" s="875"/>
      <x:c r="O101" s="875"/>
      <x:c r="P101" s="875"/>
      <x:c r="Q101" s="875"/>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875"/>
      <x:c r="B102" s="875"/>
      <x:c r="C102" s="875"/>
      <x:c r="D102" s="875"/>
      <x:c r="E102" s="875"/>
      <x:c r="F102" s="875"/>
      <x:c r="G102" s="875"/>
      <x:c r="H102" s="875"/>
      <x:c r="I102" s="875"/>
      <x:c r="J102" s="875"/>
      <x:c r="K102" s="875"/>
      <x:c r="L102" s="875"/>
      <x:c r="M102" s="875"/>
      <x:c r="N102" s="875"/>
      <x:c r="O102" s="875"/>
      <x:c r="P102" s="875"/>
      <x:c r="Q102" s="875"/>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875"/>
      <x:c r="B103" s="875"/>
      <x:c r="C103" s="875"/>
      <x:c r="D103" s="875"/>
      <x:c r="E103" s="875"/>
      <x:c r="F103" s="875"/>
      <x:c r="G103" s="875"/>
      <x:c r="H103" s="875"/>
      <x:c r="I103" s="875"/>
      <x:c r="J103" s="875"/>
      <x:c r="K103" s="875"/>
      <x:c r="L103" s="875"/>
      <x:c r="M103" s="875"/>
      <x:c r="N103" s="875"/>
      <x:c r="O103" s="875"/>
      <x:c r="P103" s="875"/>
      <x:c r="Q103" s="875"/>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875"/>
      <x:c r="B104" s="875"/>
      <x:c r="C104" s="875"/>
      <x:c r="D104" s="875"/>
      <x:c r="E104" s="875"/>
      <x:c r="F104" s="875"/>
      <x:c r="G104" s="875"/>
      <x:c r="H104" s="875"/>
      <x:c r="I104" s="875"/>
      <x:c r="J104" s="875"/>
      <x:c r="K104" s="875"/>
      <x:c r="L104" s="875"/>
      <x:c r="M104" s="875"/>
      <x:c r="N104" s="875"/>
      <x:c r="O104" s="875"/>
      <x:c r="P104" s="875"/>
      <x:c r="Q104" s="875"/>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875"/>
      <x:c r="B105" s="875"/>
      <x:c r="C105" s="875"/>
      <x:c r="D105" s="875"/>
      <x:c r="E105" s="875"/>
      <x:c r="F105" s="875"/>
      <x:c r="G105" s="875"/>
      <x:c r="H105" s="875"/>
      <x:c r="I105" s="875"/>
      <x:c r="J105" s="875"/>
      <x:c r="K105" s="875"/>
      <x:c r="L105" s="875"/>
      <x:c r="M105" s="875"/>
      <x:c r="N105" s="875"/>
      <x:c r="O105" s="875"/>
      <x:c r="P105" s="875"/>
      <x:c r="Q105" s="875"/>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875"/>
      <x:c r="B106" s="875"/>
      <x:c r="C106" s="875"/>
      <x:c r="D106" s="875"/>
      <x:c r="E106" s="875"/>
      <x:c r="F106" s="875"/>
      <x:c r="G106" s="875"/>
      <x:c r="H106" s="875"/>
      <x:c r="I106" s="875"/>
      <x:c r="J106" s="875"/>
      <x:c r="K106" s="875"/>
      <x:c r="L106" s="875"/>
      <x:c r="M106" s="875"/>
      <x:c r="N106" s="875"/>
      <x:c r="O106" s="875"/>
      <x:c r="P106" s="875"/>
      <x:c r="Q106" s="875"/>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875"/>
      <x:c r="B107" s="875"/>
      <x:c r="C107" s="875"/>
      <x:c r="D107" s="875"/>
      <x:c r="E107" s="875"/>
      <x:c r="F107" s="875"/>
      <x:c r="G107" s="875"/>
      <x:c r="H107" s="875"/>
      <x:c r="I107" s="875"/>
      <x:c r="J107" s="875"/>
      <x:c r="K107" s="875"/>
      <x:c r="L107" s="875"/>
      <x:c r="M107" s="875"/>
      <x:c r="N107" s="875"/>
      <x:c r="O107" s="875"/>
      <x:c r="P107" s="875"/>
      <x:c r="Q107" s="875"/>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875"/>
      <x:c r="B108" s="875"/>
      <x:c r="C108" s="875"/>
      <x:c r="D108" s="875"/>
      <x:c r="E108" s="875"/>
      <x:c r="F108" s="875"/>
      <x:c r="G108" s="875"/>
      <x:c r="H108" s="875"/>
      <x:c r="I108" s="875"/>
      <x:c r="J108" s="875"/>
      <x:c r="K108" s="875"/>
      <x:c r="L108" s="875"/>
      <x:c r="M108" s="875"/>
      <x:c r="N108" s="875"/>
      <x:c r="O108" s="875"/>
      <x:c r="P108" s="875"/>
      <x:c r="Q108" s="875"/>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875"/>
      <x:c r="B109" s="875"/>
      <x:c r="C109" s="875"/>
      <x:c r="D109" s="875"/>
      <x:c r="E109" s="875"/>
      <x:c r="F109" s="875"/>
      <x:c r="G109" s="875"/>
      <x:c r="H109" s="875"/>
      <x:c r="I109" s="875"/>
      <x:c r="J109" s="875"/>
      <x:c r="K109" s="875"/>
      <x:c r="L109" s="875"/>
      <x:c r="M109" s="875"/>
      <x:c r="N109" s="875"/>
      <x:c r="O109" s="875"/>
      <x:c r="P109" s="875"/>
      <x:c r="Q109" s="875"/>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875"/>
      <x:c r="B110" s="875"/>
      <x:c r="C110" s="875"/>
      <x:c r="D110" s="875"/>
      <x:c r="E110" s="875"/>
      <x:c r="F110" s="875"/>
      <x:c r="G110" s="875"/>
      <x:c r="H110" s="875"/>
      <x:c r="I110" s="875"/>
      <x:c r="J110" s="875"/>
      <x:c r="K110" s="875"/>
      <x:c r="L110" s="875"/>
      <x:c r="M110" s="875"/>
      <x:c r="N110" s="875"/>
      <x:c r="O110" s="875"/>
      <x:c r="P110" s="875"/>
      <x:c r="Q110" s="875"/>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875"/>
      <x:c r="B111" s="875"/>
      <x:c r="C111" s="875"/>
      <x:c r="D111" s="875"/>
      <x:c r="E111" s="875"/>
      <x:c r="F111" s="875"/>
      <x:c r="G111" s="875"/>
      <x:c r="H111" s="875"/>
      <x:c r="I111" s="875"/>
      <x:c r="J111" s="875"/>
      <x:c r="K111" s="875"/>
      <x:c r="L111" s="875"/>
      <x:c r="M111" s="875"/>
      <x:c r="N111" s="875"/>
      <x:c r="O111" s="875"/>
      <x:c r="P111" s="875"/>
      <x:c r="Q111" s="875"/>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875"/>
      <x:c r="B112" s="875"/>
      <x:c r="C112" s="875"/>
      <x:c r="D112" s="875"/>
      <x:c r="E112" s="875"/>
      <x:c r="F112" s="875"/>
      <x:c r="G112" s="875"/>
      <x:c r="H112" s="875"/>
      <x:c r="I112" s="875"/>
      <x:c r="J112" s="875"/>
      <x:c r="K112" s="875"/>
      <x:c r="L112" s="875"/>
      <x:c r="M112" s="875"/>
      <x:c r="N112" s="875"/>
      <x:c r="O112" s="875"/>
      <x:c r="P112" s="875"/>
      <x:c r="Q112" s="875"/>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875"/>
      <x:c r="B113" s="875"/>
      <x:c r="C113" s="875"/>
      <x:c r="D113" s="875"/>
      <x:c r="E113" s="875"/>
      <x:c r="F113" s="875"/>
      <x:c r="G113" s="875"/>
      <x:c r="H113" s="875"/>
      <x:c r="I113" s="875"/>
      <x:c r="J113" s="875"/>
      <x:c r="K113" s="875"/>
      <x:c r="L113" s="875"/>
      <x:c r="M113" s="875"/>
      <x:c r="N113" s="875"/>
      <x:c r="O113" s="875"/>
      <x:c r="P113" s="875"/>
      <x:c r="Q113" s="875"/>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875"/>
      <x:c r="B114" s="875"/>
      <x:c r="C114" s="875"/>
      <x:c r="D114" s="875"/>
      <x:c r="E114" s="875"/>
      <x:c r="F114" s="875"/>
      <x:c r="G114" s="875"/>
      <x:c r="H114" s="875"/>
      <x:c r="I114" s="875"/>
      <x:c r="J114" s="875"/>
      <x:c r="K114" s="875"/>
      <x:c r="L114" s="875"/>
      <x:c r="M114" s="875"/>
      <x:c r="N114" s="875"/>
      <x:c r="O114" s="875"/>
      <x:c r="P114" s="875"/>
      <x:c r="Q114" s="875"/>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875"/>
      <x:c r="B115" s="875"/>
      <x:c r="C115" s="875"/>
      <x:c r="D115" s="875"/>
      <x:c r="E115" s="875"/>
      <x:c r="F115" s="875"/>
      <x:c r="G115" s="875"/>
      <x:c r="H115" s="875"/>
      <x:c r="I115" s="875"/>
      <x:c r="J115" s="875"/>
      <x:c r="K115" s="875"/>
      <x:c r="L115" s="875"/>
      <x:c r="M115" s="875"/>
      <x:c r="N115" s="875"/>
      <x:c r="O115" s="875"/>
      <x:c r="P115" s="875"/>
      <x:c r="Q115" s="875"/>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875"/>
      <x:c r="B116" s="875"/>
      <x:c r="C116" s="875"/>
      <x:c r="D116" s="875"/>
      <x:c r="E116" s="875"/>
      <x:c r="F116" s="875"/>
      <x:c r="G116" s="875"/>
      <x:c r="H116" s="875"/>
      <x:c r="I116" s="875"/>
      <x:c r="J116" s="875"/>
      <x:c r="K116" s="875"/>
      <x:c r="L116" s="875"/>
      <x:c r="M116" s="875"/>
      <x:c r="N116" s="875"/>
      <x:c r="O116" s="875"/>
      <x:c r="P116" s="875"/>
      <x:c r="Q116" s="875"/>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875"/>
      <x:c r="B117" s="875"/>
      <x:c r="C117" s="875"/>
      <x:c r="D117" s="875"/>
      <x:c r="E117" s="875"/>
      <x:c r="F117" s="875"/>
      <x:c r="G117" s="875"/>
      <x:c r="H117" s="875"/>
      <x:c r="I117" s="875"/>
      <x:c r="J117" s="875"/>
      <x:c r="K117" s="875"/>
      <x:c r="L117" s="875"/>
      <x:c r="M117" s="875"/>
      <x:c r="N117" s="875"/>
      <x:c r="O117" s="875"/>
      <x:c r="P117" s="875"/>
      <x:c r="Q117" s="875"/>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875"/>
      <x:c r="B118" s="875"/>
      <x:c r="C118" s="875"/>
      <x:c r="D118" s="875"/>
      <x:c r="E118" s="875"/>
      <x:c r="F118" s="875"/>
      <x:c r="G118" s="875"/>
      <x:c r="H118" s="875"/>
      <x:c r="I118" s="875"/>
      <x:c r="J118" s="875"/>
      <x:c r="K118" s="875"/>
      <x:c r="L118" s="875"/>
      <x:c r="M118" s="875"/>
      <x:c r="N118" s="875"/>
      <x:c r="O118" s="875"/>
      <x:c r="P118" s="875"/>
      <x:c r="Q118" s="875"/>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875"/>
      <x:c r="B119" s="875"/>
      <x:c r="C119" s="875"/>
      <x:c r="D119" s="875"/>
      <x:c r="E119" s="875"/>
      <x:c r="F119" s="875"/>
      <x:c r="G119" s="875"/>
      <x:c r="H119" s="875"/>
      <x:c r="I119" s="875"/>
      <x:c r="J119" s="875"/>
      <x:c r="K119" s="875"/>
      <x:c r="L119" s="875"/>
      <x:c r="M119" s="875"/>
      <x:c r="N119" s="875"/>
      <x:c r="O119" s="875"/>
      <x:c r="P119" s="875"/>
      <x:c r="Q119" s="875"/>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875"/>
      <x:c r="B120" s="875"/>
      <x:c r="C120" s="875"/>
      <x:c r="D120" s="875"/>
      <x:c r="E120" s="875"/>
      <x:c r="F120" s="875"/>
      <x:c r="G120" s="875"/>
      <x:c r="H120" s="875"/>
      <x:c r="I120" s="875"/>
      <x:c r="J120" s="875"/>
      <x:c r="K120" s="875"/>
      <x:c r="L120" s="875"/>
      <x:c r="M120" s="875"/>
      <x:c r="N120" s="875"/>
      <x:c r="O120" s="875"/>
      <x:c r="P120" s="875"/>
      <x:c r="Q120" s="875"/>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875"/>
      <x:c r="B121" s="875"/>
      <x:c r="C121" s="875"/>
      <x:c r="D121" s="875"/>
      <x:c r="E121" s="875"/>
      <x:c r="F121" s="875"/>
      <x:c r="G121" s="875"/>
      <x:c r="H121" s="875"/>
      <x:c r="I121" s="875"/>
      <x:c r="J121" s="875"/>
      <x:c r="K121" s="875"/>
      <x:c r="L121" s="875"/>
      <x:c r="M121" s="875"/>
      <x:c r="N121" s="875"/>
      <x:c r="O121" s="875"/>
      <x:c r="P121" s="875"/>
      <x:c r="Q121" s="875"/>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875"/>
      <x:c r="B122" s="875"/>
      <x:c r="C122" s="875"/>
      <x:c r="D122" s="875"/>
      <x:c r="E122" s="875"/>
      <x:c r="F122" s="875"/>
      <x:c r="G122" s="875"/>
      <x:c r="H122" s="875"/>
      <x:c r="I122" s="875"/>
      <x:c r="J122" s="875"/>
      <x:c r="K122" s="875"/>
      <x:c r="L122" s="875"/>
      <x:c r="M122" s="875"/>
      <x:c r="N122" s="875"/>
      <x:c r="O122" s="875"/>
      <x:c r="P122" s="875"/>
      <x:c r="Q122" s="875"/>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875"/>
      <x:c r="B123" s="875"/>
      <x:c r="C123" s="875"/>
      <x:c r="D123" s="875"/>
      <x:c r="E123" s="875"/>
      <x:c r="F123" s="875"/>
      <x:c r="G123" s="875"/>
      <x:c r="H123" s="875"/>
      <x:c r="I123" s="875"/>
      <x:c r="J123" s="875"/>
      <x:c r="K123" s="875"/>
      <x:c r="L123" s="875"/>
      <x:c r="M123" s="875"/>
      <x:c r="N123" s="875"/>
      <x:c r="O123" s="875"/>
      <x:c r="P123" s="875"/>
      <x:c r="Q123" s="875"/>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875"/>
      <x:c r="B124" s="875"/>
      <x:c r="C124" s="875"/>
      <x:c r="D124" s="875"/>
      <x:c r="E124" s="875"/>
      <x:c r="F124" s="875"/>
      <x:c r="G124" s="875"/>
      <x:c r="H124" s="875"/>
      <x:c r="I124" s="875"/>
      <x:c r="J124" s="875"/>
      <x:c r="K124" s="875"/>
      <x:c r="L124" s="875"/>
      <x:c r="M124" s="875"/>
      <x:c r="N124" s="875"/>
      <x:c r="O124" s="875"/>
      <x:c r="P124" s="875"/>
      <x:c r="Q124" s="875"/>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875"/>
      <x:c r="B125" s="875"/>
      <x:c r="C125" s="875"/>
      <x:c r="D125" s="875"/>
      <x:c r="E125" s="875"/>
      <x:c r="F125" s="875"/>
      <x:c r="G125" s="875"/>
      <x:c r="H125" s="875"/>
      <x:c r="I125" s="875"/>
      <x:c r="J125" s="875"/>
      <x:c r="K125" s="875"/>
      <x:c r="L125" s="875"/>
      <x:c r="M125" s="875"/>
      <x:c r="N125" s="875"/>
      <x:c r="O125" s="875"/>
      <x:c r="P125" s="875"/>
      <x:c r="Q125" s="875"/>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875"/>
      <x:c r="B126" s="875"/>
      <x:c r="C126" s="875"/>
      <x:c r="D126" s="875"/>
      <x:c r="E126" s="875"/>
      <x:c r="F126" s="875"/>
      <x:c r="G126" s="875"/>
      <x:c r="H126" s="875"/>
      <x:c r="I126" s="875"/>
      <x:c r="J126" s="875"/>
      <x:c r="K126" s="875"/>
      <x:c r="L126" s="875"/>
      <x:c r="M126" s="875"/>
      <x:c r="N126" s="875"/>
      <x:c r="O126" s="875"/>
      <x:c r="P126" s="875"/>
      <x:c r="Q126" s="875"/>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875"/>
      <x:c r="B127" s="875"/>
      <x:c r="C127" s="875"/>
      <x:c r="D127" s="875"/>
      <x:c r="E127" s="875"/>
      <x:c r="F127" s="875"/>
      <x:c r="G127" s="875"/>
      <x:c r="H127" s="875"/>
      <x:c r="I127" s="875"/>
      <x:c r="J127" s="875"/>
      <x:c r="K127" s="875"/>
      <x:c r="L127" s="875"/>
      <x:c r="M127" s="875"/>
      <x:c r="N127" s="875"/>
      <x:c r="O127" s="875"/>
      <x:c r="P127" s="875"/>
      <x:c r="Q127" s="875"/>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875"/>
      <x:c r="B128" s="875"/>
      <x:c r="C128" s="875"/>
      <x:c r="D128" s="875"/>
      <x:c r="E128" s="875"/>
      <x:c r="F128" s="875"/>
      <x:c r="G128" s="875"/>
      <x:c r="H128" s="875"/>
      <x:c r="I128" s="875"/>
      <x:c r="J128" s="875"/>
      <x:c r="K128" s="875"/>
      <x:c r="L128" s="875"/>
      <x:c r="M128" s="875"/>
      <x:c r="N128" s="875"/>
      <x:c r="O128" s="875"/>
      <x:c r="P128" s="875"/>
      <x:c r="Q128" s="875"/>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875"/>
      <x:c r="B129" s="875"/>
      <x:c r="C129" s="875"/>
      <x:c r="D129" s="875"/>
      <x:c r="E129" s="875"/>
      <x:c r="F129" s="875"/>
      <x:c r="G129" s="875"/>
      <x:c r="H129" s="875"/>
      <x:c r="I129" s="875"/>
      <x:c r="J129" s="875"/>
      <x:c r="K129" s="875"/>
      <x:c r="L129" s="875"/>
      <x:c r="M129" s="875"/>
      <x:c r="N129" s="875"/>
      <x:c r="O129" s="875"/>
      <x:c r="P129" s="875"/>
      <x:c r="Q129" s="875"/>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875"/>
      <x:c r="B130" s="875"/>
      <x:c r="C130" s="875"/>
      <x:c r="D130" s="875"/>
      <x:c r="E130" s="875"/>
      <x:c r="F130" s="875"/>
      <x:c r="G130" s="875"/>
      <x:c r="H130" s="875"/>
      <x:c r="I130" s="875"/>
      <x:c r="J130" s="875"/>
      <x:c r="K130" s="875"/>
      <x:c r="L130" s="875"/>
      <x:c r="M130" s="875"/>
      <x:c r="N130" s="875"/>
      <x:c r="O130" s="875"/>
      <x:c r="P130" s="875"/>
      <x:c r="Q130" s="875"/>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875"/>
      <x:c r="B131" s="875"/>
      <x:c r="C131" s="875"/>
      <x:c r="D131" s="875"/>
      <x:c r="E131" s="875"/>
      <x:c r="F131" s="875"/>
      <x:c r="G131" s="875"/>
      <x:c r="H131" s="875"/>
      <x:c r="I131" s="875"/>
      <x:c r="J131" s="875"/>
      <x:c r="K131" s="875"/>
      <x:c r="L131" s="875"/>
      <x:c r="M131" s="875"/>
      <x:c r="N131" s="875"/>
      <x:c r="O131" s="875"/>
      <x:c r="P131" s="875"/>
      <x:c r="Q131" s="875"/>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875"/>
      <x:c r="B132" s="875"/>
      <x:c r="C132" s="875"/>
      <x:c r="D132" s="875"/>
      <x:c r="E132" s="875"/>
      <x:c r="F132" s="875"/>
      <x:c r="G132" s="875"/>
      <x:c r="H132" s="875"/>
      <x:c r="I132" s="875"/>
      <x:c r="J132" s="875"/>
      <x:c r="K132" s="875"/>
      <x:c r="L132" s="875"/>
      <x:c r="M132" s="875"/>
      <x:c r="N132" s="875"/>
      <x:c r="O132" s="875"/>
      <x:c r="P132" s="875"/>
      <x:c r="Q132" s="875"/>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875"/>
      <x:c r="B133" s="875"/>
      <x:c r="C133" s="875"/>
      <x:c r="D133" s="875"/>
      <x:c r="E133" s="875"/>
      <x:c r="F133" s="875"/>
      <x:c r="G133" s="875"/>
      <x:c r="H133" s="875"/>
      <x:c r="I133" s="875"/>
      <x:c r="J133" s="875"/>
      <x:c r="K133" s="875"/>
      <x:c r="L133" s="875"/>
      <x:c r="M133" s="875"/>
      <x:c r="N133" s="875"/>
      <x:c r="O133" s="875"/>
      <x:c r="P133" s="875"/>
      <x:c r="Q133" s="875"/>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875"/>
      <x:c r="B134" s="875"/>
      <x:c r="C134" s="875"/>
      <x:c r="D134" s="875"/>
      <x:c r="E134" s="875"/>
      <x:c r="F134" s="875"/>
      <x:c r="G134" s="875"/>
      <x:c r="H134" s="875"/>
      <x:c r="I134" s="875"/>
      <x:c r="J134" s="875"/>
      <x:c r="K134" s="875"/>
      <x:c r="L134" s="875"/>
      <x:c r="M134" s="875"/>
      <x:c r="N134" s="875"/>
      <x:c r="O134" s="875"/>
      <x:c r="P134" s="875"/>
      <x:c r="Q134" s="875"/>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875"/>
      <x:c r="B135" s="875"/>
      <x:c r="C135" s="875"/>
      <x:c r="D135" s="875"/>
      <x:c r="E135" s="875"/>
      <x:c r="F135" s="875"/>
      <x:c r="G135" s="875"/>
      <x:c r="H135" s="875"/>
      <x:c r="I135" s="875"/>
      <x:c r="J135" s="875"/>
      <x:c r="K135" s="875"/>
      <x:c r="L135" s="875"/>
      <x:c r="M135" s="875"/>
      <x:c r="N135" s="875"/>
      <x:c r="O135" s="875"/>
      <x:c r="P135" s="875"/>
      <x:c r="Q135" s="875"/>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875"/>
      <x:c r="B136" s="875"/>
      <x:c r="C136" s="875"/>
      <x:c r="D136" s="875"/>
      <x:c r="E136" s="875"/>
      <x:c r="F136" s="875"/>
      <x:c r="G136" s="875"/>
      <x:c r="H136" s="875"/>
      <x:c r="I136" s="875"/>
      <x:c r="J136" s="875"/>
      <x:c r="K136" s="875"/>
      <x:c r="L136" s="875"/>
      <x:c r="M136" s="875"/>
      <x:c r="N136" s="875"/>
      <x:c r="O136" s="875"/>
      <x:c r="P136" s="875"/>
      <x:c r="Q136" s="875"/>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875"/>
      <x:c r="B137" s="875"/>
      <x:c r="C137" s="875"/>
      <x:c r="D137" s="875"/>
      <x:c r="E137" s="875"/>
      <x:c r="F137" s="875"/>
      <x:c r="G137" s="875"/>
      <x:c r="H137" s="875"/>
      <x:c r="I137" s="875"/>
      <x:c r="J137" s="875"/>
      <x:c r="K137" s="875"/>
      <x:c r="L137" s="875"/>
      <x:c r="M137" s="875"/>
      <x:c r="N137" s="875"/>
      <x:c r="O137" s="875"/>
      <x:c r="P137" s="875"/>
      <x:c r="Q137" s="875"/>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875"/>
      <x:c r="B138" s="875"/>
      <x:c r="C138" s="875"/>
      <x:c r="D138" s="875"/>
      <x:c r="E138" s="875"/>
      <x:c r="F138" s="875"/>
      <x:c r="G138" s="875"/>
      <x:c r="H138" s="875"/>
      <x:c r="I138" s="875"/>
      <x:c r="J138" s="875"/>
      <x:c r="K138" s="875"/>
      <x:c r="L138" s="875"/>
      <x:c r="M138" s="875"/>
      <x:c r="N138" s="875"/>
      <x:c r="O138" s="875"/>
      <x:c r="P138" s="875"/>
      <x:c r="Q138" s="875"/>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875"/>
      <x:c r="B139" s="875"/>
      <x:c r="C139" s="875"/>
      <x:c r="D139" s="875"/>
      <x:c r="E139" s="875"/>
      <x:c r="F139" s="875"/>
      <x:c r="G139" s="875"/>
      <x:c r="H139" s="875"/>
      <x:c r="I139" s="875"/>
      <x:c r="J139" s="875"/>
      <x:c r="K139" s="875"/>
      <x:c r="L139" s="875"/>
      <x:c r="M139" s="875"/>
      <x:c r="N139" s="875"/>
      <x:c r="O139" s="875"/>
      <x:c r="P139" s="875"/>
      <x:c r="Q139" s="875"/>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875"/>
      <x:c r="B140" s="875"/>
      <x:c r="C140" s="875"/>
      <x:c r="D140" s="875"/>
      <x:c r="E140" s="875"/>
      <x:c r="F140" s="875"/>
      <x:c r="G140" s="875"/>
      <x:c r="H140" s="875"/>
      <x:c r="I140" s="875"/>
      <x:c r="J140" s="875"/>
      <x:c r="K140" s="875"/>
      <x:c r="L140" s="875"/>
      <x:c r="M140" s="875"/>
      <x:c r="N140" s="875"/>
      <x:c r="O140" s="875"/>
      <x:c r="P140" s="875"/>
      <x:c r="Q140" s="875"/>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875"/>
      <x:c r="B141" s="875"/>
      <x:c r="C141" s="875"/>
      <x:c r="D141" s="875"/>
      <x:c r="E141" s="875"/>
      <x:c r="F141" s="875"/>
      <x:c r="G141" s="875"/>
      <x:c r="H141" s="875"/>
      <x:c r="I141" s="875"/>
      <x:c r="J141" s="875"/>
      <x:c r="K141" s="875"/>
      <x:c r="L141" s="875"/>
      <x:c r="M141" s="875"/>
      <x:c r="N141" s="875"/>
      <x:c r="O141" s="875"/>
      <x:c r="P141" s="875"/>
      <x:c r="Q141" s="875"/>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875"/>
      <x:c r="B142" s="875"/>
      <x:c r="C142" s="875"/>
      <x:c r="D142" s="875"/>
      <x:c r="E142" s="875"/>
      <x:c r="F142" s="875"/>
      <x:c r="G142" s="875"/>
      <x:c r="H142" s="875"/>
      <x:c r="I142" s="875"/>
      <x:c r="J142" s="875"/>
      <x:c r="K142" s="875"/>
      <x:c r="L142" s="875"/>
      <x:c r="M142" s="875"/>
      <x:c r="N142" s="875"/>
      <x:c r="O142" s="875"/>
      <x:c r="P142" s="875"/>
      <x:c r="Q142" s="875"/>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875"/>
      <x:c r="B143" s="875"/>
      <x:c r="C143" s="875"/>
      <x:c r="D143" s="875"/>
      <x:c r="E143" s="875"/>
      <x:c r="F143" s="875"/>
      <x:c r="G143" s="875"/>
      <x:c r="H143" s="875"/>
      <x:c r="I143" s="875"/>
      <x:c r="J143" s="875"/>
      <x:c r="K143" s="875"/>
      <x:c r="L143" s="875"/>
      <x:c r="M143" s="875"/>
      <x:c r="N143" s="875"/>
      <x:c r="O143" s="875"/>
      <x:c r="P143" s="875"/>
      <x:c r="Q143" s="875"/>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875"/>
      <x:c r="B144" s="875"/>
      <x:c r="C144" s="875"/>
      <x:c r="D144" s="875"/>
      <x:c r="E144" s="875"/>
      <x:c r="F144" s="875"/>
      <x:c r="G144" s="875"/>
      <x:c r="H144" s="875"/>
      <x:c r="I144" s="875"/>
      <x:c r="J144" s="875"/>
      <x:c r="K144" s="875"/>
      <x:c r="L144" s="875"/>
      <x:c r="M144" s="875"/>
      <x:c r="N144" s="875"/>
      <x:c r="O144" s="875"/>
      <x:c r="P144" s="875"/>
      <x:c r="Q144" s="875"/>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875"/>
      <x:c r="B145" s="875"/>
      <x:c r="C145" s="875"/>
      <x:c r="D145" s="875"/>
      <x:c r="E145" s="875"/>
      <x:c r="F145" s="875"/>
      <x:c r="G145" s="875"/>
      <x:c r="H145" s="875"/>
      <x:c r="I145" s="875"/>
      <x:c r="J145" s="875"/>
      <x:c r="K145" s="875"/>
      <x:c r="L145" s="875"/>
      <x:c r="M145" s="875"/>
      <x:c r="N145" s="875"/>
      <x:c r="O145" s="875"/>
      <x:c r="P145" s="875"/>
      <x:c r="Q145" s="875"/>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875"/>
      <x:c r="B146" s="875"/>
      <x:c r="C146" s="875"/>
      <x:c r="D146" s="875"/>
      <x:c r="E146" s="875"/>
      <x:c r="F146" s="875"/>
      <x:c r="G146" s="875"/>
      <x:c r="H146" s="875"/>
      <x:c r="I146" s="875"/>
      <x:c r="J146" s="875"/>
      <x:c r="K146" s="875"/>
      <x:c r="L146" s="875"/>
      <x:c r="M146" s="875"/>
      <x:c r="N146" s="875"/>
      <x:c r="O146" s="875"/>
      <x:c r="P146" s="875"/>
      <x:c r="Q146" s="875"/>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875"/>
      <x:c r="B147" s="875"/>
      <x:c r="C147" s="875"/>
      <x:c r="D147" s="875"/>
      <x:c r="E147" s="875"/>
      <x:c r="F147" s="875"/>
      <x:c r="G147" s="875"/>
      <x:c r="H147" s="875"/>
      <x:c r="I147" s="875"/>
      <x:c r="J147" s="875"/>
      <x:c r="K147" s="875"/>
      <x:c r="L147" s="875"/>
      <x:c r="M147" s="875"/>
      <x:c r="N147" s="875"/>
      <x:c r="O147" s="875"/>
      <x:c r="P147" s="875"/>
      <x:c r="Q147" s="875"/>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875"/>
      <x:c r="B148" s="875"/>
      <x:c r="C148" s="875"/>
      <x:c r="D148" s="875"/>
      <x:c r="E148" s="875"/>
      <x:c r="F148" s="875"/>
      <x:c r="G148" s="875"/>
      <x:c r="H148" s="875"/>
      <x:c r="I148" s="875"/>
      <x:c r="J148" s="875"/>
      <x:c r="K148" s="875"/>
      <x:c r="L148" s="875"/>
      <x:c r="M148" s="875"/>
      <x:c r="N148" s="875"/>
      <x:c r="O148" s="875"/>
      <x:c r="P148" s="875"/>
      <x:c r="Q148" s="875"/>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875"/>
      <x:c r="B149" s="875"/>
      <x:c r="C149" s="875"/>
      <x:c r="D149" s="875"/>
      <x:c r="E149" s="875"/>
      <x:c r="F149" s="875"/>
      <x:c r="G149" s="875"/>
      <x:c r="H149" s="875"/>
      <x:c r="I149" s="875"/>
      <x:c r="J149" s="875"/>
      <x:c r="K149" s="875"/>
      <x:c r="L149" s="875"/>
      <x:c r="M149" s="875"/>
      <x:c r="N149" s="875"/>
      <x:c r="O149" s="875"/>
      <x:c r="P149" s="875"/>
      <x:c r="Q149" s="875"/>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875"/>
      <x:c r="B150" s="875"/>
      <x:c r="C150" s="875"/>
      <x:c r="D150" s="875"/>
      <x:c r="E150" s="875"/>
      <x:c r="F150" s="875"/>
      <x:c r="G150" s="875"/>
      <x:c r="H150" s="875"/>
      <x:c r="I150" s="875"/>
      <x:c r="J150" s="875"/>
      <x:c r="K150" s="875"/>
      <x:c r="L150" s="875"/>
      <x:c r="M150" s="875"/>
      <x:c r="N150" s="875"/>
      <x:c r="O150" s="875"/>
      <x:c r="P150" s="875"/>
      <x:c r="Q150" s="875"/>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875"/>
      <x:c r="B151" s="875"/>
      <x:c r="C151" s="875"/>
      <x:c r="D151" s="875"/>
      <x:c r="E151" s="875"/>
      <x:c r="F151" s="875"/>
      <x:c r="G151" s="875"/>
      <x:c r="H151" s="875"/>
      <x:c r="I151" s="875"/>
      <x:c r="J151" s="875"/>
      <x:c r="K151" s="875"/>
      <x:c r="L151" s="875"/>
      <x:c r="M151" s="875"/>
      <x:c r="N151" s="875"/>
      <x:c r="O151" s="875"/>
      <x:c r="P151" s="875"/>
      <x:c r="Q151" s="875"/>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875"/>
      <x:c r="B152" s="875"/>
      <x:c r="C152" s="875"/>
      <x:c r="D152" s="875"/>
      <x:c r="E152" s="875"/>
      <x:c r="F152" s="875"/>
      <x:c r="G152" s="875"/>
      <x:c r="H152" s="875"/>
      <x:c r="I152" s="875"/>
      <x:c r="J152" s="875"/>
      <x:c r="K152" s="875"/>
      <x:c r="L152" s="875"/>
      <x:c r="M152" s="875"/>
      <x:c r="N152" s="875"/>
      <x:c r="O152" s="875"/>
      <x:c r="P152" s="875"/>
      <x:c r="Q152" s="875"/>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875"/>
      <x:c r="B153" s="875"/>
      <x:c r="C153" s="875"/>
      <x:c r="D153" s="875"/>
      <x:c r="E153" s="875"/>
      <x:c r="F153" s="875"/>
      <x:c r="G153" s="875"/>
      <x:c r="H153" s="875"/>
      <x:c r="I153" s="875"/>
      <x:c r="J153" s="875"/>
      <x:c r="K153" s="875"/>
      <x:c r="L153" s="875"/>
      <x:c r="M153" s="875"/>
      <x:c r="N153" s="875"/>
      <x:c r="O153" s="875"/>
      <x:c r="P153" s="875"/>
      <x:c r="Q153" s="875"/>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875"/>
      <x:c r="B154" s="875"/>
      <x:c r="C154" s="875"/>
      <x:c r="D154" s="875"/>
      <x:c r="E154" s="875"/>
      <x:c r="F154" s="875"/>
      <x:c r="G154" s="875"/>
      <x:c r="H154" s="875"/>
      <x:c r="I154" s="875"/>
      <x:c r="J154" s="875"/>
      <x:c r="K154" s="875"/>
      <x:c r="L154" s="875"/>
      <x:c r="M154" s="875"/>
      <x:c r="N154" s="875"/>
      <x:c r="O154" s="875"/>
      <x:c r="P154" s="875"/>
      <x:c r="Q154" s="875"/>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875"/>
      <x:c r="B155" s="875"/>
      <x:c r="C155" s="875"/>
      <x:c r="D155" s="875"/>
      <x:c r="E155" s="875"/>
      <x:c r="F155" s="875"/>
      <x:c r="G155" s="875"/>
      <x:c r="H155" s="875"/>
      <x:c r="I155" s="875"/>
      <x:c r="J155" s="875"/>
      <x:c r="K155" s="875"/>
      <x:c r="L155" s="875"/>
      <x:c r="M155" s="875"/>
      <x:c r="N155" s="875"/>
      <x:c r="O155" s="875"/>
      <x:c r="P155" s="875"/>
      <x:c r="Q155" s="875"/>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875"/>
      <x:c r="B156" s="875"/>
      <x:c r="C156" s="875"/>
      <x:c r="D156" s="875"/>
      <x:c r="E156" s="875"/>
      <x:c r="F156" s="875"/>
      <x:c r="G156" s="875"/>
      <x:c r="H156" s="875"/>
      <x:c r="I156" s="875"/>
      <x:c r="J156" s="875"/>
      <x:c r="K156" s="875"/>
      <x:c r="L156" s="875"/>
      <x:c r="M156" s="875"/>
      <x:c r="N156" s="875"/>
      <x:c r="O156" s="875"/>
      <x:c r="P156" s="875"/>
      <x:c r="Q156" s="875"/>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875"/>
      <x:c r="B157" s="875"/>
      <x:c r="C157" s="875"/>
      <x:c r="D157" s="875"/>
      <x:c r="E157" s="875"/>
      <x:c r="F157" s="875"/>
      <x:c r="G157" s="875"/>
      <x:c r="H157" s="875"/>
      <x:c r="I157" s="875"/>
      <x:c r="J157" s="875"/>
      <x:c r="K157" s="875"/>
      <x:c r="L157" s="875"/>
      <x:c r="M157" s="875"/>
      <x:c r="N157" s="875"/>
      <x:c r="O157" s="875"/>
      <x:c r="P157" s="875"/>
      <x:c r="Q157" s="875"/>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875"/>
      <x:c r="B158" s="875"/>
      <x:c r="C158" s="875"/>
      <x:c r="D158" s="875"/>
      <x:c r="E158" s="875"/>
      <x:c r="F158" s="875"/>
      <x:c r="G158" s="875"/>
      <x:c r="H158" s="875"/>
      <x:c r="I158" s="875"/>
      <x:c r="J158" s="875"/>
      <x:c r="K158" s="875"/>
      <x:c r="L158" s="875"/>
      <x:c r="M158" s="875"/>
      <x:c r="N158" s="875"/>
      <x:c r="O158" s="875"/>
      <x:c r="P158" s="875"/>
      <x:c r="Q158" s="875"/>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875"/>
      <x:c r="B159" s="875"/>
      <x:c r="C159" s="875"/>
      <x:c r="D159" s="875"/>
      <x:c r="E159" s="875"/>
      <x:c r="F159" s="875"/>
      <x:c r="G159" s="875"/>
      <x:c r="H159" s="875"/>
      <x:c r="I159" s="875"/>
      <x:c r="J159" s="875"/>
      <x:c r="K159" s="875"/>
      <x:c r="L159" s="875"/>
      <x:c r="M159" s="875"/>
      <x:c r="N159" s="875"/>
      <x:c r="O159" s="875"/>
      <x:c r="P159" s="875"/>
      <x:c r="Q159" s="875"/>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875"/>
      <x:c r="B160" s="875"/>
      <x:c r="C160" s="875"/>
      <x:c r="D160" s="875"/>
      <x:c r="E160" s="875"/>
      <x:c r="F160" s="875"/>
      <x:c r="G160" s="875"/>
      <x:c r="H160" s="875"/>
      <x:c r="I160" s="875"/>
      <x:c r="J160" s="875"/>
      <x:c r="K160" s="875"/>
      <x:c r="L160" s="875"/>
      <x:c r="M160" s="875"/>
      <x:c r="N160" s="875"/>
      <x:c r="O160" s="875"/>
      <x:c r="P160" s="875"/>
      <x:c r="Q160" s="875"/>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sheetData>
  <x:mergeCells>
    <x:mergeCell ref="A1:C2"/>
    <x:mergeCell ref="D1:Q1"/>
    <x:mergeCell ref="D2:Q2"/>
    <x:mergeCell ref="A4:Q7"/>
    <x:mergeCell ref="A9:D19"/>
    <x:mergeCell ref="E9:H19"/>
    <x:mergeCell ref="I9:L19"/>
    <x:mergeCell ref="M9:Q19"/>
    <x:mergeCell ref="A22:H23"/>
    <x:mergeCell ref="A24:B24"/>
    <x:mergeCell ref="D24:G24"/>
    <x:mergeCell ref="A25:B25"/>
    <x:mergeCell ref="D25:G25"/>
    <x:mergeCell ref="A26:B26"/>
    <x:mergeCell ref="D26:G26"/>
    <x:mergeCell ref="A27:B27"/>
    <x:mergeCell ref="D27:G27"/>
    <x:mergeCell ref="A28:B28"/>
    <x:mergeCell ref="D28:G28"/>
    <x:mergeCell ref="A29:B29"/>
    <x:mergeCell ref="D29:G29"/>
    <x:mergeCell ref="J22:Q23"/>
    <x:mergeCell ref="J24:Q29"/>
    <x:mergeCell ref="A32:H33"/>
    <x:mergeCell ref="A34:H46"/>
    <x:mergeCell ref="J32:Q33"/>
    <x:mergeCell ref="J34:Q46"/>
    <x:mergeCell ref="A49:Q5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5.329999923706055" hidden="0" customWidth="1"/>
    <x:col min="2" max="2" width="6.889999866485596" hidden="0" customWidth="1"/>
    <x:col min="3" max="3" width="6.889999866485596" hidden="0" customWidth="1"/>
    <x:col min="4" max="4" width="6.889999866485596" hidden="0" customWidth="1"/>
    <x:col min="5" max="5" width="6.889999866485596" hidden="0" customWidth="1"/>
    <x:col min="6" max="6" width="6.889999866485596" hidden="0" customWidth="1"/>
    <x:col min="7" max="7" width="6.889999866485596" hidden="0" customWidth="1"/>
    <x:col min="8" max="8" width="6.889999866485596" hidden="0" customWidth="1"/>
    <x:col min="9" max="9" width="6.889999866485596" hidden="0" customWidth="1"/>
    <x:col min="10" max="10" width="6.889999866485596" hidden="0" customWidth="1"/>
    <x:col min="11" max="11" width="6.889999866485596" hidden="0" customWidth="1"/>
    <x:col min="12" max="12" width="6.889999866485596" hidden="0" customWidth="1"/>
    <x:col min="13" max="13" width="6.889999866485596" hidden="0" customWidth="1"/>
    <x:col min="14" max="14" width="6.889999866485596" hidden="0" customWidth="1"/>
    <x:col min="15" max="15" width="6.889999866485596" hidden="0" customWidth="1"/>
    <x:col min="16" max="16" width="6.889999866485596" hidden="0" customWidth="1"/>
    <x:col min="17" max="17" width="6.889999866485596" hidden="0" customWidth="1"/>
  </x:cols>
  <x:sheetData>
    <x:row r="1" ht="24" customHeight="1">
      <x:c r="A1" s="42" t="str">
        <x:f>IF('_CONFIG'!$B$2="pt-BR","ENGENHARIA","ENGINEERING")</x:f>
        <x:v>ENGINEERING</x:v>
      </x:c>
      <x:c r="B1" s="42"/>
      <x:c r="C1" s="42"/>
      <x:c r="D1" s="44" t="str">
        <x:f>IF('_CONFIG'!$B$2="pt-BR","Uma interface de planilha com um solver real por trás.","A spreadsheet interface with a real solver behind it.")</x:f>
        <x:v>A spreadsheet interface with a real solver behind it.</x:v>
      </x:c>
      <x:c r="E1" s="44"/>
      <x:c r="F1" s="44"/>
      <x:c r="G1" s="44"/>
      <x:c r="H1" s="44"/>
      <x:c r="I1" s="44"/>
      <x:c r="J1" s="44"/>
      <x:c r="K1" s="44"/>
      <x:c r="L1" s="44"/>
      <x:c r="M1" s="44"/>
      <x:c r="N1" s="44"/>
      <x:c r="O1" s="44"/>
      <x:c r="P1" s="44"/>
      <x:c r="Q1" s="44"/>
      <x:c r="R1" s="875"/>
      <x:c r="S1" s="875"/>
      <x:c r="T1" s="875"/>
      <x:c r="U1" s="875"/>
      <x:c r="V1" s="875"/>
      <x:c r="W1" s="875"/>
      <x:c r="X1" s="875"/>
      <x:c r="Y1" s="875"/>
      <x:c r="Z1" s="875"/>
      <x:c r="AA1" s="875"/>
      <x:c r="AB1" s="875"/>
      <x:c r="AC1" s="875"/>
      <x:c r="AD1" s="875"/>
      <x:c r="AE1" s="875"/>
      <x:c r="AF1" s="875"/>
      <x:c r="AG1" s="875"/>
      <x:c r="AH1" s="875"/>
      <x:c r="AI1" s="875"/>
      <x:c r="AJ1" s="875"/>
      <x:c r="AK1" s="875"/>
      <x:c r="AL1" s="875"/>
      <x:c r="AM1" s="875"/>
    </x:row>
    <x:row r="2" ht="19.5" customHeight="1">
      <x:c r="A2" s="42"/>
      <x:c r="B2" s="42"/>
      <x:c r="C2" s="42"/>
      <x:c r="D2" s="45" t="str">
        <x:f>IF('_CONFIG'!$B$2="pt-BR","Arquitetura, linhagem de dados, controles e reprodutibilidade","Architecture, data lineage, controls, and reproducibility")</x:f>
        <x:v>Architecture, data lineage, controls, and reproducibility</x:v>
      </x:c>
      <x:c r="E2" s="45"/>
      <x:c r="F2" s="45"/>
      <x:c r="G2" s="45"/>
      <x:c r="H2" s="45"/>
      <x:c r="I2" s="45"/>
      <x:c r="J2" s="45"/>
      <x:c r="K2" s="45"/>
      <x:c r="L2" s="45"/>
      <x:c r="M2" s="45"/>
      <x:c r="N2" s="45"/>
      <x:c r="O2" s="45"/>
      <x:c r="P2" s="45"/>
      <x:c r="Q2" s="45"/>
      <x:c r="R2" s="875"/>
      <x:c r="S2" s="875"/>
      <x:c r="T2" s="875"/>
      <x:c r="U2" s="875"/>
      <x:c r="V2" s="875"/>
      <x:c r="W2" s="875"/>
      <x:c r="X2" s="875"/>
      <x:c r="Y2" s="875"/>
      <x:c r="Z2" s="875"/>
      <x:c r="AA2" s="875"/>
      <x:c r="AB2" s="875"/>
      <x:c r="AC2" s="875"/>
      <x:c r="AD2" s="875"/>
      <x:c r="AE2" s="875"/>
      <x:c r="AF2" s="875"/>
      <x:c r="AG2" s="875"/>
      <x:c r="AH2" s="875"/>
      <x:c r="AI2" s="875"/>
      <x:c r="AJ2" s="875"/>
      <x:c r="AK2" s="875"/>
      <x:c r="AL2" s="875"/>
      <x:c r="AM2" s="875"/>
    </x:row>
    <x:row r="3">
      <x:c r="A3" s="38"/>
      <x:c r="B3" s="38"/>
      <x:c r="C3" s="38"/>
      <x:c r="D3" s="38"/>
      <x:c r="E3" s="38"/>
      <x:c r="F3" s="38"/>
      <x:c r="G3" s="38"/>
      <x:c r="H3" s="38"/>
      <x:c r="I3" s="38"/>
      <x:c r="J3" s="38"/>
      <x:c r="K3" s="38"/>
      <x:c r="L3" s="38"/>
      <x:c r="M3" s="38"/>
      <x:c r="N3" s="38"/>
      <x:c r="O3" s="38"/>
      <x:c r="P3" s="38"/>
      <x:c r="Q3" s="38"/>
      <x:c r="R3" s="875"/>
      <x:c r="S3" s="875"/>
      <x:c r="T3" s="875"/>
      <x:c r="U3" s="875"/>
      <x:c r="V3" s="875"/>
      <x:c r="W3" s="875"/>
      <x:c r="X3" s="875"/>
      <x:c r="Y3" s="875"/>
      <x:c r="Z3" s="875"/>
      <x:c r="AA3" s="875"/>
      <x:c r="AB3" s="875"/>
      <x:c r="AC3" s="875"/>
      <x:c r="AD3" s="875"/>
      <x:c r="AE3" s="875"/>
      <x:c r="AF3" s="875"/>
      <x:c r="AG3" s="875"/>
      <x:c r="AH3" s="875"/>
      <x:c r="AI3" s="875"/>
      <x:c r="AJ3" s="875"/>
      <x:c r="AK3" s="875"/>
      <x:c r="AL3" s="875"/>
      <x:c r="AM3" s="875"/>
    </x:row>
    <x:row r="4">
      <x:c r="A4" s="129" t="str">
        <x:f>IF('_CONFIG'!$B$2="pt-BR","LINHAGEM DE DADOS","DATA LINEAGE")</x:f>
        <x:v>DATA LINEAGE</x:v>
      </x:c>
      <x:c r="B4" s="129"/>
      <x:c r="C4" s="129"/>
      <x:c r="D4" s="129"/>
      <x:c r="E4" s="129"/>
      <x:c r="F4" s="129"/>
      <x:c r="G4" s="129"/>
      <x:c r="H4" s="129"/>
      <x:c r="I4" s="129"/>
      <x:c r="J4" s="129"/>
      <x:c r="K4" s="129"/>
      <x:c r="L4" s="129"/>
      <x:c r="M4" s="129"/>
      <x:c r="N4" s="129"/>
      <x:c r="O4" s="129"/>
      <x:c r="P4" s="129"/>
      <x:c r="Q4" s="129"/>
      <x:c r="R4" s="875"/>
      <x:c r="S4" s="875"/>
      <x:c r="T4" s="875"/>
      <x:c r="U4" s="875"/>
      <x:c r="V4" s="875"/>
      <x:c r="W4" s="875"/>
      <x:c r="X4" s="875"/>
      <x:c r="Y4" s="875"/>
      <x:c r="Z4" s="875"/>
      <x:c r="AA4" s="875"/>
      <x:c r="AB4" s="875"/>
      <x:c r="AC4" s="875"/>
      <x:c r="AD4" s="875"/>
      <x:c r="AE4" s="875"/>
      <x:c r="AF4" s="875"/>
      <x:c r="AG4" s="875"/>
      <x:c r="AH4" s="875"/>
      <x:c r="AI4" s="875"/>
      <x:c r="AJ4" s="875"/>
      <x:c r="AK4" s="875"/>
      <x:c r="AL4" s="875"/>
      <x:c r="AM4" s="875"/>
    </x:row>
    <x:row r="5">
      <x:c r="A5" s="129"/>
      <x:c r="B5" s="129"/>
      <x:c r="C5" s="129"/>
      <x:c r="D5" s="129"/>
      <x:c r="E5" s="129"/>
      <x:c r="F5" s="129"/>
      <x:c r="G5" s="129"/>
      <x:c r="H5" s="129"/>
      <x:c r="I5" s="129"/>
      <x:c r="J5" s="129"/>
      <x:c r="K5" s="129"/>
      <x:c r="L5" s="129"/>
      <x:c r="M5" s="129"/>
      <x:c r="N5" s="129"/>
      <x:c r="O5" s="129"/>
      <x:c r="P5" s="129"/>
      <x:c r="Q5" s="129"/>
      <x:c r="R5" s="875"/>
      <x:c r="S5" s="875"/>
      <x:c r="T5" s="875"/>
      <x:c r="U5" s="875"/>
      <x:c r="V5" s="875"/>
      <x:c r="W5" s="875"/>
      <x:c r="X5" s="875"/>
      <x:c r="Y5" s="875"/>
      <x:c r="Z5" s="875"/>
      <x:c r="AA5" s="875"/>
      <x:c r="AB5" s="875"/>
      <x:c r="AC5" s="875"/>
      <x:c r="AD5" s="875"/>
      <x:c r="AE5" s="875"/>
      <x:c r="AF5" s="875"/>
      <x:c r="AG5" s="875"/>
      <x:c r="AH5" s="875"/>
      <x:c r="AI5" s="875"/>
      <x:c r="AJ5" s="875"/>
      <x:c r="AK5" s="875"/>
      <x:c r="AL5" s="875"/>
      <x:c r="AM5" s="875"/>
    </x:row>
    <x:row r="6">
      <x:c r="A6" s="38"/>
      <x:c r="B6" s="38"/>
      <x:c r="C6" s="38"/>
      <x:c r="D6" s="38"/>
      <x:c r="E6" s="38"/>
      <x:c r="F6" s="38"/>
      <x:c r="G6" s="38"/>
      <x:c r="H6" s="38"/>
      <x:c r="I6" s="38"/>
      <x:c r="J6" s="38"/>
      <x:c r="K6" s="38"/>
      <x:c r="L6" s="38"/>
      <x:c r="M6" s="38"/>
      <x:c r="N6" s="38"/>
      <x:c r="O6" s="38"/>
      <x:c r="P6" s="38"/>
      <x:c r="Q6" s="38"/>
      <x:c r="R6" s="875"/>
      <x:c r="S6" s="875"/>
      <x:c r="T6" s="875"/>
      <x:c r="U6" s="875"/>
      <x:c r="V6" s="875"/>
      <x:c r="W6" s="875"/>
      <x:c r="X6" s="875"/>
      <x:c r="Y6" s="875"/>
      <x:c r="Z6" s="875"/>
      <x:c r="AA6" s="875"/>
      <x:c r="AB6" s="875"/>
      <x:c r="AC6" s="875"/>
      <x:c r="AD6" s="875"/>
      <x:c r="AE6" s="875"/>
      <x:c r="AF6" s="875"/>
      <x:c r="AG6" s="875"/>
      <x:c r="AH6" s="875"/>
      <x:c r="AI6" s="875"/>
      <x:c r="AJ6" s="875"/>
      <x:c r="AK6" s="875"/>
      <x:c r="AL6" s="875"/>
      <x:c r="AM6" s="875"/>
    </x:row>
    <x:row r="7">
      <x:c r="A7" s="813" t="str">
        <x:f>IF('_CONFIG'!$B$2="pt-BR","01
SALA DE CONTROLE
A barra lateral valida cenário, orçamento e sementes.","01
CONTROL ROOM
Sidebar validates scenario, budget, and seeds.")</x:f>
        <x:v>01
CONTROL ROOM
Sidebar validates scenario, budget, and seeds.</x:v>
      </x:c>
      <x:c r="B7" s="814"/>
      <x:c r="C7" s="815"/>
      <x:c r="D7" s="275" t="str">
        <x:f>IF('_CONFIG'!$B$2="pt-BR","02
APPS SCRIPT V8
Orquestra o trabalho e instancia o WebAssembly.","02
APPS SCRIPT V8
Orchestrates work and instantiates WebAssembly.")</x:f>
        <x:v>02
APPS SCRIPT V8
Orchestrates work and instantiates WebAssembly.</x:v>
      </x:c>
      <x:c r="E7" s="276"/>
      <x:c r="F7" s="277"/>
      <x:c r="G7" s="813" t="str">
        <x:f>IF('_CONFIG'!$B$2="pt-BR","03
RUST WASM
Executa o motor IG canônico com ponto fixo.","03
RUST WASM
Runs the canonical fixed-point IG engine.")</x:f>
        <x:v>03
RUST WASM
Runs the canonical fixed-point IG engine.</x:v>
      </x:c>
      <x:c r="H7" s="814"/>
      <x:c r="I7" s="815"/>
      <x:c r="J7" s="275" t="str">
        <x:f>IF('_CONFIG'!$B$2="pt-BR","04
AVALIADOR INDEPENDENTE
Recalcula o custo da ordem retornada antes da escrita.","04
INDEPENDENT EVALUATOR
Reprices the returned order before writing.")</x:f>
        <x:v>04
INDEPENDENT EVALUATOR
Reprices the returned order before writing.</x:v>
      </x:c>
      <x:c r="K7" s="276"/>
      <x:c r="L7" s="277"/>
      <x:c r="M7" s="813" t="str">
        <x:f>IF('_CONFIG'!$B$2="pt-BR","05
ESCRITA EM LOTE BLOQUEADA
Atualiza as tabelas técnicas uma única vez, sob DocumentLock.","05
LOCKED BATCH WRITE
Updates technical tables once, under DocumentLock.")</x:f>
        <x:v>05
LOCKED BATCH WRITE
Updates technical tables once, under DocumentLock.</x:v>
      </x:c>
      <x:c r="N7" s="814"/>
      <x:c r="O7" s="815"/>
      <x:c r="P7" s="835" t="str">
        <x:f>IF('_CONFIG'!$B$2="pt-BR","06
CAMADA DE BI
Fórmulas, tabelas e gráficos são atualizados a partir do contrato.","06
BI LAYER
Formulas, tables, and charts refresh from the contract.")</x:f>
        <x:v>06
BI LAYER
Formulas, tables, and charts refresh from the contract.</x:v>
      </x:c>
      <x:c r="Q7" s="836"/>
      <x:c r="R7" s="875"/>
      <x:c r="S7" s="875"/>
      <x:c r="T7" s="875"/>
      <x:c r="U7" s="875"/>
      <x:c r="V7" s="875"/>
      <x:c r="W7" s="875"/>
      <x:c r="X7" s="875"/>
      <x:c r="Y7" s="875"/>
      <x:c r="Z7" s="875"/>
      <x:c r="AA7" s="875"/>
      <x:c r="AB7" s="875"/>
      <x:c r="AC7" s="875"/>
      <x:c r="AD7" s="875"/>
      <x:c r="AE7" s="875"/>
      <x:c r="AF7" s="875"/>
      <x:c r="AG7" s="875"/>
      <x:c r="AH7" s="875"/>
      <x:c r="AI7" s="875"/>
      <x:c r="AJ7" s="875"/>
      <x:c r="AK7" s="875"/>
      <x:c r="AL7" s="875"/>
      <x:c r="AM7" s="875"/>
    </x:row>
    <x:row r="8">
      <x:c r="A8" s="816"/>
      <x:c r="B8" s="817"/>
      <x:c r="C8" s="818"/>
      <x:c r="D8" s="278"/>
      <x:c r="E8" s="279"/>
      <x:c r="F8" s="280"/>
      <x:c r="G8" s="816"/>
      <x:c r="H8" s="817"/>
      <x:c r="I8" s="818"/>
      <x:c r="J8" s="278"/>
      <x:c r="K8" s="279"/>
      <x:c r="L8" s="280"/>
      <x:c r="M8" s="816"/>
      <x:c r="N8" s="817"/>
      <x:c r="O8" s="818"/>
      <x:c r="P8" s="837"/>
      <x:c r="Q8" s="838"/>
      <x:c r="R8" s="875"/>
      <x:c r="S8" s="875"/>
      <x:c r="T8" s="875"/>
      <x:c r="U8" s="875"/>
      <x:c r="V8" s="875"/>
      <x:c r="W8" s="875"/>
      <x:c r="X8" s="875"/>
      <x:c r="Y8" s="875"/>
      <x:c r="Z8" s="875"/>
      <x:c r="AA8" s="875"/>
      <x:c r="AB8" s="875"/>
      <x:c r="AC8" s="875"/>
      <x:c r="AD8" s="875"/>
      <x:c r="AE8" s="875"/>
      <x:c r="AF8" s="875"/>
      <x:c r="AG8" s="875"/>
      <x:c r="AH8" s="875"/>
      <x:c r="AI8" s="875"/>
      <x:c r="AJ8" s="875"/>
      <x:c r="AK8" s="875"/>
      <x:c r="AL8" s="875"/>
      <x:c r="AM8" s="875"/>
    </x:row>
    <x:row r="9">
      <x:c r="A9" s="816"/>
      <x:c r="B9" s="817"/>
      <x:c r="C9" s="818"/>
      <x:c r="D9" s="278"/>
      <x:c r="E9" s="279"/>
      <x:c r="F9" s="280"/>
      <x:c r="G9" s="816"/>
      <x:c r="H9" s="817"/>
      <x:c r="I9" s="818"/>
      <x:c r="J9" s="278"/>
      <x:c r="K9" s="279"/>
      <x:c r="L9" s="280"/>
      <x:c r="M9" s="816"/>
      <x:c r="N9" s="817"/>
      <x:c r="O9" s="818"/>
      <x:c r="P9" s="837"/>
      <x:c r="Q9" s="838"/>
      <x:c r="R9" s="875"/>
      <x:c r="S9" s="875"/>
      <x:c r="T9" s="875"/>
      <x:c r="U9" s="875"/>
      <x:c r="V9" s="875"/>
      <x:c r="W9" s="875"/>
      <x:c r="X9" s="875"/>
      <x:c r="Y9" s="875"/>
      <x:c r="Z9" s="875"/>
      <x:c r="AA9" s="875"/>
      <x:c r="AB9" s="875"/>
      <x:c r="AC9" s="875"/>
      <x:c r="AD9" s="875"/>
      <x:c r="AE9" s="875"/>
      <x:c r="AF9" s="875"/>
      <x:c r="AG9" s="875"/>
      <x:c r="AH9" s="875"/>
      <x:c r="AI9" s="875"/>
      <x:c r="AJ9" s="875"/>
      <x:c r="AK9" s="875"/>
      <x:c r="AL9" s="875"/>
      <x:c r="AM9" s="875"/>
    </x:row>
    <x:row r="10">
      <x:c r="A10" s="816"/>
      <x:c r="B10" s="817"/>
      <x:c r="C10" s="818"/>
      <x:c r="D10" s="278"/>
      <x:c r="E10" s="279"/>
      <x:c r="F10" s="280"/>
      <x:c r="G10" s="816"/>
      <x:c r="H10" s="817"/>
      <x:c r="I10" s="818"/>
      <x:c r="J10" s="278"/>
      <x:c r="K10" s="279"/>
      <x:c r="L10" s="280"/>
      <x:c r="M10" s="816"/>
      <x:c r="N10" s="817"/>
      <x:c r="O10" s="818"/>
      <x:c r="P10" s="837"/>
      <x:c r="Q10" s="838"/>
      <x:c r="R10" s="875"/>
      <x:c r="S10" s="875"/>
      <x:c r="T10" s="875"/>
      <x:c r="U10" s="875"/>
      <x:c r="V10" s="875"/>
      <x:c r="W10" s="875"/>
      <x:c r="X10" s="875"/>
      <x:c r="Y10" s="875"/>
      <x:c r="Z10" s="875"/>
      <x:c r="AA10" s="875"/>
      <x:c r="AB10" s="875"/>
      <x:c r="AC10" s="875"/>
      <x:c r="AD10" s="875"/>
      <x:c r="AE10" s="875"/>
      <x:c r="AF10" s="875"/>
      <x:c r="AG10" s="875"/>
      <x:c r="AH10" s="875"/>
      <x:c r="AI10" s="875"/>
      <x:c r="AJ10" s="875"/>
      <x:c r="AK10" s="875"/>
      <x:c r="AL10" s="875"/>
      <x:c r="AM10" s="875"/>
    </x:row>
    <x:row r="11">
      <x:c r="A11" s="816"/>
      <x:c r="B11" s="817"/>
      <x:c r="C11" s="818"/>
      <x:c r="D11" s="278"/>
      <x:c r="E11" s="279"/>
      <x:c r="F11" s="280"/>
      <x:c r="G11" s="816"/>
      <x:c r="H11" s="817"/>
      <x:c r="I11" s="818"/>
      <x:c r="J11" s="278"/>
      <x:c r="K11" s="279"/>
      <x:c r="L11" s="280"/>
      <x:c r="M11" s="816"/>
      <x:c r="N11" s="817"/>
      <x:c r="O11" s="818"/>
      <x:c r="P11" s="837"/>
      <x:c r="Q11" s="838"/>
      <x:c r="R11" s="875"/>
      <x:c r="S11" s="875"/>
      <x:c r="T11" s="875"/>
      <x:c r="U11" s="875"/>
      <x:c r="V11" s="875"/>
      <x:c r="W11" s="875"/>
      <x:c r="X11" s="875"/>
      <x:c r="Y11" s="875"/>
      <x:c r="Z11" s="875"/>
      <x:c r="AA11" s="875"/>
      <x:c r="AB11" s="875"/>
      <x:c r="AC11" s="875"/>
      <x:c r="AD11" s="875"/>
      <x:c r="AE11" s="875"/>
      <x:c r="AF11" s="875"/>
      <x:c r="AG11" s="875"/>
      <x:c r="AH11" s="875"/>
      <x:c r="AI11" s="875"/>
      <x:c r="AJ11" s="875"/>
      <x:c r="AK11" s="875"/>
      <x:c r="AL11" s="875"/>
      <x:c r="AM11" s="875"/>
    </x:row>
    <x:row r="12">
      <x:c r="A12" s="816"/>
      <x:c r="B12" s="817"/>
      <x:c r="C12" s="818"/>
      <x:c r="D12" s="278"/>
      <x:c r="E12" s="279"/>
      <x:c r="F12" s="280"/>
      <x:c r="G12" s="816"/>
      <x:c r="H12" s="817"/>
      <x:c r="I12" s="818"/>
      <x:c r="J12" s="278"/>
      <x:c r="K12" s="279"/>
      <x:c r="L12" s="280"/>
      <x:c r="M12" s="816"/>
      <x:c r="N12" s="817"/>
      <x:c r="O12" s="818"/>
      <x:c r="P12" s="837"/>
      <x:c r="Q12" s="838"/>
      <x:c r="R12" s="875"/>
      <x:c r="S12" s="875"/>
      <x:c r="T12" s="875"/>
      <x:c r="U12" s="875"/>
      <x:c r="V12" s="875"/>
      <x:c r="W12" s="875"/>
      <x:c r="X12" s="875"/>
      <x:c r="Y12" s="875"/>
      <x:c r="Z12" s="875"/>
      <x:c r="AA12" s="875"/>
      <x:c r="AB12" s="875"/>
      <x:c r="AC12" s="875"/>
      <x:c r="AD12" s="875"/>
      <x:c r="AE12" s="875"/>
      <x:c r="AF12" s="875"/>
      <x:c r="AG12" s="875"/>
      <x:c r="AH12" s="875"/>
      <x:c r="AI12" s="875"/>
      <x:c r="AJ12" s="875"/>
      <x:c r="AK12" s="875"/>
      <x:c r="AL12" s="875"/>
      <x:c r="AM12" s="875"/>
    </x:row>
    <x:row r="13">
      <x:c r="A13" s="816"/>
      <x:c r="B13" s="817"/>
      <x:c r="C13" s="818"/>
      <x:c r="D13" s="278"/>
      <x:c r="E13" s="279"/>
      <x:c r="F13" s="280"/>
      <x:c r="G13" s="816"/>
      <x:c r="H13" s="817"/>
      <x:c r="I13" s="818"/>
      <x:c r="J13" s="278"/>
      <x:c r="K13" s="279"/>
      <x:c r="L13" s="280"/>
      <x:c r="M13" s="816"/>
      <x:c r="N13" s="817"/>
      <x:c r="O13" s="818"/>
      <x:c r="P13" s="837"/>
      <x:c r="Q13" s="838"/>
      <x:c r="R13" s="875"/>
      <x:c r="S13" s="875"/>
      <x:c r="T13" s="875"/>
      <x:c r="U13" s="875"/>
      <x:c r="V13" s="875"/>
      <x:c r="W13" s="875"/>
      <x:c r="X13" s="875"/>
      <x:c r="Y13" s="875"/>
      <x:c r="Z13" s="875"/>
      <x:c r="AA13" s="875"/>
      <x:c r="AB13" s="875"/>
      <x:c r="AC13" s="875"/>
      <x:c r="AD13" s="875"/>
      <x:c r="AE13" s="875"/>
      <x:c r="AF13" s="875"/>
      <x:c r="AG13" s="875"/>
      <x:c r="AH13" s="875"/>
      <x:c r="AI13" s="875"/>
      <x:c r="AJ13" s="875"/>
      <x:c r="AK13" s="875"/>
      <x:c r="AL13" s="875"/>
      <x:c r="AM13" s="875"/>
    </x:row>
    <x:row r="14">
      <x:c r="A14" s="816"/>
      <x:c r="B14" s="817"/>
      <x:c r="C14" s="818"/>
      <x:c r="D14" s="278"/>
      <x:c r="E14" s="279"/>
      <x:c r="F14" s="280"/>
      <x:c r="G14" s="816"/>
      <x:c r="H14" s="817"/>
      <x:c r="I14" s="818"/>
      <x:c r="J14" s="278"/>
      <x:c r="K14" s="279"/>
      <x:c r="L14" s="280"/>
      <x:c r="M14" s="816"/>
      <x:c r="N14" s="817"/>
      <x:c r="O14" s="818"/>
      <x:c r="P14" s="837"/>
      <x:c r="Q14" s="838"/>
      <x:c r="R14" s="875"/>
      <x:c r="S14" s="875"/>
      <x:c r="T14" s="875"/>
      <x:c r="U14" s="875"/>
      <x:c r="V14" s="875"/>
      <x:c r="W14" s="875"/>
      <x:c r="X14" s="875"/>
      <x:c r="Y14" s="875"/>
      <x:c r="Z14" s="875"/>
      <x:c r="AA14" s="875"/>
      <x:c r="AB14" s="875"/>
      <x:c r="AC14" s="875"/>
      <x:c r="AD14" s="875"/>
      <x:c r="AE14" s="875"/>
      <x:c r="AF14" s="875"/>
      <x:c r="AG14" s="875"/>
      <x:c r="AH14" s="875"/>
      <x:c r="AI14" s="875"/>
      <x:c r="AJ14" s="875"/>
      <x:c r="AK14" s="875"/>
      <x:c r="AL14" s="875"/>
      <x:c r="AM14" s="875"/>
    </x:row>
    <x:row r="15">
      <x:c r="A15" s="819"/>
      <x:c r="B15" s="820"/>
      <x:c r="C15" s="821"/>
      <x:c r="D15" s="281"/>
      <x:c r="E15" s="282"/>
      <x:c r="F15" s="283"/>
      <x:c r="G15" s="819"/>
      <x:c r="H15" s="820"/>
      <x:c r="I15" s="821"/>
      <x:c r="J15" s="281"/>
      <x:c r="K15" s="282"/>
      <x:c r="L15" s="283"/>
      <x:c r="M15" s="819"/>
      <x:c r="N15" s="820"/>
      <x:c r="O15" s="821"/>
      <x:c r="P15" s="839"/>
      <x:c r="Q15" s="840"/>
      <x:c r="R15" s="875"/>
      <x:c r="S15" s="875"/>
      <x:c r="T15" s="875"/>
      <x:c r="U15" s="875"/>
      <x:c r="V15" s="875"/>
      <x:c r="W15" s="875"/>
      <x:c r="X15" s="875"/>
      <x:c r="Y15" s="875"/>
      <x:c r="Z15" s="875"/>
      <x:c r="AA15" s="875"/>
      <x:c r="AB15" s="875"/>
      <x:c r="AC15" s="875"/>
      <x:c r="AD15" s="875"/>
      <x:c r="AE15" s="875"/>
      <x:c r="AF15" s="875"/>
      <x:c r="AG15" s="875"/>
      <x:c r="AH15" s="875"/>
      <x:c r="AI15" s="875"/>
      <x:c r="AJ15" s="875"/>
      <x:c r="AK15" s="875"/>
      <x:c r="AL15" s="875"/>
      <x:c r="AM15" s="875"/>
    </x:row>
    <x:row r="16">
      <x:c r="A16" s="38"/>
      <x:c r="B16" s="38"/>
      <x:c r="C16" s="38"/>
      <x:c r="D16" s="38"/>
      <x:c r="E16" s="38"/>
      <x:c r="F16" s="38"/>
      <x:c r="G16" s="38"/>
      <x:c r="H16" s="38"/>
      <x:c r="I16" s="38"/>
      <x:c r="J16" s="38"/>
      <x:c r="K16" s="38"/>
      <x:c r="L16" s="38"/>
      <x:c r="M16" s="38"/>
      <x:c r="N16" s="38"/>
      <x:c r="O16" s="38"/>
      <x:c r="P16" s="38"/>
      <x:c r="Q16" s="38"/>
      <x:c r="R16" s="875"/>
      <x:c r="S16" s="875"/>
      <x:c r="T16" s="875"/>
      <x:c r="U16" s="875"/>
      <x:c r="V16" s="875"/>
      <x:c r="W16" s="875"/>
      <x:c r="X16" s="875"/>
      <x:c r="Y16" s="875"/>
      <x:c r="Z16" s="875"/>
      <x:c r="AA16" s="875"/>
      <x:c r="AB16" s="875"/>
      <x:c r="AC16" s="875"/>
      <x:c r="AD16" s="875"/>
      <x:c r="AE16" s="875"/>
      <x:c r="AF16" s="875"/>
      <x:c r="AG16" s="875"/>
      <x:c r="AH16" s="875"/>
      <x:c r="AI16" s="875"/>
      <x:c r="AJ16" s="875"/>
      <x:c r="AK16" s="875"/>
      <x:c r="AL16" s="875"/>
      <x:c r="AM16" s="875"/>
    </x:row>
    <x:row r="17">
      <x:c r="A17" s="38"/>
      <x:c r="B17" s="38"/>
      <x:c r="C17" s="38"/>
      <x:c r="D17" s="38"/>
      <x:c r="E17" s="38"/>
      <x:c r="F17" s="38"/>
      <x:c r="G17" s="38"/>
      <x:c r="H17" s="38"/>
      <x:c r="I17" s="38"/>
      <x:c r="J17" s="38"/>
      <x:c r="K17" s="38"/>
      <x:c r="L17" s="38"/>
      <x:c r="M17" s="38"/>
      <x:c r="N17" s="38"/>
      <x:c r="O17" s="38"/>
      <x:c r="P17" s="38"/>
      <x:c r="Q17" s="38"/>
      <x:c r="R17" s="875"/>
      <x:c r="S17" s="875"/>
      <x:c r="T17" s="875"/>
      <x:c r="U17" s="875"/>
      <x:c r="V17" s="875"/>
      <x:c r="W17" s="875"/>
      <x:c r="X17" s="875"/>
      <x:c r="Y17" s="875"/>
      <x:c r="Z17" s="875"/>
      <x:c r="AA17" s="875"/>
      <x:c r="AB17" s="875"/>
      <x:c r="AC17" s="875"/>
      <x:c r="AD17" s="875"/>
      <x:c r="AE17" s="875"/>
      <x:c r="AF17" s="875"/>
      <x:c r="AG17" s="875"/>
      <x:c r="AH17" s="875"/>
      <x:c r="AI17" s="875"/>
      <x:c r="AJ17" s="875"/>
      <x:c r="AK17" s="875"/>
      <x:c r="AL17" s="875"/>
      <x:c r="AM17" s="875"/>
    </x:row>
    <x:row r="18">
      <x:c r="A18" s="294" t="str">
        <x:f>IF('_CONFIG'!$B$2="pt-BR","CONTROLES DE CONFIANÇA","TRUST CONTROLS")</x:f>
        <x:v>TRUST CONTROLS</x:v>
      </x:c>
      <x:c r="B18" s="294"/>
      <x:c r="C18" s="294"/>
      <x:c r="D18" s="294"/>
      <x:c r="E18" s="294"/>
      <x:c r="F18" s="294"/>
      <x:c r="G18" s="294"/>
      <x:c r="H18" s="294"/>
      <x:c r="I18" s="38"/>
      <x:c r="J18" s="184" t="str">
        <x:f>IF('_CONFIG'!$B$2="pt-BR","PERFIL DE IMPLEMENTAÇÃO","IMPLEMENTATION PROFILE")</x:f>
        <x:v>IMPLEMENTATION PROFILE</x:v>
      </x:c>
      <x:c r="K18" s="184"/>
      <x:c r="L18" s="184"/>
      <x:c r="M18" s="184"/>
      <x:c r="N18" s="184"/>
      <x:c r="O18" s="184"/>
      <x:c r="P18" s="184"/>
      <x:c r="Q18" s="184"/>
      <x:c r="R18" s="875"/>
      <x:c r="S18" s="875"/>
      <x:c r="T18" s="875"/>
      <x:c r="U18" s="875"/>
      <x:c r="V18" s="875"/>
      <x:c r="W18" s="875"/>
      <x:c r="X18" s="875"/>
      <x:c r="Y18" s="875"/>
      <x:c r="Z18" s="875"/>
      <x:c r="AA18" s="875"/>
      <x:c r="AB18" s="875"/>
      <x:c r="AC18" s="875"/>
      <x:c r="AD18" s="875"/>
      <x:c r="AE18" s="875"/>
      <x:c r="AF18" s="875"/>
      <x:c r="AG18" s="875"/>
      <x:c r="AH18" s="875"/>
      <x:c r="AI18" s="875"/>
      <x:c r="AJ18" s="875"/>
      <x:c r="AK18" s="875"/>
      <x:c r="AL18" s="875"/>
      <x:c r="AM18" s="875"/>
    </x:row>
    <x:row r="19">
      <x:c r="A19" s="294"/>
      <x:c r="B19" s="294"/>
      <x:c r="C19" s="294"/>
      <x:c r="D19" s="294"/>
      <x:c r="E19" s="294"/>
      <x:c r="F19" s="294"/>
      <x:c r="G19" s="294"/>
      <x:c r="H19" s="294"/>
      <x:c r="I19" s="38"/>
      <x:c r="J19" s="184"/>
      <x:c r="K19" s="184"/>
      <x:c r="L19" s="184"/>
      <x:c r="M19" s="184"/>
      <x:c r="N19" s="184"/>
      <x:c r="O19" s="184"/>
      <x:c r="P19" s="184"/>
      <x:c r="Q19" s="184"/>
      <x:c r="R19" s="875"/>
      <x:c r="S19" s="875"/>
      <x:c r="T19" s="875"/>
      <x:c r="U19" s="875"/>
      <x:c r="V19" s="875"/>
      <x:c r="W19" s="875"/>
      <x:c r="X19" s="875"/>
      <x:c r="Y19" s="875"/>
      <x:c r="Z19" s="875"/>
      <x:c r="AA19" s="875"/>
      <x:c r="AB19" s="875"/>
      <x:c r="AC19" s="875"/>
      <x:c r="AD19" s="875"/>
      <x:c r="AE19" s="875"/>
      <x:c r="AF19" s="875"/>
      <x:c r="AG19" s="875"/>
      <x:c r="AH19" s="875"/>
      <x:c r="AI19" s="875"/>
      <x:c r="AJ19" s="875"/>
      <x:c r="AK19" s="875"/>
      <x:c r="AL19" s="875"/>
      <x:c r="AM19" s="875"/>
    </x:row>
    <x:row r="20" ht="19.5" customHeight="1">
      <x:c r="A20" s="478" t="str">
        <x:f>IF('_CONFIG'!$B$2="pt-BR","Controle","Control")</x:f>
        <x:v>Control</x:v>
      </x:c>
      <x:c r="B20" s="479"/>
      <x:c r="C20" s="479" t="str">
        <x:f>IF('_CONFIG'!$B$2="pt-BR","Status","Status")</x:f>
        <x:v>Status</x:v>
      </x:c>
      <x:c r="D20" s="479" t="str">
        <x:f>IF('_CONFIG'!$B$2="pt-BR","Evidência","Evidence")</x:f>
        <x:v>Evidence</x:v>
      </x:c>
      <x:c r="E20" s="479"/>
      <x:c r="F20" s="479"/>
      <x:c r="G20" s="479" t="str">
        <x:f>IF('_CONFIG'!$B$2="pt-BR","Finalidade","Purpose")</x:f>
        <x:v>Purpose</x:v>
      </x:c>
      <x:c r="H20" s="480"/>
      <x:c r="I20" s="38"/>
      <x:c r="J20" s="478" t="str">
        <x:f>IF('_CONFIG'!$B$2="pt-BR","Atributo","Attribute")</x:f>
        <x:v>Attribute</x:v>
      </x:c>
      <x:c r="K20" s="479"/>
      <x:c r="L20" s="479" t="str">
        <x:f>IF('_CONFIG'!$B$2="pt-BR","Valor","Value")</x:f>
        <x:v>Value</x:v>
      </x:c>
      <x:c r="M20" s="479"/>
      <x:c r="N20" s="479" t="str">
        <x:f>IF('_CONFIG'!$B$2="pt-BR","Decisão de projeto","Design choice")</x:f>
        <x:v>Design choice</x:v>
      </x:c>
      <x:c r="O20" s="479"/>
      <x:c r="P20" s="479" t="str">
        <x:f>IF('_CONFIG'!$B$2="pt-BR","Motivo","Why")</x:f>
        <x:v>Why</x:v>
      </x:c>
      <x:c r="Q20" s="480"/>
      <x:c r="R20" s="875"/>
      <x:c r="S20" s="875"/>
      <x:c r="T20" s="875"/>
      <x:c r="U20" s="875"/>
      <x:c r="V20" s="875"/>
      <x:c r="W20" s="875"/>
      <x:c r="X20" s="875"/>
      <x:c r="Y20" s="875"/>
      <x:c r="Z20" s="875"/>
      <x:c r="AA20" s="875"/>
      <x:c r="AB20" s="875"/>
      <x:c r="AC20" s="875"/>
      <x:c r="AD20" s="875"/>
      <x:c r="AE20" s="875"/>
      <x:c r="AF20" s="875"/>
      <x:c r="AG20" s="875"/>
      <x:c r="AH20" s="875"/>
      <x:c r="AI20" s="875"/>
      <x:c r="AJ20" s="875"/>
      <x:c r="AK20" s="875"/>
      <x:c r="AL20" s="875"/>
      <x:c r="AM20" s="875"/>
    </x:row>
    <x:row r="21" ht="22.5" customHeight="1">
      <x:c r="A21" s="845" t="str">
        <x:f>IF('_CONFIG'!$B$2="pt-BR","Fechamento do objetivo","Objective closes")</x:f>
        <x:v>Objective closes</x:v>
      </x:c>
      <x:c r="B21" s="845"/>
      <x:c r="C21" s="845" t="str">
        <x:f>IF('_CONFIG'!$B$2="pt-BR",IF('_AUDIT'!D2="PASS","APROVADO","REPROVADO"),'_AUDIT'!D2)</x:f>
        <x:v>PASS</x:v>
      </x:c>
      <x:c r="D21" s="845" t="str">
        <x:f>IF('_CONFIG'!$B$2="pt-BR","4 componentes de custo","4 cost components")</x:f>
        <x:v>4 cost components</x:v>
      </x:c>
      <x:c r="E21" s="845"/>
      <x:c r="F21" s="845"/>
      <x:c r="G21" s="845" t="str">
        <x:f>IF('_CONFIG'!$B$2="pt-BR","Nenhum valor sem custo","No unpriced score")</x:f>
        <x:v>No unpriced score</x:v>
      </x:c>
      <x:c r="H21" s="845"/>
      <x:c r="I21" s="38"/>
      <x:c r="J21" s="845" t="str">
        <x:f>IF('_CONFIG'!$B$2="pt-BR","Solver","Solver")</x:f>
        <x:v>Solver</x:v>
      </x:c>
      <x:c r="K21" s="845"/>
      <x:c r="L21" s="845" t="str">
        <x:f>IF('_CONFIG'!$B$2="pt-BR","Rust WebAssembly","Rust WebAssembly")</x:f>
        <x:v>Rust WebAssembly</x:v>
      </x:c>
      <x:c r="M21" s="845"/>
      <x:c r="N21" s="845" t="str">
        <x:f>IF('_CONFIG'!$B$2="pt-BR","Rust → WASM","Rust → WASM")</x:f>
        <x:v>Rust → WASM</x:v>
      </x:c>
      <x:c r="O21" s="845"/>
      <x:c r="P21" s="845" t="str">
        <x:f>IF('_CONFIG'!$B$2="pt-BR","Núcleo canônico portátil","Portable canonical core")</x:f>
        <x:v>Portable canonical core</x:v>
      </x:c>
      <x:c r="Q21" s="845"/>
      <x:c r="R21" s="875"/>
      <x:c r="S21" s="875"/>
      <x:c r="T21" s="875"/>
      <x:c r="U21" s="875"/>
      <x:c r="V21" s="875"/>
      <x:c r="W21" s="875"/>
      <x:c r="X21" s="875"/>
      <x:c r="Y21" s="875"/>
      <x:c r="Z21" s="875"/>
      <x:c r="AA21" s="875"/>
      <x:c r="AB21" s="875"/>
      <x:c r="AC21" s="875"/>
      <x:c r="AD21" s="875"/>
      <x:c r="AE21" s="875"/>
      <x:c r="AF21" s="875"/>
      <x:c r="AG21" s="875"/>
      <x:c r="AH21" s="875"/>
      <x:c r="AI21" s="875"/>
      <x:c r="AJ21" s="875"/>
      <x:c r="AK21" s="875"/>
      <x:c r="AL21" s="875"/>
      <x:c r="AM21" s="875"/>
    </x:row>
    <x:row r="22" ht="22.5" customHeight="1">
      <x:c r="A22" s="845" t="str">
        <x:f>IF('_CONFIG'!$B$2="pt-BR","Jobs contabilizados","Jobs accounted")</x:f>
        <x:v>Jobs accounted</x:v>
      </x:c>
      <x:c r="B22" s="845"/>
      <x:c r="C22" s="845" t="str">
        <x:f>IF('_CONFIG'!$B$2="pt-BR",IF('_AUDIT'!D3="PASS","APROVADO","REPROVADO"),'_AUDIT'!D3)</x:f>
        <x:v>PASS</x:v>
      </x:c>
      <x:c r="D22" s="845" t="str">
        <x:f>IF('_CONFIG'!$B$2="pt-BR","programados + rejeitados","scheduled + rejected")</x:f>
        <x:v>scheduled + rejected</x:v>
      </x:c>
      <x:c r="E22" s="845"/>
      <x:c r="F22" s="845"/>
      <x:c r="G22" s="845" t="str">
        <x:f>IF('_CONFIG'!$B$2="pt-BR","Nenhum job perdido","No lost job")</x:f>
        <x:v>No lost job</x:v>
      </x:c>
      <x:c r="H22" s="845"/>
      <x:c r="I22" s="38"/>
      <x:c r="J22" s="845" t="str">
        <x:f>IF('_CONFIG'!$B$2="pt-BR","Aritmética","Arithmetic")</x:f>
        <x:v>Arithmetic</x:v>
      </x:c>
      <x:c r="K22" s="845"/>
      <x:c r="L22" s="845" t="n">
        <x:f>'_STATE'!$B$7</x:f>
        <x:v>10</x:v>
      </x:c>
      <x:c r="M22" s="845"/>
      <x:c r="N22" s="845" t="str">
        <x:f>IF('_CONFIG'!$B$2="pt-BR","Ponto fixo","Fixed-point")</x:f>
        <x:v>Fixed-point</x:v>
      </x:c>
      <x:c r="O22" s="845"/>
      <x:c r="P22" s="845" t="str">
        <x:f>IF('_CONFIG'!$B$2="pt-BR","Objetivo estável","Stable objective")</x:f>
        <x:v>Stable objective</x:v>
      </x:c>
      <x:c r="Q22" s="845"/>
      <x:c r="R22" s="875"/>
      <x:c r="S22" s="875"/>
      <x:c r="T22" s="875"/>
      <x:c r="U22" s="875"/>
      <x:c r="V22" s="875"/>
      <x:c r="W22" s="875"/>
      <x:c r="X22" s="875"/>
      <x:c r="Y22" s="875"/>
      <x:c r="Z22" s="875"/>
      <x:c r="AA22" s="875"/>
      <x:c r="AB22" s="875"/>
      <x:c r="AC22" s="875"/>
      <x:c r="AD22" s="875"/>
      <x:c r="AE22" s="875"/>
      <x:c r="AF22" s="875"/>
      <x:c r="AG22" s="875"/>
      <x:c r="AH22" s="875"/>
      <x:c r="AI22" s="875"/>
      <x:c r="AJ22" s="875"/>
      <x:c r="AK22" s="875"/>
      <x:c r="AL22" s="875"/>
      <x:c r="AM22" s="875"/>
    </x:row>
    <x:row r="23" ht="22.5" customHeight="1">
      <x:c r="A23" s="845" t="str">
        <x:f>IF('_CONFIG'!$B$2="pt-BR","Restrições rígidas","Hard constraints")</x:f>
        <x:v>Hard constraints</x:v>
      </x:c>
      <x:c r="B23" s="845"/>
      <x:c r="C23" s="845" t="str">
        <x:f>IF('_CONFIG'!$B$2="pt-BR",IF('_AUDIT'!D4="PASS","APROVADO","REPROVADO"),'_AUDIT'!D4)</x:f>
        <x:v>PASS</x:v>
      </x:c>
      <x:c r="D23" s="845" t="str">
        <x:f>IF('_CONFIG'!$B$2="pt-BR","indicador de viabilidade","feasible flag")</x:f>
        <x:v>feasible flag</x:v>
      </x:c>
      <x:c r="E23" s="845"/>
      <x:c r="F23" s="845"/>
      <x:c r="G23" s="845" t="str">
        <x:f>IF('_CONFIG'!$B$2="pt-BR","Nenhuma inviabilidade oculta","No hidden infeasibility")</x:f>
        <x:v>No hidden infeasibility</x:v>
      </x:c>
      <x:c r="H23" s="845"/>
      <x:c r="I23" s="38"/>
      <x:c r="J23" s="845" t="str">
        <x:f>IF('_CONFIG'!$B$2="pt-BR","Carga","Payload")</x:f>
        <x:v>Payload</x:v>
      </x:c>
      <x:c r="K23" s="845"/>
      <x:c r="L23" s="845" t="n">
        <x:f>'_STATE'!$B$8</x:f>
        <x:v>86871</x:v>
      </x:c>
      <x:c r="M23" s="845"/>
      <x:c r="N23" s="845" t="str">
        <x:f>IF('_CONFIG'!$B$2="pt-BR","Embutida","Embedded")</x:f>
        <x:v>Embedded</x:v>
      </x:c>
      <x:c r="O23" s="845"/>
      <x:c r="P23" s="845" t="str">
        <x:f>IF('_CONFIG'!$B$2="pt-BR","Sem dependência em execução","No runtime dependency")</x:f>
        <x:v>No runtime dependency</x:v>
      </x:c>
      <x:c r="Q23" s="845"/>
      <x:c r="R23" s="875"/>
      <x:c r="S23" s="875"/>
      <x:c r="T23" s="875"/>
      <x:c r="U23" s="875"/>
      <x:c r="V23" s="875"/>
      <x:c r="W23" s="875"/>
      <x:c r="X23" s="875"/>
      <x:c r="Y23" s="875"/>
      <x:c r="Z23" s="875"/>
      <x:c r="AA23" s="875"/>
      <x:c r="AB23" s="875"/>
      <x:c r="AC23" s="875"/>
      <x:c r="AD23" s="875"/>
      <x:c r="AE23" s="875"/>
      <x:c r="AF23" s="875"/>
      <x:c r="AG23" s="875"/>
      <x:c r="AH23" s="875"/>
      <x:c r="AI23" s="875"/>
      <x:c r="AJ23" s="875"/>
      <x:c r="AK23" s="875"/>
      <x:c r="AL23" s="875"/>
      <x:c r="AM23" s="875"/>
    </x:row>
    <x:row r="24" ht="22.5" customHeight="1">
      <x:c r="A24" s="845" t="str">
        <x:f>IF('_CONFIG'!$B$2="pt-BR","Jobs únicos","Unique jobs")</x:f>
        <x:v>Unique jobs</x:v>
      </x:c>
      <x:c r="B24" s="845"/>
      <x:c r="C24" s="845" t="str">
        <x:f>IF('_CONFIG'!$B$2="pt-BR",IF('_AUDIT'!D5="PASS","APROVADO","REPROVADO"),'_AUDIT'!D5)</x:f>
        <x:v>PASS</x:v>
      </x:c>
      <x:c r="D24" s="845" t="str">
        <x:f>IF('_CONFIG'!$B$2="pt-BR","varredura de duplicatas","duplicate scan")</x:f>
        <x:v>duplicate scan</x:v>
      </x:c>
      <x:c r="E24" s="845"/>
      <x:c r="F24" s="845"/>
      <x:c r="G24" s="845" t="str">
        <x:f>IF('_CONFIG'!$B$2="pt-BR","Nenhuma decisão duplicada","No duplicate decision")</x:f>
        <x:v>No duplicate decision</x:v>
      </x:c>
      <x:c r="H24" s="845"/>
      <x:c r="I24" s="38"/>
      <x:c r="J24" s="845" t="str">
        <x:f>IF('_CONFIG'!$B$2="pt-BR","Escritas","Writes")</x:f>
        <x:v>Writes</x:v>
      </x:c>
      <x:c r="K24" s="845"/>
      <x:c r="L24" s="845" t="str">
        <x:f>IF('_CONFIG'!$B$2="pt-BR","Somente em lote","Batch only")</x:f>
        <x:v>Batch only</x:v>
      </x:c>
      <x:c r="M24" s="845"/>
      <x:c r="N24" s="845" t="str">
        <x:f>IF('_CONFIG'!$B$2="pt-BR","Tabelas técnicas","Technical tables")</x:f>
        <x:v>Technical tables</x:v>
      </x:c>
      <x:c r="O24" s="845"/>
      <x:c r="P24" s="845" t="str">
        <x:f>IF('_CONFIG'!$B$2="pt-BR","Uso eficiente da cota","Quota-efficient")</x:f>
        <x:v>Quota-efficient</x:v>
      </x:c>
      <x:c r="Q24" s="845"/>
      <x:c r="R24" s="875"/>
      <x:c r="S24" s="875"/>
      <x:c r="T24" s="875"/>
      <x:c r="U24" s="875"/>
      <x:c r="V24" s="875"/>
      <x:c r="W24" s="875"/>
      <x:c r="X24" s="875"/>
      <x:c r="Y24" s="875"/>
      <x:c r="Z24" s="875"/>
      <x:c r="AA24" s="875"/>
      <x:c r="AB24" s="875"/>
      <x:c r="AC24" s="875"/>
      <x:c r="AD24" s="875"/>
      <x:c r="AE24" s="875"/>
      <x:c r="AF24" s="875"/>
      <x:c r="AG24" s="875"/>
      <x:c r="AH24" s="875"/>
      <x:c r="AI24" s="875"/>
      <x:c r="AJ24" s="875"/>
      <x:c r="AK24" s="875"/>
      <x:c r="AL24" s="875"/>
      <x:c r="AM24" s="875"/>
    </x:row>
    <x:row r="25" ht="22.5" customHeight="1">
      <x:c r="A25" s="845" t="str">
        <x:f>IF('_CONFIG'!$B$2="pt-BR","Melhor monotônico","Monotone best")</x:f>
        <x:v>Monotone best</x:v>
      </x:c>
      <x:c r="B25" s="845"/>
      <x:c r="C25" s="845" t="str">
        <x:f>IF('_CONFIG'!$B$2="pt-BR",IF('_AUDIT'!D6="PASS","APROVADO","REPROVADO"),'_AUDIT'!D6)</x:f>
        <x:v>PASS</x:v>
      </x:c>
      <x:c r="D25" s="845" t="str">
        <x:f>IF('_CONFIG'!$B$2="pt-BR","auditoria de checkpoints","checkpoint audit")</x:f>
        <x:v>checkpoint audit</x:v>
      </x:c>
      <x:c r="E25" s="845"/>
      <x:c r="F25" s="845"/>
      <x:c r="G25" s="845" t="str">
        <x:f>IF('_CONFIG'!$B$2="pt-BR","Melhor-até-agora honesto","Honest best-so-far")</x:f>
        <x:v>Honest best-so-far</x:v>
      </x:c>
      <x:c r="H25" s="845"/>
      <x:c r="I25" s="38"/>
      <x:c r="J25" s="845" t="str">
        <x:f>IF('_CONFIG'!$B$2="pt-BR","Concorrência","Concurrency")</x:f>
        <x:v>Concurrency</x:v>
      </x:c>
      <x:c r="K25" s="845"/>
      <x:c r="L25" s="845" t="str">
        <x:f>IF('_CONFIG'!$B$2="pt-BR","DocumentLock","DocumentLock")</x:f>
        <x:v>DocumentLock</x:v>
      </x:c>
      <x:c r="M25" s="845"/>
      <x:c r="N25" s="845" t="str">
        <x:f>IF('_CONFIG'!$B$2="pt-BR","Um commit por vez","One commit at a time")</x:f>
        <x:v>One commit at a time</x:v>
      </x:c>
      <x:c r="O25" s="845"/>
      <x:c r="P25" s="845" t="str">
        <x:f>IF('_CONFIG'!$B$2="pt-BR","Sem colisões","No collisions")</x:f>
        <x:v>No collisions</x:v>
      </x:c>
      <x:c r="Q25" s="845"/>
      <x:c r="R25" s="875"/>
      <x:c r="S25" s="875"/>
      <x:c r="T25" s="875"/>
      <x:c r="U25" s="875"/>
      <x:c r="V25" s="875"/>
      <x:c r="W25" s="875"/>
      <x:c r="X25" s="875"/>
      <x:c r="Y25" s="875"/>
      <x:c r="Z25" s="875"/>
      <x:c r="AA25" s="875"/>
      <x:c r="AB25" s="875"/>
      <x:c r="AC25" s="875"/>
      <x:c r="AD25" s="875"/>
      <x:c r="AE25" s="875"/>
      <x:c r="AF25" s="875"/>
      <x:c r="AG25" s="875"/>
      <x:c r="AH25" s="875"/>
      <x:c r="AI25" s="875"/>
      <x:c r="AJ25" s="875"/>
      <x:c r="AK25" s="875"/>
      <x:c r="AL25" s="875"/>
      <x:c r="AM25" s="875"/>
    </x:row>
    <x:row r="26" ht="22.5" customHeight="1">
      <x:c r="A26" s="845" t="str">
        <x:f>IF('_CONFIG'!$B$2="pt-BR","Orçamentos iguais","Equal budgets")</x:f>
        <x:v>Equal budgets</x:v>
      </x:c>
      <x:c r="B26" s="845"/>
      <x:c r="C26" s="845" t="str">
        <x:f>IF('_CONFIG'!$B$2="pt-BR",IF('_AUDIT'!D7="PASS","APROVADO","REPROVADO"),'_AUDIT'!D7)</x:f>
        <x:v>PASS</x:v>
      </x:c>
      <x:c r="D26" s="845" t="str">
        <x:f>IF('_CONFIG'!$B$2="pt-BR","verificação por rodada","per-run check")</x:f>
        <x:v>per-run check</x:v>
      </x:c>
      <x:c r="E26" s="845"/>
      <x:c r="F26" s="845"/>
      <x:c r="G26" s="845" t="str">
        <x:f>IF('_CONFIG'!$B$2="pt-BR","Comparação justa entre sementes","Fair seed comparison")</x:f>
        <x:v>Fair seed comparison</x:v>
      </x:c>
      <x:c r="H26" s="845"/>
      <x:c r="I26" s="38"/>
      <x:c r="J26" s="845" t="str">
        <x:f>IF('_CONFIG'!$B$2="pt-BR","Autorização","Authorization")</x:f>
        <x:v>Authorization</x:v>
      </x:c>
      <x:c r="K26" s="845"/>
      <x:c r="L26" s="845" t="str">
        <x:f>IF('_CONFIG'!$B$2="pt-BR","@OnlyCurrentDoc","@OnlyCurrentDoc")</x:f>
        <x:v>@OnlyCurrentDoc</x:v>
      </x:c>
      <x:c r="M26" s="845"/>
      <x:c r="N26" s="845" t="str">
        <x:f>IF('_CONFIG'!$B$2="pt-BR","Escopo da planilha","Workbook-scoped")</x:f>
        <x:v>Workbook-scoped</x:v>
      </x:c>
      <x:c r="O26" s="845"/>
      <x:c r="P26" s="845" t="str">
        <x:f>IF('_CONFIG'!$B$2="pt-BR","Privilégio mínimo","Least privilege")</x:f>
        <x:v>Least privilege</x:v>
      </x:c>
      <x:c r="Q26" s="845"/>
      <x:c r="R26" s="875"/>
      <x:c r="S26" s="875"/>
      <x:c r="T26" s="875"/>
      <x:c r="U26" s="875"/>
      <x:c r="V26" s="875"/>
      <x:c r="W26" s="875"/>
      <x:c r="X26" s="875"/>
      <x:c r="Y26" s="875"/>
      <x:c r="Z26" s="875"/>
      <x:c r="AA26" s="875"/>
      <x:c r="AB26" s="875"/>
      <x:c r="AC26" s="875"/>
      <x:c r="AD26" s="875"/>
      <x:c r="AE26" s="875"/>
      <x:c r="AF26" s="875"/>
      <x:c r="AG26" s="875"/>
      <x:c r="AH26" s="875"/>
      <x:c r="AI26" s="875"/>
      <x:c r="AJ26" s="875"/>
      <x:c r="AK26" s="875"/>
      <x:c r="AL26" s="875"/>
      <x:c r="AM26" s="875"/>
    </x:row>
    <x:row r="27" ht="22.5" customHeight="1">
      <x:c r="A27" s="845" t="str">
        <x:f>IF('_CONFIG'!$B$2="pt-BR","Sementes únicas","Unique seeds")</x:f>
        <x:v>Unique seeds</x:v>
      </x:c>
      <x:c r="B27" s="845"/>
      <x:c r="C27" s="845" t="str">
        <x:f>IF('_CONFIG'!$B$2="pt-BR",IF('_AUDIT'!D8="PASS","APROVADO","REPROVADO"),'_AUDIT'!D8)</x:f>
        <x:v>PASS</x:v>
      </x:c>
      <x:c r="D27" s="845" t="str">
        <x:f>IF('_CONFIG'!$B$2="pt-BR","varredura de duplicatas","duplicate scan")</x:f>
        <x:v>duplicate scan</x:v>
      </x:c>
      <x:c r="E27" s="845"/>
      <x:c r="F27" s="845"/>
      <x:c r="G27" s="845" t="str">
        <x:f>IF('_CONFIG'!$B$2="pt-BR","Repetição independente","Independent replication")</x:f>
        <x:v>Independent replication</x:v>
      </x:c>
      <x:c r="H27" s="845"/>
      <x:c r="I27" s="38"/>
      <x:c r="J27" s="845" t="str">
        <x:f>IF('_CONFIG'!$B$2="pt-BR","Nota de execução","Runtime note")</x:f>
        <x:v>Runtime note</x:v>
      </x:c>
      <x:c r="K27" s="845"/>
      <x:c r="L27" s="845" t="str">
        <x:f>'_STATE'!$B$9</x:f>
        <x:v>Node.js local build</x:v>
      </x:c>
      <x:c r="M27" s="845"/>
      <x:c r="N27" s="845" t="str">
        <x:f>IF('_CONFIG'!$B$2="pt-BR","Métrica contextual","Contextual metric")</x:f>
        <x:v>Contextual metric</x:v>
      </x:c>
      <x:c r="O27" s="845"/>
      <x:c r="P27" s="845" t="str">
        <x:f>IF('_CONFIG'!$B$2="pt-BR","Sem benchmark enganoso","No false benchmark")</x:f>
        <x:v>No false benchmark</x:v>
      </x:c>
      <x:c r="Q27" s="845"/>
      <x:c r="R27" s="875"/>
      <x:c r="S27" s="875"/>
      <x:c r="T27" s="875"/>
      <x:c r="U27" s="875"/>
      <x:c r="V27" s="875"/>
      <x:c r="W27" s="875"/>
      <x:c r="X27" s="875"/>
      <x:c r="Y27" s="875"/>
      <x:c r="Z27" s="875"/>
      <x:c r="AA27" s="875"/>
      <x:c r="AB27" s="875"/>
      <x:c r="AC27" s="875"/>
      <x:c r="AD27" s="875"/>
      <x:c r="AE27" s="875"/>
      <x:c r="AF27" s="875"/>
      <x:c r="AG27" s="875"/>
      <x:c r="AH27" s="875"/>
      <x:c r="AI27" s="875"/>
      <x:c r="AJ27" s="875"/>
      <x:c r="AK27" s="875"/>
      <x:c r="AL27" s="875"/>
      <x:c r="AM27" s="875"/>
    </x:row>
    <x:row r="28" ht="22.5" customHeight="1">
      <x:c r="A28" s="845" t="str">
        <x:f>IF('_CONFIG'!$B$2="pt-BR","Referência histórica","Historical reference")</x:f>
        <x:v>Historical reference</x:v>
      </x:c>
      <x:c r="B28" s="845"/>
      <x:c r="C28" s="845" t="str">
        <x:f>IF('_CONFIG'!$B$2="pt-BR",IF('_AUDIT'!D9="PASS","APROVADO","REPROVADO"),'_AUDIT'!D9)</x:f>
        <x:v>PASS</x:v>
      </x:c>
      <x:c r="D28" s="845" t="str">
        <x:f>IF('_CONFIG'!$B$2="pt-BR","metadados do catálogo","catalog metadata")</x:f>
        <x:v>catalog metadata</x:v>
      </x:c>
      <x:c r="E28" s="845"/>
      <x:c r="F28" s="845"/>
      <x:c r="G28" s="845" t="str">
        <x:f>IF('_CONFIG'!$B$2="pt-BR","Comparação honesta","Honest comparison")</x:f>
        <x:v>Honest comparison</x:v>
      </x:c>
      <x:c r="H28" s="845"/>
      <x:c r="I28" s="38"/>
      <x:c r="J28" s="38"/>
      <x:c r="K28" s="38"/>
      <x:c r="L28" s="38"/>
      <x:c r="M28" s="38"/>
      <x:c r="N28" s="38"/>
      <x:c r="O28" s="38"/>
      <x:c r="P28" s="38"/>
      <x:c r="Q28" s="38"/>
      <x:c r="R28" s="875"/>
      <x:c r="S28" s="875"/>
      <x:c r="T28" s="875"/>
      <x:c r="U28" s="875"/>
      <x:c r="V28" s="875"/>
      <x:c r="W28" s="875"/>
      <x:c r="X28" s="875"/>
      <x:c r="Y28" s="875"/>
      <x:c r="Z28" s="875"/>
      <x:c r="AA28" s="875"/>
      <x:c r="AB28" s="875"/>
      <x:c r="AC28" s="875"/>
      <x:c r="AD28" s="875"/>
      <x:c r="AE28" s="875"/>
      <x:c r="AF28" s="875"/>
      <x:c r="AG28" s="875"/>
      <x:c r="AH28" s="875"/>
      <x:c r="AI28" s="875"/>
      <x:c r="AJ28" s="875"/>
      <x:c r="AK28" s="875"/>
      <x:c r="AL28" s="875"/>
      <x:c r="AM28" s="875"/>
    </x:row>
    <x:row r="29" ht="22.5" customHeight="1">
      <x:c r="A29" s="845" t="str">
        <x:f>IF('_CONFIG'!$B$2="pt-BR","Motor canônico","Canonical engine")</x:f>
        <x:v>Canonical engine</x:v>
      </x:c>
      <x:c r="B29" s="845"/>
      <x:c r="C29" s="845" t="str">
        <x:f>IF('_CONFIG'!$B$2="pt-BR",IF('_AUDIT'!D10="PASS","APROVADO","REPROVADO"),'_AUDIT'!D10)</x:f>
        <x:v>PASS</x:v>
      </x:c>
      <x:c r="D29" s="845" t="str">
        <x:f>IF('_CONFIG'!$B$2="pt-BR","contrato do motor","engine contract")</x:f>
        <x:v>engine contract</x:v>
      </x:c>
      <x:c r="E29" s="845"/>
      <x:c r="F29" s="845"/>
      <x:c r="G29" s="845" t="str">
        <x:f>IF('_CONFIG'!$B$2="pt-BR","Mesmo núcleo do solver","Same solver core")</x:f>
        <x:v>Same solver core</x:v>
      </x:c>
      <x:c r="H29" s="845"/>
      <x:c r="I29" s="38"/>
      <x:c r="J29" s="38"/>
      <x:c r="K29" s="38"/>
      <x:c r="L29" s="38"/>
      <x:c r="M29" s="38"/>
      <x:c r="N29" s="38"/>
      <x:c r="O29" s="38"/>
      <x:c r="P29" s="38"/>
      <x:c r="Q29" s="38"/>
      <x:c r="R29" s="875"/>
      <x:c r="S29" s="875"/>
      <x:c r="T29" s="875"/>
      <x:c r="U29" s="875"/>
      <x:c r="V29" s="875"/>
      <x:c r="W29" s="875"/>
      <x:c r="X29" s="875"/>
      <x:c r="Y29" s="875"/>
      <x:c r="Z29" s="875"/>
      <x:c r="AA29" s="875"/>
      <x:c r="AB29" s="875"/>
      <x:c r="AC29" s="875"/>
      <x:c r="AD29" s="875"/>
      <x:c r="AE29" s="875"/>
      <x:c r="AF29" s="875"/>
      <x:c r="AG29" s="875"/>
      <x:c r="AH29" s="875"/>
      <x:c r="AI29" s="875"/>
      <x:c r="AJ29" s="875"/>
      <x:c r="AK29" s="875"/>
      <x:c r="AL29" s="875"/>
      <x:c r="AM29" s="875"/>
    </x:row>
    <x:row r="30">
      <x:c r="A30" s="38"/>
      <x:c r="B30" s="38"/>
      <x:c r="C30" s="38"/>
      <x:c r="D30" s="38"/>
      <x:c r="E30" s="38"/>
      <x:c r="F30" s="38"/>
      <x:c r="G30" s="38"/>
      <x:c r="H30" s="38"/>
      <x:c r="I30" s="38"/>
      <x:c r="J30" s="38"/>
      <x:c r="K30" s="38"/>
      <x:c r="L30" s="38"/>
      <x:c r="M30" s="38"/>
      <x:c r="N30" s="38"/>
      <x:c r="O30" s="38"/>
      <x:c r="P30" s="38"/>
      <x:c r="Q30" s="38"/>
      <x:c r="R30" s="875"/>
      <x:c r="S30" s="875"/>
      <x:c r="T30" s="875"/>
      <x:c r="U30" s="875"/>
      <x:c r="V30" s="875"/>
      <x:c r="W30" s="875"/>
      <x:c r="X30" s="875"/>
      <x:c r="Y30" s="875"/>
      <x:c r="Z30" s="875"/>
      <x:c r="AA30" s="875"/>
      <x:c r="AB30" s="875"/>
      <x:c r="AC30" s="875"/>
      <x:c r="AD30" s="875"/>
      <x:c r="AE30" s="875"/>
      <x:c r="AF30" s="875"/>
      <x:c r="AG30" s="875"/>
      <x:c r="AH30" s="875"/>
      <x:c r="AI30" s="875"/>
      <x:c r="AJ30" s="875"/>
      <x:c r="AK30" s="875"/>
      <x:c r="AL30" s="875"/>
      <x:c r="AM30" s="875"/>
    </x:row>
    <x:row r="31">
      <x:c r="A31" s="38"/>
      <x:c r="B31" s="38"/>
      <x:c r="C31" s="38"/>
      <x:c r="D31" s="38"/>
      <x:c r="E31" s="38"/>
      <x:c r="F31" s="38"/>
      <x:c r="G31" s="38"/>
      <x:c r="H31" s="38"/>
      <x:c r="I31" s="38"/>
      <x:c r="J31" s="38"/>
      <x:c r="K31" s="38"/>
      <x:c r="L31" s="38"/>
      <x:c r="M31" s="38"/>
      <x:c r="N31" s="38"/>
      <x:c r="O31" s="38"/>
      <x:c r="P31" s="38"/>
      <x:c r="Q31" s="38"/>
      <x:c r="R31" s="875"/>
      <x:c r="S31" s="875"/>
      <x:c r="T31" s="875"/>
      <x:c r="U31" s="875"/>
      <x:c r="V31" s="875"/>
      <x:c r="W31" s="875"/>
      <x:c r="X31" s="875"/>
      <x:c r="Y31" s="875"/>
      <x:c r="Z31" s="875"/>
      <x:c r="AA31" s="875"/>
      <x:c r="AB31" s="875"/>
      <x:c r="AC31" s="875"/>
      <x:c r="AD31" s="875"/>
      <x:c r="AE31" s="875"/>
      <x:c r="AF31" s="875"/>
      <x:c r="AG31" s="875"/>
      <x:c r="AH31" s="875"/>
      <x:c r="AI31" s="875"/>
      <x:c r="AJ31" s="875"/>
      <x:c r="AK31" s="875"/>
      <x:c r="AL31" s="875"/>
      <x:c r="AM31" s="875"/>
    </x:row>
    <x:row r="32">
      <x:c r="A32" s="129" t="str">
        <x:f>IF('_CONFIG'!$B$2="pt-BR","MODELO DE DEMONSTRAÇÃO PÚBLICA","PUBLIC DEMO MODEL")</x:f>
        <x:v>PUBLIC DEMO MODEL</x:v>
      </x:c>
      <x:c r="B32" s="129"/>
      <x:c r="C32" s="129"/>
      <x:c r="D32" s="129"/>
      <x:c r="E32" s="129"/>
      <x:c r="F32" s="129"/>
      <x:c r="G32" s="129"/>
      <x:c r="H32" s="129"/>
      <x:c r="I32" s="38"/>
      <x:c r="J32" s="294" t="str">
        <x:f>IF('_CONFIG'!$B$2="pt-BR","REPRODUZIR","REPRODUCE")</x:f>
        <x:v>REPRODUCE</x:v>
      </x:c>
      <x:c r="K32" s="294"/>
      <x:c r="L32" s="294"/>
      <x:c r="M32" s="294"/>
      <x:c r="N32" s="294"/>
      <x:c r="O32" s="294"/>
      <x:c r="P32" s="294"/>
      <x:c r="Q32" s="294"/>
      <x:c r="R32" s="875"/>
      <x:c r="S32" s="875"/>
      <x:c r="T32" s="875"/>
      <x:c r="U32" s="875"/>
      <x:c r="V32" s="875"/>
      <x:c r="W32" s="875"/>
      <x:c r="X32" s="875"/>
      <x:c r="Y32" s="875"/>
      <x:c r="Z32" s="875"/>
      <x:c r="AA32" s="875"/>
      <x:c r="AB32" s="875"/>
      <x:c r="AC32" s="875"/>
      <x:c r="AD32" s="875"/>
      <x:c r="AE32" s="875"/>
      <x:c r="AF32" s="875"/>
      <x:c r="AG32" s="875"/>
      <x:c r="AH32" s="875"/>
      <x:c r="AI32" s="875"/>
      <x:c r="AJ32" s="875"/>
      <x:c r="AK32" s="875"/>
      <x:c r="AL32" s="875"/>
      <x:c r="AM32" s="875"/>
    </x:row>
    <x:row r="33">
      <x:c r="A33" s="129"/>
      <x:c r="B33" s="129"/>
      <x:c r="C33" s="129"/>
      <x:c r="D33" s="129"/>
      <x:c r="E33" s="129"/>
      <x:c r="F33" s="129"/>
      <x:c r="G33" s="129"/>
      <x:c r="H33" s="129"/>
      <x:c r="I33" s="38"/>
      <x:c r="J33" s="294"/>
      <x:c r="K33" s="294"/>
      <x:c r="L33" s="294"/>
      <x:c r="M33" s="294"/>
      <x:c r="N33" s="294"/>
      <x:c r="O33" s="294"/>
      <x:c r="P33" s="294"/>
      <x:c r="Q33" s="294"/>
      <x:c r="R33" s="875"/>
      <x:c r="S33" s="875"/>
      <x:c r="T33" s="875"/>
      <x:c r="U33" s="875"/>
      <x:c r="V33" s="875"/>
      <x:c r="W33" s="875"/>
      <x:c r="X33" s="875"/>
      <x:c r="Y33" s="875"/>
      <x:c r="Z33" s="875"/>
      <x:c r="AA33" s="875"/>
      <x:c r="AB33" s="875"/>
      <x:c r="AC33" s="875"/>
      <x:c r="AD33" s="875"/>
      <x:c r="AE33" s="875"/>
      <x:c r="AF33" s="875"/>
      <x:c r="AG33" s="875"/>
      <x:c r="AH33" s="875"/>
      <x:c r="AI33" s="875"/>
      <x:c r="AJ33" s="875"/>
      <x:c r="AK33" s="875"/>
      <x:c r="AL33" s="875"/>
      <x:c r="AM33" s="875"/>
    </x:row>
    <x:row r="34">
      <x:c r="A34" s="593" t="str">
        <x:f>IF('_CONFIG'!$B$2="pt-BR","Distribuição recomendada:
1. Publique a planilha principal apenas para visualização.
2. Mantenha visível um exemplo preenchido e verificado.
3. Permita que os visitantes criem sua própria cópia.
4. O script vinculado da cópia é executado com a autorização do visitante.
5. Proteger ou ocultar abas técnicas melhora a usabilidade, mas não cria uma barreira de segurança.
Nunca publique a planilha principal como um espaço de edição compartilhado: visitantes simultâneos sobrescreveriam o trabalho uns dos outros.","Recommended distribution:
1. Publish the master workbook as view-only.
2. Keep a verified, prefilled example visible.
3. Let visitors create their own copy.
4. The copied bound script runs under the visitor’s authorization.
5. Protecting or hiding technical tabs improves usability, but is not a security boundary.
Never publish the master as a shared editor workspace: concurrent visitors would overwrite one another.")</x:f>
        <x:v>Recommended distribution:
1. Publish the master workbook as view-only.
2. Keep a verified, prefilled example visible.
3. Let visitors create their own copy.
4. The copied bound script runs under the visitor’s authorization.
5. Protecting or hiding technical tabs improves usability, but is not a security boundary.
Never publish the master as a shared editor workspace: concurrent visitors would overwrite one another.</x:v>
      </x:c>
      <x:c r="B34" s="594"/>
      <x:c r="C34" s="594"/>
      <x:c r="D34" s="594"/>
      <x:c r="E34" s="594"/>
      <x:c r="F34" s="594"/>
      <x:c r="G34" s="594"/>
      <x:c r="H34" s="595"/>
      <x:c r="I34" s="38"/>
      <x:c r="J34" s="593" t="str">
        <x:f>IF('_CONFIG'!$B$2="pt-BR","A planilha inclui um experimento determinístico preenchido. Para reproduzir qualquer resultado, mantenha a mesma instância, o orçamento de iterações, o tamanho de destruição, a regra de aceitação, a configuração da troca entre aceitos e rejeitados e a lista de sementes.
O objetivo e a ordem são reproduzíveis. O tempo de execução depende do ambiente.","The workbook ships with a deterministic, prefilled experiment. To reproduce any result, keep the same instance, iteration budget, destroy size, acceptance rule, accepted ↔ rejected swap setting, and seed list.
Objective and order are reproducible. Runtime is environment-dependent.")</x:f>
        <x:v>The workbook ships with a deterministic, prefilled experiment. To reproduce any result, keep the same instance, iteration budget, destroy size, acceptance rule, accepted ↔ rejected swap setting, and seed list.
Objective and order are reproducible. Runtime is environment-dependent.</x:v>
      </x:c>
      <x:c r="K34" s="594"/>
      <x:c r="L34" s="594"/>
      <x:c r="M34" s="594"/>
      <x:c r="N34" s="594"/>
      <x:c r="O34" s="594"/>
      <x:c r="P34" s="594"/>
      <x:c r="Q34" s="595"/>
      <x:c r="R34" s="875"/>
      <x:c r="S34" s="875"/>
      <x:c r="T34" s="875"/>
      <x:c r="U34" s="875"/>
      <x:c r="V34" s="875"/>
      <x:c r="W34" s="875"/>
      <x:c r="X34" s="875"/>
      <x:c r="Y34" s="875"/>
      <x:c r="Z34" s="875"/>
      <x:c r="AA34" s="875"/>
      <x:c r="AB34" s="875"/>
      <x:c r="AC34" s="875"/>
      <x:c r="AD34" s="875"/>
      <x:c r="AE34" s="875"/>
      <x:c r="AF34" s="875"/>
      <x:c r="AG34" s="875"/>
      <x:c r="AH34" s="875"/>
      <x:c r="AI34" s="875"/>
      <x:c r="AJ34" s="875"/>
      <x:c r="AK34" s="875"/>
      <x:c r="AL34" s="875"/>
      <x:c r="AM34" s="875"/>
    </x:row>
    <x:row r="35">
      <x:c r="A35" s="596"/>
      <x:c r="B35" s="597"/>
      <x:c r="C35" s="597"/>
      <x:c r="D35" s="597"/>
      <x:c r="E35" s="597"/>
      <x:c r="F35" s="597"/>
      <x:c r="G35" s="597"/>
      <x:c r="H35" s="598"/>
      <x:c r="I35" s="38"/>
      <x:c r="J35" s="596"/>
      <x:c r="K35" s="597"/>
      <x:c r="L35" s="597"/>
      <x:c r="M35" s="597"/>
      <x:c r="N35" s="597"/>
      <x:c r="O35" s="597"/>
      <x:c r="P35" s="597"/>
      <x:c r="Q35" s="598"/>
      <x:c r="R35" s="875"/>
      <x:c r="S35" s="875"/>
      <x:c r="T35" s="875"/>
      <x:c r="U35" s="875"/>
      <x:c r="V35" s="875"/>
      <x:c r="W35" s="875"/>
      <x:c r="X35" s="875"/>
      <x:c r="Y35" s="875"/>
      <x:c r="Z35" s="875"/>
      <x:c r="AA35" s="875"/>
      <x:c r="AB35" s="875"/>
      <x:c r="AC35" s="875"/>
      <x:c r="AD35" s="875"/>
      <x:c r="AE35" s="875"/>
      <x:c r="AF35" s="875"/>
      <x:c r="AG35" s="875"/>
      <x:c r="AH35" s="875"/>
      <x:c r="AI35" s="875"/>
      <x:c r="AJ35" s="875"/>
      <x:c r="AK35" s="875"/>
      <x:c r="AL35" s="875"/>
      <x:c r="AM35" s="875"/>
    </x:row>
    <x:row r="36">
      <x:c r="A36" s="596"/>
      <x:c r="B36" s="597"/>
      <x:c r="C36" s="597"/>
      <x:c r="D36" s="597"/>
      <x:c r="E36" s="597"/>
      <x:c r="F36" s="597"/>
      <x:c r="G36" s="597"/>
      <x:c r="H36" s="598"/>
      <x:c r="I36" s="38"/>
      <x:c r="J36" s="596"/>
      <x:c r="K36" s="597"/>
      <x:c r="L36" s="597"/>
      <x:c r="M36" s="597"/>
      <x:c r="N36" s="597"/>
      <x:c r="O36" s="597"/>
      <x:c r="P36" s="597"/>
      <x:c r="Q36" s="598"/>
      <x:c r="R36" s="875"/>
      <x:c r="S36" s="875"/>
      <x:c r="T36" s="875"/>
      <x:c r="U36" s="875"/>
      <x:c r="V36" s="875"/>
      <x:c r="W36" s="875"/>
      <x:c r="X36" s="875"/>
      <x:c r="Y36" s="875"/>
      <x:c r="Z36" s="875"/>
      <x:c r="AA36" s="875"/>
      <x:c r="AB36" s="875"/>
      <x:c r="AC36" s="875"/>
      <x:c r="AD36" s="875"/>
      <x:c r="AE36" s="875"/>
      <x:c r="AF36" s="875"/>
      <x:c r="AG36" s="875"/>
      <x:c r="AH36" s="875"/>
      <x:c r="AI36" s="875"/>
      <x:c r="AJ36" s="875"/>
      <x:c r="AK36" s="875"/>
      <x:c r="AL36" s="875"/>
      <x:c r="AM36" s="875"/>
    </x:row>
    <x:row r="37">
      <x:c r="A37" s="596"/>
      <x:c r="B37" s="597"/>
      <x:c r="C37" s="597"/>
      <x:c r="D37" s="597"/>
      <x:c r="E37" s="597"/>
      <x:c r="F37" s="597"/>
      <x:c r="G37" s="597"/>
      <x:c r="H37" s="598"/>
      <x:c r="I37" s="38"/>
      <x:c r="J37" s="596"/>
      <x:c r="K37" s="597"/>
      <x:c r="L37" s="597"/>
      <x:c r="M37" s="597"/>
      <x:c r="N37" s="597"/>
      <x:c r="O37" s="597"/>
      <x:c r="P37" s="597"/>
      <x:c r="Q37" s="598"/>
      <x:c r="R37" s="875"/>
      <x:c r="S37" s="875"/>
      <x:c r="T37" s="875"/>
      <x:c r="U37" s="875"/>
      <x:c r="V37" s="875"/>
      <x:c r="W37" s="875"/>
      <x:c r="X37" s="875"/>
      <x:c r="Y37" s="875"/>
      <x:c r="Z37" s="875"/>
      <x:c r="AA37" s="875"/>
      <x:c r="AB37" s="875"/>
      <x:c r="AC37" s="875"/>
      <x:c r="AD37" s="875"/>
      <x:c r="AE37" s="875"/>
      <x:c r="AF37" s="875"/>
      <x:c r="AG37" s="875"/>
      <x:c r="AH37" s="875"/>
      <x:c r="AI37" s="875"/>
      <x:c r="AJ37" s="875"/>
      <x:c r="AK37" s="875"/>
      <x:c r="AL37" s="875"/>
      <x:c r="AM37" s="875"/>
    </x:row>
    <x:row r="38">
      <x:c r="A38" s="596"/>
      <x:c r="B38" s="597"/>
      <x:c r="C38" s="597"/>
      <x:c r="D38" s="597"/>
      <x:c r="E38" s="597"/>
      <x:c r="F38" s="597"/>
      <x:c r="G38" s="597"/>
      <x:c r="H38" s="598"/>
      <x:c r="I38" s="38"/>
      <x:c r="J38" s="596"/>
      <x:c r="K38" s="597"/>
      <x:c r="L38" s="597"/>
      <x:c r="M38" s="597"/>
      <x:c r="N38" s="597"/>
      <x:c r="O38" s="597"/>
      <x:c r="P38" s="597"/>
      <x:c r="Q38" s="598"/>
      <x:c r="R38" s="875"/>
      <x:c r="S38" s="875"/>
      <x:c r="T38" s="875"/>
      <x:c r="U38" s="875"/>
      <x:c r="V38" s="875"/>
      <x:c r="W38" s="875"/>
      <x:c r="X38" s="875"/>
      <x:c r="Y38" s="875"/>
      <x:c r="Z38" s="875"/>
      <x:c r="AA38" s="875"/>
      <x:c r="AB38" s="875"/>
      <x:c r="AC38" s="875"/>
      <x:c r="AD38" s="875"/>
      <x:c r="AE38" s="875"/>
      <x:c r="AF38" s="875"/>
      <x:c r="AG38" s="875"/>
      <x:c r="AH38" s="875"/>
      <x:c r="AI38" s="875"/>
      <x:c r="AJ38" s="875"/>
      <x:c r="AK38" s="875"/>
      <x:c r="AL38" s="875"/>
      <x:c r="AM38" s="875"/>
    </x:row>
    <x:row r="39">
      <x:c r="A39" s="596"/>
      <x:c r="B39" s="597"/>
      <x:c r="C39" s="597"/>
      <x:c r="D39" s="597"/>
      <x:c r="E39" s="597"/>
      <x:c r="F39" s="597"/>
      <x:c r="G39" s="597"/>
      <x:c r="H39" s="598"/>
      <x:c r="I39" s="38"/>
      <x:c r="J39" s="596"/>
      <x:c r="K39" s="597"/>
      <x:c r="L39" s="597"/>
      <x:c r="M39" s="597"/>
      <x:c r="N39" s="597"/>
      <x:c r="O39" s="597"/>
      <x:c r="P39" s="597"/>
      <x:c r="Q39" s="598"/>
      <x:c r="R39" s="875"/>
      <x:c r="S39" s="875"/>
      <x:c r="T39" s="875"/>
      <x:c r="U39" s="875"/>
      <x:c r="V39" s="875"/>
      <x:c r="W39" s="875"/>
      <x:c r="X39" s="875"/>
      <x:c r="Y39" s="875"/>
      <x:c r="Z39" s="875"/>
      <x:c r="AA39" s="875"/>
      <x:c r="AB39" s="875"/>
      <x:c r="AC39" s="875"/>
      <x:c r="AD39" s="875"/>
      <x:c r="AE39" s="875"/>
      <x:c r="AF39" s="875"/>
      <x:c r="AG39" s="875"/>
      <x:c r="AH39" s="875"/>
      <x:c r="AI39" s="875"/>
      <x:c r="AJ39" s="875"/>
      <x:c r="AK39" s="875"/>
      <x:c r="AL39" s="875"/>
      <x:c r="AM39" s="875"/>
    </x:row>
    <x:row r="40">
      <x:c r="A40" s="596"/>
      <x:c r="B40" s="597"/>
      <x:c r="C40" s="597"/>
      <x:c r="D40" s="597"/>
      <x:c r="E40" s="597"/>
      <x:c r="F40" s="597"/>
      <x:c r="G40" s="597"/>
      <x:c r="H40" s="598"/>
      <x:c r="I40" s="38"/>
      <x:c r="J40" s="596"/>
      <x:c r="K40" s="597"/>
      <x:c r="L40" s="597"/>
      <x:c r="M40" s="597"/>
      <x:c r="N40" s="597"/>
      <x:c r="O40" s="597"/>
      <x:c r="P40" s="597"/>
      <x:c r="Q40" s="598"/>
      <x:c r="R40" s="875"/>
      <x:c r="S40" s="875"/>
      <x:c r="T40" s="875"/>
      <x:c r="U40" s="875"/>
      <x:c r="V40" s="875"/>
      <x:c r="W40" s="875"/>
      <x:c r="X40" s="875"/>
      <x:c r="Y40" s="875"/>
      <x:c r="Z40" s="875"/>
      <x:c r="AA40" s="875"/>
      <x:c r="AB40" s="875"/>
      <x:c r="AC40" s="875"/>
      <x:c r="AD40" s="875"/>
      <x:c r="AE40" s="875"/>
      <x:c r="AF40" s="875"/>
      <x:c r="AG40" s="875"/>
      <x:c r="AH40" s="875"/>
      <x:c r="AI40" s="875"/>
      <x:c r="AJ40" s="875"/>
      <x:c r="AK40" s="875"/>
      <x:c r="AL40" s="875"/>
      <x:c r="AM40" s="875"/>
    </x:row>
    <x:row r="41">
      <x:c r="A41" s="596"/>
      <x:c r="B41" s="597"/>
      <x:c r="C41" s="597"/>
      <x:c r="D41" s="597"/>
      <x:c r="E41" s="597"/>
      <x:c r="F41" s="597"/>
      <x:c r="G41" s="597"/>
      <x:c r="H41" s="598"/>
      <x:c r="I41" s="38"/>
      <x:c r="J41" s="596"/>
      <x:c r="K41" s="597"/>
      <x:c r="L41" s="597"/>
      <x:c r="M41" s="597"/>
      <x:c r="N41" s="597"/>
      <x:c r="O41" s="597"/>
      <x:c r="P41" s="597"/>
      <x:c r="Q41" s="598"/>
      <x:c r="R41" s="875"/>
      <x:c r="S41" s="875"/>
      <x:c r="T41" s="875"/>
      <x:c r="U41" s="875"/>
      <x:c r="V41" s="875"/>
      <x:c r="W41" s="875"/>
      <x:c r="X41" s="875"/>
      <x:c r="Y41" s="875"/>
      <x:c r="Z41" s="875"/>
      <x:c r="AA41" s="875"/>
      <x:c r="AB41" s="875"/>
      <x:c r="AC41" s="875"/>
      <x:c r="AD41" s="875"/>
      <x:c r="AE41" s="875"/>
      <x:c r="AF41" s="875"/>
      <x:c r="AG41" s="875"/>
      <x:c r="AH41" s="875"/>
      <x:c r="AI41" s="875"/>
      <x:c r="AJ41" s="875"/>
      <x:c r="AK41" s="875"/>
      <x:c r="AL41" s="875"/>
      <x:c r="AM41" s="875"/>
    </x:row>
    <x:row r="42">
      <x:c r="A42" s="596"/>
      <x:c r="B42" s="597"/>
      <x:c r="C42" s="597"/>
      <x:c r="D42" s="597"/>
      <x:c r="E42" s="597"/>
      <x:c r="F42" s="597"/>
      <x:c r="G42" s="597"/>
      <x:c r="H42" s="598"/>
      <x:c r="I42" s="38"/>
      <x:c r="J42" s="596"/>
      <x:c r="K42" s="597"/>
      <x:c r="L42" s="597"/>
      <x:c r="M42" s="597"/>
      <x:c r="N42" s="597"/>
      <x:c r="O42" s="597"/>
      <x:c r="P42" s="597"/>
      <x:c r="Q42" s="598"/>
      <x:c r="R42" s="875"/>
      <x:c r="S42" s="875"/>
      <x:c r="T42" s="875"/>
      <x:c r="U42" s="875"/>
      <x:c r="V42" s="875"/>
      <x:c r="W42" s="875"/>
      <x:c r="X42" s="875"/>
      <x:c r="Y42" s="875"/>
      <x:c r="Z42" s="875"/>
      <x:c r="AA42" s="875"/>
      <x:c r="AB42" s="875"/>
      <x:c r="AC42" s="875"/>
      <x:c r="AD42" s="875"/>
      <x:c r="AE42" s="875"/>
      <x:c r="AF42" s="875"/>
      <x:c r="AG42" s="875"/>
      <x:c r="AH42" s="875"/>
      <x:c r="AI42" s="875"/>
      <x:c r="AJ42" s="875"/>
      <x:c r="AK42" s="875"/>
      <x:c r="AL42" s="875"/>
      <x:c r="AM42" s="875"/>
    </x:row>
    <x:row r="43">
      <x:c r="A43" s="599"/>
      <x:c r="B43" s="600"/>
      <x:c r="C43" s="600"/>
      <x:c r="D43" s="600"/>
      <x:c r="E43" s="600"/>
      <x:c r="F43" s="600"/>
      <x:c r="G43" s="600"/>
      <x:c r="H43" s="601"/>
      <x:c r="I43" s="38"/>
      <x:c r="J43" s="599"/>
      <x:c r="K43" s="600"/>
      <x:c r="L43" s="600"/>
      <x:c r="M43" s="600"/>
      <x:c r="N43" s="600"/>
      <x:c r="O43" s="600"/>
      <x:c r="P43" s="600"/>
      <x:c r="Q43" s="601"/>
      <x:c r="R43" s="875"/>
      <x:c r="S43" s="875"/>
      <x:c r="T43" s="875"/>
      <x:c r="U43" s="875"/>
      <x:c r="V43" s="875"/>
      <x:c r="W43" s="875"/>
      <x:c r="X43" s="875"/>
      <x:c r="Y43" s="875"/>
      <x:c r="Z43" s="875"/>
      <x:c r="AA43" s="875"/>
      <x:c r="AB43" s="875"/>
      <x:c r="AC43" s="875"/>
      <x:c r="AD43" s="875"/>
      <x:c r="AE43" s="875"/>
      <x:c r="AF43" s="875"/>
      <x:c r="AG43" s="875"/>
      <x:c r="AH43" s="875"/>
      <x:c r="AI43" s="875"/>
      <x:c r="AJ43" s="875"/>
      <x:c r="AK43" s="875"/>
      <x:c r="AL43" s="875"/>
      <x:c r="AM43" s="875"/>
    </x:row>
    <x:row r="44">
      <x:c r="A44" s="38"/>
      <x:c r="B44" s="38"/>
      <x:c r="C44" s="38"/>
      <x:c r="D44" s="38"/>
      <x:c r="E44" s="38"/>
      <x:c r="F44" s="38"/>
      <x:c r="G44" s="38"/>
      <x:c r="H44" s="38"/>
      <x:c r="I44" s="38"/>
      <x:c r="J44" s="38"/>
      <x:c r="K44" s="38"/>
      <x:c r="L44" s="38"/>
      <x:c r="M44" s="38"/>
      <x:c r="N44" s="38"/>
      <x:c r="O44" s="38"/>
      <x:c r="P44" s="38"/>
      <x:c r="Q44" s="38"/>
      <x:c r="R44" s="875"/>
      <x:c r="S44" s="875"/>
      <x:c r="T44" s="875"/>
      <x:c r="U44" s="875"/>
      <x:c r="V44" s="875"/>
      <x:c r="W44" s="875"/>
      <x:c r="X44" s="875"/>
      <x:c r="Y44" s="875"/>
      <x:c r="Z44" s="875"/>
      <x:c r="AA44" s="875"/>
      <x:c r="AB44" s="875"/>
      <x:c r="AC44" s="875"/>
      <x:c r="AD44" s="875"/>
      <x:c r="AE44" s="875"/>
      <x:c r="AF44" s="875"/>
      <x:c r="AG44" s="875"/>
      <x:c r="AH44" s="875"/>
      <x:c r="AI44" s="875"/>
      <x:c r="AJ44" s="875"/>
      <x:c r="AK44" s="875"/>
      <x:c r="AL44" s="875"/>
      <x:c r="AM44" s="875"/>
    </x:row>
    <x:row r="45">
      <x:c r="A45" s="38"/>
      <x:c r="B45" s="38"/>
      <x:c r="C45" s="38"/>
      <x:c r="D45" s="38"/>
      <x:c r="E45" s="38"/>
      <x:c r="F45" s="38"/>
      <x:c r="G45" s="38"/>
      <x:c r="H45" s="38"/>
      <x:c r="I45" s="38"/>
      <x:c r="J45" s="38"/>
      <x:c r="K45" s="38"/>
      <x:c r="L45" s="38"/>
      <x:c r="M45" s="38"/>
      <x:c r="N45" s="38"/>
      <x:c r="O45" s="38"/>
      <x:c r="P45" s="38"/>
      <x:c r="Q45" s="38"/>
      <x:c r="R45" s="875"/>
      <x:c r="S45" s="875"/>
      <x:c r="T45" s="875"/>
      <x:c r="U45" s="875"/>
      <x:c r="V45" s="875"/>
      <x:c r="W45" s="875"/>
      <x:c r="X45" s="875"/>
      <x:c r="Y45" s="875"/>
      <x:c r="Z45" s="875"/>
      <x:c r="AA45" s="875"/>
      <x:c r="AB45" s="875"/>
      <x:c r="AC45" s="875"/>
      <x:c r="AD45" s="875"/>
      <x:c r="AE45" s="875"/>
      <x:c r="AF45" s="875"/>
      <x:c r="AG45" s="875"/>
      <x:c r="AH45" s="875"/>
      <x:c r="AI45" s="875"/>
      <x:c r="AJ45" s="875"/>
      <x:c r="AK45" s="875"/>
      <x:c r="AL45" s="875"/>
      <x:c r="AM45" s="875"/>
    </x:row>
    <x:row r="46">
      <x:c r="A46" s="184" t="str">
        <x:f>IF('_CONFIG'!$B$2="pt-BR","RECIBO DE ENGENHARIA","ENGINEERING RECEIPT")</x:f>
        <x:v>ENGINEERING RECEIPT</x:v>
      </x:c>
      <x:c r="B46" s="184"/>
      <x:c r="C46" s="184"/>
      <x:c r="D46" s="184"/>
      <x:c r="E46" s="184"/>
      <x:c r="F46" s="184"/>
      <x:c r="G46" s="184"/>
      <x:c r="H46" s="184"/>
      <x:c r="I46" s="184"/>
      <x:c r="J46" s="184"/>
      <x:c r="K46" s="184"/>
      <x:c r="L46" s="184"/>
      <x:c r="M46" s="184"/>
      <x:c r="N46" s="184"/>
      <x:c r="O46" s="184"/>
      <x:c r="P46" s="184"/>
      <x:c r="Q46" s="184"/>
      <x:c r="R46" s="875"/>
      <x:c r="S46" s="875"/>
      <x:c r="T46" s="875"/>
      <x:c r="U46" s="875"/>
      <x:c r="V46" s="875"/>
      <x:c r="W46" s="875"/>
      <x:c r="X46" s="875"/>
      <x:c r="Y46" s="875"/>
      <x:c r="Z46" s="875"/>
      <x:c r="AA46" s="875"/>
      <x:c r="AB46" s="875"/>
      <x:c r="AC46" s="875"/>
      <x:c r="AD46" s="875"/>
      <x:c r="AE46" s="875"/>
      <x:c r="AF46" s="875"/>
      <x:c r="AG46" s="875"/>
      <x:c r="AH46" s="875"/>
      <x:c r="AI46" s="875"/>
      <x:c r="AJ46" s="875"/>
      <x:c r="AK46" s="875"/>
      <x:c r="AL46" s="875"/>
      <x:c r="AM46" s="875"/>
    </x:row>
    <x:row r="47">
      <x:c r="A47" s="184"/>
      <x:c r="B47" s="184"/>
      <x:c r="C47" s="184"/>
      <x:c r="D47" s="184"/>
      <x:c r="E47" s="184"/>
      <x:c r="F47" s="184"/>
      <x:c r="G47" s="184"/>
      <x:c r="H47" s="184"/>
      <x:c r="I47" s="184"/>
      <x:c r="J47" s="184"/>
      <x:c r="K47" s="184"/>
      <x:c r="L47" s="184"/>
      <x:c r="M47" s="184"/>
      <x:c r="N47" s="184"/>
      <x:c r="O47" s="184"/>
      <x:c r="P47" s="184"/>
      <x:c r="Q47" s="184"/>
      <x:c r="R47" s="875"/>
      <x:c r="S47" s="875"/>
      <x:c r="T47" s="875"/>
      <x:c r="U47" s="875"/>
      <x:c r="V47" s="875"/>
      <x:c r="W47" s="875"/>
      <x:c r="X47" s="875"/>
      <x:c r="Y47" s="875"/>
      <x:c r="Z47" s="875"/>
      <x:c r="AA47" s="875"/>
      <x:c r="AB47" s="875"/>
      <x:c r="AC47" s="875"/>
      <x:c r="AD47" s="875"/>
      <x:c r="AE47" s="875"/>
      <x:c r="AF47" s="875"/>
      <x:c r="AG47" s="875"/>
      <x:c r="AH47" s="875"/>
      <x:c r="AI47" s="875"/>
      <x:c r="AJ47" s="875"/>
      <x:c r="AK47" s="875"/>
      <x:c r="AL47" s="875"/>
      <x:c r="AM47" s="875"/>
    </x:row>
    <x:row r="48">
      <x:c r="A48" s="38"/>
      <x:c r="B48" s="38"/>
      <x:c r="C48" s="38"/>
      <x:c r="D48" s="38"/>
      <x:c r="E48" s="38"/>
      <x:c r="F48" s="38"/>
      <x:c r="G48" s="38"/>
      <x:c r="H48" s="38"/>
      <x:c r="I48" s="38"/>
      <x:c r="J48" s="38"/>
      <x:c r="K48" s="38"/>
      <x:c r="L48" s="38"/>
      <x:c r="M48" s="38"/>
      <x:c r="N48" s="38"/>
      <x:c r="O48" s="38"/>
      <x:c r="P48" s="38"/>
      <x:c r="Q48" s="38"/>
      <x:c r="R48" s="875"/>
      <x:c r="S48" s="875"/>
      <x:c r="T48" s="875"/>
      <x:c r="U48" s="875"/>
      <x:c r="V48" s="875"/>
      <x:c r="W48" s="875"/>
      <x:c r="X48" s="875"/>
      <x:c r="Y48" s="875"/>
      <x:c r="Z48" s="875"/>
      <x:c r="AA48" s="875"/>
      <x:c r="AB48" s="875"/>
      <x:c r="AC48" s="875"/>
      <x:c r="AD48" s="875"/>
      <x:c r="AE48" s="875"/>
      <x:c r="AF48" s="875"/>
      <x:c r="AG48" s="875"/>
      <x:c r="AH48" s="875"/>
      <x:c r="AI48" s="875"/>
      <x:c r="AJ48" s="875"/>
      <x:c r="AK48" s="875"/>
      <x:c r="AL48" s="875"/>
      <x:c r="AM48" s="875"/>
    </x:row>
    <x:row r="49" ht="21" customHeight="1">
      <x:c r="A49" s="478" t="str">
        <x:f>IF('_CONFIG'!$B$2="pt-BR","Evidência","Evidence")</x:f>
        <x:v>Evidence</x:v>
      </x:c>
      <x:c r="B49" s="479"/>
      <x:c r="C49" s="479" t="str">
        <x:f>IF('_CONFIG'!$B$2="pt-BR","Valor","Value")</x:f>
        <x:v>Value</x:v>
      </x:c>
      <x:c r="D49" s="479"/>
      <x:c r="E49" s="479" t="str">
        <x:f>IF('_CONFIG'!$B$2="pt-BR","Unidade","Unit")</x:f>
        <x:v>Unit</x:v>
      </x:c>
      <x:c r="F49" s="479" t="str">
        <x:f>IF('_CONFIG'!$B$2="pt-BR","Interpretação","Interpretation")</x:f>
        <x:v>Interpretation</x:v>
      </x:c>
      <x:c r="G49" s="479"/>
      <x:c r="H49" s="480"/>
      <x:c r="I49" s="38"/>
      <x:c r="J49" s="866" t="str">
        <x:f>IF('_CONFIG'!$B$2="pt-BR","QUALIDADE TOTAL
Ciclo rápido do solver · zero I/O de células durante a busca · reavaliação independente · sementes determinísticas · carga compacta · UX com troca de idioma · commit protegido · fórmulas auditáveis · gráficos e tabelas nativos.","TOTAL QUALITY
Fast solver loop · zero cell I/O during search · independent re-evaluation · deterministic seeds · compact payload · language-switching UX · protected commit · auditable formulas · native charts and tables.")</x:f>
        <x:v>TOTAL QUALITY
Fast solver loop · zero cell I/O during search · independent re-evaluation · deterministic seeds · compact payload · language-switching UX · protected commit · auditable formulas · native charts and tables.</x:v>
      </x:c>
      <x:c r="K49" s="867"/>
      <x:c r="L49" s="867"/>
      <x:c r="M49" s="867"/>
      <x:c r="N49" s="867"/>
      <x:c r="O49" s="867"/>
      <x:c r="P49" s="867"/>
      <x:c r="Q49" s="868"/>
      <x:c r="R49" s="875"/>
      <x:c r="S49" s="875"/>
      <x:c r="T49" s="875"/>
      <x:c r="U49" s="875"/>
      <x:c r="V49" s="875"/>
      <x:c r="W49" s="875"/>
      <x:c r="X49" s="875"/>
      <x:c r="Y49" s="875"/>
      <x:c r="Z49" s="875"/>
      <x:c r="AA49" s="875"/>
      <x:c r="AB49" s="875"/>
      <x:c r="AC49" s="875"/>
      <x:c r="AD49" s="875"/>
      <x:c r="AE49" s="875"/>
      <x:c r="AF49" s="875"/>
      <x:c r="AG49" s="875"/>
      <x:c r="AH49" s="875"/>
      <x:c r="AI49" s="875"/>
      <x:c r="AJ49" s="875"/>
      <x:c r="AK49" s="875"/>
      <x:c r="AL49" s="875"/>
      <x:c r="AM49" s="875"/>
    </x:row>
    <x:row r="50" ht="25.5" customHeight="1">
      <x:c r="A50" s="472" t="str">
        <x:f>IF('_CONFIG'!$B$2="pt-BR","Carga do motor","Engine payload")</x:f>
        <x:v>Engine payload</x:v>
      </x:c>
      <x:c r="B50" s="472"/>
      <x:c r="C50" s="481" t="n">
        <x:f>'_STATE'!$B$8</x:f>
        <x:v>86871</x:v>
      </x:c>
      <x:c r="D50" s="472"/>
      <x:c r="E50" s="472" t="str">
        <x:f>IF('_CONFIG'!$B$2="pt-BR","bytes","bytes")</x:f>
        <x:v>bytes</x:v>
      </x:c>
      <x:c r="F50" s="472" t="str">
        <x:f>IF('_CONFIG'!$B$2="pt-BR","WASM canônico embutido","Embedded canonical WASM")</x:f>
        <x:v>Embedded canonical WASM</x:v>
      </x:c>
      <x:c r="G50" s="472"/>
      <x:c r="H50" s="472"/>
      <x:c r="I50" s="38"/>
      <x:c r="J50" s="869"/>
      <x:c r="K50" s="870"/>
      <x:c r="L50" s="870"/>
      <x:c r="M50" s="870"/>
      <x:c r="N50" s="870"/>
      <x:c r="O50" s="870"/>
      <x:c r="P50" s="870"/>
      <x:c r="Q50" s="871"/>
      <x:c r="R50" s="875"/>
      <x:c r="S50" s="875"/>
      <x:c r="T50" s="875"/>
      <x:c r="U50" s="875"/>
      <x:c r="V50" s="875"/>
      <x:c r="W50" s="875"/>
      <x:c r="X50" s="875"/>
      <x:c r="Y50" s="875"/>
      <x:c r="Z50" s="875"/>
      <x:c r="AA50" s="875"/>
      <x:c r="AB50" s="875"/>
      <x:c r="AC50" s="875"/>
      <x:c r="AD50" s="875"/>
      <x:c r="AE50" s="875"/>
      <x:c r="AF50" s="875"/>
      <x:c r="AG50" s="875"/>
      <x:c r="AH50" s="875"/>
      <x:c r="AI50" s="875"/>
      <x:c r="AJ50" s="875"/>
      <x:c r="AK50" s="875"/>
      <x:c r="AL50" s="875"/>
      <x:c r="AM50" s="875"/>
    </x:row>
    <x:row r="51" ht="25.5" customHeight="1">
      <x:c r="A51" s="472" t="str">
        <x:f>IF('_CONFIG'!$B$2="pt-BR","Escala de ponto fixo","Fixed-point scale")</x:f>
        <x:v>Fixed-point scale</x:v>
      </x:c>
      <x:c r="B51" s="472"/>
      <x:c r="C51" s="481" t="n">
        <x:f>'_STATE'!$B$7</x:f>
        <x:v>10</x:v>
      </x:c>
      <x:c r="D51" s="472"/>
      <x:c r="E51" s="472" t="str">
        <x:f>IF('_CONFIG'!$B$2="pt-BR","×","×")</x:f>
        <x:v>×</x:v>
      </x:c>
      <x:c r="F51" s="472" t="str">
        <x:f>IF('_CONFIG'!$B$2="pt-BR","Precisão aritmética do objetivo","Objective arithmetic precision")</x:f>
        <x:v>Objective arithmetic precision</x:v>
      </x:c>
      <x:c r="G51" s="472"/>
      <x:c r="H51" s="472"/>
      <x:c r="I51" s="38"/>
      <x:c r="J51" s="869"/>
      <x:c r="K51" s="870"/>
      <x:c r="L51" s="870"/>
      <x:c r="M51" s="870"/>
      <x:c r="N51" s="870"/>
      <x:c r="O51" s="870"/>
      <x:c r="P51" s="870"/>
      <x:c r="Q51" s="871"/>
      <x:c r="R51" s="875"/>
      <x:c r="S51" s="875"/>
      <x:c r="T51" s="875"/>
      <x:c r="U51" s="875"/>
      <x:c r="V51" s="875"/>
      <x:c r="W51" s="875"/>
      <x:c r="X51" s="875"/>
      <x:c r="Y51" s="875"/>
      <x:c r="Z51" s="875"/>
      <x:c r="AA51" s="875"/>
      <x:c r="AB51" s="875"/>
      <x:c r="AC51" s="875"/>
      <x:c r="AD51" s="875"/>
      <x:c r="AE51" s="875"/>
      <x:c r="AF51" s="875"/>
      <x:c r="AG51" s="875"/>
      <x:c r="AH51" s="875"/>
      <x:c r="AI51" s="875"/>
      <x:c r="AJ51" s="875"/>
      <x:c r="AK51" s="875"/>
      <x:c r="AL51" s="875"/>
      <x:c r="AM51" s="875"/>
    </x:row>
    <x:row r="52" ht="25.5" customHeight="1">
      <x:c r="A52" s="472" t="str">
        <x:f>IF('_CONFIG'!$B$2="pt-BR","Avaliações da melhor rodada","Best-run evaluations")</x:f>
        <x:v>Best-run evaluations</x:v>
      </x:c>
      <x:c r="B52" s="472"/>
      <x:c r="C52" s="481" t="n">
        <x:f>'_CONFIG'!$B$22</x:f>
        <x:v>3049134</x:v>
      </x:c>
      <x:c r="D52" s="472"/>
      <x:c r="E52" s="472" t="str">
        <x:f>IF('_CONFIG'!$B$2="pt-BR","programações","schedules")</x:f>
        <x:v>schedules</x:v>
      </x:c>
      <x:c r="F52" s="472" t="str">
        <x:f>IF('_CONFIG'!$B$2="pt-BR","Avaliações reais de candidatos","Real candidate pricings")</x:f>
        <x:v>Real candidate pricings</x:v>
      </x:c>
      <x:c r="G52" s="472"/>
      <x:c r="H52" s="472"/>
      <x:c r="I52" s="38"/>
      <x:c r="J52" s="869"/>
      <x:c r="K52" s="870"/>
      <x:c r="L52" s="870"/>
      <x:c r="M52" s="870"/>
      <x:c r="N52" s="870"/>
      <x:c r="O52" s="870"/>
      <x:c r="P52" s="870"/>
      <x:c r="Q52" s="871"/>
      <x:c r="R52" s="875"/>
      <x:c r="S52" s="875"/>
      <x:c r="T52" s="875"/>
      <x:c r="U52" s="875"/>
      <x:c r="V52" s="875"/>
      <x:c r="W52" s="875"/>
      <x:c r="X52" s="875"/>
      <x:c r="Y52" s="875"/>
      <x:c r="Z52" s="875"/>
      <x:c r="AA52" s="875"/>
      <x:c r="AB52" s="875"/>
      <x:c r="AC52" s="875"/>
      <x:c r="AD52" s="875"/>
      <x:c r="AE52" s="875"/>
      <x:c r="AF52" s="875"/>
      <x:c r="AG52" s="875"/>
      <x:c r="AH52" s="875"/>
      <x:c r="AI52" s="875"/>
      <x:c r="AJ52" s="875"/>
      <x:c r="AK52" s="875"/>
      <x:c r="AL52" s="875"/>
      <x:c r="AM52" s="875"/>
    </x:row>
    <x:row r="53" ht="25.5" customHeight="1">
      <x:c r="A53" s="472" t="str">
        <x:f>IF('_CONFIG'!$B$2="pt-BR","Média de avaliações/rodada","Mean evaluations/run")</x:f>
        <x:v>Mean evaluations/run</x:v>
      </x:c>
      <x:c r="B53" s="472"/>
      <x:c r="C53" s="481" t="n">
        <x:f>'_STATS'!$B$10</x:f>
        <x:v>3050692.4</x:v>
      </x:c>
      <x:c r="D53" s="472"/>
      <x:c r="E53" s="472" t="str">
        <x:f>IF('_CONFIG'!$B$2="pt-BR","programações","schedules")</x:f>
        <x:v>schedules</x:v>
      </x:c>
      <x:c r="F53" s="472" t="str">
        <x:f>IF('_CONFIG'!$B$2="pt-BR","Esforço de busca","Search effort")</x:f>
        <x:v>Search effort</x:v>
      </x:c>
      <x:c r="G53" s="472"/>
      <x:c r="H53" s="472"/>
      <x:c r="I53" s="38"/>
      <x:c r="J53" s="869"/>
      <x:c r="K53" s="870"/>
      <x:c r="L53" s="870"/>
      <x:c r="M53" s="870"/>
      <x:c r="N53" s="870"/>
      <x:c r="O53" s="870"/>
      <x:c r="P53" s="870"/>
      <x:c r="Q53" s="871"/>
      <x:c r="R53" s="875"/>
      <x:c r="S53" s="875"/>
      <x:c r="T53" s="875"/>
      <x:c r="U53" s="875"/>
      <x:c r="V53" s="875"/>
      <x:c r="W53" s="875"/>
      <x:c r="X53" s="875"/>
      <x:c r="Y53" s="875"/>
      <x:c r="Z53" s="875"/>
      <x:c r="AA53" s="875"/>
      <x:c r="AB53" s="875"/>
      <x:c r="AC53" s="875"/>
      <x:c r="AD53" s="875"/>
      <x:c r="AE53" s="875"/>
      <x:c r="AF53" s="875"/>
      <x:c r="AG53" s="875"/>
      <x:c r="AH53" s="875"/>
      <x:c r="AI53" s="875"/>
      <x:c r="AJ53" s="875"/>
      <x:c r="AK53" s="875"/>
      <x:c r="AL53" s="875"/>
      <x:c r="AM53" s="875"/>
    </x:row>
    <x:row r="54" ht="25.5" customHeight="1">
      <x:c r="A54" s="472" t="str">
        <x:f>IF('_CONFIG'!$B$2="pt-BR","Tempo médio","Mean runtime")</x:f>
        <x:v>Mean runtime</x:v>
      </x:c>
      <x:c r="B54" s="472"/>
      <x:c r="C54" s="847" t="n">
        <x:f>'_STATS'!$B$11</x:f>
        <x:v>218.5864793</x:v>
      </x:c>
      <x:c r="D54" s="472"/>
      <x:c r="E54" s="472" t="str">
        <x:f>IF('_CONFIG'!$B$2="pt-BR","ms*","ms*")</x:f>
        <x:v>ms*</x:v>
      </x:c>
      <x:c r="F54" s="472" t="str">
        <x:f>IF('_CONFIG'!$B$2="pt-BR","Somente no ambiente atual","Current environment only")</x:f>
        <x:v>Current environment only</x:v>
      </x:c>
      <x:c r="G54" s="472"/>
      <x:c r="H54" s="472"/>
      <x:c r="I54" s="38"/>
      <x:c r="J54" s="869"/>
      <x:c r="K54" s="870"/>
      <x:c r="L54" s="870"/>
      <x:c r="M54" s="870"/>
      <x:c r="N54" s="870"/>
      <x:c r="O54" s="870"/>
      <x:c r="P54" s="870"/>
      <x:c r="Q54" s="871"/>
      <x:c r="R54" s="875"/>
      <x:c r="S54" s="875"/>
      <x:c r="T54" s="875"/>
      <x:c r="U54" s="875"/>
      <x:c r="V54" s="875"/>
      <x:c r="W54" s="875"/>
      <x:c r="X54" s="875"/>
      <x:c r="Y54" s="875"/>
      <x:c r="Z54" s="875"/>
      <x:c r="AA54" s="875"/>
      <x:c r="AB54" s="875"/>
      <x:c r="AC54" s="875"/>
      <x:c r="AD54" s="875"/>
      <x:c r="AE54" s="875"/>
      <x:c r="AF54" s="875"/>
      <x:c r="AG54" s="875"/>
      <x:c r="AH54" s="875"/>
      <x:c r="AI54" s="875"/>
      <x:c r="AJ54" s="875"/>
      <x:c r="AK54" s="875"/>
      <x:c r="AL54" s="875"/>
      <x:c r="AM54" s="875"/>
    </x:row>
    <x:row r="55" ht="25.5" customHeight="1">
      <x:c r="A55" s="472" t="str">
        <x:f>IF('_CONFIG'!$B$2="pt-BR","Vazão média","Mean throughput")</x:f>
        <x:v>Mean throughput</x:v>
      </x:c>
      <x:c r="B55" s="472"/>
      <x:c r="C55" s="847" t="n">
        <x:f>'_STATS'!$B$12</x:f>
        <x:v>13961103.628151527</x:v>
      </x:c>
      <x:c r="D55" s="472"/>
      <x:c r="E55" s="472" t="str">
        <x:f>IF('_CONFIG'!$B$2="pt-BR","aval./s*","eval/s*")</x:f>
        <x:v>eval/s*</x:v>
      </x:c>
      <x:c r="F55" s="472" t="str">
        <x:f>IF('_CONFIG'!$B$2="pt-BR","Somente no ambiente atual","Current environment only")</x:f>
        <x:v>Current environment only</x:v>
      </x:c>
      <x:c r="G55" s="472"/>
      <x:c r="H55" s="472"/>
      <x:c r="I55" s="38"/>
      <x:c r="J55" s="872"/>
      <x:c r="K55" s="873"/>
      <x:c r="L55" s="873"/>
      <x:c r="M55" s="873"/>
      <x:c r="N55" s="873"/>
      <x:c r="O55" s="873"/>
      <x:c r="P55" s="873"/>
      <x:c r="Q55" s="874"/>
      <x:c r="R55" s="875"/>
      <x:c r="S55" s="875"/>
      <x:c r="T55" s="875"/>
      <x:c r="U55" s="875"/>
      <x:c r="V55" s="875"/>
      <x:c r="W55" s="875"/>
      <x:c r="X55" s="875"/>
      <x:c r="Y55" s="875"/>
      <x:c r="Z55" s="875"/>
      <x:c r="AA55" s="875"/>
      <x:c r="AB55" s="875"/>
      <x:c r="AC55" s="875"/>
      <x:c r="AD55" s="875"/>
      <x:c r="AE55" s="875"/>
      <x:c r="AF55" s="875"/>
      <x:c r="AG55" s="875"/>
      <x:c r="AH55" s="875"/>
      <x:c r="AI55" s="875"/>
      <x:c r="AJ55" s="875"/>
      <x:c r="AK55" s="875"/>
      <x:c r="AL55" s="875"/>
      <x:c r="AM55" s="875"/>
    </x:row>
    <x:row r="56">
      <x:c r="A56" s="38"/>
      <x:c r="B56" s="38"/>
      <x:c r="C56" s="38"/>
      <x:c r="D56" s="38"/>
      <x:c r="E56" s="38"/>
      <x:c r="F56" s="38"/>
      <x:c r="G56" s="38"/>
      <x:c r="H56" s="38"/>
      <x:c r="I56" s="38"/>
      <x:c r="J56" s="38"/>
      <x:c r="K56" s="38"/>
      <x:c r="L56" s="38"/>
      <x:c r="M56" s="38"/>
      <x:c r="N56" s="38"/>
      <x:c r="O56" s="38"/>
      <x:c r="P56" s="38"/>
      <x:c r="Q56" s="38"/>
      <x:c r="R56" s="875"/>
      <x:c r="S56" s="875"/>
      <x:c r="T56" s="875"/>
      <x:c r="U56" s="875"/>
      <x:c r="V56" s="875"/>
      <x:c r="W56" s="875"/>
      <x:c r="X56" s="875"/>
      <x:c r="Y56" s="875"/>
      <x:c r="Z56" s="875"/>
      <x:c r="AA56" s="875"/>
      <x:c r="AB56" s="875"/>
      <x:c r="AC56" s="875"/>
      <x:c r="AD56" s="875"/>
      <x:c r="AE56" s="875"/>
      <x:c r="AF56" s="875"/>
      <x:c r="AG56" s="875"/>
      <x:c r="AH56" s="875"/>
      <x:c r="AI56" s="875"/>
      <x:c r="AJ56" s="875"/>
      <x:c r="AK56" s="875"/>
      <x:c r="AL56" s="875"/>
      <x:c r="AM56" s="875"/>
    </x:row>
    <x:row r="57">
      <x:c r="A57" s="38"/>
      <x:c r="B57" s="38"/>
      <x:c r="C57" s="38"/>
      <x:c r="D57" s="38"/>
      <x:c r="E57" s="38"/>
      <x:c r="F57" s="38"/>
      <x:c r="G57" s="38"/>
      <x:c r="H57" s="38"/>
      <x:c r="I57" s="38"/>
      <x:c r="J57" s="38"/>
      <x:c r="K57" s="38"/>
      <x:c r="L57" s="38"/>
      <x:c r="M57" s="38"/>
      <x:c r="N57" s="38"/>
      <x:c r="O57" s="38"/>
      <x:c r="P57" s="38"/>
      <x:c r="Q57" s="38"/>
      <x:c r="R57" s="875"/>
      <x:c r="S57" s="875"/>
      <x:c r="T57" s="875"/>
      <x:c r="U57" s="875"/>
      <x:c r="V57" s="875"/>
      <x:c r="W57" s="875"/>
      <x:c r="X57" s="875"/>
      <x:c r="Y57" s="875"/>
      <x:c r="Z57" s="875"/>
      <x:c r="AA57" s="875"/>
      <x:c r="AB57" s="875"/>
      <x:c r="AC57" s="875"/>
      <x:c r="AD57" s="875"/>
      <x:c r="AE57" s="875"/>
      <x:c r="AF57" s="875"/>
      <x:c r="AG57" s="875"/>
      <x:c r="AH57" s="875"/>
      <x:c r="AI57" s="875"/>
      <x:c r="AJ57" s="875"/>
      <x:c r="AK57" s="875"/>
      <x:c r="AL57" s="875"/>
      <x:c r="AM57" s="875"/>
    </x:row>
    <x:row r="58">
      <x:c r="A58" s="38"/>
      <x:c r="B58" s="38"/>
      <x:c r="C58" s="38"/>
      <x:c r="D58" s="38"/>
      <x:c r="E58" s="38"/>
      <x:c r="F58" s="38"/>
      <x:c r="G58" s="38"/>
      <x:c r="H58" s="38"/>
      <x:c r="I58" s="38"/>
      <x:c r="J58" s="38"/>
      <x:c r="K58" s="38"/>
      <x:c r="L58" s="38"/>
      <x:c r="M58" s="38"/>
      <x:c r="N58" s="38"/>
      <x:c r="O58" s="38"/>
      <x:c r="P58" s="38"/>
      <x:c r="Q58" s="38"/>
      <x:c r="R58" s="875"/>
      <x:c r="S58" s="875"/>
      <x:c r="T58" s="875"/>
      <x:c r="U58" s="875"/>
      <x:c r="V58" s="875"/>
      <x:c r="W58" s="875"/>
      <x:c r="X58" s="875"/>
      <x:c r="Y58" s="875"/>
      <x:c r="Z58" s="875"/>
      <x:c r="AA58" s="875"/>
      <x:c r="AB58" s="875"/>
      <x:c r="AC58" s="875"/>
      <x:c r="AD58" s="875"/>
      <x:c r="AE58" s="875"/>
      <x:c r="AF58" s="875"/>
      <x:c r="AG58" s="875"/>
      <x:c r="AH58" s="875"/>
      <x:c r="AI58" s="875"/>
      <x:c r="AJ58" s="875"/>
      <x:c r="AK58" s="875"/>
      <x:c r="AL58" s="875"/>
      <x:c r="AM58" s="875"/>
    </x:row>
    <x:row r="59">
      <x:c r="A59" s="38"/>
      <x:c r="B59" s="38"/>
      <x:c r="C59" s="38"/>
      <x:c r="D59" s="38"/>
      <x:c r="E59" s="38"/>
      <x:c r="F59" s="38"/>
      <x:c r="G59" s="38"/>
      <x:c r="H59" s="38"/>
      <x:c r="I59" s="38"/>
      <x:c r="J59" s="38"/>
      <x:c r="K59" s="38"/>
      <x:c r="L59" s="38"/>
      <x:c r="M59" s="38"/>
      <x:c r="N59" s="38"/>
      <x:c r="O59" s="38"/>
      <x:c r="P59" s="38"/>
      <x:c r="Q59" s="38"/>
      <x:c r="R59" s="875"/>
      <x:c r="S59" s="875"/>
      <x:c r="T59" s="875"/>
      <x:c r="U59" s="875"/>
      <x:c r="V59" s="875"/>
      <x:c r="W59" s="875"/>
      <x:c r="X59" s="875"/>
      <x:c r="Y59" s="875"/>
      <x:c r="Z59" s="875"/>
      <x:c r="AA59" s="875"/>
      <x:c r="AB59" s="875"/>
      <x:c r="AC59" s="875"/>
      <x:c r="AD59" s="875"/>
      <x:c r="AE59" s="875"/>
      <x:c r="AF59" s="875"/>
      <x:c r="AG59" s="875"/>
      <x:c r="AH59" s="875"/>
      <x:c r="AI59" s="875"/>
      <x:c r="AJ59" s="875"/>
      <x:c r="AK59" s="875"/>
      <x:c r="AL59" s="875"/>
      <x:c r="AM59" s="875"/>
    </x:row>
    <x:row r="60">
      <x:c r="A60" s="38"/>
      <x:c r="B60" s="38"/>
      <x:c r="C60" s="38"/>
      <x:c r="D60" s="38"/>
      <x:c r="E60" s="38"/>
      <x:c r="F60" s="38"/>
      <x:c r="G60" s="38"/>
      <x:c r="H60" s="38"/>
      <x:c r="I60" s="38"/>
      <x:c r="J60" s="38"/>
      <x:c r="K60" s="38"/>
      <x:c r="L60" s="38"/>
      <x:c r="M60" s="38"/>
      <x:c r="N60" s="38"/>
      <x:c r="O60" s="38"/>
      <x:c r="P60" s="38"/>
      <x:c r="Q60" s="38"/>
      <x:c r="R60" s="875"/>
      <x:c r="S60" s="875"/>
      <x:c r="T60" s="875"/>
      <x:c r="U60" s="875"/>
      <x:c r="V60" s="875"/>
      <x:c r="W60" s="875"/>
      <x:c r="X60" s="875"/>
      <x:c r="Y60" s="875"/>
      <x:c r="Z60" s="875"/>
      <x:c r="AA60" s="875"/>
      <x:c r="AB60" s="875"/>
      <x:c r="AC60" s="875"/>
      <x:c r="AD60" s="875"/>
      <x:c r="AE60" s="875"/>
      <x:c r="AF60" s="875"/>
      <x:c r="AG60" s="875"/>
      <x:c r="AH60" s="875"/>
      <x:c r="AI60" s="875"/>
      <x:c r="AJ60" s="875"/>
      <x:c r="AK60" s="875"/>
      <x:c r="AL60" s="875"/>
      <x:c r="AM60" s="875"/>
    </x:row>
    <x:row r="61">
      <x:c r="A61" s="38"/>
      <x:c r="B61" s="38"/>
      <x:c r="C61" s="38"/>
      <x:c r="D61" s="38"/>
      <x:c r="E61" s="38"/>
      <x:c r="F61" s="38"/>
      <x:c r="G61" s="38"/>
      <x:c r="H61" s="38"/>
      <x:c r="I61" s="38"/>
      <x:c r="J61" s="38"/>
      <x:c r="K61" s="38"/>
      <x:c r="L61" s="38"/>
      <x:c r="M61" s="38"/>
      <x:c r="N61" s="38"/>
      <x:c r="O61" s="38"/>
      <x:c r="P61" s="38"/>
      <x:c r="Q61" s="38"/>
      <x:c r="R61" s="875"/>
      <x:c r="S61" s="875"/>
      <x:c r="T61" s="875"/>
      <x:c r="U61" s="875"/>
      <x:c r="V61" s="875"/>
      <x:c r="W61" s="875"/>
      <x:c r="X61" s="875"/>
      <x:c r="Y61" s="875"/>
      <x:c r="Z61" s="875"/>
      <x:c r="AA61" s="875"/>
      <x:c r="AB61" s="875"/>
      <x:c r="AC61" s="875"/>
      <x:c r="AD61" s="875"/>
      <x:c r="AE61" s="875"/>
      <x:c r="AF61" s="875"/>
      <x:c r="AG61" s="875"/>
      <x:c r="AH61" s="875"/>
      <x:c r="AI61" s="875"/>
      <x:c r="AJ61" s="875"/>
      <x:c r="AK61" s="875"/>
      <x:c r="AL61" s="875"/>
      <x:c r="AM61" s="875"/>
    </x:row>
    <x:row r="62">
      <x:c r="A62" s="38"/>
      <x:c r="B62" s="38"/>
      <x:c r="C62" s="38"/>
      <x:c r="D62" s="38"/>
      <x:c r="E62" s="38"/>
      <x:c r="F62" s="38"/>
      <x:c r="G62" s="38"/>
      <x:c r="H62" s="38"/>
      <x:c r="I62" s="38"/>
      <x:c r="J62" s="38"/>
      <x:c r="K62" s="38"/>
      <x:c r="L62" s="38"/>
      <x:c r="M62" s="38"/>
      <x:c r="N62" s="38"/>
      <x:c r="O62" s="38"/>
      <x:c r="P62" s="38"/>
      <x:c r="Q62" s="38"/>
      <x:c r="R62" s="875"/>
      <x:c r="S62" s="875"/>
      <x:c r="T62" s="875"/>
      <x:c r="U62" s="875"/>
      <x:c r="V62" s="875"/>
      <x:c r="W62" s="875"/>
      <x:c r="X62" s="875"/>
      <x:c r="Y62" s="875"/>
      <x:c r="Z62" s="875"/>
      <x:c r="AA62" s="875"/>
      <x:c r="AB62" s="875"/>
      <x:c r="AC62" s="875"/>
      <x:c r="AD62" s="875"/>
      <x:c r="AE62" s="875"/>
      <x:c r="AF62" s="875"/>
      <x:c r="AG62" s="875"/>
      <x:c r="AH62" s="875"/>
      <x:c r="AI62" s="875"/>
      <x:c r="AJ62" s="875"/>
      <x:c r="AK62" s="875"/>
      <x:c r="AL62" s="875"/>
      <x:c r="AM62" s="875"/>
    </x:row>
    <x:row r="63">
      <x:c r="A63" s="875"/>
      <x:c r="B63" s="875"/>
      <x:c r="C63" s="875"/>
      <x:c r="D63" s="875"/>
      <x:c r="E63" s="875"/>
      <x:c r="F63" s="875"/>
      <x:c r="G63" s="875"/>
      <x:c r="H63" s="875"/>
      <x:c r="I63" s="875"/>
      <x:c r="J63" s="875"/>
      <x:c r="K63" s="875"/>
      <x:c r="L63" s="875"/>
      <x:c r="M63" s="875"/>
      <x:c r="N63" s="875"/>
      <x:c r="O63" s="875"/>
      <x:c r="P63" s="875"/>
      <x:c r="Q63" s="875"/>
      <x:c r="R63" s="875"/>
      <x:c r="S63" s="875"/>
      <x:c r="T63" s="875"/>
      <x:c r="U63" s="875"/>
      <x:c r="V63" s="875"/>
      <x:c r="W63" s="875"/>
      <x:c r="X63" s="875"/>
      <x:c r="Y63" s="875"/>
      <x:c r="Z63" s="875"/>
      <x:c r="AA63" s="875"/>
      <x:c r="AB63" s="875"/>
      <x:c r="AC63" s="875"/>
      <x:c r="AD63" s="875"/>
      <x:c r="AE63" s="875"/>
      <x:c r="AF63" s="875"/>
      <x:c r="AG63" s="875"/>
      <x:c r="AH63" s="875"/>
      <x:c r="AI63" s="875"/>
      <x:c r="AJ63" s="875"/>
      <x:c r="AK63" s="875"/>
      <x:c r="AL63" s="875"/>
      <x:c r="AM63" s="875"/>
    </x:row>
    <x:row r="64">
      <x:c r="A64" s="875"/>
      <x:c r="B64" s="875"/>
      <x:c r="C64" s="875"/>
      <x:c r="D64" s="875"/>
      <x:c r="E64" s="875"/>
      <x:c r="F64" s="875"/>
      <x:c r="G64" s="875"/>
      <x:c r="H64" s="875"/>
      <x:c r="I64" s="875"/>
      <x:c r="J64" s="875"/>
      <x:c r="K64" s="875"/>
      <x:c r="L64" s="875"/>
      <x:c r="M64" s="875"/>
      <x:c r="N64" s="875"/>
      <x:c r="O64" s="875"/>
      <x:c r="P64" s="875"/>
      <x:c r="Q64" s="875"/>
      <x:c r="R64" s="875"/>
      <x:c r="S64" s="875"/>
      <x:c r="T64" s="875"/>
      <x:c r="U64" s="875"/>
      <x:c r="V64" s="875"/>
      <x:c r="W64" s="875"/>
      <x:c r="X64" s="875"/>
      <x:c r="Y64" s="875"/>
      <x:c r="Z64" s="875"/>
      <x:c r="AA64" s="875"/>
      <x:c r="AB64" s="875"/>
      <x:c r="AC64" s="875"/>
      <x:c r="AD64" s="875"/>
      <x:c r="AE64" s="875"/>
      <x:c r="AF64" s="875"/>
      <x:c r="AG64" s="875"/>
      <x:c r="AH64" s="875"/>
      <x:c r="AI64" s="875"/>
      <x:c r="AJ64" s="875"/>
      <x:c r="AK64" s="875"/>
      <x:c r="AL64" s="875"/>
      <x:c r="AM64" s="875"/>
    </x:row>
    <x:row r="65">
      <x:c r="A65" s="875"/>
      <x:c r="B65" s="875"/>
      <x:c r="C65" s="875"/>
      <x:c r="D65" s="875"/>
      <x:c r="E65" s="875"/>
      <x:c r="F65" s="875"/>
      <x:c r="G65" s="875"/>
      <x:c r="H65" s="875"/>
      <x:c r="I65" s="875"/>
      <x:c r="J65" s="875"/>
      <x:c r="K65" s="875"/>
      <x:c r="L65" s="875"/>
      <x:c r="M65" s="875"/>
      <x:c r="N65" s="875"/>
      <x:c r="O65" s="875"/>
      <x:c r="P65" s="875"/>
      <x:c r="Q65" s="875"/>
      <x:c r="R65" s="875"/>
      <x:c r="S65" s="875"/>
      <x:c r="T65" s="875"/>
      <x:c r="U65" s="875"/>
      <x:c r="V65" s="875"/>
      <x:c r="W65" s="875"/>
      <x:c r="X65" s="875"/>
      <x:c r="Y65" s="875"/>
      <x:c r="Z65" s="875"/>
      <x:c r="AA65" s="875"/>
      <x:c r="AB65" s="875"/>
      <x:c r="AC65" s="875"/>
      <x:c r="AD65" s="875"/>
      <x:c r="AE65" s="875"/>
      <x:c r="AF65" s="875"/>
      <x:c r="AG65" s="875"/>
      <x:c r="AH65" s="875"/>
      <x:c r="AI65" s="875"/>
      <x:c r="AJ65" s="875"/>
      <x:c r="AK65" s="875"/>
      <x:c r="AL65" s="875"/>
      <x:c r="AM65" s="875"/>
    </x:row>
    <x:row r="66">
      <x:c r="A66" s="875"/>
      <x:c r="B66" s="875"/>
      <x:c r="C66" s="875"/>
      <x:c r="D66" s="875"/>
      <x:c r="E66" s="875"/>
      <x:c r="F66" s="875"/>
      <x:c r="G66" s="875"/>
      <x:c r="H66" s="875"/>
      <x:c r="I66" s="875"/>
      <x:c r="J66" s="875"/>
      <x:c r="K66" s="875"/>
      <x:c r="L66" s="875"/>
      <x:c r="M66" s="875"/>
      <x:c r="N66" s="875"/>
      <x:c r="O66" s="875"/>
      <x:c r="P66" s="875"/>
      <x:c r="Q66" s="875"/>
      <x:c r="R66" s="875"/>
      <x:c r="S66" s="875"/>
      <x:c r="T66" s="875"/>
      <x:c r="U66" s="875"/>
      <x:c r="V66" s="875"/>
      <x:c r="W66" s="875"/>
      <x:c r="X66" s="875"/>
      <x:c r="Y66" s="875"/>
      <x:c r="Z66" s="875"/>
      <x:c r="AA66" s="875"/>
      <x:c r="AB66" s="875"/>
      <x:c r="AC66" s="875"/>
      <x:c r="AD66" s="875"/>
      <x:c r="AE66" s="875"/>
      <x:c r="AF66" s="875"/>
      <x:c r="AG66" s="875"/>
      <x:c r="AH66" s="875"/>
      <x:c r="AI66" s="875"/>
      <x:c r="AJ66" s="875"/>
      <x:c r="AK66" s="875"/>
      <x:c r="AL66" s="875"/>
      <x:c r="AM66" s="875"/>
    </x:row>
    <x:row r="67">
      <x:c r="A67" s="875"/>
      <x:c r="B67" s="875"/>
      <x:c r="C67" s="875"/>
      <x:c r="D67" s="875"/>
      <x:c r="E67" s="875"/>
      <x:c r="F67" s="875"/>
      <x:c r="G67" s="875"/>
      <x:c r="H67" s="875"/>
      <x:c r="I67" s="875"/>
      <x:c r="J67" s="875"/>
      <x:c r="K67" s="875"/>
      <x:c r="L67" s="875"/>
      <x:c r="M67" s="875"/>
      <x:c r="N67" s="875"/>
      <x:c r="O67" s="875"/>
      <x:c r="P67" s="875"/>
      <x:c r="Q67" s="875"/>
      <x:c r="R67" s="875"/>
      <x:c r="S67" s="875"/>
      <x:c r="T67" s="875"/>
      <x:c r="U67" s="875"/>
      <x:c r="V67" s="875"/>
      <x:c r="W67" s="875"/>
      <x:c r="X67" s="875"/>
      <x:c r="Y67" s="875"/>
      <x:c r="Z67" s="875"/>
      <x:c r="AA67" s="875"/>
      <x:c r="AB67" s="875"/>
      <x:c r="AC67" s="875"/>
      <x:c r="AD67" s="875"/>
      <x:c r="AE67" s="875"/>
      <x:c r="AF67" s="875"/>
      <x:c r="AG67" s="875"/>
      <x:c r="AH67" s="875"/>
      <x:c r="AI67" s="875"/>
      <x:c r="AJ67" s="875"/>
      <x:c r="AK67" s="875"/>
      <x:c r="AL67" s="875"/>
      <x:c r="AM67" s="875"/>
    </x:row>
    <x:row r="68">
      <x:c r="A68" s="875"/>
      <x:c r="B68" s="875"/>
      <x:c r="C68" s="875"/>
      <x:c r="D68" s="875"/>
      <x:c r="E68" s="875"/>
      <x:c r="F68" s="875"/>
      <x:c r="G68" s="875"/>
      <x:c r="H68" s="875"/>
      <x:c r="I68" s="875"/>
      <x:c r="J68" s="875"/>
      <x:c r="K68" s="875"/>
      <x:c r="L68" s="875"/>
      <x:c r="M68" s="875"/>
      <x:c r="N68" s="875"/>
      <x:c r="O68" s="875"/>
      <x:c r="P68" s="875"/>
      <x:c r="Q68" s="875"/>
      <x:c r="R68" s="875"/>
      <x:c r="S68" s="875"/>
      <x:c r="T68" s="875"/>
      <x:c r="U68" s="875"/>
      <x:c r="V68" s="875"/>
      <x:c r="W68" s="875"/>
      <x:c r="X68" s="875"/>
      <x:c r="Y68" s="875"/>
      <x:c r="Z68" s="875"/>
      <x:c r="AA68" s="875"/>
      <x:c r="AB68" s="875"/>
      <x:c r="AC68" s="875"/>
      <x:c r="AD68" s="875"/>
      <x:c r="AE68" s="875"/>
      <x:c r="AF68" s="875"/>
      <x:c r="AG68" s="875"/>
      <x:c r="AH68" s="875"/>
      <x:c r="AI68" s="875"/>
      <x:c r="AJ68" s="875"/>
      <x:c r="AK68" s="875"/>
      <x:c r="AL68" s="875"/>
      <x:c r="AM68" s="875"/>
    </x:row>
    <x:row r="69">
      <x:c r="A69" s="875"/>
      <x:c r="B69" s="875"/>
      <x:c r="C69" s="875"/>
      <x:c r="D69" s="875"/>
      <x:c r="E69" s="875"/>
      <x:c r="F69" s="875"/>
      <x:c r="G69" s="875"/>
      <x:c r="H69" s="875"/>
      <x:c r="I69" s="875"/>
      <x:c r="J69" s="875"/>
      <x:c r="K69" s="875"/>
      <x:c r="L69" s="875"/>
      <x:c r="M69" s="875"/>
      <x:c r="N69" s="875"/>
      <x:c r="O69" s="875"/>
      <x:c r="P69" s="875"/>
      <x:c r="Q69" s="875"/>
      <x:c r="R69" s="875"/>
      <x:c r="S69" s="875"/>
      <x:c r="T69" s="875"/>
      <x:c r="U69" s="875"/>
      <x:c r="V69" s="875"/>
      <x:c r="W69" s="875"/>
      <x:c r="X69" s="875"/>
      <x:c r="Y69" s="875"/>
      <x:c r="Z69" s="875"/>
      <x:c r="AA69" s="875"/>
      <x:c r="AB69" s="875"/>
      <x:c r="AC69" s="875"/>
      <x:c r="AD69" s="875"/>
      <x:c r="AE69" s="875"/>
      <x:c r="AF69" s="875"/>
      <x:c r="AG69" s="875"/>
      <x:c r="AH69" s="875"/>
      <x:c r="AI69" s="875"/>
      <x:c r="AJ69" s="875"/>
      <x:c r="AK69" s="875"/>
      <x:c r="AL69" s="875"/>
      <x:c r="AM69" s="875"/>
    </x:row>
    <x:row r="70">
      <x:c r="A70" s="875"/>
      <x:c r="B70" s="875"/>
      <x:c r="C70" s="875"/>
      <x:c r="D70" s="875"/>
      <x:c r="E70" s="875"/>
      <x:c r="F70" s="875"/>
      <x:c r="G70" s="875"/>
      <x:c r="H70" s="875"/>
      <x:c r="I70" s="875"/>
      <x:c r="J70" s="875"/>
      <x:c r="K70" s="875"/>
      <x:c r="L70" s="875"/>
      <x:c r="M70" s="875"/>
      <x:c r="N70" s="875"/>
      <x:c r="O70" s="875"/>
      <x:c r="P70" s="875"/>
      <x:c r="Q70" s="875"/>
      <x:c r="R70" s="875"/>
      <x:c r="S70" s="875"/>
      <x:c r="T70" s="875"/>
      <x:c r="U70" s="875"/>
      <x:c r="V70" s="875"/>
      <x:c r="W70" s="875"/>
      <x:c r="X70" s="875"/>
      <x:c r="Y70" s="875"/>
      <x:c r="Z70" s="875"/>
      <x:c r="AA70" s="875"/>
      <x:c r="AB70" s="875"/>
      <x:c r="AC70" s="875"/>
      <x:c r="AD70" s="875"/>
      <x:c r="AE70" s="875"/>
      <x:c r="AF70" s="875"/>
      <x:c r="AG70" s="875"/>
      <x:c r="AH70" s="875"/>
      <x:c r="AI70" s="875"/>
      <x:c r="AJ70" s="875"/>
      <x:c r="AK70" s="875"/>
      <x:c r="AL70" s="875"/>
      <x:c r="AM70" s="875"/>
    </x:row>
    <x:row r="71">
      <x:c r="A71" s="875"/>
      <x:c r="B71" s="875"/>
      <x:c r="C71" s="875"/>
      <x:c r="D71" s="875"/>
      <x:c r="E71" s="875"/>
      <x:c r="F71" s="875"/>
      <x:c r="G71" s="875"/>
      <x:c r="H71" s="875"/>
      <x:c r="I71" s="875"/>
      <x:c r="J71" s="875"/>
      <x:c r="K71" s="875"/>
      <x:c r="L71" s="875"/>
      <x:c r="M71" s="875"/>
      <x:c r="N71" s="875"/>
      <x:c r="O71" s="875"/>
      <x:c r="P71" s="875"/>
      <x:c r="Q71" s="875"/>
      <x:c r="R71" s="875"/>
      <x:c r="S71" s="875"/>
      <x:c r="T71" s="875"/>
      <x:c r="U71" s="875"/>
      <x:c r="V71" s="875"/>
      <x:c r="W71" s="875"/>
      <x:c r="X71" s="875"/>
      <x:c r="Y71" s="875"/>
      <x:c r="Z71" s="875"/>
      <x:c r="AA71" s="875"/>
      <x:c r="AB71" s="875"/>
      <x:c r="AC71" s="875"/>
      <x:c r="AD71" s="875"/>
      <x:c r="AE71" s="875"/>
      <x:c r="AF71" s="875"/>
      <x:c r="AG71" s="875"/>
      <x:c r="AH71" s="875"/>
      <x:c r="AI71" s="875"/>
      <x:c r="AJ71" s="875"/>
      <x:c r="AK71" s="875"/>
      <x:c r="AL71" s="875"/>
      <x:c r="AM71" s="875"/>
    </x:row>
    <x:row r="72">
      <x:c r="A72" s="875"/>
      <x:c r="B72" s="875"/>
      <x:c r="C72" s="875"/>
      <x:c r="D72" s="875"/>
      <x:c r="E72" s="875"/>
      <x:c r="F72" s="875"/>
      <x:c r="G72" s="875"/>
      <x:c r="H72" s="875"/>
      <x:c r="I72" s="875"/>
      <x:c r="J72" s="875"/>
      <x:c r="K72" s="875"/>
      <x:c r="L72" s="875"/>
      <x:c r="M72" s="875"/>
      <x:c r="N72" s="875"/>
      <x:c r="O72" s="875"/>
      <x:c r="P72" s="875"/>
      <x:c r="Q72" s="875"/>
      <x:c r="R72" s="875"/>
      <x:c r="S72" s="875"/>
      <x:c r="T72" s="875"/>
      <x:c r="U72" s="875"/>
      <x:c r="V72" s="875"/>
      <x:c r="W72" s="875"/>
      <x:c r="X72" s="875"/>
      <x:c r="Y72" s="875"/>
      <x:c r="Z72" s="875"/>
      <x:c r="AA72" s="875"/>
      <x:c r="AB72" s="875"/>
      <x:c r="AC72" s="875"/>
      <x:c r="AD72" s="875"/>
      <x:c r="AE72" s="875"/>
      <x:c r="AF72" s="875"/>
      <x:c r="AG72" s="875"/>
      <x:c r="AH72" s="875"/>
      <x:c r="AI72" s="875"/>
      <x:c r="AJ72" s="875"/>
      <x:c r="AK72" s="875"/>
      <x:c r="AL72" s="875"/>
      <x:c r="AM72" s="875"/>
    </x:row>
    <x:row r="73">
      <x:c r="A73" s="875"/>
      <x:c r="B73" s="875"/>
      <x:c r="C73" s="875"/>
      <x:c r="D73" s="875"/>
      <x:c r="E73" s="875"/>
      <x:c r="F73" s="875"/>
      <x:c r="G73" s="875"/>
      <x:c r="H73" s="875"/>
      <x:c r="I73" s="875"/>
      <x:c r="J73" s="875"/>
      <x:c r="K73" s="875"/>
      <x:c r="L73" s="875"/>
      <x:c r="M73" s="875"/>
      <x:c r="N73" s="875"/>
      <x:c r="O73" s="875"/>
      <x:c r="P73" s="875"/>
      <x:c r="Q73" s="875"/>
      <x:c r="R73" s="875"/>
      <x:c r="S73" s="875"/>
      <x:c r="T73" s="875"/>
      <x:c r="U73" s="875"/>
      <x:c r="V73" s="875"/>
      <x:c r="W73" s="875"/>
      <x:c r="X73" s="875"/>
      <x:c r="Y73" s="875"/>
      <x:c r="Z73" s="875"/>
      <x:c r="AA73" s="875"/>
      <x:c r="AB73" s="875"/>
      <x:c r="AC73" s="875"/>
      <x:c r="AD73" s="875"/>
      <x:c r="AE73" s="875"/>
      <x:c r="AF73" s="875"/>
      <x:c r="AG73" s="875"/>
      <x:c r="AH73" s="875"/>
      <x:c r="AI73" s="875"/>
      <x:c r="AJ73" s="875"/>
      <x:c r="AK73" s="875"/>
      <x:c r="AL73" s="875"/>
      <x:c r="AM73" s="875"/>
    </x:row>
    <x:row r="74">
      <x:c r="A74" s="875"/>
      <x:c r="B74" s="875"/>
      <x:c r="C74" s="875"/>
      <x:c r="D74" s="875"/>
      <x:c r="E74" s="875"/>
      <x:c r="F74" s="875"/>
      <x:c r="G74" s="875"/>
      <x:c r="H74" s="875"/>
      <x:c r="I74" s="875"/>
      <x:c r="J74" s="875"/>
      <x:c r="K74" s="875"/>
      <x:c r="L74" s="875"/>
      <x:c r="M74" s="875"/>
      <x:c r="N74" s="875"/>
      <x:c r="O74" s="875"/>
      <x:c r="P74" s="875"/>
      <x:c r="Q74" s="875"/>
      <x:c r="R74" s="875"/>
      <x:c r="S74" s="875"/>
      <x:c r="T74" s="875"/>
      <x:c r="U74" s="875"/>
      <x:c r="V74" s="875"/>
      <x:c r="W74" s="875"/>
      <x:c r="X74" s="875"/>
      <x:c r="Y74" s="875"/>
      <x:c r="Z74" s="875"/>
      <x:c r="AA74" s="875"/>
      <x:c r="AB74" s="875"/>
      <x:c r="AC74" s="875"/>
      <x:c r="AD74" s="875"/>
      <x:c r="AE74" s="875"/>
      <x:c r="AF74" s="875"/>
      <x:c r="AG74" s="875"/>
      <x:c r="AH74" s="875"/>
      <x:c r="AI74" s="875"/>
      <x:c r="AJ74" s="875"/>
      <x:c r="AK74" s="875"/>
      <x:c r="AL74" s="875"/>
      <x:c r="AM74" s="875"/>
    </x:row>
    <x:row r="75">
      <x:c r="A75" s="875"/>
      <x:c r="B75" s="875"/>
      <x:c r="C75" s="875"/>
      <x:c r="D75" s="875"/>
      <x:c r="E75" s="875"/>
      <x:c r="F75" s="875"/>
      <x:c r="G75" s="875"/>
      <x:c r="H75" s="875"/>
      <x:c r="I75" s="875"/>
      <x:c r="J75" s="875"/>
      <x:c r="K75" s="875"/>
      <x:c r="L75" s="875"/>
      <x:c r="M75" s="875"/>
      <x:c r="N75" s="875"/>
      <x:c r="O75" s="875"/>
      <x:c r="P75" s="875"/>
      <x:c r="Q75" s="875"/>
      <x:c r="R75" s="875"/>
      <x:c r="S75" s="875"/>
      <x:c r="T75" s="875"/>
      <x:c r="U75" s="875"/>
      <x:c r="V75" s="875"/>
      <x:c r="W75" s="875"/>
      <x:c r="X75" s="875"/>
      <x:c r="Y75" s="875"/>
      <x:c r="Z75" s="875"/>
      <x:c r="AA75" s="875"/>
      <x:c r="AB75" s="875"/>
      <x:c r="AC75" s="875"/>
      <x:c r="AD75" s="875"/>
      <x:c r="AE75" s="875"/>
      <x:c r="AF75" s="875"/>
      <x:c r="AG75" s="875"/>
      <x:c r="AH75" s="875"/>
      <x:c r="AI75" s="875"/>
      <x:c r="AJ75" s="875"/>
      <x:c r="AK75" s="875"/>
      <x:c r="AL75" s="875"/>
      <x:c r="AM75" s="875"/>
    </x:row>
    <x:row r="76">
      <x:c r="A76" s="875"/>
      <x:c r="B76" s="875"/>
      <x:c r="C76" s="875"/>
      <x:c r="D76" s="875"/>
      <x:c r="E76" s="875"/>
      <x:c r="F76" s="875"/>
      <x:c r="G76" s="875"/>
      <x:c r="H76" s="875"/>
      <x:c r="I76" s="875"/>
      <x:c r="J76" s="875"/>
      <x:c r="K76" s="875"/>
      <x:c r="L76" s="875"/>
      <x:c r="M76" s="875"/>
      <x:c r="N76" s="875"/>
      <x:c r="O76" s="875"/>
      <x:c r="P76" s="875"/>
      <x:c r="Q76" s="875"/>
      <x:c r="R76" s="875"/>
      <x:c r="S76" s="875"/>
      <x:c r="T76" s="875"/>
      <x:c r="U76" s="875"/>
      <x:c r="V76" s="875"/>
      <x:c r="W76" s="875"/>
      <x:c r="X76" s="875"/>
      <x:c r="Y76" s="875"/>
      <x:c r="Z76" s="875"/>
      <x:c r="AA76" s="875"/>
      <x:c r="AB76" s="875"/>
      <x:c r="AC76" s="875"/>
      <x:c r="AD76" s="875"/>
      <x:c r="AE76" s="875"/>
      <x:c r="AF76" s="875"/>
      <x:c r="AG76" s="875"/>
      <x:c r="AH76" s="875"/>
      <x:c r="AI76" s="875"/>
      <x:c r="AJ76" s="875"/>
      <x:c r="AK76" s="875"/>
      <x:c r="AL76" s="875"/>
      <x:c r="AM76" s="875"/>
    </x:row>
    <x:row r="77">
      <x:c r="A77" s="875"/>
      <x:c r="B77" s="875"/>
      <x:c r="C77" s="875"/>
      <x:c r="D77" s="875"/>
      <x:c r="E77" s="875"/>
      <x:c r="F77" s="875"/>
      <x:c r="G77" s="875"/>
      <x:c r="H77" s="875"/>
      <x:c r="I77" s="875"/>
      <x:c r="J77" s="875"/>
      <x:c r="K77" s="875"/>
      <x:c r="L77" s="875"/>
      <x:c r="M77" s="875"/>
      <x:c r="N77" s="875"/>
      <x:c r="O77" s="875"/>
      <x:c r="P77" s="875"/>
      <x:c r="Q77" s="875"/>
      <x:c r="R77" s="875"/>
      <x:c r="S77" s="875"/>
      <x:c r="T77" s="875"/>
      <x:c r="U77" s="875"/>
      <x:c r="V77" s="875"/>
      <x:c r="W77" s="875"/>
      <x:c r="X77" s="875"/>
      <x:c r="Y77" s="875"/>
      <x:c r="Z77" s="875"/>
      <x:c r="AA77" s="875"/>
      <x:c r="AB77" s="875"/>
      <x:c r="AC77" s="875"/>
      <x:c r="AD77" s="875"/>
      <x:c r="AE77" s="875"/>
      <x:c r="AF77" s="875"/>
      <x:c r="AG77" s="875"/>
      <x:c r="AH77" s="875"/>
      <x:c r="AI77" s="875"/>
      <x:c r="AJ77" s="875"/>
      <x:c r="AK77" s="875"/>
      <x:c r="AL77" s="875"/>
      <x:c r="AM77" s="875"/>
    </x:row>
    <x:row r="78">
      <x:c r="A78" s="875"/>
      <x:c r="B78" s="875"/>
      <x:c r="C78" s="875"/>
      <x:c r="D78" s="875"/>
      <x:c r="E78" s="875"/>
      <x:c r="F78" s="875"/>
      <x:c r="G78" s="875"/>
      <x:c r="H78" s="875"/>
      <x:c r="I78" s="875"/>
      <x:c r="J78" s="875"/>
      <x:c r="K78" s="875"/>
      <x:c r="L78" s="875"/>
      <x:c r="M78" s="875"/>
      <x:c r="N78" s="875"/>
      <x:c r="O78" s="875"/>
      <x:c r="P78" s="875"/>
      <x:c r="Q78" s="875"/>
      <x:c r="R78" s="875"/>
      <x:c r="S78" s="875"/>
      <x:c r="T78" s="875"/>
      <x:c r="U78" s="875"/>
      <x:c r="V78" s="875"/>
      <x:c r="W78" s="875"/>
      <x:c r="X78" s="875"/>
      <x:c r="Y78" s="875"/>
      <x:c r="Z78" s="875"/>
      <x:c r="AA78" s="875"/>
      <x:c r="AB78" s="875"/>
      <x:c r="AC78" s="875"/>
      <x:c r="AD78" s="875"/>
      <x:c r="AE78" s="875"/>
      <x:c r="AF78" s="875"/>
      <x:c r="AG78" s="875"/>
      <x:c r="AH78" s="875"/>
      <x:c r="AI78" s="875"/>
      <x:c r="AJ78" s="875"/>
      <x:c r="AK78" s="875"/>
      <x:c r="AL78" s="875"/>
      <x:c r="AM78" s="875"/>
    </x:row>
    <x:row r="79">
      <x:c r="A79" s="875"/>
      <x:c r="B79" s="875"/>
      <x:c r="C79" s="875"/>
      <x:c r="D79" s="875"/>
      <x:c r="E79" s="875"/>
      <x:c r="F79" s="875"/>
      <x:c r="G79" s="875"/>
      <x:c r="H79" s="875"/>
      <x:c r="I79" s="875"/>
      <x:c r="J79" s="875"/>
      <x:c r="K79" s="875"/>
      <x:c r="L79" s="875"/>
      <x:c r="M79" s="875"/>
      <x:c r="N79" s="875"/>
      <x:c r="O79" s="875"/>
      <x:c r="P79" s="875"/>
      <x:c r="Q79" s="875"/>
      <x:c r="R79" s="875"/>
      <x:c r="S79" s="875"/>
      <x:c r="T79" s="875"/>
      <x:c r="U79" s="875"/>
      <x:c r="V79" s="875"/>
      <x:c r="W79" s="875"/>
      <x:c r="X79" s="875"/>
      <x:c r="Y79" s="875"/>
      <x:c r="Z79" s="875"/>
      <x:c r="AA79" s="875"/>
      <x:c r="AB79" s="875"/>
      <x:c r="AC79" s="875"/>
      <x:c r="AD79" s="875"/>
      <x:c r="AE79" s="875"/>
      <x:c r="AF79" s="875"/>
      <x:c r="AG79" s="875"/>
      <x:c r="AH79" s="875"/>
      <x:c r="AI79" s="875"/>
      <x:c r="AJ79" s="875"/>
      <x:c r="AK79" s="875"/>
      <x:c r="AL79" s="875"/>
      <x:c r="AM79" s="875"/>
    </x:row>
    <x:row r="80">
      <x:c r="A80" s="875"/>
      <x:c r="B80" s="875"/>
      <x:c r="C80" s="875"/>
      <x:c r="D80" s="875"/>
      <x:c r="E80" s="875"/>
      <x:c r="F80" s="875"/>
      <x:c r="G80" s="875"/>
      <x:c r="H80" s="875"/>
      <x:c r="I80" s="875"/>
      <x:c r="J80" s="875"/>
      <x:c r="K80" s="875"/>
      <x:c r="L80" s="875"/>
      <x:c r="M80" s="875"/>
      <x:c r="N80" s="875"/>
      <x:c r="O80" s="875"/>
      <x:c r="P80" s="875"/>
      <x:c r="Q80" s="875"/>
      <x:c r="R80" s="875"/>
      <x:c r="S80" s="875"/>
      <x:c r="T80" s="875"/>
      <x:c r="U80" s="875"/>
      <x:c r="V80" s="875"/>
      <x:c r="W80" s="875"/>
      <x:c r="X80" s="875"/>
      <x:c r="Y80" s="875"/>
      <x:c r="Z80" s="875"/>
      <x:c r="AA80" s="875"/>
      <x:c r="AB80" s="875"/>
      <x:c r="AC80" s="875"/>
      <x:c r="AD80" s="875"/>
      <x:c r="AE80" s="875"/>
      <x:c r="AF80" s="875"/>
      <x:c r="AG80" s="875"/>
      <x:c r="AH80" s="875"/>
      <x:c r="AI80" s="875"/>
      <x:c r="AJ80" s="875"/>
      <x:c r="AK80" s="875"/>
      <x:c r="AL80" s="875"/>
      <x:c r="AM80" s="875"/>
    </x:row>
    <x:row r="81">
      <x:c r="A81" s="875"/>
      <x:c r="B81" s="875"/>
      <x:c r="C81" s="875"/>
      <x:c r="D81" s="875"/>
      <x:c r="E81" s="875"/>
      <x:c r="F81" s="875"/>
      <x:c r="G81" s="875"/>
      <x:c r="H81" s="875"/>
      <x:c r="I81" s="875"/>
      <x:c r="J81" s="875"/>
      <x:c r="K81" s="875"/>
      <x:c r="L81" s="875"/>
      <x:c r="M81" s="875"/>
      <x:c r="N81" s="875"/>
      <x:c r="O81" s="875"/>
      <x:c r="P81" s="875"/>
      <x:c r="Q81" s="875"/>
      <x:c r="R81" s="875"/>
      <x:c r="S81" s="875"/>
      <x:c r="T81" s="875"/>
      <x:c r="U81" s="875"/>
      <x:c r="V81" s="875"/>
      <x:c r="W81" s="875"/>
      <x:c r="X81" s="875"/>
      <x:c r="Y81" s="875"/>
      <x:c r="Z81" s="875"/>
      <x:c r="AA81" s="875"/>
      <x:c r="AB81" s="875"/>
      <x:c r="AC81" s="875"/>
      <x:c r="AD81" s="875"/>
      <x:c r="AE81" s="875"/>
      <x:c r="AF81" s="875"/>
      <x:c r="AG81" s="875"/>
      <x:c r="AH81" s="875"/>
      <x:c r="AI81" s="875"/>
      <x:c r="AJ81" s="875"/>
      <x:c r="AK81" s="875"/>
      <x:c r="AL81" s="875"/>
      <x:c r="AM81" s="875"/>
    </x:row>
    <x:row r="82">
      <x:c r="A82" s="875"/>
      <x:c r="B82" s="875"/>
      <x:c r="C82" s="875"/>
      <x:c r="D82" s="875"/>
      <x:c r="E82" s="875"/>
      <x:c r="F82" s="875"/>
      <x:c r="G82" s="875"/>
      <x:c r="H82" s="875"/>
      <x:c r="I82" s="875"/>
      <x:c r="J82" s="875"/>
      <x:c r="K82" s="875"/>
      <x:c r="L82" s="875"/>
      <x:c r="M82" s="875"/>
      <x:c r="N82" s="875"/>
      <x:c r="O82" s="875"/>
      <x:c r="P82" s="875"/>
      <x:c r="Q82" s="875"/>
      <x:c r="R82" s="875"/>
      <x:c r="S82" s="875"/>
      <x:c r="T82" s="875"/>
      <x:c r="U82" s="875"/>
      <x:c r="V82" s="875"/>
      <x:c r="W82" s="875"/>
      <x:c r="X82" s="875"/>
      <x:c r="Y82" s="875"/>
      <x:c r="Z82" s="875"/>
      <x:c r="AA82" s="875"/>
      <x:c r="AB82" s="875"/>
      <x:c r="AC82" s="875"/>
      <x:c r="AD82" s="875"/>
      <x:c r="AE82" s="875"/>
      <x:c r="AF82" s="875"/>
      <x:c r="AG82" s="875"/>
      <x:c r="AH82" s="875"/>
      <x:c r="AI82" s="875"/>
      <x:c r="AJ82" s="875"/>
      <x:c r="AK82" s="875"/>
      <x:c r="AL82" s="875"/>
      <x:c r="AM82" s="875"/>
    </x:row>
    <x:row r="83">
      <x:c r="A83" s="875"/>
      <x:c r="B83" s="875"/>
      <x:c r="C83" s="875"/>
      <x:c r="D83" s="875"/>
      <x:c r="E83" s="875"/>
      <x:c r="F83" s="875"/>
      <x:c r="G83" s="875"/>
      <x:c r="H83" s="875"/>
      <x:c r="I83" s="875"/>
      <x:c r="J83" s="875"/>
      <x:c r="K83" s="875"/>
      <x:c r="L83" s="875"/>
      <x:c r="M83" s="875"/>
      <x:c r="N83" s="875"/>
      <x:c r="O83" s="875"/>
      <x:c r="P83" s="875"/>
      <x:c r="Q83" s="875"/>
      <x:c r="R83" s="875"/>
      <x:c r="S83" s="875"/>
      <x:c r="T83" s="875"/>
      <x:c r="U83" s="875"/>
      <x:c r="V83" s="875"/>
      <x:c r="W83" s="875"/>
      <x:c r="X83" s="875"/>
      <x:c r="Y83" s="875"/>
      <x:c r="Z83" s="875"/>
      <x:c r="AA83" s="875"/>
      <x:c r="AB83" s="875"/>
      <x:c r="AC83" s="875"/>
      <x:c r="AD83" s="875"/>
      <x:c r="AE83" s="875"/>
      <x:c r="AF83" s="875"/>
      <x:c r="AG83" s="875"/>
      <x:c r="AH83" s="875"/>
      <x:c r="AI83" s="875"/>
      <x:c r="AJ83" s="875"/>
      <x:c r="AK83" s="875"/>
      <x:c r="AL83" s="875"/>
      <x:c r="AM83" s="875"/>
    </x:row>
    <x:row r="84">
      <x:c r="A84" s="875"/>
      <x:c r="B84" s="875"/>
      <x:c r="C84" s="875"/>
      <x:c r="D84" s="875"/>
      <x:c r="E84" s="875"/>
      <x:c r="F84" s="875"/>
      <x:c r="G84" s="875"/>
      <x:c r="H84" s="875"/>
      <x:c r="I84" s="875"/>
      <x:c r="J84" s="875"/>
      <x:c r="K84" s="875"/>
      <x:c r="L84" s="875"/>
      <x:c r="M84" s="875"/>
      <x:c r="N84" s="875"/>
      <x:c r="O84" s="875"/>
      <x:c r="P84" s="875"/>
      <x:c r="Q84" s="875"/>
      <x:c r="R84" s="875"/>
      <x:c r="S84" s="875"/>
      <x:c r="T84" s="875"/>
      <x:c r="U84" s="875"/>
      <x:c r="V84" s="875"/>
      <x:c r="W84" s="875"/>
      <x:c r="X84" s="875"/>
      <x:c r="Y84" s="875"/>
      <x:c r="Z84" s="875"/>
      <x:c r="AA84" s="875"/>
      <x:c r="AB84" s="875"/>
      <x:c r="AC84" s="875"/>
      <x:c r="AD84" s="875"/>
      <x:c r="AE84" s="875"/>
      <x:c r="AF84" s="875"/>
      <x:c r="AG84" s="875"/>
      <x:c r="AH84" s="875"/>
      <x:c r="AI84" s="875"/>
      <x:c r="AJ84" s="875"/>
      <x:c r="AK84" s="875"/>
      <x:c r="AL84" s="875"/>
      <x:c r="AM84" s="875"/>
    </x:row>
    <x:row r="85">
      <x:c r="A85" s="875"/>
      <x:c r="B85" s="875"/>
      <x:c r="C85" s="875"/>
      <x:c r="D85" s="875"/>
      <x:c r="E85" s="875"/>
      <x:c r="F85" s="875"/>
      <x:c r="G85" s="875"/>
      <x:c r="H85" s="875"/>
      <x:c r="I85" s="875"/>
      <x:c r="J85" s="875"/>
      <x:c r="K85" s="875"/>
      <x:c r="L85" s="875"/>
      <x:c r="M85" s="875"/>
      <x:c r="N85" s="875"/>
      <x:c r="O85" s="875"/>
      <x:c r="P85" s="875"/>
      <x:c r="Q85" s="875"/>
      <x:c r="R85" s="875"/>
      <x:c r="S85" s="875"/>
      <x:c r="T85" s="875"/>
      <x:c r="U85" s="875"/>
      <x:c r="V85" s="875"/>
      <x:c r="W85" s="875"/>
      <x:c r="X85" s="875"/>
      <x:c r="Y85" s="875"/>
      <x:c r="Z85" s="875"/>
      <x:c r="AA85" s="875"/>
      <x:c r="AB85" s="875"/>
      <x:c r="AC85" s="875"/>
      <x:c r="AD85" s="875"/>
      <x:c r="AE85" s="875"/>
      <x:c r="AF85" s="875"/>
      <x:c r="AG85" s="875"/>
      <x:c r="AH85" s="875"/>
      <x:c r="AI85" s="875"/>
      <x:c r="AJ85" s="875"/>
      <x:c r="AK85" s="875"/>
      <x:c r="AL85" s="875"/>
      <x:c r="AM85" s="875"/>
    </x:row>
    <x:row r="86">
      <x:c r="A86" s="875"/>
      <x:c r="B86" s="875"/>
      <x:c r="C86" s="875"/>
      <x:c r="D86" s="875"/>
      <x:c r="E86" s="875"/>
      <x:c r="F86" s="875"/>
      <x:c r="G86" s="875"/>
      <x:c r="H86" s="875"/>
      <x:c r="I86" s="875"/>
      <x:c r="J86" s="875"/>
      <x:c r="K86" s="875"/>
      <x:c r="L86" s="875"/>
      <x:c r="M86" s="875"/>
      <x:c r="N86" s="875"/>
      <x:c r="O86" s="875"/>
      <x:c r="P86" s="875"/>
      <x:c r="Q86" s="875"/>
      <x:c r="R86" s="875"/>
      <x:c r="S86" s="875"/>
      <x:c r="T86" s="875"/>
      <x:c r="U86" s="875"/>
      <x:c r="V86" s="875"/>
      <x:c r="W86" s="875"/>
      <x:c r="X86" s="875"/>
      <x:c r="Y86" s="875"/>
      <x:c r="Z86" s="875"/>
      <x:c r="AA86" s="875"/>
      <x:c r="AB86" s="875"/>
      <x:c r="AC86" s="875"/>
      <x:c r="AD86" s="875"/>
      <x:c r="AE86" s="875"/>
      <x:c r="AF86" s="875"/>
      <x:c r="AG86" s="875"/>
      <x:c r="AH86" s="875"/>
      <x:c r="AI86" s="875"/>
      <x:c r="AJ86" s="875"/>
      <x:c r="AK86" s="875"/>
      <x:c r="AL86" s="875"/>
      <x:c r="AM86" s="875"/>
    </x:row>
    <x:row r="87">
      <x:c r="A87" s="875"/>
      <x:c r="B87" s="875"/>
      <x:c r="C87" s="875"/>
      <x:c r="D87" s="875"/>
      <x:c r="E87" s="875"/>
      <x:c r="F87" s="875"/>
      <x:c r="G87" s="875"/>
      <x:c r="H87" s="875"/>
      <x:c r="I87" s="875"/>
      <x:c r="J87" s="875"/>
      <x:c r="K87" s="875"/>
      <x:c r="L87" s="875"/>
      <x:c r="M87" s="875"/>
      <x:c r="N87" s="875"/>
      <x:c r="O87" s="875"/>
      <x:c r="P87" s="875"/>
      <x:c r="Q87" s="875"/>
      <x:c r="R87" s="875"/>
      <x:c r="S87" s="875"/>
      <x:c r="T87" s="875"/>
      <x:c r="U87" s="875"/>
      <x:c r="V87" s="875"/>
      <x:c r="W87" s="875"/>
      <x:c r="X87" s="875"/>
      <x:c r="Y87" s="875"/>
      <x:c r="Z87" s="875"/>
      <x:c r="AA87" s="875"/>
      <x:c r="AB87" s="875"/>
      <x:c r="AC87" s="875"/>
      <x:c r="AD87" s="875"/>
      <x:c r="AE87" s="875"/>
      <x:c r="AF87" s="875"/>
      <x:c r="AG87" s="875"/>
      <x:c r="AH87" s="875"/>
      <x:c r="AI87" s="875"/>
      <x:c r="AJ87" s="875"/>
      <x:c r="AK87" s="875"/>
      <x:c r="AL87" s="875"/>
      <x:c r="AM87" s="875"/>
    </x:row>
    <x:row r="88">
      <x:c r="A88" s="875"/>
      <x:c r="B88" s="875"/>
      <x:c r="C88" s="875"/>
      <x:c r="D88" s="875"/>
      <x:c r="E88" s="875"/>
      <x:c r="F88" s="875"/>
      <x:c r="G88" s="875"/>
      <x:c r="H88" s="875"/>
      <x:c r="I88" s="875"/>
      <x:c r="J88" s="875"/>
      <x:c r="K88" s="875"/>
      <x:c r="L88" s="875"/>
      <x:c r="M88" s="875"/>
      <x:c r="N88" s="875"/>
      <x:c r="O88" s="875"/>
      <x:c r="P88" s="875"/>
      <x:c r="Q88" s="875"/>
      <x:c r="R88" s="875"/>
      <x:c r="S88" s="875"/>
      <x:c r="T88" s="875"/>
      <x:c r="U88" s="875"/>
      <x:c r="V88" s="875"/>
      <x:c r="W88" s="875"/>
      <x:c r="X88" s="875"/>
      <x:c r="Y88" s="875"/>
      <x:c r="Z88" s="875"/>
      <x:c r="AA88" s="875"/>
      <x:c r="AB88" s="875"/>
      <x:c r="AC88" s="875"/>
      <x:c r="AD88" s="875"/>
      <x:c r="AE88" s="875"/>
      <x:c r="AF88" s="875"/>
      <x:c r="AG88" s="875"/>
      <x:c r="AH88" s="875"/>
      <x:c r="AI88" s="875"/>
      <x:c r="AJ88" s="875"/>
      <x:c r="AK88" s="875"/>
      <x:c r="AL88" s="875"/>
      <x:c r="AM88" s="875"/>
    </x:row>
    <x:row r="89">
      <x:c r="A89" s="875"/>
      <x:c r="B89" s="875"/>
      <x:c r="C89" s="875"/>
      <x:c r="D89" s="875"/>
      <x:c r="E89" s="875"/>
      <x:c r="F89" s="875"/>
      <x:c r="G89" s="875"/>
      <x:c r="H89" s="875"/>
      <x:c r="I89" s="875"/>
      <x:c r="J89" s="875"/>
      <x:c r="K89" s="875"/>
      <x:c r="L89" s="875"/>
      <x:c r="M89" s="875"/>
      <x:c r="N89" s="875"/>
      <x:c r="O89" s="875"/>
      <x:c r="P89" s="875"/>
      <x:c r="Q89" s="875"/>
      <x:c r="R89" s="875"/>
      <x:c r="S89" s="875"/>
      <x:c r="T89" s="875"/>
      <x:c r="U89" s="875"/>
      <x:c r="V89" s="875"/>
      <x:c r="W89" s="875"/>
      <x:c r="X89" s="875"/>
      <x:c r="Y89" s="875"/>
      <x:c r="Z89" s="875"/>
      <x:c r="AA89" s="875"/>
      <x:c r="AB89" s="875"/>
      <x:c r="AC89" s="875"/>
      <x:c r="AD89" s="875"/>
      <x:c r="AE89" s="875"/>
      <x:c r="AF89" s="875"/>
      <x:c r="AG89" s="875"/>
      <x:c r="AH89" s="875"/>
      <x:c r="AI89" s="875"/>
      <x:c r="AJ89" s="875"/>
      <x:c r="AK89" s="875"/>
      <x:c r="AL89" s="875"/>
      <x:c r="AM89" s="875"/>
    </x:row>
    <x:row r="90">
      <x:c r="A90" s="875"/>
      <x:c r="B90" s="875"/>
      <x:c r="C90" s="875"/>
      <x:c r="D90" s="875"/>
      <x:c r="E90" s="875"/>
      <x:c r="F90" s="875"/>
      <x:c r="G90" s="875"/>
      <x:c r="H90" s="875"/>
      <x:c r="I90" s="875"/>
      <x:c r="J90" s="875"/>
      <x:c r="K90" s="875"/>
      <x:c r="L90" s="875"/>
      <x:c r="M90" s="875"/>
      <x:c r="N90" s="875"/>
      <x:c r="O90" s="875"/>
      <x:c r="P90" s="875"/>
      <x:c r="Q90" s="875"/>
      <x:c r="R90" s="875"/>
      <x:c r="S90" s="875"/>
      <x:c r="T90" s="875"/>
      <x:c r="U90" s="875"/>
      <x:c r="V90" s="875"/>
      <x:c r="W90" s="875"/>
      <x:c r="X90" s="875"/>
      <x:c r="Y90" s="875"/>
      <x:c r="Z90" s="875"/>
      <x:c r="AA90" s="875"/>
      <x:c r="AB90" s="875"/>
      <x:c r="AC90" s="875"/>
      <x:c r="AD90" s="875"/>
      <x:c r="AE90" s="875"/>
      <x:c r="AF90" s="875"/>
      <x:c r="AG90" s="875"/>
      <x:c r="AH90" s="875"/>
      <x:c r="AI90" s="875"/>
      <x:c r="AJ90" s="875"/>
      <x:c r="AK90" s="875"/>
      <x:c r="AL90" s="875"/>
      <x:c r="AM90" s="875"/>
    </x:row>
    <x:row r="91">
      <x:c r="A91" s="875"/>
      <x:c r="B91" s="875"/>
      <x:c r="C91" s="875"/>
      <x:c r="D91" s="875"/>
      <x:c r="E91" s="875"/>
      <x:c r="F91" s="875"/>
      <x:c r="G91" s="875"/>
      <x:c r="H91" s="875"/>
      <x:c r="I91" s="875"/>
      <x:c r="J91" s="875"/>
      <x:c r="K91" s="875"/>
      <x:c r="L91" s="875"/>
      <x:c r="M91" s="875"/>
      <x:c r="N91" s="875"/>
      <x:c r="O91" s="875"/>
      <x:c r="P91" s="875"/>
      <x:c r="Q91" s="875"/>
      <x:c r="R91" s="875"/>
      <x:c r="S91" s="875"/>
      <x:c r="T91" s="875"/>
      <x:c r="U91" s="875"/>
      <x:c r="V91" s="875"/>
      <x:c r="W91" s="875"/>
      <x:c r="X91" s="875"/>
      <x:c r="Y91" s="875"/>
      <x:c r="Z91" s="875"/>
      <x:c r="AA91" s="875"/>
      <x:c r="AB91" s="875"/>
      <x:c r="AC91" s="875"/>
      <x:c r="AD91" s="875"/>
      <x:c r="AE91" s="875"/>
      <x:c r="AF91" s="875"/>
      <x:c r="AG91" s="875"/>
      <x:c r="AH91" s="875"/>
      <x:c r="AI91" s="875"/>
      <x:c r="AJ91" s="875"/>
      <x:c r="AK91" s="875"/>
      <x:c r="AL91" s="875"/>
      <x:c r="AM91" s="875"/>
    </x:row>
    <x:row r="92">
      <x:c r="A92" s="875"/>
      <x:c r="B92" s="875"/>
      <x:c r="C92" s="875"/>
      <x:c r="D92" s="875"/>
      <x:c r="E92" s="875"/>
      <x:c r="F92" s="875"/>
      <x:c r="G92" s="875"/>
      <x:c r="H92" s="875"/>
      <x:c r="I92" s="875"/>
      <x:c r="J92" s="875"/>
      <x:c r="K92" s="875"/>
      <x:c r="L92" s="875"/>
      <x:c r="M92" s="875"/>
      <x:c r="N92" s="875"/>
      <x:c r="O92" s="875"/>
      <x:c r="P92" s="875"/>
      <x:c r="Q92" s="875"/>
      <x:c r="R92" s="875"/>
      <x:c r="S92" s="875"/>
      <x:c r="T92" s="875"/>
      <x:c r="U92" s="875"/>
      <x:c r="V92" s="875"/>
      <x:c r="W92" s="875"/>
      <x:c r="X92" s="875"/>
      <x:c r="Y92" s="875"/>
      <x:c r="Z92" s="875"/>
      <x:c r="AA92" s="875"/>
      <x:c r="AB92" s="875"/>
      <x:c r="AC92" s="875"/>
      <x:c r="AD92" s="875"/>
      <x:c r="AE92" s="875"/>
      <x:c r="AF92" s="875"/>
      <x:c r="AG92" s="875"/>
      <x:c r="AH92" s="875"/>
      <x:c r="AI92" s="875"/>
      <x:c r="AJ92" s="875"/>
      <x:c r="AK92" s="875"/>
      <x:c r="AL92" s="875"/>
      <x:c r="AM92" s="875"/>
    </x:row>
    <x:row r="93">
      <x:c r="A93" s="875"/>
      <x:c r="B93" s="875"/>
      <x:c r="C93" s="875"/>
      <x:c r="D93" s="875"/>
      <x:c r="E93" s="875"/>
      <x:c r="F93" s="875"/>
      <x:c r="G93" s="875"/>
      <x:c r="H93" s="875"/>
      <x:c r="I93" s="875"/>
      <x:c r="J93" s="875"/>
      <x:c r="K93" s="875"/>
      <x:c r="L93" s="875"/>
      <x:c r="M93" s="875"/>
      <x:c r="N93" s="875"/>
      <x:c r="O93" s="875"/>
      <x:c r="P93" s="875"/>
      <x:c r="Q93" s="875"/>
      <x:c r="R93" s="875"/>
      <x:c r="S93" s="875"/>
      <x:c r="T93" s="875"/>
      <x:c r="U93" s="875"/>
      <x:c r="V93" s="875"/>
      <x:c r="W93" s="875"/>
      <x:c r="X93" s="875"/>
      <x:c r="Y93" s="875"/>
      <x:c r="Z93" s="875"/>
      <x:c r="AA93" s="875"/>
      <x:c r="AB93" s="875"/>
      <x:c r="AC93" s="875"/>
      <x:c r="AD93" s="875"/>
      <x:c r="AE93" s="875"/>
      <x:c r="AF93" s="875"/>
      <x:c r="AG93" s="875"/>
      <x:c r="AH93" s="875"/>
      <x:c r="AI93" s="875"/>
      <x:c r="AJ93" s="875"/>
      <x:c r="AK93" s="875"/>
      <x:c r="AL93" s="875"/>
      <x:c r="AM93" s="875"/>
    </x:row>
    <x:row r="94">
      <x:c r="A94" s="875"/>
      <x:c r="B94" s="875"/>
      <x:c r="C94" s="875"/>
      <x:c r="D94" s="875"/>
      <x:c r="E94" s="875"/>
      <x:c r="F94" s="875"/>
      <x:c r="G94" s="875"/>
      <x:c r="H94" s="875"/>
      <x:c r="I94" s="875"/>
      <x:c r="J94" s="875"/>
      <x:c r="K94" s="875"/>
      <x:c r="L94" s="875"/>
      <x:c r="M94" s="875"/>
      <x:c r="N94" s="875"/>
      <x:c r="O94" s="875"/>
      <x:c r="P94" s="875"/>
      <x:c r="Q94" s="875"/>
      <x:c r="R94" s="875"/>
      <x:c r="S94" s="875"/>
      <x:c r="T94" s="875"/>
      <x:c r="U94" s="875"/>
      <x:c r="V94" s="875"/>
      <x:c r="W94" s="875"/>
      <x:c r="X94" s="875"/>
      <x:c r="Y94" s="875"/>
      <x:c r="Z94" s="875"/>
      <x:c r="AA94" s="875"/>
      <x:c r="AB94" s="875"/>
      <x:c r="AC94" s="875"/>
      <x:c r="AD94" s="875"/>
      <x:c r="AE94" s="875"/>
      <x:c r="AF94" s="875"/>
      <x:c r="AG94" s="875"/>
      <x:c r="AH94" s="875"/>
      <x:c r="AI94" s="875"/>
      <x:c r="AJ94" s="875"/>
      <x:c r="AK94" s="875"/>
      <x:c r="AL94" s="875"/>
      <x:c r="AM94" s="875"/>
    </x:row>
    <x:row r="95">
      <x:c r="A95" s="875"/>
      <x:c r="B95" s="875"/>
      <x:c r="C95" s="875"/>
      <x:c r="D95" s="875"/>
      <x:c r="E95" s="875"/>
      <x:c r="F95" s="875"/>
      <x:c r="G95" s="875"/>
      <x:c r="H95" s="875"/>
      <x:c r="I95" s="875"/>
      <x:c r="J95" s="875"/>
      <x:c r="K95" s="875"/>
      <x:c r="L95" s="875"/>
      <x:c r="M95" s="875"/>
      <x:c r="N95" s="875"/>
      <x:c r="O95" s="875"/>
      <x:c r="P95" s="875"/>
      <x:c r="Q95" s="875"/>
      <x:c r="R95" s="875"/>
      <x:c r="S95" s="875"/>
      <x:c r="T95" s="875"/>
      <x:c r="U95" s="875"/>
      <x:c r="V95" s="875"/>
      <x:c r="W95" s="875"/>
      <x:c r="X95" s="875"/>
      <x:c r="Y95" s="875"/>
      <x:c r="Z95" s="875"/>
      <x:c r="AA95" s="875"/>
      <x:c r="AB95" s="875"/>
      <x:c r="AC95" s="875"/>
      <x:c r="AD95" s="875"/>
      <x:c r="AE95" s="875"/>
      <x:c r="AF95" s="875"/>
      <x:c r="AG95" s="875"/>
      <x:c r="AH95" s="875"/>
      <x:c r="AI95" s="875"/>
      <x:c r="AJ95" s="875"/>
      <x:c r="AK95" s="875"/>
      <x:c r="AL95" s="875"/>
      <x:c r="AM95" s="875"/>
    </x:row>
    <x:row r="96">
      <x:c r="A96" s="875"/>
      <x:c r="B96" s="875"/>
      <x:c r="C96" s="875"/>
      <x:c r="D96" s="875"/>
      <x:c r="E96" s="875"/>
      <x:c r="F96" s="875"/>
      <x:c r="G96" s="875"/>
      <x:c r="H96" s="875"/>
      <x:c r="I96" s="875"/>
      <x:c r="J96" s="875"/>
      <x:c r="K96" s="875"/>
      <x:c r="L96" s="875"/>
      <x:c r="M96" s="875"/>
      <x:c r="N96" s="875"/>
      <x:c r="O96" s="875"/>
      <x:c r="P96" s="875"/>
      <x:c r="Q96" s="875"/>
      <x:c r="R96" s="875"/>
      <x:c r="S96" s="875"/>
      <x:c r="T96" s="875"/>
      <x:c r="U96" s="875"/>
      <x:c r="V96" s="875"/>
      <x:c r="W96" s="875"/>
      <x:c r="X96" s="875"/>
      <x:c r="Y96" s="875"/>
      <x:c r="Z96" s="875"/>
      <x:c r="AA96" s="875"/>
      <x:c r="AB96" s="875"/>
      <x:c r="AC96" s="875"/>
      <x:c r="AD96" s="875"/>
      <x:c r="AE96" s="875"/>
      <x:c r="AF96" s="875"/>
      <x:c r="AG96" s="875"/>
      <x:c r="AH96" s="875"/>
      <x:c r="AI96" s="875"/>
      <x:c r="AJ96" s="875"/>
      <x:c r="AK96" s="875"/>
      <x:c r="AL96" s="875"/>
      <x:c r="AM96" s="875"/>
    </x:row>
    <x:row r="97">
      <x:c r="A97" s="875"/>
      <x:c r="B97" s="875"/>
      <x:c r="C97" s="875"/>
      <x:c r="D97" s="875"/>
      <x:c r="E97" s="875"/>
      <x:c r="F97" s="875"/>
      <x:c r="G97" s="875"/>
      <x:c r="H97" s="875"/>
      <x:c r="I97" s="875"/>
      <x:c r="J97" s="875"/>
      <x:c r="K97" s="875"/>
      <x:c r="L97" s="875"/>
      <x:c r="M97" s="875"/>
      <x:c r="N97" s="875"/>
      <x:c r="O97" s="875"/>
      <x:c r="P97" s="875"/>
      <x:c r="Q97" s="875"/>
      <x:c r="R97" s="875"/>
      <x:c r="S97" s="875"/>
      <x:c r="T97" s="875"/>
      <x:c r="U97" s="875"/>
      <x:c r="V97" s="875"/>
      <x:c r="W97" s="875"/>
      <x:c r="X97" s="875"/>
      <x:c r="Y97" s="875"/>
      <x:c r="Z97" s="875"/>
      <x:c r="AA97" s="875"/>
      <x:c r="AB97" s="875"/>
      <x:c r="AC97" s="875"/>
      <x:c r="AD97" s="875"/>
      <x:c r="AE97" s="875"/>
      <x:c r="AF97" s="875"/>
      <x:c r="AG97" s="875"/>
      <x:c r="AH97" s="875"/>
      <x:c r="AI97" s="875"/>
      <x:c r="AJ97" s="875"/>
      <x:c r="AK97" s="875"/>
      <x:c r="AL97" s="875"/>
      <x:c r="AM97" s="875"/>
    </x:row>
    <x:row r="98">
      <x:c r="A98" s="875"/>
      <x:c r="B98" s="875"/>
      <x:c r="C98" s="875"/>
      <x:c r="D98" s="875"/>
      <x:c r="E98" s="875"/>
      <x:c r="F98" s="875"/>
      <x:c r="G98" s="875"/>
      <x:c r="H98" s="875"/>
      <x:c r="I98" s="875"/>
      <x:c r="J98" s="875"/>
      <x:c r="K98" s="875"/>
      <x:c r="L98" s="875"/>
      <x:c r="M98" s="875"/>
      <x:c r="N98" s="875"/>
      <x:c r="O98" s="875"/>
      <x:c r="P98" s="875"/>
      <x:c r="Q98" s="875"/>
      <x:c r="R98" s="875"/>
      <x:c r="S98" s="875"/>
      <x:c r="T98" s="875"/>
      <x:c r="U98" s="875"/>
      <x:c r="V98" s="875"/>
      <x:c r="W98" s="875"/>
      <x:c r="X98" s="875"/>
      <x:c r="Y98" s="875"/>
      <x:c r="Z98" s="875"/>
      <x:c r="AA98" s="875"/>
      <x:c r="AB98" s="875"/>
      <x:c r="AC98" s="875"/>
      <x:c r="AD98" s="875"/>
      <x:c r="AE98" s="875"/>
      <x:c r="AF98" s="875"/>
      <x:c r="AG98" s="875"/>
      <x:c r="AH98" s="875"/>
      <x:c r="AI98" s="875"/>
      <x:c r="AJ98" s="875"/>
      <x:c r="AK98" s="875"/>
      <x:c r="AL98" s="875"/>
      <x:c r="AM98" s="875"/>
    </x:row>
    <x:row r="99">
      <x:c r="A99" s="875"/>
      <x:c r="B99" s="875"/>
      <x:c r="C99" s="875"/>
      <x:c r="D99" s="875"/>
      <x:c r="E99" s="875"/>
      <x:c r="F99" s="875"/>
      <x:c r="G99" s="875"/>
      <x:c r="H99" s="875"/>
      <x:c r="I99" s="875"/>
      <x:c r="J99" s="875"/>
      <x:c r="K99" s="875"/>
      <x:c r="L99" s="875"/>
      <x:c r="M99" s="875"/>
      <x:c r="N99" s="875"/>
      <x:c r="O99" s="875"/>
      <x:c r="P99" s="875"/>
      <x:c r="Q99" s="875"/>
      <x:c r="R99" s="875"/>
      <x:c r="S99" s="875"/>
      <x:c r="T99" s="875"/>
      <x:c r="U99" s="875"/>
      <x:c r="V99" s="875"/>
      <x:c r="W99" s="875"/>
      <x:c r="X99" s="875"/>
      <x:c r="Y99" s="875"/>
      <x:c r="Z99" s="875"/>
      <x:c r="AA99" s="875"/>
      <x:c r="AB99" s="875"/>
      <x:c r="AC99" s="875"/>
      <x:c r="AD99" s="875"/>
      <x:c r="AE99" s="875"/>
      <x:c r="AF99" s="875"/>
      <x:c r="AG99" s="875"/>
      <x:c r="AH99" s="875"/>
      <x:c r="AI99" s="875"/>
      <x:c r="AJ99" s="875"/>
      <x:c r="AK99" s="875"/>
      <x:c r="AL99" s="875"/>
      <x:c r="AM99" s="875"/>
    </x:row>
    <x:row r="100">
      <x:c r="A100" s="875"/>
      <x:c r="B100" s="875"/>
      <x:c r="C100" s="875"/>
      <x:c r="D100" s="875"/>
      <x:c r="E100" s="875"/>
      <x:c r="F100" s="875"/>
      <x:c r="G100" s="875"/>
      <x:c r="H100" s="875"/>
      <x:c r="I100" s="875"/>
      <x:c r="J100" s="875"/>
      <x:c r="K100" s="875"/>
      <x:c r="L100" s="875"/>
      <x:c r="M100" s="875"/>
      <x:c r="N100" s="875"/>
      <x:c r="O100" s="875"/>
      <x:c r="P100" s="875"/>
      <x:c r="Q100" s="875"/>
      <x:c r="R100" s="875"/>
      <x:c r="S100" s="875"/>
      <x:c r="T100" s="875"/>
      <x:c r="U100" s="875"/>
      <x:c r="V100" s="875"/>
      <x:c r="W100" s="875"/>
      <x:c r="X100" s="875"/>
      <x:c r="Y100" s="875"/>
      <x:c r="Z100" s="875"/>
      <x:c r="AA100" s="875"/>
      <x:c r="AB100" s="875"/>
      <x:c r="AC100" s="875"/>
      <x:c r="AD100" s="875"/>
      <x:c r="AE100" s="875"/>
      <x:c r="AF100" s="875"/>
      <x:c r="AG100" s="875"/>
      <x:c r="AH100" s="875"/>
      <x:c r="AI100" s="875"/>
      <x:c r="AJ100" s="875"/>
      <x:c r="AK100" s="875"/>
      <x:c r="AL100" s="875"/>
      <x:c r="AM100" s="875"/>
    </x:row>
    <x:row r="101">
      <x:c r="A101" s="875"/>
      <x:c r="B101" s="875"/>
      <x:c r="C101" s="875"/>
      <x:c r="D101" s="875"/>
      <x:c r="E101" s="875"/>
      <x:c r="F101" s="875"/>
      <x:c r="G101" s="875"/>
      <x:c r="H101" s="875"/>
      <x:c r="I101" s="875"/>
      <x:c r="J101" s="875"/>
      <x:c r="K101" s="875"/>
      <x:c r="L101" s="875"/>
      <x:c r="M101" s="875"/>
      <x:c r="N101" s="875"/>
      <x:c r="O101" s="875"/>
      <x:c r="P101" s="875"/>
      <x:c r="Q101" s="875"/>
      <x:c r="R101" s="875"/>
      <x:c r="S101" s="875"/>
      <x:c r="T101" s="875"/>
      <x:c r="U101" s="875"/>
      <x:c r="V101" s="875"/>
      <x:c r="W101" s="875"/>
      <x:c r="X101" s="875"/>
      <x:c r="Y101" s="875"/>
      <x:c r="Z101" s="875"/>
      <x:c r="AA101" s="875"/>
      <x:c r="AB101" s="875"/>
      <x:c r="AC101" s="875"/>
      <x:c r="AD101" s="875"/>
      <x:c r="AE101" s="875"/>
      <x:c r="AF101" s="875"/>
      <x:c r="AG101" s="875"/>
      <x:c r="AH101" s="875"/>
      <x:c r="AI101" s="875"/>
      <x:c r="AJ101" s="875"/>
      <x:c r="AK101" s="875"/>
      <x:c r="AL101" s="875"/>
      <x:c r="AM101" s="875"/>
    </x:row>
    <x:row r="102">
      <x:c r="A102" s="875"/>
      <x:c r="B102" s="875"/>
      <x:c r="C102" s="875"/>
      <x:c r="D102" s="875"/>
      <x:c r="E102" s="875"/>
      <x:c r="F102" s="875"/>
      <x:c r="G102" s="875"/>
      <x:c r="H102" s="875"/>
      <x:c r="I102" s="875"/>
      <x:c r="J102" s="875"/>
      <x:c r="K102" s="875"/>
      <x:c r="L102" s="875"/>
      <x:c r="M102" s="875"/>
      <x:c r="N102" s="875"/>
      <x:c r="O102" s="875"/>
      <x:c r="P102" s="875"/>
      <x:c r="Q102" s="875"/>
      <x:c r="R102" s="875"/>
      <x:c r="S102" s="875"/>
      <x:c r="T102" s="875"/>
      <x:c r="U102" s="875"/>
      <x:c r="V102" s="875"/>
      <x:c r="W102" s="875"/>
      <x:c r="X102" s="875"/>
      <x:c r="Y102" s="875"/>
      <x:c r="Z102" s="875"/>
      <x:c r="AA102" s="875"/>
      <x:c r="AB102" s="875"/>
      <x:c r="AC102" s="875"/>
      <x:c r="AD102" s="875"/>
      <x:c r="AE102" s="875"/>
      <x:c r="AF102" s="875"/>
      <x:c r="AG102" s="875"/>
      <x:c r="AH102" s="875"/>
      <x:c r="AI102" s="875"/>
      <x:c r="AJ102" s="875"/>
      <x:c r="AK102" s="875"/>
      <x:c r="AL102" s="875"/>
      <x:c r="AM102" s="875"/>
    </x:row>
    <x:row r="103">
      <x:c r="A103" s="875"/>
      <x:c r="B103" s="875"/>
      <x:c r="C103" s="875"/>
      <x:c r="D103" s="875"/>
      <x:c r="E103" s="875"/>
      <x:c r="F103" s="875"/>
      <x:c r="G103" s="875"/>
      <x:c r="H103" s="875"/>
      <x:c r="I103" s="875"/>
      <x:c r="J103" s="875"/>
      <x:c r="K103" s="875"/>
      <x:c r="L103" s="875"/>
      <x:c r="M103" s="875"/>
      <x:c r="N103" s="875"/>
      <x:c r="O103" s="875"/>
      <x:c r="P103" s="875"/>
      <x:c r="Q103" s="875"/>
      <x:c r="R103" s="875"/>
      <x:c r="S103" s="875"/>
      <x:c r="T103" s="875"/>
      <x:c r="U103" s="875"/>
      <x:c r="V103" s="875"/>
      <x:c r="W103" s="875"/>
      <x:c r="X103" s="875"/>
      <x:c r="Y103" s="875"/>
      <x:c r="Z103" s="875"/>
      <x:c r="AA103" s="875"/>
      <x:c r="AB103" s="875"/>
      <x:c r="AC103" s="875"/>
      <x:c r="AD103" s="875"/>
      <x:c r="AE103" s="875"/>
      <x:c r="AF103" s="875"/>
      <x:c r="AG103" s="875"/>
      <x:c r="AH103" s="875"/>
      <x:c r="AI103" s="875"/>
      <x:c r="AJ103" s="875"/>
      <x:c r="AK103" s="875"/>
      <x:c r="AL103" s="875"/>
      <x:c r="AM103" s="875"/>
    </x:row>
    <x:row r="104">
      <x:c r="A104" s="875"/>
      <x:c r="B104" s="875"/>
      <x:c r="C104" s="875"/>
      <x:c r="D104" s="875"/>
      <x:c r="E104" s="875"/>
      <x:c r="F104" s="875"/>
      <x:c r="G104" s="875"/>
      <x:c r="H104" s="875"/>
      <x:c r="I104" s="875"/>
      <x:c r="J104" s="875"/>
      <x:c r="K104" s="875"/>
      <x:c r="L104" s="875"/>
      <x:c r="M104" s="875"/>
      <x:c r="N104" s="875"/>
      <x:c r="O104" s="875"/>
      <x:c r="P104" s="875"/>
      <x:c r="Q104" s="875"/>
      <x:c r="R104" s="875"/>
      <x:c r="S104" s="875"/>
      <x:c r="T104" s="875"/>
      <x:c r="U104" s="875"/>
      <x:c r="V104" s="875"/>
      <x:c r="W104" s="875"/>
      <x:c r="X104" s="875"/>
      <x:c r="Y104" s="875"/>
      <x:c r="Z104" s="875"/>
      <x:c r="AA104" s="875"/>
      <x:c r="AB104" s="875"/>
      <x:c r="AC104" s="875"/>
      <x:c r="AD104" s="875"/>
      <x:c r="AE104" s="875"/>
      <x:c r="AF104" s="875"/>
      <x:c r="AG104" s="875"/>
      <x:c r="AH104" s="875"/>
      <x:c r="AI104" s="875"/>
      <x:c r="AJ104" s="875"/>
      <x:c r="AK104" s="875"/>
      <x:c r="AL104" s="875"/>
      <x:c r="AM104" s="875"/>
    </x:row>
    <x:row r="105">
      <x:c r="A105" s="875"/>
      <x:c r="B105" s="875"/>
      <x:c r="C105" s="875"/>
      <x:c r="D105" s="875"/>
      <x:c r="E105" s="875"/>
      <x:c r="F105" s="875"/>
      <x:c r="G105" s="875"/>
      <x:c r="H105" s="875"/>
      <x:c r="I105" s="875"/>
      <x:c r="J105" s="875"/>
      <x:c r="K105" s="875"/>
      <x:c r="L105" s="875"/>
      <x:c r="M105" s="875"/>
      <x:c r="N105" s="875"/>
      <x:c r="O105" s="875"/>
      <x:c r="P105" s="875"/>
      <x:c r="Q105" s="875"/>
      <x:c r="R105" s="875"/>
      <x:c r="S105" s="875"/>
      <x:c r="T105" s="875"/>
      <x:c r="U105" s="875"/>
      <x:c r="V105" s="875"/>
      <x:c r="W105" s="875"/>
      <x:c r="X105" s="875"/>
      <x:c r="Y105" s="875"/>
      <x:c r="Z105" s="875"/>
      <x:c r="AA105" s="875"/>
      <x:c r="AB105" s="875"/>
      <x:c r="AC105" s="875"/>
      <x:c r="AD105" s="875"/>
      <x:c r="AE105" s="875"/>
      <x:c r="AF105" s="875"/>
      <x:c r="AG105" s="875"/>
      <x:c r="AH105" s="875"/>
      <x:c r="AI105" s="875"/>
      <x:c r="AJ105" s="875"/>
      <x:c r="AK105" s="875"/>
      <x:c r="AL105" s="875"/>
      <x:c r="AM105" s="875"/>
    </x:row>
    <x:row r="106">
      <x:c r="A106" s="875"/>
      <x:c r="B106" s="875"/>
      <x:c r="C106" s="875"/>
      <x:c r="D106" s="875"/>
      <x:c r="E106" s="875"/>
      <x:c r="F106" s="875"/>
      <x:c r="G106" s="875"/>
      <x:c r="H106" s="875"/>
      <x:c r="I106" s="875"/>
      <x:c r="J106" s="875"/>
      <x:c r="K106" s="875"/>
      <x:c r="L106" s="875"/>
      <x:c r="M106" s="875"/>
      <x:c r="N106" s="875"/>
      <x:c r="O106" s="875"/>
      <x:c r="P106" s="875"/>
      <x:c r="Q106" s="875"/>
      <x:c r="R106" s="875"/>
      <x:c r="S106" s="875"/>
      <x:c r="T106" s="875"/>
      <x:c r="U106" s="875"/>
      <x:c r="V106" s="875"/>
      <x:c r="W106" s="875"/>
      <x:c r="X106" s="875"/>
      <x:c r="Y106" s="875"/>
      <x:c r="Z106" s="875"/>
      <x:c r="AA106" s="875"/>
      <x:c r="AB106" s="875"/>
      <x:c r="AC106" s="875"/>
      <x:c r="AD106" s="875"/>
      <x:c r="AE106" s="875"/>
      <x:c r="AF106" s="875"/>
      <x:c r="AG106" s="875"/>
      <x:c r="AH106" s="875"/>
      <x:c r="AI106" s="875"/>
      <x:c r="AJ106" s="875"/>
      <x:c r="AK106" s="875"/>
      <x:c r="AL106" s="875"/>
      <x:c r="AM106" s="875"/>
    </x:row>
    <x:row r="107">
      <x:c r="A107" s="875"/>
      <x:c r="B107" s="875"/>
      <x:c r="C107" s="875"/>
      <x:c r="D107" s="875"/>
      <x:c r="E107" s="875"/>
      <x:c r="F107" s="875"/>
      <x:c r="G107" s="875"/>
      <x:c r="H107" s="875"/>
      <x:c r="I107" s="875"/>
      <x:c r="J107" s="875"/>
      <x:c r="K107" s="875"/>
      <x:c r="L107" s="875"/>
      <x:c r="M107" s="875"/>
      <x:c r="N107" s="875"/>
      <x:c r="O107" s="875"/>
      <x:c r="P107" s="875"/>
      <x:c r="Q107" s="875"/>
      <x:c r="R107" s="875"/>
      <x:c r="S107" s="875"/>
      <x:c r="T107" s="875"/>
      <x:c r="U107" s="875"/>
      <x:c r="V107" s="875"/>
      <x:c r="W107" s="875"/>
      <x:c r="X107" s="875"/>
      <x:c r="Y107" s="875"/>
      <x:c r="Z107" s="875"/>
      <x:c r="AA107" s="875"/>
      <x:c r="AB107" s="875"/>
      <x:c r="AC107" s="875"/>
      <x:c r="AD107" s="875"/>
      <x:c r="AE107" s="875"/>
      <x:c r="AF107" s="875"/>
      <x:c r="AG107" s="875"/>
      <x:c r="AH107" s="875"/>
      <x:c r="AI107" s="875"/>
      <x:c r="AJ107" s="875"/>
      <x:c r="AK107" s="875"/>
      <x:c r="AL107" s="875"/>
      <x:c r="AM107" s="875"/>
    </x:row>
    <x:row r="108">
      <x:c r="A108" s="875"/>
      <x:c r="B108" s="875"/>
      <x:c r="C108" s="875"/>
      <x:c r="D108" s="875"/>
      <x:c r="E108" s="875"/>
      <x:c r="F108" s="875"/>
      <x:c r="G108" s="875"/>
      <x:c r="H108" s="875"/>
      <x:c r="I108" s="875"/>
      <x:c r="J108" s="875"/>
      <x:c r="K108" s="875"/>
      <x:c r="L108" s="875"/>
      <x:c r="M108" s="875"/>
      <x:c r="N108" s="875"/>
      <x:c r="O108" s="875"/>
      <x:c r="P108" s="875"/>
      <x:c r="Q108" s="875"/>
      <x:c r="R108" s="875"/>
      <x:c r="S108" s="875"/>
      <x:c r="T108" s="875"/>
      <x:c r="U108" s="875"/>
      <x:c r="V108" s="875"/>
      <x:c r="W108" s="875"/>
      <x:c r="X108" s="875"/>
      <x:c r="Y108" s="875"/>
      <x:c r="Z108" s="875"/>
      <x:c r="AA108" s="875"/>
      <x:c r="AB108" s="875"/>
      <x:c r="AC108" s="875"/>
      <x:c r="AD108" s="875"/>
      <x:c r="AE108" s="875"/>
      <x:c r="AF108" s="875"/>
      <x:c r="AG108" s="875"/>
      <x:c r="AH108" s="875"/>
      <x:c r="AI108" s="875"/>
      <x:c r="AJ108" s="875"/>
      <x:c r="AK108" s="875"/>
      <x:c r="AL108" s="875"/>
      <x:c r="AM108" s="875"/>
    </x:row>
    <x:row r="109">
      <x:c r="A109" s="875"/>
      <x:c r="B109" s="875"/>
      <x:c r="C109" s="875"/>
      <x:c r="D109" s="875"/>
      <x:c r="E109" s="875"/>
      <x:c r="F109" s="875"/>
      <x:c r="G109" s="875"/>
      <x:c r="H109" s="875"/>
      <x:c r="I109" s="875"/>
      <x:c r="J109" s="875"/>
      <x:c r="K109" s="875"/>
      <x:c r="L109" s="875"/>
      <x:c r="M109" s="875"/>
      <x:c r="N109" s="875"/>
      <x:c r="O109" s="875"/>
      <x:c r="P109" s="875"/>
      <x:c r="Q109" s="875"/>
      <x:c r="R109" s="875"/>
      <x:c r="S109" s="875"/>
      <x:c r="T109" s="875"/>
      <x:c r="U109" s="875"/>
      <x:c r="V109" s="875"/>
      <x:c r="W109" s="875"/>
      <x:c r="X109" s="875"/>
      <x:c r="Y109" s="875"/>
      <x:c r="Z109" s="875"/>
      <x:c r="AA109" s="875"/>
      <x:c r="AB109" s="875"/>
      <x:c r="AC109" s="875"/>
      <x:c r="AD109" s="875"/>
      <x:c r="AE109" s="875"/>
      <x:c r="AF109" s="875"/>
      <x:c r="AG109" s="875"/>
      <x:c r="AH109" s="875"/>
      <x:c r="AI109" s="875"/>
      <x:c r="AJ109" s="875"/>
      <x:c r="AK109" s="875"/>
      <x:c r="AL109" s="875"/>
      <x:c r="AM109" s="875"/>
    </x:row>
    <x:row r="110">
      <x:c r="A110" s="875"/>
      <x:c r="B110" s="875"/>
      <x:c r="C110" s="875"/>
      <x:c r="D110" s="875"/>
      <x:c r="E110" s="875"/>
      <x:c r="F110" s="875"/>
      <x:c r="G110" s="875"/>
      <x:c r="H110" s="875"/>
      <x:c r="I110" s="875"/>
      <x:c r="J110" s="875"/>
      <x:c r="K110" s="875"/>
      <x:c r="L110" s="875"/>
      <x:c r="M110" s="875"/>
      <x:c r="N110" s="875"/>
      <x:c r="O110" s="875"/>
      <x:c r="P110" s="875"/>
      <x:c r="Q110" s="875"/>
      <x:c r="R110" s="875"/>
      <x:c r="S110" s="875"/>
      <x:c r="T110" s="875"/>
      <x:c r="U110" s="875"/>
      <x:c r="V110" s="875"/>
      <x:c r="W110" s="875"/>
      <x:c r="X110" s="875"/>
      <x:c r="Y110" s="875"/>
      <x:c r="Z110" s="875"/>
      <x:c r="AA110" s="875"/>
      <x:c r="AB110" s="875"/>
      <x:c r="AC110" s="875"/>
      <x:c r="AD110" s="875"/>
      <x:c r="AE110" s="875"/>
      <x:c r="AF110" s="875"/>
      <x:c r="AG110" s="875"/>
      <x:c r="AH110" s="875"/>
      <x:c r="AI110" s="875"/>
      <x:c r="AJ110" s="875"/>
      <x:c r="AK110" s="875"/>
      <x:c r="AL110" s="875"/>
      <x:c r="AM110" s="875"/>
    </x:row>
    <x:row r="111">
      <x:c r="A111" s="875"/>
      <x:c r="B111" s="875"/>
      <x:c r="C111" s="875"/>
      <x:c r="D111" s="875"/>
      <x:c r="E111" s="875"/>
      <x:c r="F111" s="875"/>
      <x:c r="G111" s="875"/>
      <x:c r="H111" s="875"/>
      <x:c r="I111" s="875"/>
      <x:c r="J111" s="875"/>
      <x:c r="K111" s="875"/>
      <x:c r="L111" s="875"/>
      <x:c r="M111" s="875"/>
      <x:c r="N111" s="875"/>
      <x:c r="O111" s="875"/>
      <x:c r="P111" s="875"/>
      <x:c r="Q111" s="875"/>
      <x:c r="R111" s="875"/>
      <x:c r="S111" s="875"/>
      <x:c r="T111" s="875"/>
      <x:c r="U111" s="875"/>
      <x:c r="V111" s="875"/>
      <x:c r="W111" s="875"/>
      <x:c r="X111" s="875"/>
      <x:c r="Y111" s="875"/>
      <x:c r="Z111" s="875"/>
      <x:c r="AA111" s="875"/>
      <x:c r="AB111" s="875"/>
      <x:c r="AC111" s="875"/>
      <x:c r="AD111" s="875"/>
      <x:c r="AE111" s="875"/>
      <x:c r="AF111" s="875"/>
      <x:c r="AG111" s="875"/>
      <x:c r="AH111" s="875"/>
      <x:c r="AI111" s="875"/>
      <x:c r="AJ111" s="875"/>
      <x:c r="AK111" s="875"/>
      <x:c r="AL111" s="875"/>
      <x:c r="AM111" s="875"/>
    </x:row>
    <x:row r="112">
      <x:c r="A112" s="875"/>
      <x:c r="B112" s="875"/>
      <x:c r="C112" s="875"/>
      <x:c r="D112" s="875"/>
      <x:c r="E112" s="875"/>
      <x:c r="F112" s="875"/>
      <x:c r="G112" s="875"/>
      <x:c r="H112" s="875"/>
      <x:c r="I112" s="875"/>
      <x:c r="J112" s="875"/>
      <x:c r="K112" s="875"/>
      <x:c r="L112" s="875"/>
      <x:c r="M112" s="875"/>
      <x:c r="N112" s="875"/>
      <x:c r="O112" s="875"/>
      <x:c r="P112" s="875"/>
      <x:c r="Q112" s="875"/>
      <x:c r="R112" s="875"/>
      <x:c r="S112" s="875"/>
      <x:c r="T112" s="875"/>
      <x:c r="U112" s="875"/>
      <x:c r="V112" s="875"/>
      <x:c r="W112" s="875"/>
      <x:c r="X112" s="875"/>
      <x:c r="Y112" s="875"/>
      <x:c r="Z112" s="875"/>
      <x:c r="AA112" s="875"/>
      <x:c r="AB112" s="875"/>
      <x:c r="AC112" s="875"/>
      <x:c r="AD112" s="875"/>
      <x:c r="AE112" s="875"/>
      <x:c r="AF112" s="875"/>
      <x:c r="AG112" s="875"/>
      <x:c r="AH112" s="875"/>
      <x:c r="AI112" s="875"/>
      <x:c r="AJ112" s="875"/>
      <x:c r="AK112" s="875"/>
      <x:c r="AL112" s="875"/>
      <x:c r="AM112" s="875"/>
    </x:row>
    <x:row r="113">
      <x:c r="A113" s="875"/>
      <x:c r="B113" s="875"/>
      <x:c r="C113" s="875"/>
      <x:c r="D113" s="875"/>
      <x:c r="E113" s="875"/>
      <x:c r="F113" s="875"/>
      <x:c r="G113" s="875"/>
      <x:c r="H113" s="875"/>
      <x:c r="I113" s="875"/>
      <x:c r="J113" s="875"/>
      <x:c r="K113" s="875"/>
      <x:c r="L113" s="875"/>
      <x:c r="M113" s="875"/>
      <x:c r="N113" s="875"/>
      <x:c r="O113" s="875"/>
      <x:c r="P113" s="875"/>
      <x:c r="Q113" s="875"/>
      <x:c r="R113" s="875"/>
      <x:c r="S113" s="875"/>
      <x:c r="T113" s="875"/>
      <x:c r="U113" s="875"/>
      <x:c r="V113" s="875"/>
      <x:c r="W113" s="875"/>
      <x:c r="X113" s="875"/>
      <x:c r="Y113" s="875"/>
      <x:c r="Z113" s="875"/>
      <x:c r="AA113" s="875"/>
      <x:c r="AB113" s="875"/>
      <x:c r="AC113" s="875"/>
      <x:c r="AD113" s="875"/>
      <x:c r="AE113" s="875"/>
      <x:c r="AF113" s="875"/>
      <x:c r="AG113" s="875"/>
      <x:c r="AH113" s="875"/>
      <x:c r="AI113" s="875"/>
      <x:c r="AJ113" s="875"/>
      <x:c r="AK113" s="875"/>
      <x:c r="AL113" s="875"/>
      <x:c r="AM113" s="875"/>
    </x:row>
    <x:row r="114">
      <x:c r="A114" s="875"/>
      <x:c r="B114" s="875"/>
      <x:c r="C114" s="875"/>
      <x:c r="D114" s="875"/>
      <x:c r="E114" s="875"/>
      <x:c r="F114" s="875"/>
      <x:c r="G114" s="875"/>
      <x:c r="H114" s="875"/>
      <x:c r="I114" s="875"/>
      <x:c r="J114" s="875"/>
      <x:c r="K114" s="875"/>
      <x:c r="L114" s="875"/>
      <x:c r="M114" s="875"/>
      <x:c r="N114" s="875"/>
      <x:c r="O114" s="875"/>
      <x:c r="P114" s="875"/>
      <x:c r="Q114" s="875"/>
      <x:c r="R114" s="875"/>
      <x:c r="S114" s="875"/>
      <x:c r="T114" s="875"/>
      <x:c r="U114" s="875"/>
      <x:c r="V114" s="875"/>
      <x:c r="W114" s="875"/>
      <x:c r="X114" s="875"/>
      <x:c r="Y114" s="875"/>
      <x:c r="Z114" s="875"/>
      <x:c r="AA114" s="875"/>
      <x:c r="AB114" s="875"/>
      <x:c r="AC114" s="875"/>
      <x:c r="AD114" s="875"/>
      <x:c r="AE114" s="875"/>
      <x:c r="AF114" s="875"/>
      <x:c r="AG114" s="875"/>
      <x:c r="AH114" s="875"/>
      <x:c r="AI114" s="875"/>
      <x:c r="AJ114" s="875"/>
      <x:c r="AK114" s="875"/>
      <x:c r="AL114" s="875"/>
      <x:c r="AM114" s="875"/>
    </x:row>
    <x:row r="115">
      <x:c r="A115" s="875"/>
      <x:c r="B115" s="875"/>
      <x:c r="C115" s="875"/>
      <x:c r="D115" s="875"/>
      <x:c r="E115" s="875"/>
      <x:c r="F115" s="875"/>
      <x:c r="G115" s="875"/>
      <x:c r="H115" s="875"/>
      <x:c r="I115" s="875"/>
      <x:c r="J115" s="875"/>
      <x:c r="K115" s="875"/>
      <x:c r="L115" s="875"/>
      <x:c r="M115" s="875"/>
      <x:c r="N115" s="875"/>
      <x:c r="O115" s="875"/>
      <x:c r="P115" s="875"/>
      <x:c r="Q115" s="875"/>
      <x:c r="R115" s="875"/>
      <x:c r="S115" s="875"/>
      <x:c r="T115" s="875"/>
      <x:c r="U115" s="875"/>
      <x:c r="V115" s="875"/>
      <x:c r="W115" s="875"/>
      <x:c r="X115" s="875"/>
      <x:c r="Y115" s="875"/>
      <x:c r="Z115" s="875"/>
      <x:c r="AA115" s="875"/>
      <x:c r="AB115" s="875"/>
      <x:c r="AC115" s="875"/>
      <x:c r="AD115" s="875"/>
      <x:c r="AE115" s="875"/>
      <x:c r="AF115" s="875"/>
      <x:c r="AG115" s="875"/>
      <x:c r="AH115" s="875"/>
      <x:c r="AI115" s="875"/>
      <x:c r="AJ115" s="875"/>
      <x:c r="AK115" s="875"/>
      <x:c r="AL115" s="875"/>
      <x:c r="AM115" s="875"/>
    </x:row>
    <x:row r="116">
      <x:c r="A116" s="875"/>
      <x:c r="B116" s="875"/>
      <x:c r="C116" s="875"/>
      <x:c r="D116" s="875"/>
      <x:c r="E116" s="875"/>
      <x:c r="F116" s="875"/>
      <x:c r="G116" s="875"/>
      <x:c r="H116" s="875"/>
      <x:c r="I116" s="875"/>
      <x:c r="J116" s="875"/>
      <x:c r="K116" s="875"/>
      <x:c r="L116" s="875"/>
      <x:c r="M116" s="875"/>
      <x:c r="N116" s="875"/>
      <x:c r="O116" s="875"/>
      <x:c r="P116" s="875"/>
      <x:c r="Q116" s="875"/>
      <x:c r="R116" s="875"/>
      <x:c r="S116" s="875"/>
      <x:c r="T116" s="875"/>
      <x:c r="U116" s="875"/>
      <x:c r="V116" s="875"/>
      <x:c r="W116" s="875"/>
      <x:c r="X116" s="875"/>
      <x:c r="Y116" s="875"/>
      <x:c r="Z116" s="875"/>
      <x:c r="AA116" s="875"/>
      <x:c r="AB116" s="875"/>
      <x:c r="AC116" s="875"/>
      <x:c r="AD116" s="875"/>
      <x:c r="AE116" s="875"/>
      <x:c r="AF116" s="875"/>
      <x:c r="AG116" s="875"/>
      <x:c r="AH116" s="875"/>
      <x:c r="AI116" s="875"/>
      <x:c r="AJ116" s="875"/>
      <x:c r="AK116" s="875"/>
      <x:c r="AL116" s="875"/>
      <x:c r="AM116" s="875"/>
    </x:row>
    <x:row r="117">
      <x:c r="A117" s="875"/>
      <x:c r="B117" s="875"/>
      <x:c r="C117" s="875"/>
      <x:c r="D117" s="875"/>
      <x:c r="E117" s="875"/>
      <x:c r="F117" s="875"/>
      <x:c r="G117" s="875"/>
      <x:c r="H117" s="875"/>
      <x:c r="I117" s="875"/>
      <x:c r="J117" s="875"/>
      <x:c r="K117" s="875"/>
      <x:c r="L117" s="875"/>
      <x:c r="M117" s="875"/>
      <x:c r="N117" s="875"/>
      <x:c r="O117" s="875"/>
      <x:c r="P117" s="875"/>
      <x:c r="Q117" s="875"/>
      <x:c r="R117" s="875"/>
      <x:c r="S117" s="875"/>
      <x:c r="T117" s="875"/>
      <x:c r="U117" s="875"/>
      <x:c r="V117" s="875"/>
      <x:c r="W117" s="875"/>
      <x:c r="X117" s="875"/>
      <x:c r="Y117" s="875"/>
      <x:c r="Z117" s="875"/>
      <x:c r="AA117" s="875"/>
      <x:c r="AB117" s="875"/>
      <x:c r="AC117" s="875"/>
      <x:c r="AD117" s="875"/>
      <x:c r="AE117" s="875"/>
      <x:c r="AF117" s="875"/>
      <x:c r="AG117" s="875"/>
      <x:c r="AH117" s="875"/>
      <x:c r="AI117" s="875"/>
      <x:c r="AJ117" s="875"/>
      <x:c r="AK117" s="875"/>
      <x:c r="AL117" s="875"/>
      <x:c r="AM117" s="875"/>
    </x:row>
    <x:row r="118">
      <x:c r="A118" s="875"/>
      <x:c r="B118" s="875"/>
      <x:c r="C118" s="875"/>
      <x:c r="D118" s="875"/>
      <x:c r="E118" s="875"/>
      <x:c r="F118" s="875"/>
      <x:c r="G118" s="875"/>
      <x:c r="H118" s="875"/>
      <x:c r="I118" s="875"/>
      <x:c r="J118" s="875"/>
      <x:c r="K118" s="875"/>
      <x:c r="L118" s="875"/>
      <x:c r="M118" s="875"/>
      <x:c r="N118" s="875"/>
      <x:c r="O118" s="875"/>
      <x:c r="P118" s="875"/>
      <x:c r="Q118" s="875"/>
      <x:c r="R118" s="875"/>
      <x:c r="S118" s="875"/>
      <x:c r="T118" s="875"/>
      <x:c r="U118" s="875"/>
      <x:c r="V118" s="875"/>
      <x:c r="W118" s="875"/>
      <x:c r="X118" s="875"/>
      <x:c r="Y118" s="875"/>
      <x:c r="Z118" s="875"/>
      <x:c r="AA118" s="875"/>
      <x:c r="AB118" s="875"/>
      <x:c r="AC118" s="875"/>
      <x:c r="AD118" s="875"/>
      <x:c r="AE118" s="875"/>
      <x:c r="AF118" s="875"/>
      <x:c r="AG118" s="875"/>
      <x:c r="AH118" s="875"/>
      <x:c r="AI118" s="875"/>
      <x:c r="AJ118" s="875"/>
      <x:c r="AK118" s="875"/>
      <x:c r="AL118" s="875"/>
      <x:c r="AM118" s="875"/>
    </x:row>
    <x:row r="119">
      <x:c r="A119" s="875"/>
      <x:c r="B119" s="875"/>
      <x:c r="C119" s="875"/>
      <x:c r="D119" s="875"/>
      <x:c r="E119" s="875"/>
      <x:c r="F119" s="875"/>
      <x:c r="G119" s="875"/>
      <x:c r="H119" s="875"/>
      <x:c r="I119" s="875"/>
      <x:c r="J119" s="875"/>
      <x:c r="K119" s="875"/>
      <x:c r="L119" s="875"/>
      <x:c r="M119" s="875"/>
      <x:c r="N119" s="875"/>
      <x:c r="O119" s="875"/>
      <x:c r="P119" s="875"/>
      <x:c r="Q119" s="875"/>
      <x:c r="R119" s="875"/>
      <x:c r="S119" s="875"/>
      <x:c r="T119" s="875"/>
      <x:c r="U119" s="875"/>
      <x:c r="V119" s="875"/>
      <x:c r="W119" s="875"/>
      <x:c r="X119" s="875"/>
      <x:c r="Y119" s="875"/>
      <x:c r="Z119" s="875"/>
      <x:c r="AA119" s="875"/>
      <x:c r="AB119" s="875"/>
      <x:c r="AC119" s="875"/>
      <x:c r="AD119" s="875"/>
      <x:c r="AE119" s="875"/>
      <x:c r="AF119" s="875"/>
      <x:c r="AG119" s="875"/>
      <x:c r="AH119" s="875"/>
      <x:c r="AI119" s="875"/>
      <x:c r="AJ119" s="875"/>
      <x:c r="AK119" s="875"/>
      <x:c r="AL119" s="875"/>
      <x:c r="AM119" s="875"/>
    </x:row>
    <x:row r="120">
      <x:c r="A120" s="875"/>
      <x:c r="B120" s="875"/>
      <x:c r="C120" s="875"/>
      <x:c r="D120" s="875"/>
      <x:c r="E120" s="875"/>
      <x:c r="F120" s="875"/>
      <x:c r="G120" s="875"/>
      <x:c r="H120" s="875"/>
      <x:c r="I120" s="875"/>
      <x:c r="J120" s="875"/>
      <x:c r="K120" s="875"/>
      <x:c r="L120" s="875"/>
      <x:c r="M120" s="875"/>
      <x:c r="N120" s="875"/>
      <x:c r="O120" s="875"/>
      <x:c r="P120" s="875"/>
      <x:c r="Q120" s="875"/>
      <x:c r="R120" s="875"/>
      <x:c r="S120" s="875"/>
      <x:c r="T120" s="875"/>
      <x:c r="U120" s="875"/>
      <x:c r="V120" s="875"/>
      <x:c r="W120" s="875"/>
      <x:c r="X120" s="875"/>
      <x:c r="Y120" s="875"/>
      <x:c r="Z120" s="875"/>
      <x:c r="AA120" s="875"/>
      <x:c r="AB120" s="875"/>
      <x:c r="AC120" s="875"/>
      <x:c r="AD120" s="875"/>
      <x:c r="AE120" s="875"/>
      <x:c r="AF120" s="875"/>
      <x:c r="AG120" s="875"/>
      <x:c r="AH120" s="875"/>
      <x:c r="AI120" s="875"/>
      <x:c r="AJ120" s="875"/>
      <x:c r="AK120" s="875"/>
      <x:c r="AL120" s="875"/>
      <x:c r="AM120" s="875"/>
    </x:row>
    <x:row r="121">
      <x:c r="A121" s="875"/>
      <x:c r="B121" s="875"/>
      <x:c r="C121" s="875"/>
      <x:c r="D121" s="875"/>
      <x:c r="E121" s="875"/>
      <x:c r="F121" s="875"/>
      <x:c r="G121" s="875"/>
      <x:c r="H121" s="875"/>
      <x:c r="I121" s="875"/>
      <x:c r="J121" s="875"/>
      <x:c r="K121" s="875"/>
      <x:c r="L121" s="875"/>
      <x:c r="M121" s="875"/>
      <x:c r="N121" s="875"/>
      <x:c r="O121" s="875"/>
      <x:c r="P121" s="875"/>
      <x:c r="Q121" s="875"/>
      <x:c r="R121" s="875"/>
      <x:c r="S121" s="875"/>
      <x:c r="T121" s="875"/>
      <x:c r="U121" s="875"/>
      <x:c r="V121" s="875"/>
      <x:c r="W121" s="875"/>
      <x:c r="X121" s="875"/>
      <x:c r="Y121" s="875"/>
      <x:c r="Z121" s="875"/>
      <x:c r="AA121" s="875"/>
      <x:c r="AB121" s="875"/>
      <x:c r="AC121" s="875"/>
      <x:c r="AD121" s="875"/>
      <x:c r="AE121" s="875"/>
      <x:c r="AF121" s="875"/>
      <x:c r="AG121" s="875"/>
      <x:c r="AH121" s="875"/>
      <x:c r="AI121" s="875"/>
      <x:c r="AJ121" s="875"/>
      <x:c r="AK121" s="875"/>
      <x:c r="AL121" s="875"/>
      <x:c r="AM121" s="875"/>
    </x:row>
    <x:row r="122">
      <x:c r="A122" s="875"/>
      <x:c r="B122" s="875"/>
      <x:c r="C122" s="875"/>
      <x:c r="D122" s="875"/>
      <x:c r="E122" s="875"/>
      <x:c r="F122" s="875"/>
      <x:c r="G122" s="875"/>
      <x:c r="H122" s="875"/>
      <x:c r="I122" s="875"/>
      <x:c r="J122" s="875"/>
      <x:c r="K122" s="875"/>
      <x:c r="L122" s="875"/>
      <x:c r="M122" s="875"/>
      <x:c r="N122" s="875"/>
      <x:c r="O122" s="875"/>
      <x:c r="P122" s="875"/>
      <x:c r="Q122" s="875"/>
      <x:c r="R122" s="875"/>
      <x:c r="S122" s="875"/>
      <x:c r="T122" s="875"/>
      <x:c r="U122" s="875"/>
      <x:c r="V122" s="875"/>
      <x:c r="W122" s="875"/>
      <x:c r="X122" s="875"/>
      <x:c r="Y122" s="875"/>
      <x:c r="Z122" s="875"/>
      <x:c r="AA122" s="875"/>
      <x:c r="AB122" s="875"/>
      <x:c r="AC122" s="875"/>
      <x:c r="AD122" s="875"/>
      <x:c r="AE122" s="875"/>
      <x:c r="AF122" s="875"/>
      <x:c r="AG122" s="875"/>
      <x:c r="AH122" s="875"/>
      <x:c r="AI122" s="875"/>
      <x:c r="AJ122" s="875"/>
      <x:c r="AK122" s="875"/>
      <x:c r="AL122" s="875"/>
      <x:c r="AM122" s="875"/>
    </x:row>
    <x:row r="123">
      <x:c r="A123" s="875"/>
      <x:c r="B123" s="875"/>
      <x:c r="C123" s="875"/>
      <x:c r="D123" s="875"/>
      <x:c r="E123" s="875"/>
      <x:c r="F123" s="875"/>
      <x:c r="G123" s="875"/>
      <x:c r="H123" s="875"/>
      <x:c r="I123" s="875"/>
      <x:c r="J123" s="875"/>
      <x:c r="K123" s="875"/>
      <x:c r="L123" s="875"/>
      <x:c r="M123" s="875"/>
      <x:c r="N123" s="875"/>
      <x:c r="O123" s="875"/>
      <x:c r="P123" s="875"/>
      <x:c r="Q123" s="875"/>
      <x:c r="R123" s="875"/>
      <x:c r="S123" s="875"/>
      <x:c r="T123" s="875"/>
      <x:c r="U123" s="875"/>
      <x:c r="V123" s="875"/>
      <x:c r="W123" s="875"/>
      <x:c r="X123" s="875"/>
      <x:c r="Y123" s="875"/>
      <x:c r="Z123" s="875"/>
      <x:c r="AA123" s="875"/>
      <x:c r="AB123" s="875"/>
      <x:c r="AC123" s="875"/>
      <x:c r="AD123" s="875"/>
      <x:c r="AE123" s="875"/>
      <x:c r="AF123" s="875"/>
      <x:c r="AG123" s="875"/>
      <x:c r="AH123" s="875"/>
      <x:c r="AI123" s="875"/>
      <x:c r="AJ123" s="875"/>
      <x:c r="AK123" s="875"/>
      <x:c r="AL123" s="875"/>
      <x:c r="AM123" s="875"/>
    </x:row>
    <x:row r="124">
      <x:c r="A124" s="875"/>
      <x:c r="B124" s="875"/>
      <x:c r="C124" s="875"/>
      <x:c r="D124" s="875"/>
      <x:c r="E124" s="875"/>
      <x:c r="F124" s="875"/>
      <x:c r="G124" s="875"/>
      <x:c r="H124" s="875"/>
      <x:c r="I124" s="875"/>
      <x:c r="J124" s="875"/>
      <x:c r="K124" s="875"/>
      <x:c r="L124" s="875"/>
      <x:c r="M124" s="875"/>
      <x:c r="N124" s="875"/>
      <x:c r="O124" s="875"/>
      <x:c r="P124" s="875"/>
      <x:c r="Q124" s="875"/>
      <x:c r="R124" s="875"/>
      <x:c r="S124" s="875"/>
      <x:c r="T124" s="875"/>
      <x:c r="U124" s="875"/>
      <x:c r="V124" s="875"/>
      <x:c r="W124" s="875"/>
      <x:c r="X124" s="875"/>
      <x:c r="Y124" s="875"/>
      <x:c r="Z124" s="875"/>
      <x:c r="AA124" s="875"/>
      <x:c r="AB124" s="875"/>
      <x:c r="AC124" s="875"/>
      <x:c r="AD124" s="875"/>
      <x:c r="AE124" s="875"/>
      <x:c r="AF124" s="875"/>
      <x:c r="AG124" s="875"/>
      <x:c r="AH124" s="875"/>
      <x:c r="AI124" s="875"/>
      <x:c r="AJ124" s="875"/>
      <x:c r="AK124" s="875"/>
      <x:c r="AL124" s="875"/>
      <x:c r="AM124" s="875"/>
    </x:row>
    <x:row r="125">
      <x:c r="A125" s="875"/>
      <x:c r="B125" s="875"/>
      <x:c r="C125" s="875"/>
      <x:c r="D125" s="875"/>
      <x:c r="E125" s="875"/>
      <x:c r="F125" s="875"/>
      <x:c r="G125" s="875"/>
      <x:c r="H125" s="875"/>
      <x:c r="I125" s="875"/>
      <x:c r="J125" s="875"/>
      <x:c r="K125" s="875"/>
      <x:c r="L125" s="875"/>
      <x:c r="M125" s="875"/>
      <x:c r="N125" s="875"/>
      <x:c r="O125" s="875"/>
      <x:c r="P125" s="875"/>
      <x:c r="Q125" s="875"/>
      <x:c r="R125" s="875"/>
      <x:c r="S125" s="875"/>
      <x:c r="T125" s="875"/>
      <x:c r="U125" s="875"/>
      <x:c r="V125" s="875"/>
      <x:c r="W125" s="875"/>
      <x:c r="X125" s="875"/>
      <x:c r="Y125" s="875"/>
      <x:c r="Z125" s="875"/>
      <x:c r="AA125" s="875"/>
      <x:c r="AB125" s="875"/>
      <x:c r="AC125" s="875"/>
      <x:c r="AD125" s="875"/>
      <x:c r="AE125" s="875"/>
      <x:c r="AF125" s="875"/>
      <x:c r="AG125" s="875"/>
      <x:c r="AH125" s="875"/>
      <x:c r="AI125" s="875"/>
      <x:c r="AJ125" s="875"/>
      <x:c r="AK125" s="875"/>
      <x:c r="AL125" s="875"/>
      <x:c r="AM125" s="875"/>
    </x:row>
    <x:row r="126">
      <x:c r="A126" s="875"/>
      <x:c r="B126" s="875"/>
      <x:c r="C126" s="875"/>
      <x:c r="D126" s="875"/>
      <x:c r="E126" s="875"/>
      <x:c r="F126" s="875"/>
      <x:c r="G126" s="875"/>
      <x:c r="H126" s="875"/>
      <x:c r="I126" s="875"/>
      <x:c r="J126" s="875"/>
      <x:c r="K126" s="875"/>
      <x:c r="L126" s="875"/>
      <x:c r="M126" s="875"/>
      <x:c r="N126" s="875"/>
      <x:c r="O126" s="875"/>
      <x:c r="P126" s="875"/>
      <x:c r="Q126" s="875"/>
      <x:c r="R126" s="875"/>
      <x:c r="S126" s="875"/>
      <x:c r="T126" s="875"/>
      <x:c r="U126" s="875"/>
      <x:c r="V126" s="875"/>
      <x:c r="W126" s="875"/>
      <x:c r="X126" s="875"/>
      <x:c r="Y126" s="875"/>
      <x:c r="Z126" s="875"/>
      <x:c r="AA126" s="875"/>
      <x:c r="AB126" s="875"/>
      <x:c r="AC126" s="875"/>
      <x:c r="AD126" s="875"/>
      <x:c r="AE126" s="875"/>
      <x:c r="AF126" s="875"/>
      <x:c r="AG126" s="875"/>
      <x:c r="AH126" s="875"/>
      <x:c r="AI126" s="875"/>
      <x:c r="AJ126" s="875"/>
      <x:c r="AK126" s="875"/>
      <x:c r="AL126" s="875"/>
      <x:c r="AM126" s="875"/>
    </x:row>
    <x:row r="127">
      <x:c r="A127" s="875"/>
      <x:c r="B127" s="875"/>
      <x:c r="C127" s="875"/>
      <x:c r="D127" s="875"/>
      <x:c r="E127" s="875"/>
      <x:c r="F127" s="875"/>
      <x:c r="G127" s="875"/>
      <x:c r="H127" s="875"/>
      <x:c r="I127" s="875"/>
      <x:c r="J127" s="875"/>
      <x:c r="K127" s="875"/>
      <x:c r="L127" s="875"/>
      <x:c r="M127" s="875"/>
      <x:c r="N127" s="875"/>
      <x:c r="O127" s="875"/>
      <x:c r="P127" s="875"/>
      <x:c r="Q127" s="875"/>
      <x:c r="R127" s="875"/>
      <x:c r="S127" s="875"/>
      <x:c r="T127" s="875"/>
      <x:c r="U127" s="875"/>
      <x:c r="V127" s="875"/>
      <x:c r="W127" s="875"/>
      <x:c r="X127" s="875"/>
      <x:c r="Y127" s="875"/>
      <x:c r="Z127" s="875"/>
      <x:c r="AA127" s="875"/>
      <x:c r="AB127" s="875"/>
      <x:c r="AC127" s="875"/>
      <x:c r="AD127" s="875"/>
      <x:c r="AE127" s="875"/>
      <x:c r="AF127" s="875"/>
      <x:c r="AG127" s="875"/>
      <x:c r="AH127" s="875"/>
      <x:c r="AI127" s="875"/>
      <x:c r="AJ127" s="875"/>
      <x:c r="AK127" s="875"/>
      <x:c r="AL127" s="875"/>
      <x:c r="AM127" s="875"/>
    </x:row>
    <x:row r="128">
      <x:c r="A128" s="875"/>
      <x:c r="B128" s="875"/>
      <x:c r="C128" s="875"/>
      <x:c r="D128" s="875"/>
      <x:c r="E128" s="875"/>
      <x:c r="F128" s="875"/>
      <x:c r="G128" s="875"/>
      <x:c r="H128" s="875"/>
      <x:c r="I128" s="875"/>
      <x:c r="J128" s="875"/>
      <x:c r="K128" s="875"/>
      <x:c r="L128" s="875"/>
      <x:c r="M128" s="875"/>
      <x:c r="N128" s="875"/>
      <x:c r="O128" s="875"/>
      <x:c r="P128" s="875"/>
      <x:c r="Q128" s="875"/>
      <x:c r="R128" s="875"/>
      <x:c r="S128" s="875"/>
      <x:c r="T128" s="875"/>
      <x:c r="U128" s="875"/>
      <x:c r="V128" s="875"/>
      <x:c r="W128" s="875"/>
      <x:c r="X128" s="875"/>
      <x:c r="Y128" s="875"/>
      <x:c r="Z128" s="875"/>
      <x:c r="AA128" s="875"/>
      <x:c r="AB128" s="875"/>
      <x:c r="AC128" s="875"/>
      <x:c r="AD128" s="875"/>
      <x:c r="AE128" s="875"/>
      <x:c r="AF128" s="875"/>
      <x:c r="AG128" s="875"/>
      <x:c r="AH128" s="875"/>
      <x:c r="AI128" s="875"/>
      <x:c r="AJ128" s="875"/>
      <x:c r="AK128" s="875"/>
      <x:c r="AL128" s="875"/>
      <x:c r="AM128" s="875"/>
    </x:row>
    <x:row r="129">
      <x:c r="A129" s="875"/>
      <x:c r="B129" s="875"/>
      <x:c r="C129" s="875"/>
      <x:c r="D129" s="875"/>
      <x:c r="E129" s="875"/>
      <x:c r="F129" s="875"/>
      <x:c r="G129" s="875"/>
      <x:c r="H129" s="875"/>
      <x:c r="I129" s="875"/>
      <x:c r="J129" s="875"/>
      <x:c r="K129" s="875"/>
      <x:c r="L129" s="875"/>
      <x:c r="M129" s="875"/>
      <x:c r="N129" s="875"/>
      <x:c r="O129" s="875"/>
      <x:c r="P129" s="875"/>
      <x:c r="Q129" s="875"/>
      <x:c r="R129" s="875"/>
      <x:c r="S129" s="875"/>
      <x:c r="T129" s="875"/>
      <x:c r="U129" s="875"/>
      <x:c r="V129" s="875"/>
      <x:c r="W129" s="875"/>
      <x:c r="X129" s="875"/>
      <x:c r="Y129" s="875"/>
      <x:c r="Z129" s="875"/>
      <x:c r="AA129" s="875"/>
      <x:c r="AB129" s="875"/>
      <x:c r="AC129" s="875"/>
      <x:c r="AD129" s="875"/>
      <x:c r="AE129" s="875"/>
      <x:c r="AF129" s="875"/>
      <x:c r="AG129" s="875"/>
      <x:c r="AH129" s="875"/>
      <x:c r="AI129" s="875"/>
      <x:c r="AJ129" s="875"/>
      <x:c r="AK129" s="875"/>
      <x:c r="AL129" s="875"/>
      <x:c r="AM129" s="875"/>
    </x:row>
    <x:row r="130">
      <x:c r="A130" s="875"/>
      <x:c r="B130" s="875"/>
      <x:c r="C130" s="875"/>
      <x:c r="D130" s="875"/>
      <x:c r="E130" s="875"/>
      <x:c r="F130" s="875"/>
      <x:c r="G130" s="875"/>
      <x:c r="H130" s="875"/>
      <x:c r="I130" s="875"/>
      <x:c r="J130" s="875"/>
      <x:c r="K130" s="875"/>
      <x:c r="L130" s="875"/>
      <x:c r="M130" s="875"/>
      <x:c r="N130" s="875"/>
      <x:c r="O130" s="875"/>
      <x:c r="P130" s="875"/>
      <x:c r="Q130" s="875"/>
      <x:c r="R130" s="875"/>
      <x:c r="S130" s="875"/>
      <x:c r="T130" s="875"/>
      <x:c r="U130" s="875"/>
      <x:c r="V130" s="875"/>
      <x:c r="W130" s="875"/>
      <x:c r="X130" s="875"/>
      <x:c r="Y130" s="875"/>
      <x:c r="Z130" s="875"/>
      <x:c r="AA130" s="875"/>
      <x:c r="AB130" s="875"/>
      <x:c r="AC130" s="875"/>
      <x:c r="AD130" s="875"/>
      <x:c r="AE130" s="875"/>
      <x:c r="AF130" s="875"/>
      <x:c r="AG130" s="875"/>
      <x:c r="AH130" s="875"/>
      <x:c r="AI130" s="875"/>
      <x:c r="AJ130" s="875"/>
      <x:c r="AK130" s="875"/>
      <x:c r="AL130" s="875"/>
      <x:c r="AM130" s="875"/>
    </x:row>
    <x:row r="131">
      <x:c r="A131" s="875"/>
      <x:c r="B131" s="875"/>
      <x:c r="C131" s="875"/>
      <x:c r="D131" s="875"/>
      <x:c r="E131" s="875"/>
      <x:c r="F131" s="875"/>
      <x:c r="G131" s="875"/>
      <x:c r="H131" s="875"/>
      <x:c r="I131" s="875"/>
      <x:c r="J131" s="875"/>
      <x:c r="K131" s="875"/>
      <x:c r="L131" s="875"/>
      <x:c r="M131" s="875"/>
      <x:c r="N131" s="875"/>
      <x:c r="O131" s="875"/>
      <x:c r="P131" s="875"/>
      <x:c r="Q131" s="875"/>
      <x:c r="R131" s="875"/>
      <x:c r="S131" s="875"/>
      <x:c r="T131" s="875"/>
      <x:c r="U131" s="875"/>
      <x:c r="V131" s="875"/>
      <x:c r="W131" s="875"/>
      <x:c r="X131" s="875"/>
      <x:c r="Y131" s="875"/>
      <x:c r="Z131" s="875"/>
      <x:c r="AA131" s="875"/>
      <x:c r="AB131" s="875"/>
      <x:c r="AC131" s="875"/>
      <x:c r="AD131" s="875"/>
      <x:c r="AE131" s="875"/>
      <x:c r="AF131" s="875"/>
      <x:c r="AG131" s="875"/>
      <x:c r="AH131" s="875"/>
      <x:c r="AI131" s="875"/>
      <x:c r="AJ131" s="875"/>
      <x:c r="AK131" s="875"/>
      <x:c r="AL131" s="875"/>
      <x:c r="AM131" s="875"/>
    </x:row>
    <x:row r="132">
      <x:c r="A132" s="875"/>
      <x:c r="B132" s="875"/>
      <x:c r="C132" s="875"/>
      <x:c r="D132" s="875"/>
      <x:c r="E132" s="875"/>
      <x:c r="F132" s="875"/>
      <x:c r="G132" s="875"/>
      <x:c r="H132" s="875"/>
      <x:c r="I132" s="875"/>
      <x:c r="J132" s="875"/>
      <x:c r="K132" s="875"/>
      <x:c r="L132" s="875"/>
      <x:c r="M132" s="875"/>
      <x:c r="N132" s="875"/>
      <x:c r="O132" s="875"/>
      <x:c r="P132" s="875"/>
      <x:c r="Q132" s="875"/>
      <x:c r="R132" s="875"/>
      <x:c r="S132" s="875"/>
      <x:c r="T132" s="875"/>
      <x:c r="U132" s="875"/>
      <x:c r="V132" s="875"/>
      <x:c r="W132" s="875"/>
      <x:c r="X132" s="875"/>
      <x:c r="Y132" s="875"/>
      <x:c r="Z132" s="875"/>
      <x:c r="AA132" s="875"/>
      <x:c r="AB132" s="875"/>
      <x:c r="AC132" s="875"/>
      <x:c r="AD132" s="875"/>
      <x:c r="AE132" s="875"/>
      <x:c r="AF132" s="875"/>
      <x:c r="AG132" s="875"/>
      <x:c r="AH132" s="875"/>
      <x:c r="AI132" s="875"/>
      <x:c r="AJ132" s="875"/>
      <x:c r="AK132" s="875"/>
      <x:c r="AL132" s="875"/>
      <x:c r="AM132" s="875"/>
    </x:row>
    <x:row r="133">
      <x:c r="A133" s="875"/>
      <x:c r="B133" s="875"/>
      <x:c r="C133" s="875"/>
      <x:c r="D133" s="875"/>
      <x:c r="E133" s="875"/>
      <x:c r="F133" s="875"/>
      <x:c r="G133" s="875"/>
      <x:c r="H133" s="875"/>
      <x:c r="I133" s="875"/>
      <x:c r="J133" s="875"/>
      <x:c r="K133" s="875"/>
      <x:c r="L133" s="875"/>
      <x:c r="M133" s="875"/>
      <x:c r="N133" s="875"/>
      <x:c r="O133" s="875"/>
      <x:c r="P133" s="875"/>
      <x:c r="Q133" s="875"/>
      <x:c r="R133" s="875"/>
      <x:c r="S133" s="875"/>
      <x:c r="T133" s="875"/>
      <x:c r="U133" s="875"/>
      <x:c r="V133" s="875"/>
      <x:c r="W133" s="875"/>
      <x:c r="X133" s="875"/>
      <x:c r="Y133" s="875"/>
      <x:c r="Z133" s="875"/>
      <x:c r="AA133" s="875"/>
      <x:c r="AB133" s="875"/>
      <x:c r="AC133" s="875"/>
      <x:c r="AD133" s="875"/>
      <x:c r="AE133" s="875"/>
      <x:c r="AF133" s="875"/>
      <x:c r="AG133" s="875"/>
      <x:c r="AH133" s="875"/>
      <x:c r="AI133" s="875"/>
      <x:c r="AJ133" s="875"/>
      <x:c r="AK133" s="875"/>
      <x:c r="AL133" s="875"/>
      <x:c r="AM133" s="875"/>
    </x:row>
    <x:row r="134">
      <x:c r="A134" s="875"/>
      <x:c r="B134" s="875"/>
      <x:c r="C134" s="875"/>
      <x:c r="D134" s="875"/>
      <x:c r="E134" s="875"/>
      <x:c r="F134" s="875"/>
      <x:c r="G134" s="875"/>
      <x:c r="H134" s="875"/>
      <x:c r="I134" s="875"/>
      <x:c r="J134" s="875"/>
      <x:c r="K134" s="875"/>
      <x:c r="L134" s="875"/>
      <x:c r="M134" s="875"/>
      <x:c r="N134" s="875"/>
      <x:c r="O134" s="875"/>
      <x:c r="P134" s="875"/>
      <x:c r="Q134" s="875"/>
      <x:c r="R134" s="875"/>
      <x:c r="S134" s="875"/>
      <x:c r="T134" s="875"/>
      <x:c r="U134" s="875"/>
      <x:c r="V134" s="875"/>
      <x:c r="W134" s="875"/>
      <x:c r="X134" s="875"/>
      <x:c r="Y134" s="875"/>
      <x:c r="Z134" s="875"/>
      <x:c r="AA134" s="875"/>
      <x:c r="AB134" s="875"/>
      <x:c r="AC134" s="875"/>
      <x:c r="AD134" s="875"/>
      <x:c r="AE134" s="875"/>
      <x:c r="AF134" s="875"/>
      <x:c r="AG134" s="875"/>
      <x:c r="AH134" s="875"/>
      <x:c r="AI134" s="875"/>
      <x:c r="AJ134" s="875"/>
      <x:c r="AK134" s="875"/>
      <x:c r="AL134" s="875"/>
      <x:c r="AM134" s="875"/>
    </x:row>
    <x:row r="135">
      <x:c r="A135" s="875"/>
      <x:c r="B135" s="875"/>
      <x:c r="C135" s="875"/>
      <x:c r="D135" s="875"/>
      <x:c r="E135" s="875"/>
      <x:c r="F135" s="875"/>
      <x:c r="G135" s="875"/>
      <x:c r="H135" s="875"/>
      <x:c r="I135" s="875"/>
      <x:c r="J135" s="875"/>
      <x:c r="K135" s="875"/>
      <x:c r="L135" s="875"/>
      <x:c r="M135" s="875"/>
      <x:c r="N135" s="875"/>
      <x:c r="O135" s="875"/>
      <x:c r="P135" s="875"/>
      <x:c r="Q135" s="875"/>
      <x:c r="R135" s="875"/>
      <x:c r="S135" s="875"/>
      <x:c r="T135" s="875"/>
      <x:c r="U135" s="875"/>
      <x:c r="V135" s="875"/>
      <x:c r="W135" s="875"/>
      <x:c r="X135" s="875"/>
      <x:c r="Y135" s="875"/>
      <x:c r="Z135" s="875"/>
      <x:c r="AA135" s="875"/>
      <x:c r="AB135" s="875"/>
      <x:c r="AC135" s="875"/>
      <x:c r="AD135" s="875"/>
      <x:c r="AE135" s="875"/>
      <x:c r="AF135" s="875"/>
      <x:c r="AG135" s="875"/>
      <x:c r="AH135" s="875"/>
      <x:c r="AI135" s="875"/>
      <x:c r="AJ135" s="875"/>
      <x:c r="AK135" s="875"/>
      <x:c r="AL135" s="875"/>
      <x:c r="AM135" s="875"/>
    </x:row>
    <x:row r="136">
      <x:c r="A136" s="875"/>
      <x:c r="B136" s="875"/>
      <x:c r="C136" s="875"/>
      <x:c r="D136" s="875"/>
      <x:c r="E136" s="875"/>
      <x:c r="F136" s="875"/>
      <x:c r="G136" s="875"/>
      <x:c r="H136" s="875"/>
      <x:c r="I136" s="875"/>
      <x:c r="J136" s="875"/>
      <x:c r="K136" s="875"/>
      <x:c r="L136" s="875"/>
      <x:c r="M136" s="875"/>
      <x:c r="N136" s="875"/>
      <x:c r="O136" s="875"/>
      <x:c r="P136" s="875"/>
      <x:c r="Q136" s="875"/>
      <x:c r="R136" s="875"/>
      <x:c r="S136" s="875"/>
      <x:c r="T136" s="875"/>
      <x:c r="U136" s="875"/>
      <x:c r="V136" s="875"/>
      <x:c r="W136" s="875"/>
      <x:c r="X136" s="875"/>
      <x:c r="Y136" s="875"/>
      <x:c r="Z136" s="875"/>
      <x:c r="AA136" s="875"/>
      <x:c r="AB136" s="875"/>
      <x:c r="AC136" s="875"/>
      <x:c r="AD136" s="875"/>
      <x:c r="AE136" s="875"/>
      <x:c r="AF136" s="875"/>
      <x:c r="AG136" s="875"/>
      <x:c r="AH136" s="875"/>
      <x:c r="AI136" s="875"/>
      <x:c r="AJ136" s="875"/>
      <x:c r="AK136" s="875"/>
      <x:c r="AL136" s="875"/>
      <x:c r="AM136" s="875"/>
    </x:row>
    <x:row r="137">
      <x:c r="A137" s="875"/>
      <x:c r="B137" s="875"/>
      <x:c r="C137" s="875"/>
      <x:c r="D137" s="875"/>
      <x:c r="E137" s="875"/>
      <x:c r="F137" s="875"/>
      <x:c r="G137" s="875"/>
      <x:c r="H137" s="875"/>
      <x:c r="I137" s="875"/>
      <x:c r="J137" s="875"/>
      <x:c r="K137" s="875"/>
      <x:c r="L137" s="875"/>
      <x:c r="M137" s="875"/>
      <x:c r="N137" s="875"/>
      <x:c r="O137" s="875"/>
      <x:c r="P137" s="875"/>
      <x:c r="Q137" s="875"/>
      <x:c r="R137" s="875"/>
      <x:c r="S137" s="875"/>
      <x:c r="T137" s="875"/>
      <x:c r="U137" s="875"/>
      <x:c r="V137" s="875"/>
      <x:c r="W137" s="875"/>
      <x:c r="X137" s="875"/>
      <x:c r="Y137" s="875"/>
      <x:c r="Z137" s="875"/>
      <x:c r="AA137" s="875"/>
      <x:c r="AB137" s="875"/>
      <x:c r="AC137" s="875"/>
      <x:c r="AD137" s="875"/>
      <x:c r="AE137" s="875"/>
      <x:c r="AF137" s="875"/>
      <x:c r="AG137" s="875"/>
      <x:c r="AH137" s="875"/>
      <x:c r="AI137" s="875"/>
      <x:c r="AJ137" s="875"/>
      <x:c r="AK137" s="875"/>
      <x:c r="AL137" s="875"/>
      <x:c r="AM137" s="875"/>
    </x:row>
    <x:row r="138">
      <x:c r="A138" s="875"/>
      <x:c r="B138" s="875"/>
      <x:c r="C138" s="875"/>
      <x:c r="D138" s="875"/>
      <x:c r="E138" s="875"/>
      <x:c r="F138" s="875"/>
      <x:c r="G138" s="875"/>
      <x:c r="H138" s="875"/>
      <x:c r="I138" s="875"/>
      <x:c r="J138" s="875"/>
      <x:c r="K138" s="875"/>
      <x:c r="L138" s="875"/>
      <x:c r="M138" s="875"/>
      <x:c r="N138" s="875"/>
      <x:c r="O138" s="875"/>
      <x:c r="P138" s="875"/>
      <x:c r="Q138" s="875"/>
      <x:c r="R138" s="875"/>
      <x:c r="S138" s="875"/>
      <x:c r="T138" s="875"/>
      <x:c r="U138" s="875"/>
      <x:c r="V138" s="875"/>
      <x:c r="W138" s="875"/>
      <x:c r="X138" s="875"/>
      <x:c r="Y138" s="875"/>
      <x:c r="Z138" s="875"/>
      <x:c r="AA138" s="875"/>
      <x:c r="AB138" s="875"/>
      <x:c r="AC138" s="875"/>
      <x:c r="AD138" s="875"/>
      <x:c r="AE138" s="875"/>
      <x:c r="AF138" s="875"/>
      <x:c r="AG138" s="875"/>
      <x:c r="AH138" s="875"/>
      <x:c r="AI138" s="875"/>
      <x:c r="AJ138" s="875"/>
      <x:c r="AK138" s="875"/>
      <x:c r="AL138" s="875"/>
      <x:c r="AM138" s="875"/>
    </x:row>
    <x:row r="139">
      <x:c r="A139" s="875"/>
      <x:c r="B139" s="875"/>
      <x:c r="C139" s="875"/>
      <x:c r="D139" s="875"/>
      <x:c r="E139" s="875"/>
      <x:c r="F139" s="875"/>
      <x:c r="G139" s="875"/>
      <x:c r="H139" s="875"/>
      <x:c r="I139" s="875"/>
      <x:c r="J139" s="875"/>
      <x:c r="K139" s="875"/>
      <x:c r="L139" s="875"/>
      <x:c r="M139" s="875"/>
      <x:c r="N139" s="875"/>
      <x:c r="O139" s="875"/>
      <x:c r="P139" s="875"/>
      <x:c r="Q139" s="875"/>
      <x:c r="R139" s="875"/>
      <x:c r="S139" s="875"/>
      <x:c r="T139" s="875"/>
      <x:c r="U139" s="875"/>
      <x:c r="V139" s="875"/>
      <x:c r="W139" s="875"/>
      <x:c r="X139" s="875"/>
      <x:c r="Y139" s="875"/>
      <x:c r="Z139" s="875"/>
      <x:c r="AA139" s="875"/>
      <x:c r="AB139" s="875"/>
      <x:c r="AC139" s="875"/>
      <x:c r="AD139" s="875"/>
      <x:c r="AE139" s="875"/>
      <x:c r="AF139" s="875"/>
      <x:c r="AG139" s="875"/>
      <x:c r="AH139" s="875"/>
      <x:c r="AI139" s="875"/>
      <x:c r="AJ139" s="875"/>
      <x:c r="AK139" s="875"/>
      <x:c r="AL139" s="875"/>
      <x:c r="AM139" s="875"/>
    </x:row>
    <x:row r="140">
      <x:c r="A140" s="875"/>
      <x:c r="B140" s="875"/>
      <x:c r="C140" s="875"/>
      <x:c r="D140" s="875"/>
      <x:c r="E140" s="875"/>
      <x:c r="F140" s="875"/>
      <x:c r="G140" s="875"/>
      <x:c r="H140" s="875"/>
      <x:c r="I140" s="875"/>
      <x:c r="J140" s="875"/>
      <x:c r="K140" s="875"/>
      <x:c r="L140" s="875"/>
      <x:c r="M140" s="875"/>
      <x:c r="N140" s="875"/>
      <x:c r="O140" s="875"/>
      <x:c r="P140" s="875"/>
      <x:c r="Q140" s="875"/>
      <x:c r="R140" s="875"/>
      <x:c r="S140" s="875"/>
      <x:c r="T140" s="875"/>
      <x:c r="U140" s="875"/>
      <x:c r="V140" s="875"/>
      <x:c r="W140" s="875"/>
      <x:c r="X140" s="875"/>
      <x:c r="Y140" s="875"/>
      <x:c r="Z140" s="875"/>
      <x:c r="AA140" s="875"/>
      <x:c r="AB140" s="875"/>
      <x:c r="AC140" s="875"/>
      <x:c r="AD140" s="875"/>
      <x:c r="AE140" s="875"/>
      <x:c r="AF140" s="875"/>
      <x:c r="AG140" s="875"/>
      <x:c r="AH140" s="875"/>
      <x:c r="AI140" s="875"/>
      <x:c r="AJ140" s="875"/>
      <x:c r="AK140" s="875"/>
      <x:c r="AL140" s="875"/>
      <x:c r="AM140" s="875"/>
    </x:row>
    <x:row r="141">
      <x:c r="A141" s="875"/>
      <x:c r="B141" s="875"/>
      <x:c r="C141" s="875"/>
      <x:c r="D141" s="875"/>
      <x:c r="E141" s="875"/>
      <x:c r="F141" s="875"/>
      <x:c r="G141" s="875"/>
      <x:c r="H141" s="875"/>
      <x:c r="I141" s="875"/>
      <x:c r="J141" s="875"/>
      <x:c r="K141" s="875"/>
      <x:c r="L141" s="875"/>
      <x:c r="M141" s="875"/>
      <x:c r="N141" s="875"/>
      <x:c r="O141" s="875"/>
      <x:c r="P141" s="875"/>
      <x:c r="Q141" s="875"/>
      <x:c r="R141" s="875"/>
      <x:c r="S141" s="875"/>
      <x:c r="T141" s="875"/>
      <x:c r="U141" s="875"/>
      <x:c r="V141" s="875"/>
      <x:c r="W141" s="875"/>
      <x:c r="X141" s="875"/>
      <x:c r="Y141" s="875"/>
      <x:c r="Z141" s="875"/>
      <x:c r="AA141" s="875"/>
      <x:c r="AB141" s="875"/>
      <x:c r="AC141" s="875"/>
      <x:c r="AD141" s="875"/>
      <x:c r="AE141" s="875"/>
      <x:c r="AF141" s="875"/>
      <x:c r="AG141" s="875"/>
      <x:c r="AH141" s="875"/>
      <x:c r="AI141" s="875"/>
      <x:c r="AJ141" s="875"/>
      <x:c r="AK141" s="875"/>
      <x:c r="AL141" s="875"/>
      <x:c r="AM141" s="875"/>
    </x:row>
    <x:row r="142">
      <x:c r="A142" s="875"/>
      <x:c r="B142" s="875"/>
      <x:c r="C142" s="875"/>
      <x:c r="D142" s="875"/>
      <x:c r="E142" s="875"/>
      <x:c r="F142" s="875"/>
      <x:c r="G142" s="875"/>
      <x:c r="H142" s="875"/>
      <x:c r="I142" s="875"/>
      <x:c r="J142" s="875"/>
      <x:c r="K142" s="875"/>
      <x:c r="L142" s="875"/>
      <x:c r="M142" s="875"/>
      <x:c r="N142" s="875"/>
      <x:c r="O142" s="875"/>
      <x:c r="P142" s="875"/>
      <x:c r="Q142" s="875"/>
      <x:c r="R142" s="875"/>
      <x:c r="S142" s="875"/>
      <x:c r="T142" s="875"/>
      <x:c r="U142" s="875"/>
      <x:c r="V142" s="875"/>
      <x:c r="W142" s="875"/>
      <x:c r="X142" s="875"/>
      <x:c r="Y142" s="875"/>
      <x:c r="Z142" s="875"/>
      <x:c r="AA142" s="875"/>
      <x:c r="AB142" s="875"/>
      <x:c r="AC142" s="875"/>
      <x:c r="AD142" s="875"/>
      <x:c r="AE142" s="875"/>
      <x:c r="AF142" s="875"/>
      <x:c r="AG142" s="875"/>
      <x:c r="AH142" s="875"/>
      <x:c r="AI142" s="875"/>
      <x:c r="AJ142" s="875"/>
      <x:c r="AK142" s="875"/>
      <x:c r="AL142" s="875"/>
      <x:c r="AM142" s="875"/>
    </x:row>
    <x:row r="143">
      <x:c r="A143" s="875"/>
      <x:c r="B143" s="875"/>
      <x:c r="C143" s="875"/>
      <x:c r="D143" s="875"/>
      <x:c r="E143" s="875"/>
      <x:c r="F143" s="875"/>
      <x:c r="G143" s="875"/>
      <x:c r="H143" s="875"/>
      <x:c r="I143" s="875"/>
      <x:c r="J143" s="875"/>
      <x:c r="K143" s="875"/>
      <x:c r="L143" s="875"/>
      <x:c r="M143" s="875"/>
      <x:c r="N143" s="875"/>
      <x:c r="O143" s="875"/>
      <x:c r="P143" s="875"/>
      <x:c r="Q143" s="875"/>
      <x:c r="R143" s="875"/>
      <x:c r="S143" s="875"/>
      <x:c r="T143" s="875"/>
      <x:c r="U143" s="875"/>
      <x:c r="V143" s="875"/>
      <x:c r="W143" s="875"/>
      <x:c r="X143" s="875"/>
      <x:c r="Y143" s="875"/>
      <x:c r="Z143" s="875"/>
      <x:c r="AA143" s="875"/>
      <x:c r="AB143" s="875"/>
      <x:c r="AC143" s="875"/>
      <x:c r="AD143" s="875"/>
      <x:c r="AE143" s="875"/>
      <x:c r="AF143" s="875"/>
      <x:c r="AG143" s="875"/>
      <x:c r="AH143" s="875"/>
      <x:c r="AI143" s="875"/>
      <x:c r="AJ143" s="875"/>
      <x:c r="AK143" s="875"/>
      <x:c r="AL143" s="875"/>
      <x:c r="AM143" s="875"/>
    </x:row>
    <x:row r="144">
      <x:c r="A144" s="875"/>
      <x:c r="B144" s="875"/>
      <x:c r="C144" s="875"/>
      <x:c r="D144" s="875"/>
      <x:c r="E144" s="875"/>
      <x:c r="F144" s="875"/>
      <x:c r="G144" s="875"/>
      <x:c r="H144" s="875"/>
      <x:c r="I144" s="875"/>
      <x:c r="J144" s="875"/>
      <x:c r="K144" s="875"/>
      <x:c r="L144" s="875"/>
      <x:c r="M144" s="875"/>
      <x:c r="N144" s="875"/>
      <x:c r="O144" s="875"/>
      <x:c r="P144" s="875"/>
      <x:c r="Q144" s="875"/>
      <x:c r="R144" s="875"/>
      <x:c r="S144" s="875"/>
      <x:c r="T144" s="875"/>
      <x:c r="U144" s="875"/>
      <x:c r="V144" s="875"/>
      <x:c r="W144" s="875"/>
      <x:c r="X144" s="875"/>
      <x:c r="Y144" s="875"/>
      <x:c r="Z144" s="875"/>
      <x:c r="AA144" s="875"/>
      <x:c r="AB144" s="875"/>
      <x:c r="AC144" s="875"/>
      <x:c r="AD144" s="875"/>
      <x:c r="AE144" s="875"/>
      <x:c r="AF144" s="875"/>
      <x:c r="AG144" s="875"/>
      <x:c r="AH144" s="875"/>
      <x:c r="AI144" s="875"/>
      <x:c r="AJ144" s="875"/>
      <x:c r="AK144" s="875"/>
      <x:c r="AL144" s="875"/>
      <x:c r="AM144" s="875"/>
    </x:row>
    <x:row r="145">
      <x:c r="A145" s="875"/>
      <x:c r="B145" s="875"/>
      <x:c r="C145" s="875"/>
      <x:c r="D145" s="875"/>
      <x:c r="E145" s="875"/>
      <x:c r="F145" s="875"/>
      <x:c r="G145" s="875"/>
      <x:c r="H145" s="875"/>
      <x:c r="I145" s="875"/>
      <x:c r="J145" s="875"/>
      <x:c r="K145" s="875"/>
      <x:c r="L145" s="875"/>
      <x:c r="M145" s="875"/>
      <x:c r="N145" s="875"/>
      <x:c r="O145" s="875"/>
      <x:c r="P145" s="875"/>
      <x:c r="Q145" s="875"/>
      <x:c r="R145" s="875"/>
      <x:c r="S145" s="875"/>
      <x:c r="T145" s="875"/>
      <x:c r="U145" s="875"/>
      <x:c r="V145" s="875"/>
      <x:c r="W145" s="875"/>
      <x:c r="X145" s="875"/>
      <x:c r="Y145" s="875"/>
      <x:c r="Z145" s="875"/>
      <x:c r="AA145" s="875"/>
      <x:c r="AB145" s="875"/>
      <x:c r="AC145" s="875"/>
      <x:c r="AD145" s="875"/>
      <x:c r="AE145" s="875"/>
      <x:c r="AF145" s="875"/>
      <x:c r="AG145" s="875"/>
      <x:c r="AH145" s="875"/>
      <x:c r="AI145" s="875"/>
      <x:c r="AJ145" s="875"/>
      <x:c r="AK145" s="875"/>
      <x:c r="AL145" s="875"/>
      <x:c r="AM145" s="875"/>
    </x:row>
    <x:row r="146">
      <x:c r="A146" s="875"/>
      <x:c r="B146" s="875"/>
      <x:c r="C146" s="875"/>
      <x:c r="D146" s="875"/>
      <x:c r="E146" s="875"/>
      <x:c r="F146" s="875"/>
      <x:c r="G146" s="875"/>
      <x:c r="H146" s="875"/>
      <x:c r="I146" s="875"/>
      <x:c r="J146" s="875"/>
      <x:c r="K146" s="875"/>
      <x:c r="L146" s="875"/>
      <x:c r="M146" s="875"/>
      <x:c r="N146" s="875"/>
      <x:c r="O146" s="875"/>
      <x:c r="P146" s="875"/>
      <x:c r="Q146" s="875"/>
      <x:c r="R146" s="875"/>
      <x:c r="S146" s="875"/>
      <x:c r="T146" s="875"/>
      <x:c r="U146" s="875"/>
      <x:c r="V146" s="875"/>
      <x:c r="W146" s="875"/>
      <x:c r="X146" s="875"/>
      <x:c r="Y146" s="875"/>
      <x:c r="Z146" s="875"/>
      <x:c r="AA146" s="875"/>
      <x:c r="AB146" s="875"/>
      <x:c r="AC146" s="875"/>
      <x:c r="AD146" s="875"/>
      <x:c r="AE146" s="875"/>
      <x:c r="AF146" s="875"/>
      <x:c r="AG146" s="875"/>
      <x:c r="AH146" s="875"/>
      <x:c r="AI146" s="875"/>
      <x:c r="AJ146" s="875"/>
      <x:c r="AK146" s="875"/>
      <x:c r="AL146" s="875"/>
      <x:c r="AM146" s="875"/>
    </x:row>
    <x:row r="147">
      <x:c r="A147" s="875"/>
      <x:c r="B147" s="875"/>
      <x:c r="C147" s="875"/>
      <x:c r="D147" s="875"/>
      <x:c r="E147" s="875"/>
      <x:c r="F147" s="875"/>
      <x:c r="G147" s="875"/>
      <x:c r="H147" s="875"/>
      <x:c r="I147" s="875"/>
      <x:c r="J147" s="875"/>
      <x:c r="K147" s="875"/>
      <x:c r="L147" s="875"/>
      <x:c r="M147" s="875"/>
      <x:c r="N147" s="875"/>
      <x:c r="O147" s="875"/>
      <x:c r="P147" s="875"/>
      <x:c r="Q147" s="875"/>
      <x:c r="R147" s="875"/>
      <x:c r="S147" s="875"/>
      <x:c r="T147" s="875"/>
      <x:c r="U147" s="875"/>
      <x:c r="V147" s="875"/>
      <x:c r="W147" s="875"/>
      <x:c r="X147" s="875"/>
      <x:c r="Y147" s="875"/>
      <x:c r="Z147" s="875"/>
      <x:c r="AA147" s="875"/>
      <x:c r="AB147" s="875"/>
      <x:c r="AC147" s="875"/>
      <x:c r="AD147" s="875"/>
      <x:c r="AE147" s="875"/>
      <x:c r="AF147" s="875"/>
      <x:c r="AG147" s="875"/>
      <x:c r="AH147" s="875"/>
      <x:c r="AI147" s="875"/>
      <x:c r="AJ147" s="875"/>
      <x:c r="AK147" s="875"/>
      <x:c r="AL147" s="875"/>
      <x:c r="AM147" s="875"/>
    </x:row>
    <x:row r="148">
      <x:c r="A148" s="875"/>
      <x:c r="B148" s="875"/>
      <x:c r="C148" s="875"/>
      <x:c r="D148" s="875"/>
      <x:c r="E148" s="875"/>
      <x:c r="F148" s="875"/>
      <x:c r="G148" s="875"/>
      <x:c r="H148" s="875"/>
      <x:c r="I148" s="875"/>
      <x:c r="J148" s="875"/>
      <x:c r="K148" s="875"/>
      <x:c r="L148" s="875"/>
      <x:c r="M148" s="875"/>
      <x:c r="N148" s="875"/>
      <x:c r="O148" s="875"/>
      <x:c r="P148" s="875"/>
      <x:c r="Q148" s="875"/>
      <x:c r="R148" s="875"/>
      <x:c r="S148" s="875"/>
      <x:c r="T148" s="875"/>
      <x:c r="U148" s="875"/>
      <x:c r="V148" s="875"/>
      <x:c r="W148" s="875"/>
      <x:c r="X148" s="875"/>
      <x:c r="Y148" s="875"/>
      <x:c r="Z148" s="875"/>
      <x:c r="AA148" s="875"/>
      <x:c r="AB148" s="875"/>
      <x:c r="AC148" s="875"/>
      <x:c r="AD148" s="875"/>
      <x:c r="AE148" s="875"/>
      <x:c r="AF148" s="875"/>
      <x:c r="AG148" s="875"/>
      <x:c r="AH148" s="875"/>
      <x:c r="AI148" s="875"/>
      <x:c r="AJ148" s="875"/>
      <x:c r="AK148" s="875"/>
      <x:c r="AL148" s="875"/>
      <x:c r="AM148" s="875"/>
    </x:row>
    <x:row r="149">
      <x:c r="A149" s="875"/>
      <x:c r="B149" s="875"/>
      <x:c r="C149" s="875"/>
      <x:c r="D149" s="875"/>
      <x:c r="E149" s="875"/>
      <x:c r="F149" s="875"/>
      <x:c r="G149" s="875"/>
      <x:c r="H149" s="875"/>
      <x:c r="I149" s="875"/>
      <x:c r="J149" s="875"/>
      <x:c r="K149" s="875"/>
      <x:c r="L149" s="875"/>
      <x:c r="M149" s="875"/>
      <x:c r="N149" s="875"/>
      <x:c r="O149" s="875"/>
      <x:c r="P149" s="875"/>
      <x:c r="Q149" s="875"/>
      <x:c r="R149" s="875"/>
      <x:c r="S149" s="875"/>
      <x:c r="T149" s="875"/>
      <x:c r="U149" s="875"/>
      <x:c r="V149" s="875"/>
      <x:c r="W149" s="875"/>
      <x:c r="X149" s="875"/>
      <x:c r="Y149" s="875"/>
      <x:c r="Z149" s="875"/>
      <x:c r="AA149" s="875"/>
      <x:c r="AB149" s="875"/>
      <x:c r="AC149" s="875"/>
      <x:c r="AD149" s="875"/>
      <x:c r="AE149" s="875"/>
      <x:c r="AF149" s="875"/>
      <x:c r="AG149" s="875"/>
      <x:c r="AH149" s="875"/>
      <x:c r="AI149" s="875"/>
      <x:c r="AJ149" s="875"/>
      <x:c r="AK149" s="875"/>
      <x:c r="AL149" s="875"/>
      <x:c r="AM149" s="875"/>
    </x:row>
    <x:row r="150">
      <x:c r="A150" s="875"/>
      <x:c r="B150" s="875"/>
      <x:c r="C150" s="875"/>
      <x:c r="D150" s="875"/>
      <x:c r="E150" s="875"/>
      <x:c r="F150" s="875"/>
      <x:c r="G150" s="875"/>
      <x:c r="H150" s="875"/>
      <x:c r="I150" s="875"/>
      <x:c r="J150" s="875"/>
      <x:c r="K150" s="875"/>
      <x:c r="L150" s="875"/>
      <x:c r="M150" s="875"/>
      <x:c r="N150" s="875"/>
      <x:c r="O150" s="875"/>
      <x:c r="P150" s="875"/>
      <x:c r="Q150" s="875"/>
      <x:c r="R150" s="875"/>
      <x:c r="S150" s="875"/>
      <x:c r="T150" s="875"/>
      <x:c r="U150" s="875"/>
      <x:c r="V150" s="875"/>
      <x:c r="W150" s="875"/>
      <x:c r="X150" s="875"/>
      <x:c r="Y150" s="875"/>
      <x:c r="Z150" s="875"/>
      <x:c r="AA150" s="875"/>
      <x:c r="AB150" s="875"/>
      <x:c r="AC150" s="875"/>
      <x:c r="AD150" s="875"/>
      <x:c r="AE150" s="875"/>
      <x:c r="AF150" s="875"/>
      <x:c r="AG150" s="875"/>
      <x:c r="AH150" s="875"/>
      <x:c r="AI150" s="875"/>
      <x:c r="AJ150" s="875"/>
      <x:c r="AK150" s="875"/>
      <x:c r="AL150" s="875"/>
      <x:c r="AM150" s="875"/>
    </x:row>
    <x:row r="151">
      <x:c r="A151" s="875"/>
      <x:c r="B151" s="875"/>
      <x:c r="C151" s="875"/>
      <x:c r="D151" s="875"/>
      <x:c r="E151" s="875"/>
      <x:c r="F151" s="875"/>
      <x:c r="G151" s="875"/>
      <x:c r="H151" s="875"/>
      <x:c r="I151" s="875"/>
      <x:c r="J151" s="875"/>
      <x:c r="K151" s="875"/>
      <x:c r="L151" s="875"/>
      <x:c r="M151" s="875"/>
      <x:c r="N151" s="875"/>
      <x:c r="O151" s="875"/>
      <x:c r="P151" s="875"/>
      <x:c r="Q151" s="875"/>
      <x:c r="R151" s="875"/>
      <x:c r="S151" s="875"/>
      <x:c r="T151" s="875"/>
      <x:c r="U151" s="875"/>
      <x:c r="V151" s="875"/>
      <x:c r="W151" s="875"/>
      <x:c r="X151" s="875"/>
      <x:c r="Y151" s="875"/>
      <x:c r="Z151" s="875"/>
      <x:c r="AA151" s="875"/>
      <x:c r="AB151" s="875"/>
      <x:c r="AC151" s="875"/>
      <x:c r="AD151" s="875"/>
      <x:c r="AE151" s="875"/>
      <x:c r="AF151" s="875"/>
      <x:c r="AG151" s="875"/>
      <x:c r="AH151" s="875"/>
      <x:c r="AI151" s="875"/>
      <x:c r="AJ151" s="875"/>
      <x:c r="AK151" s="875"/>
      <x:c r="AL151" s="875"/>
      <x:c r="AM151" s="875"/>
    </x:row>
    <x:row r="152">
      <x:c r="A152" s="875"/>
      <x:c r="B152" s="875"/>
      <x:c r="C152" s="875"/>
      <x:c r="D152" s="875"/>
      <x:c r="E152" s="875"/>
      <x:c r="F152" s="875"/>
      <x:c r="G152" s="875"/>
      <x:c r="H152" s="875"/>
      <x:c r="I152" s="875"/>
      <x:c r="J152" s="875"/>
      <x:c r="K152" s="875"/>
      <x:c r="L152" s="875"/>
      <x:c r="M152" s="875"/>
      <x:c r="N152" s="875"/>
      <x:c r="O152" s="875"/>
      <x:c r="P152" s="875"/>
      <x:c r="Q152" s="875"/>
      <x:c r="R152" s="875"/>
      <x:c r="S152" s="875"/>
      <x:c r="T152" s="875"/>
      <x:c r="U152" s="875"/>
      <x:c r="V152" s="875"/>
      <x:c r="W152" s="875"/>
      <x:c r="X152" s="875"/>
      <x:c r="Y152" s="875"/>
      <x:c r="Z152" s="875"/>
      <x:c r="AA152" s="875"/>
      <x:c r="AB152" s="875"/>
      <x:c r="AC152" s="875"/>
      <x:c r="AD152" s="875"/>
      <x:c r="AE152" s="875"/>
      <x:c r="AF152" s="875"/>
      <x:c r="AG152" s="875"/>
      <x:c r="AH152" s="875"/>
      <x:c r="AI152" s="875"/>
      <x:c r="AJ152" s="875"/>
      <x:c r="AK152" s="875"/>
      <x:c r="AL152" s="875"/>
      <x:c r="AM152" s="875"/>
    </x:row>
    <x:row r="153">
      <x:c r="A153" s="875"/>
      <x:c r="B153" s="875"/>
      <x:c r="C153" s="875"/>
      <x:c r="D153" s="875"/>
      <x:c r="E153" s="875"/>
      <x:c r="F153" s="875"/>
      <x:c r="G153" s="875"/>
      <x:c r="H153" s="875"/>
      <x:c r="I153" s="875"/>
      <x:c r="J153" s="875"/>
      <x:c r="K153" s="875"/>
      <x:c r="L153" s="875"/>
      <x:c r="M153" s="875"/>
      <x:c r="N153" s="875"/>
      <x:c r="O153" s="875"/>
      <x:c r="P153" s="875"/>
      <x:c r="Q153" s="875"/>
      <x:c r="R153" s="875"/>
      <x:c r="S153" s="875"/>
      <x:c r="T153" s="875"/>
      <x:c r="U153" s="875"/>
      <x:c r="V153" s="875"/>
      <x:c r="W153" s="875"/>
      <x:c r="X153" s="875"/>
      <x:c r="Y153" s="875"/>
      <x:c r="Z153" s="875"/>
      <x:c r="AA153" s="875"/>
      <x:c r="AB153" s="875"/>
      <x:c r="AC153" s="875"/>
      <x:c r="AD153" s="875"/>
      <x:c r="AE153" s="875"/>
      <x:c r="AF153" s="875"/>
      <x:c r="AG153" s="875"/>
      <x:c r="AH153" s="875"/>
      <x:c r="AI153" s="875"/>
      <x:c r="AJ153" s="875"/>
      <x:c r="AK153" s="875"/>
      <x:c r="AL153" s="875"/>
      <x:c r="AM153" s="875"/>
    </x:row>
    <x:row r="154">
      <x:c r="A154" s="875"/>
      <x:c r="B154" s="875"/>
      <x:c r="C154" s="875"/>
      <x:c r="D154" s="875"/>
      <x:c r="E154" s="875"/>
      <x:c r="F154" s="875"/>
      <x:c r="G154" s="875"/>
      <x:c r="H154" s="875"/>
      <x:c r="I154" s="875"/>
      <x:c r="J154" s="875"/>
      <x:c r="K154" s="875"/>
      <x:c r="L154" s="875"/>
      <x:c r="M154" s="875"/>
      <x:c r="N154" s="875"/>
      <x:c r="O154" s="875"/>
      <x:c r="P154" s="875"/>
      <x:c r="Q154" s="875"/>
      <x:c r="R154" s="875"/>
      <x:c r="S154" s="875"/>
      <x:c r="T154" s="875"/>
      <x:c r="U154" s="875"/>
      <x:c r="V154" s="875"/>
      <x:c r="W154" s="875"/>
      <x:c r="X154" s="875"/>
      <x:c r="Y154" s="875"/>
      <x:c r="Z154" s="875"/>
      <x:c r="AA154" s="875"/>
      <x:c r="AB154" s="875"/>
      <x:c r="AC154" s="875"/>
      <x:c r="AD154" s="875"/>
      <x:c r="AE154" s="875"/>
      <x:c r="AF154" s="875"/>
      <x:c r="AG154" s="875"/>
      <x:c r="AH154" s="875"/>
      <x:c r="AI154" s="875"/>
      <x:c r="AJ154" s="875"/>
      <x:c r="AK154" s="875"/>
      <x:c r="AL154" s="875"/>
      <x:c r="AM154" s="875"/>
    </x:row>
    <x:row r="155">
      <x:c r="A155" s="875"/>
      <x:c r="B155" s="875"/>
      <x:c r="C155" s="875"/>
      <x:c r="D155" s="875"/>
      <x:c r="E155" s="875"/>
      <x:c r="F155" s="875"/>
      <x:c r="G155" s="875"/>
      <x:c r="H155" s="875"/>
      <x:c r="I155" s="875"/>
      <x:c r="J155" s="875"/>
      <x:c r="K155" s="875"/>
      <x:c r="L155" s="875"/>
      <x:c r="M155" s="875"/>
      <x:c r="N155" s="875"/>
      <x:c r="O155" s="875"/>
      <x:c r="P155" s="875"/>
      <x:c r="Q155" s="875"/>
      <x:c r="R155" s="875"/>
      <x:c r="S155" s="875"/>
      <x:c r="T155" s="875"/>
      <x:c r="U155" s="875"/>
      <x:c r="V155" s="875"/>
      <x:c r="W155" s="875"/>
      <x:c r="X155" s="875"/>
      <x:c r="Y155" s="875"/>
      <x:c r="Z155" s="875"/>
      <x:c r="AA155" s="875"/>
      <x:c r="AB155" s="875"/>
      <x:c r="AC155" s="875"/>
      <x:c r="AD155" s="875"/>
      <x:c r="AE155" s="875"/>
      <x:c r="AF155" s="875"/>
      <x:c r="AG155" s="875"/>
      <x:c r="AH155" s="875"/>
      <x:c r="AI155" s="875"/>
      <x:c r="AJ155" s="875"/>
      <x:c r="AK155" s="875"/>
      <x:c r="AL155" s="875"/>
      <x:c r="AM155" s="875"/>
    </x:row>
    <x:row r="156">
      <x:c r="A156" s="875"/>
      <x:c r="B156" s="875"/>
      <x:c r="C156" s="875"/>
      <x:c r="D156" s="875"/>
      <x:c r="E156" s="875"/>
      <x:c r="F156" s="875"/>
      <x:c r="G156" s="875"/>
      <x:c r="H156" s="875"/>
      <x:c r="I156" s="875"/>
      <x:c r="J156" s="875"/>
      <x:c r="K156" s="875"/>
      <x:c r="L156" s="875"/>
      <x:c r="M156" s="875"/>
      <x:c r="N156" s="875"/>
      <x:c r="O156" s="875"/>
      <x:c r="P156" s="875"/>
      <x:c r="Q156" s="875"/>
      <x:c r="R156" s="875"/>
      <x:c r="S156" s="875"/>
      <x:c r="T156" s="875"/>
      <x:c r="U156" s="875"/>
      <x:c r="V156" s="875"/>
      <x:c r="W156" s="875"/>
      <x:c r="X156" s="875"/>
      <x:c r="Y156" s="875"/>
      <x:c r="Z156" s="875"/>
      <x:c r="AA156" s="875"/>
      <x:c r="AB156" s="875"/>
      <x:c r="AC156" s="875"/>
      <x:c r="AD156" s="875"/>
      <x:c r="AE156" s="875"/>
      <x:c r="AF156" s="875"/>
      <x:c r="AG156" s="875"/>
      <x:c r="AH156" s="875"/>
      <x:c r="AI156" s="875"/>
      <x:c r="AJ156" s="875"/>
      <x:c r="AK156" s="875"/>
      <x:c r="AL156" s="875"/>
      <x:c r="AM156" s="875"/>
    </x:row>
    <x:row r="157">
      <x:c r="A157" s="875"/>
      <x:c r="B157" s="875"/>
      <x:c r="C157" s="875"/>
      <x:c r="D157" s="875"/>
      <x:c r="E157" s="875"/>
      <x:c r="F157" s="875"/>
      <x:c r="G157" s="875"/>
      <x:c r="H157" s="875"/>
      <x:c r="I157" s="875"/>
      <x:c r="J157" s="875"/>
      <x:c r="K157" s="875"/>
      <x:c r="L157" s="875"/>
      <x:c r="M157" s="875"/>
      <x:c r="N157" s="875"/>
      <x:c r="O157" s="875"/>
      <x:c r="P157" s="875"/>
      <x:c r="Q157" s="875"/>
      <x:c r="R157" s="875"/>
      <x:c r="S157" s="875"/>
      <x:c r="T157" s="875"/>
      <x:c r="U157" s="875"/>
      <x:c r="V157" s="875"/>
      <x:c r="W157" s="875"/>
      <x:c r="X157" s="875"/>
      <x:c r="Y157" s="875"/>
      <x:c r="Z157" s="875"/>
      <x:c r="AA157" s="875"/>
      <x:c r="AB157" s="875"/>
      <x:c r="AC157" s="875"/>
      <x:c r="AD157" s="875"/>
      <x:c r="AE157" s="875"/>
      <x:c r="AF157" s="875"/>
      <x:c r="AG157" s="875"/>
      <x:c r="AH157" s="875"/>
      <x:c r="AI157" s="875"/>
      <x:c r="AJ157" s="875"/>
      <x:c r="AK157" s="875"/>
      <x:c r="AL157" s="875"/>
      <x:c r="AM157" s="875"/>
    </x:row>
    <x:row r="158">
      <x:c r="A158" s="875"/>
      <x:c r="B158" s="875"/>
      <x:c r="C158" s="875"/>
      <x:c r="D158" s="875"/>
      <x:c r="E158" s="875"/>
      <x:c r="F158" s="875"/>
      <x:c r="G158" s="875"/>
      <x:c r="H158" s="875"/>
      <x:c r="I158" s="875"/>
      <x:c r="J158" s="875"/>
      <x:c r="K158" s="875"/>
      <x:c r="L158" s="875"/>
      <x:c r="M158" s="875"/>
      <x:c r="N158" s="875"/>
      <x:c r="O158" s="875"/>
      <x:c r="P158" s="875"/>
      <x:c r="Q158" s="875"/>
      <x:c r="R158" s="875"/>
      <x:c r="S158" s="875"/>
      <x:c r="T158" s="875"/>
      <x:c r="U158" s="875"/>
      <x:c r="V158" s="875"/>
      <x:c r="W158" s="875"/>
      <x:c r="X158" s="875"/>
      <x:c r="Y158" s="875"/>
      <x:c r="Z158" s="875"/>
      <x:c r="AA158" s="875"/>
      <x:c r="AB158" s="875"/>
      <x:c r="AC158" s="875"/>
      <x:c r="AD158" s="875"/>
      <x:c r="AE158" s="875"/>
      <x:c r="AF158" s="875"/>
      <x:c r="AG158" s="875"/>
      <x:c r="AH158" s="875"/>
      <x:c r="AI158" s="875"/>
      <x:c r="AJ158" s="875"/>
      <x:c r="AK158" s="875"/>
      <x:c r="AL158" s="875"/>
      <x:c r="AM158" s="875"/>
    </x:row>
    <x:row r="159">
      <x:c r="A159" s="875"/>
      <x:c r="B159" s="875"/>
      <x:c r="C159" s="875"/>
      <x:c r="D159" s="875"/>
      <x:c r="E159" s="875"/>
      <x:c r="F159" s="875"/>
      <x:c r="G159" s="875"/>
      <x:c r="H159" s="875"/>
      <x:c r="I159" s="875"/>
      <x:c r="J159" s="875"/>
      <x:c r="K159" s="875"/>
      <x:c r="L159" s="875"/>
      <x:c r="M159" s="875"/>
      <x:c r="N159" s="875"/>
      <x:c r="O159" s="875"/>
      <x:c r="P159" s="875"/>
      <x:c r="Q159" s="875"/>
      <x:c r="R159" s="875"/>
      <x:c r="S159" s="875"/>
      <x:c r="T159" s="875"/>
      <x:c r="U159" s="875"/>
      <x:c r="V159" s="875"/>
      <x:c r="W159" s="875"/>
      <x:c r="X159" s="875"/>
      <x:c r="Y159" s="875"/>
      <x:c r="Z159" s="875"/>
      <x:c r="AA159" s="875"/>
      <x:c r="AB159" s="875"/>
      <x:c r="AC159" s="875"/>
      <x:c r="AD159" s="875"/>
      <x:c r="AE159" s="875"/>
      <x:c r="AF159" s="875"/>
      <x:c r="AG159" s="875"/>
      <x:c r="AH159" s="875"/>
      <x:c r="AI159" s="875"/>
      <x:c r="AJ159" s="875"/>
      <x:c r="AK159" s="875"/>
      <x:c r="AL159" s="875"/>
      <x:c r="AM159" s="875"/>
    </x:row>
    <x:row r="160">
      <x:c r="A160" s="875"/>
      <x:c r="B160" s="875"/>
      <x:c r="C160" s="875"/>
      <x:c r="D160" s="875"/>
      <x:c r="E160" s="875"/>
      <x:c r="F160" s="875"/>
      <x:c r="G160" s="875"/>
      <x:c r="H160" s="875"/>
      <x:c r="I160" s="875"/>
      <x:c r="J160" s="875"/>
      <x:c r="K160" s="875"/>
      <x:c r="L160" s="875"/>
      <x:c r="M160" s="875"/>
      <x:c r="N160" s="875"/>
      <x:c r="O160" s="875"/>
      <x:c r="P160" s="875"/>
      <x:c r="Q160" s="875"/>
      <x:c r="R160" s="875"/>
      <x:c r="S160" s="875"/>
      <x:c r="T160" s="875"/>
      <x:c r="U160" s="875"/>
      <x:c r="V160" s="875"/>
      <x:c r="W160" s="875"/>
      <x:c r="X160" s="875"/>
      <x:c r="Y160" s="875"/>
      <x:c r="Z160" s="875"/>
      <x:c r="AA160" s="875"/>
      <x:c r="AB160" s="875"/>
      <x:c r="AC160" s="875"/>
      <x:c r="AD160" s="875"/>
      <x:c r="AE160" s="875"/>
      <x:c r="AF160" s="875"/>
      <x:c r="AG160" s="875"/>
      <x:c r="AH160" s="875"/>
      <x:c r="AI160" s="875"/>
      <x:c r="AJ160" s="875"/>
      <x:c r="AK160" s="875"/>
      <x:c r="AL160" s="875"/>
      <x:c r="AM160" s="875"/>
    </x:row>
  </x:sheetData>
  <x:mergeCells>
    <x:mergeCell ref="A1:C2"/>
    <x:mergeCell ref="D1:Q1"/>
    <x:mergeCell ref="D2:Q2"/>
    <x:mergeCell ref="A4:Q5"/>
    <x:mergeCell ref="A7:C15"/>
    <x:mergeCell ref="D7:F15"/>
    <x:mergeCell ref="G7:I15"/>
    <x:mergeCell ref="J7:L15"/>
    <x:mergeCell ref="M7:O15"/>
    <x:mergeCell ref="P7:Q15"/>
    <x:mergeCell ref="A18:H19"/>
    <x:mergeCell ref="A20:B20"/>
    <x:mergeCell ref="D20:F20"/>
    <x:mergeCell ref="G20:H20"/>
    <x:mergeCell ref="A21:B21"/>
    <x:mergeCell ref="D21:F21"/>
    <x:mergeCell ref="G21:H21"/>
    <x:mergeCell ref="A22:B22"/>
    <x:mergeCell ref="D22:F22"/>
    <x:mergeCell ref="G22:H22"/>
    <x:mergeCell ref="A23:B23"/>
    <x:mergeCell ref="D23:F23"/>
    <x:mergeCell ref="G23:H23"/>
    <x:mergeCell ref="A24:B24"/>
    <x:mergeCell ref="D24:F24"/>
    <x:mergeCell ref="G24:H24"/>
    <x:mergeCell ref="A25:B25"/>
    <x:mergeCell ref="D25:F25"/>
    <x:mergeCell ref="G25:H25"/>
    <x:mergeCell ref="A26:B26"/>
    <x:mergeCell ref="D26:F26"/>
    <x:mergeCell ref="G26:H26"/>
    <x:mergeCell ref="A27:B27"/>
    <x:mergeCell ref="D27:F27"/>
    <x:mergeCell ref="G27:H27"/>
    <x:mergeCell ref="A28:B28"/>
    <x:mergeCell ref="D28:F28"/>
    <x:mergeCell ref="G28:H28"/>
    <x:mergeCell ref="A29:B29"/>
    <x:mergeCell ref="D29:F29"/>
    <x:mergeCell ref="G29:H29"/>
    <x:mergeCell ref="J18:Q19"/>
    <x:mergeCell ref="J20:K20"/>
    <x:mergeCell ref="L20:M20"/>
    <x:mergeCell ref="N20:O20"/>
    <x:mergeCell ref="P20:Q20"/>
    <x:mergeCell ref="J21:K21"/>
    <x:mergeCell ref="L21:M21"/>
    <x:mergeCell ref="N21:O21"/>
    <x:mergeCell ref="P21:Q21"/>
    <x:mergeCell ref="J22:K22"/>
    <x:mergeCell ref="L22:M22"/>
    <x:mergeCell ref="N22:O22"/>
    <x:mergeCell ref="P22:Q22"/>
    <x:mergeCell ref="J23:K23"/>
    <x:mergeCell ref="L23:M23"/>
    <x:mergeCell ref="N23:O23"/>
    <x:mergeCell ref="P23:Q23"/>
    <x:mergeCell ref="J24:K24"/>
    <x:mergeCell ref="L24:M24"/>
    <x:mergeCell ref="N24:O24"/>
    <x:mergeCell ref="P24:Q24"/>
    <x:mergeCell ref="J25:K25"/>
    <x:mergeCell ref="L25:M25"/>
    <x:mergeCell ref="N25:O25"/>
    <x:mergeCell ref="P25:Q25"/>
    <x:mergeCell ref="J26:K26"/>
    <x:mergeCell ref="L26:M26"/>
    <x:mergeCell ref="N26:O26"/>
    <x:mergeCell ref="P26:Q26"/>
    <x:mergeCell ref="J27:K27"/>
    <x:mergeCell ref="L27:M27"/>
    <x:mergeCell ref="N27:O27"/>
    <x:mergeCell ref="P27:Q27"/>
    <x:mergeCell ref="A32:H33"/>
    <x:mergeCell ref="A34:H43"/>
    <x:mergeCell ref="J32:Q33"/>
    <x:mergeCell ref="J34:Q43"/>
    <x:mergeCell ref="A46:Q47"/>
    <x:mergeCell ref="A49:B49"/>
    <x:mergeCell ref="C49:D49"/>
    <x:mergeCell ref="F49:H49"/>
    <x:mergeCell ref="A50:B50"/>
    <x:mergeCell ref="C50:D50"/>
    <x:mergeCell ref="F50:H50"/>
    <x:mergeCell ref="A51:B51"/>
    <x:mergeCell ref="C51:D51"/>
    <x:mergeCell ref="F51:H51"/>
    <x:mergeCell ref="A52:B52"/>
    <x:mergeCell ref="C52:D52"/>
    <x:mergeCell ref="F52:H52"/>
    <x:mergeCell ref="A53:B53"/>
    <x:mergeCell ref="C53:D53"/>
    <x:mergeCell ref="F53:H53"/>
    <x:mergeCell ref="A54:B54"/>
    <x:mergeCell ref="C54:D54"/>
    <x:mergeCell ref="F54:H54"/>
    <x:mergeCell ref="A55:B55"/>
    <x:mergeCell ref="C55:D55"/>
    <x:mergeCell ref="F55:H55"/>
    <x:mergeCell ref="J49:Q55"/>
  </x:mergeCells>
  <x:conditionalFormatting sqref="C21:C29">
    <x:cfRule type="containsText" dxfId="16" priority="1" operator="containsText" text="PASS"/>
    <x:cfRule type="containsText" dxfId="17" priority="2" operator="containsText" text="FAIL"/>
    <x:cfRule type="containsText" dxfId="18" priority="3" operator="containsText" text="APROVADO"/>
    <x:cfRule type="containsText" dxfId="19" priority="4" operator="containsText" text="REPROVADO"/>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4.440000534057617" hidden="0" customWidth="1"/>
  </x:cols>
  <x:sheetData>
    <x:row r="1">
      <x:c r="A1" s="14" t="str">
        <x:v>key</x:v>
      </x:c>
      <x:c r="B1" s="15" t="str">
        <x:v>value</x:v>
      </x:c>
    </x:row>
    <x:row r="2">
      <x:c r="A2" s="6" t="str">
        <x:v>language</x:v>
      </x:c>
      <x:c r="B2" s="6" t="str">
        <x:v>en</x:v>
      </x:c>
    </x:row>
    <x:row r="3">
      <x:c r="A3" s="6" t="str">
        <x:v>status</x:v>
      </x:c>
      <x:c r="B3" s="6" t="str">
        <x:v>complete</x:v>
      </x:c>
    </x:row>
    <x:row r="4">
      <x:c r="A4" s="6" t="str">
        <x:v>mode</x:v>
      </x:c>
      <x:c r="B4" s="6" t="str">
        <x:v>experiment</x:v>
      </x:c>
    </x:row>
    <x:row r="5">
      <x:c r="A5" s="6" t="str">
        <x:v>instance</x:v>
      </x:c>
      <x:c r="B5" s="6" t="str">
        <x:v>STC_NCOS_32</x:v>
      </x:c>
    </x:row>
    <x:row r="6">
      <x:c r="A6" s="6" t="str">
        <x:v>seed</x:v>
      </x:c>
      <x:c r="B6" s="6" t="n">
        <x:v>1</x:v>
      </x:c>
    </x:row>
    <x:row r="7">
      <x:c r="A7" s="6" t="str">
        <x:v>iteration_budget</x:v>
      </x:c>
      <x:c r="B7" s="6" t="n">
        <x:v>2500</x:v>
      </x:c>
    </x:row>
    <x:row r="8">
      <x:c r="A8" s="6" t="str">
        <x:v>destroy_size</x:v>
      </x:c>
      <x:c r="B8" s="6" t="n">
        <x:v>2</x:v>
      </x:c>
    </x:row>
    <x:row r="9">
      <x:c r="A9" s="6" t="str">
        <x:v>acceptance</x:v>
      </x:c>
      <x:c r="B9" s="6" t="str">
        <x:v>current</x:v>
      </x:c>
    </x:row>
    <x:row r="10">
      <x:c r="A10" s="6" t="str">
        <x:v>permutation</x:v>
      </x:c>
      <x:c r="B10" s="7" t="b">
        <x:v>1</x:v>
      </x:c>
    </x:row>
    <x:row r="11">
      <x:c r="A11" s="6" t="str">
        <x:v>best_cost</x:v>
      </x:c>
      <x:c r="B11" s="6" t="n">
        <x:v>24048</x:v>
      </x:c>
    </x:row>
    <x:row r="12">
      <x:c r="A12" s="6" t="str">
        <x:v>reference_cost</x:v>
      </x:c>
      <x:c r="B12" s="6" t="n">
        <x:v>24068</x:v>
      </x:c>
    </x:row>
    <x:row r="13">
      <x:c r="A13" s="6" t="str">
        <x:v>gap_percent</x:v>
      </x:c>
      <x:c r="B13" s="6" t="n">
        <x:v>-0.08309788931361144</x:v>
      </x:c>
    </x:row>
    <x:row r="14">
      <x:c r="A14" s="6" t="str">
        <x:v>scheduled_jobs</x:v>
      </x:c>
      <x:c r="B14" s="6" t="n">
        <x:v>67</x:v>
      </x:c>
    </x:row>
    <x:row r="15">
      <x:c r="A15" s="6" t="str">
        <x:v>rejected_jobs</x:v>
      </x:c>
      <x:c r="B15" s="6" t="n">
        <x:v>8</x:v>
      </x:c>
    </x:row>
    <x:row r="16">
      <x:c r="A16" s="6" t="str">
        <x:v>makespan</x:v>
      </x:c>
      <x:c r="B16" s="6" t="n">
        <x:v>5583</x:v>
      </x:c>
    </x:row>
    <x:row r="17">
      <x:c r="A17" s="6" t="str">
        <x:v>setup_cost</x:v>
      </x:c>
      <x:c r="B17" s="6" t="n">
        <x:v>660</x:v>
      </x:c>
    </x:row>
    <x:row r="18">
      <x:c r="A18" s="6" t="str">
        <x:v>execution_cost</x:v>
      </x:c>
      <x:c r="B18" s="6" t="n">
        <x:v>6700</x:v>
      </x:c>
    </x:row>
    <x:row r="19">
      <x:c r="A19" s="6" t="str">
        <x:v>tardiness_cost</x:v>
      </x:c>
      <x:c r="B19" s="6" t="n">
        <x:v>2688</x:v>
      </x:c>
    </x:row>
    <x:row r="20">
      <x:c r="A20" s="6" t="str">
        <x:v>rejection_cost</x:v>
      </x:c>
      <x:c r="B20" s="6" t="n">
        <x:v>14000</x:v>
      </x:c>
    </x:row>
    <x:row r="21">
      <x:c r="A21" s="6" t="str">
        <x:v>runtime_ms</x:v>
      </x:c>
      <x:c r="B21" s="6" t="n">
        <x:v>224.93400000000003</x:v>
      </x:c>
    </x:row>
    <x:row r="22">
      <x:c r="A22" s="6" t="str">
        <x:v>evaluations</x:v>
      </x:c>
      <x:c r="B22" s="6" t="n">
        <x:v>3049134</x:v>
      </x:c>
    </x:row>
    <x:row r="23">
      <x:c r="A23" s="6" t="str">
        <x:v>evaluations_per_second</x:v>
      </x:c>
      <x:c r="B23" s="6" t="n">
        <x:v>13555683.000346767</x:v>
      </x:c>
    </x:row>
    <x:row r="24">
      <x:c r="A24" s="6" t="str">
        <x:v>run_count</x:v>
      </x:c>
      <x:c r="B24" s="6" t="n">
        <x:v>10</x:v>
      </x:c>
    </x:row>
    <x:row r="25">
      <x:c r="A25" s="6" t="str">
        <x:v>median_cost</x:v>
      </x:c>
      <x:c r="B25" s="6" t="n">
        <x:v>24051</x:v>
      </x:c>
    </x:row>
    <x:row r="26">
      <x:c r="A26" s="6" t="str">
        <x:v>q1_cost</x:v>
      </x:c>
      <x:c r="B26" s="6" t="n">
        <x:v>24048</x:v>
      </x:c>
    </x:row>
    <x:row r="27">
      <x:c r="A27" s="6" t="str">
        <x:v>q3_cost</x:v>
      </x:c>
      <x:c r="B27" s="6" t="n">
        <x:v>24159</x:v>
      </x:c>
    </x:row>
    <x:row r="28">
      <x:c r="A28" s="6" t="str">
        <x:v>sample_sd</x:v>
      </x:c>
      <x:c r="B28" s="6" t="n">
        <x:v>79.79306569704747</x:v>
      </x:c>
    </x:row>
    <x:row r="29">
      <x:c r="A29" s="6" t="str">
        <x:v>updated_at_utc</x:v>
      </x:c>
      <x:c r="B29" s="6" t="n">
        <x:v>46222.15661363426</x:v>
      </x:c>
    </x:row>
    <x:row r="30">
      <x:c r="A30" s="6" t="str">
        <x:v>engine</x:v>
      </x:c>
      <x:c r="B30" s="6" t="str">
        <x:v>Rust WebAssembly / fixed-point x10</x:v>
      </x:c>
    </x:row>
    <x:row r="31">
      <x:c r="A31" s="6"/>
      <x:c r="B31" s="6"/>
    </x:row>
    <x:row r="32">
      <x:c r="A32" s="6"/>
      <x:c r="B32" s="6"/>
    </x:row>
    <x:row r="33">
      <x:c r="A33" s="6"/>
      <x:c r="B33" s="6"/>
    </x:row>
    <x:row r="34">
      <x:c r="A34" s="6"/>
      <x:c r="B34" s="6"/>
    </x:row>
    <x:row r="35">
      <x:c r="A35" s="6"/>
      <x:c r="B35" s="6"/>
    </x:row>
    <x:row r="36">
      <x:c r="A36" s="6"/>
      <x:c r="B36" s="6"/>
    </x:row>
    <x:row r="37">
      <x:c r="A37" s="6"/>
      <x:c r="B37" s="6"/>
    </x:row>
    <x:row r="38">
      <x:c r="A38" s="6"/>
      <x:c r="B38" s="6"/>
    </x:row>
    <x:row r="39">
      <x:c r="A39" s="6"/>
      <x:c r="B39" s="6"/>
    </x:row>
    <x:row r="40">
      <x:c r="A40" s="6"/>
      <x:c r="B40" s="6"/>
    </x:row>
    <x:row r="41">
      <x:c r="A41" s="6"/>
      <x:c r="B41" s="6"/>
    </x:row>
    <x:row r="42">
      <x:c r="A42" s="6"/>
      <x:c r="B42" s="6"/>
    </x:row>
    <x:row r="43">
      <x:c r="A43" s="6"/>
      <x:c r="B43" s="6"/>
    </x:row>
    <x:row r="44">
      <x:c r="A44" s="6"/>
      <x:c r="B44" s="6"/>
    </x:row>
    <x:row r="45">
      <x:c r="A45" s="6"/>
      <x:c r="B45" s="6"/>
    </x:row>
  </x:sheetData>
  <x:pageMargins left="0.7" right="0.7" top="0.75" bottom="0.75" header="0.3" footer="0.3"/>
  <x:tableParts count="1">
    <x:tablePart xmlns:r="http://schemas.openxmlformats.org/officeDocument/2006/relationships" r:id="R5a0dbd837940461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6.110000133514404" hidden="0" customWidth="1"/>
    <x:col min="3" max="3" width="9.4399995803833" hidden="0" customWidth="1"/>
    <x:col min="4" max="4" width="8.890000343322754" hidden="0" customWidth="1"/>
    <x:col min="5" max="5" width="9.4399995803833" hidden="0" customWidth="1"/>
    <x:col min="6" max="6" width="11.109999656677246" hidden="0" customWidth="1"/>
    <x:col min="7" max="7" width="10" hidden="0" customWidth="1"/>
    <x:col min="8" max="8" width="13.890000343322754" hidden="0" customWidth="1"/>
    <x:col min="9" max="9" width="11.109999656677246" hidden="0" customWidth="1"/>
    <x:col min="10" max="10" width="11.109999656677246" hidden="0" customWidth="1"/>
    <x:col min="11" max="11" width="7.21999979019165" hidden="0" customWidth="1"/>
    <x:col min="12" max="12" width="10" hidden="0" customWidth="1"/>
    <x:col min="13" max="13" width="12.779999732971191" hidden="0" customWidth="1"/>
  </x:cols>
  <x:sheetData>
    <x:row r="1">
      <x:c r="A1" s="14" t="str">
        <x:v>run</x:v>
      </x:c>
      <x:c r="B1" s="18" t="str">
        <x:v>seed</x:v>
      </x:c>
      <x:c r="C1" s="18" t="str">
        <x:v>best_cost</x:v>
      </x:c>
      <x:c r="D1" s="18" t="str">
        <x:v>gap_percent</x:v>
      </x:c>
      <x:c r="E1" s="18" t="str">
        <x:v>iterations</x:v>
      </x:c>
      <x:c r="F1" s="18" t="str">
        <x:v>evaluations</x:v>
      </x:c>
      <x:c r="G1" s="18" t="str">
        <x:v>runtime_ms</x:v>
      </x:c>
      <x:c r="H1" s="18" t="str">
        <x:v>evaluations_per_second</x:v>
      </x:c>
      <x:c r="I1" s="18" t="str">
        <x:v>scheduled_jobs</x:v>
      </x:c>
      <x:c r="J1" s="18" t="str">
        <x:v>rejected_jobs</x:v>
      </x:c>
      <x:c r="K1" s="18" t="str">
        <x:v>is_best</x:v>
      </x:c>
      <x:c r="L1" s="18" t="str">
        <x:v>budget_match</x:v>
      </x:c>
      <x:c r="M1" s="15" t="str">
        <x:v>seed_duplicate_count</x:v>
      </x:c>
    </x:row>
    <x:row r="2">
      <x:c r="A2" s="6" t="n">
        <x:v>1</x:v>
      </x:c>
      <x:c r="B2" s="6" t="n">
        <x:v>1</x:v>
      </x:c>
      <x:c r="C2" s="19" t="n">
        <x:v>24048</x:v>
      </x:c>
      <x:c r="D2" s="20" t="n">
        <x:v>-0.08309788931361144</x:v>
      </x:c>
      <x:c r="E2" s="6" t="n">
        <x:v>2500</x:v>
      </x:c>
      <x:c r="F2" s="6" t="n">
        <x:v>3049134</x:v>
      </x:c>
      <x:c r="G2" s="21" t="n">
        <x:v>224.93400000000003</x:v>
      </x:c>
      <x:c r="H2" s="19" t="n">
        <x:v>13555683.000346767</x:v>
      </x:c>
      <x:c r="I2" s="6" t="n">
        <x:v>67</x:v>
      </x:c>
      <x:c r="J2" s="6" t="n">
        <x:v>8</x:v>
      </x:c>
      <x:c r="K2" s="7" t="b">
        <x:v>1</x:v>
      </x:c>
      <x:c r="L2" s="6" t="b">
        <x:f>IF(A2="","",E2='_CONFIG'!$B$7)</x:f>
        <x:v>1</x:v>
      </x:c>
      <x:c r="M2" s="6" t="n">
        <x:f>IF(B2="","",COUNTIF($B$2:$B$101,B2))</x:f>
        <x:v>1</x:v>
      </x:c>
    </x:row>
    <x:row r="3">
      <x:c r="A3" s="6" t="n">
        <x:v>2</x:v>
      </x:c>
      <x:c r="B3" s="6" t="n">
        <x:v>2</x:v>
      </x:c>
      <x:c r="C3" s="19" t="n">
        <x:v>24048</x:v>
      </x:c>
      <x:c r="D3" s="20" t="n">
        <x:v>-0.08309788931361144</x:v>
      </x:c>
      <x:c r="E3" s="6" t="n">
        <x:v>2500</x:v>
      </x:c>
      <x:c r="F3" s="6" t="n">
        <x:v>3045450</x:v>
      </x:c>
      <x:c r="G3" s="21" t="n">
        <x:v>217.21979199999998</x:v>
      </x:c>
      <x:c r="H3" s="19" t="n">
        <x:v>14020131.277908599</x:v>
      </x:c>
      <x:c r="I3" s="6" t="n">
        <x:v>67</x:v>
      </x:c>
      <x:c r="J3" s="6" t="n">
        <x:v>8</x:v>
      </x:c>
      <x:c r="K3" s="7" t="b">
        <x:v>0</x:v>
      </x:c>
      <x:c r="L3" s="6" t="b">
        <x:f>IF(A3="","",E3='_CONFIG'!$B$7)</x:f>
        <x:v>1</x:v>
      </x:c>
      <x:c r="M3" s="6" t="n">
        <x:f>IF(B3="","",COUNTIF($B$2:$B$101,B3))</x:f>
        <x:v>1</x:v>
      </x:c>
    </x:row>
    <x:row r="4">
      <x:c r="A4" s="6" t="n">
        <x:v>3</x:v>
      </x:c>
      <x:c r="B4" s="6" t="n">
        <x:v>3</x:v>
      </x:c>
      <x:c r="C4" s="19" t="n">
        <x:v>24048</x:v>
      </x:c>
      <x:c r="D4" s="20" t="n">
        <x:v>-0.08309788931361144</x:v>
      </x:c>
      <x:c r="E4" s="6" t="n">
        <x:v>2500</x:v>
      </x:c>
      <x:c r="F4" s="6" t="n">
        <x:v>3053386</x:v>
      </x:c>
      <x:c r="G4" s="21" t="n">
        <x:v>213.844</x:v>
      </x:c>
      <x:c r="H4" s="19" t="n">
        <x:v>14278567.553917808</x:v>
      </x:c>
      <x:c r="I4" s="6" t="n">
        <x:v>67</x:v>
      </x:c>
      <x:c r="J4" s="6" t="n">
        <x:v>8</x:v>
      </x:c>
      <x:c r="K4" s="7" t="b">
        <x:v>0</x:v>
      </x:c>
      <x:c r="L4" s="6" t="b">
        <x:f>IF(A4="","",E4='_CONFIG'!$B$7)</x:f>
        <x:v>1</x:v>
      </x:c>
      <x:c r="M4" s="6" t="n">
        <x:f>IF(B4="","",COUNTIF($B$2:$B$101,B4))</x:f>
        <x:v>1</x:v>
      </x:c>
    </x:row>
    <x:row r="5">
      <x:c r="A5" s="6" t="n">
        <x:v>4</x:v>
      </x:c>
      <x:c r="B5" s="6" t="n">
        <x:v>4</x:v>
      </x:c>
      <x:c r="C5" s="19" t="n">
        <x:v>24054</x:v>
      </x:c>
      <x:c r="D5" s="20" t="n">
        <x:v>-0.058168522519528004</x:v>
      </x:c>
      <x:c r="E5" s="6" t="n">
        <x:v>2500</x:v>
      </x:c>
      <x:c r="F5" s="6" t="n">
        <x:v>3053763</x:v>
      </x:c>
      <x:c r="G5" s="21" t="n">
        <x:v>218.50424999999996</x:v>
      </x:c>
      <x:c r="H5" s="19" t="n">
        <x:v>13975760.196884045</x:v>
      </x:c>
      <x:c r="I5" s="6" t="n">
        <x:v>67</x:v>
      </x:c>
      <x:c r="J5" s="6" t="n">
        <x:v>8</x:v>
      </x:c>
      <x:c r="K5" s="7" t="b">
        <x:v>0</x:v>
      </x:c>
      <x:c r="L5" s="6" t="b">
        <x:f>IF(A5="","",E5='_CONFIG'!$B$7)</x:f>
        <x:v>1</x:v>
      </x:c>
      <x:c r="M5" s="6" t="n">
        <x:f>IF(B5="","",COUNTIF($B$2:$B$101,B5))</x:f>
        <x:v>1</x:v>
      </x:c>
    </x:row>
    <x:row r="6">
      <x:c r="A6" s="6" t="n">
        <x:v>5</x:v>
      </x:c>
      <x:c r="B6" s="6" t="n">
        <x:v>5</x:v>
      </x:c>
      <x:c r="C6" s="19" t="n">
        <x:v>24054</x:v>
      </x:c>
      <x:c r="D6" s="20" t="n">
        <x:v>-0.058168522519528004</x:v>
      </x:c>
      <x:c r="E6" s="6" t="n">
        <x:v>2500</x:v>
      </x:c>
      <x:c r="F6" s="6" t="n">
        <x:v>3043116</x:v>
      </x:c>
      <x:c r="G6" s="21" t="n">
        <x:v>215.38270899999998</x:v>
      </x:c>
      <x:c r="H6" s="19" t="n">
        <x:v>14128877.912850471</x:v>
      </x:c>
      <x:c r="I6" s="6" t="n">
        <x:v>67</x:v>
      </x:c>
      <x:c r="J6" s="6" t="n">
        <x:v>8</x:v>
      </x:c>
      <x:c r="K6" s="7" t="b">
        <x:v>0</x:v>
      </x:c>
      <x:c r="L6" s="6" t="b">
        <x:f>IF(A6="","",E6='_CONFIG'!$B$7)</x:f>
        <x:v>1</x:v>
      </x:c>
      <x:c r="M6" s="6" t="n">
        <x:f>IF(B6="","",COUNTIF($B$2:$B$101,B6))</x:f>
        <x:v>1</x:v>
      </x:c>
    </x:row>
    <x:row r="7">
      <x:c r="A7" s="6" t="n">
        <x:v>6</x:v>
      </x:c>
      <x:c r="B7" s="6" t="n">
        <x:v>6</x:v>
      </x:c>
      <x:c r="C7" s="19" t="n">
        <x:v>24194</x:v>
      </x:c>
      <x:c r="D7" s="20" t="n">
        <x:v>0.523516702675752</x:v>
      </x:c>
      <x:c r="E7" s="6" t="n">
        <x:v>2500</x:v>
      </x:c>
      <x:c r="F7" s="6" t="n">
        <x:v>3050618</x:v>
      </x:c>
      <x:c r="G7" s="21" t="n">
        <x:v>215.02975000000015</x:v>
      </x:c>
      <x:c r="H7" s="19" t="n">
        <x:v>14186957.851181047</x:v>
      </x:c>
      <x:c r="I7" s="6" t="n">
        <x:v>67</x:v>
      </x:c>
      <x:c r="J7" s="6" t="n">
        <x:v>8</x:v>
      </x:c>
      <x:c r="K7" s="7" t="b">
        <x:v>0</x:v>
      </x:c>
      <x:c r="L7" s="6" t="b">
        <x:f>IF(A7="","",E7='_CONFIG'!$B$7)</x:f>
        <x:v>1</x:v>
      </x:c>
      <x:c r="M7" s="6" t="n">
        <x:f>IF(B7="","",COUNTIF($B$2:$B$101,B7))</x:f>
        <x:v>1</x:v>
      </x:c>
    </x:row>
    <x:row r="8">
      <x:c r="A8" s="6" t="n">
        <x:v>7</x:v>
      </x:c>
      <x:c r="B8" s="6" t="n">
        <x:v>7</x:v>
      </x:c>
      <x:c r="C8" s="19" t="n">
        <x:v>24194</x:v>
      </x:c>
      <x:c r="D8" s="20" t="n">
        <x:v>0.523516702675752</x:v>
      </x:c>
      <x:c r="E8" s="6" t="n">
        <x:v>2500</x:v>
      </x:c>
      <x:c r="F8" s="6" t="n">
        <x:v>3038705</x:v>
      </x:c>
      <x:c r="G8" s="21" t="n">
        <x:v>225.78870800000004</x:v>
      </x:c>
      <x:c r="H8" s="19" t="n">
        <x:v>13458179.67123493</x:v>
      </x:c>
      <x:c r="I8" s="6" t="n">
        <x:v>67</x:v>
      </x:c>
      <x:c r="J8" s="6" t="n">
        <x:v>8</x:v>
      </x:c>
      <x:c r="K8" s="7" t="b">
        <x:v>0</x:v>
      </x:c>
      <x:c r="L8" s="6" t="b">
        <x:f>IF(A8="","",E8='_CONFIG'!$B$7)</x:f>
        <x:v>1</x:v>
      </x:c>
      <x:c r="M8" s="6" t="n">
        <x:f>IF(B8="","",COUNTIF($B$2:$B$101,B8))</x:f>
        <x:v>1</x:v>
      </x:c>
    </x:row>
    <x:row r="9">
      <x:c r="A9" s="6" t="n">
        <x:v>8</x:v>
      </x:c>
      <x:c r="B9" s="6" t="n">
        <x:v>8</x:v>
      </x:c>
      <x:c r="C9" s="19" t="n">
        <x:v>24048</x:v>
      </x:c>
      <x:c r="D9" s="20" t="n">
        <x:v>-0.08309788931361144</x:v>
      </x:c>
      <x:c r="E9" s="6" t="n">
        <x:v>2500</x:v>
      </x:c>
      <x:c r="F9" s="6" t="n">
        <x:v>3063259</x:v>
      </x:c>
      <x:c r="G9" s="21" t="n">
        <x:v>219.62204199999996</x:v>
      </x:c>
      <x:c r="H9" s="19" t="n">
        <x:v>13947866.853910778</x:v>
      </x:c>
      <x:c r="I9" s="6" t="n">
        <x:v>67</x:v>
      </x:c>
      <x:c r="J9" s="6" t="n">
        <x:v>8</x:v>
      </x:c>
      <x:c r="K9" s="7" t="b">
        <x:v>0</x:v>
      </x:c>
      <x:c r="L9" s="6" t="b">
        <x:f>IF(A9="","",E9='_CONFIG'!$B$7)</x:f>
        <x:v>1</x:v>
      </x:c>
      <x:c r="M9" s="6" t="n">
        <x:f>IF(B9="","",COUNTIF($B$2:$B$101,B9))</x:f>
        <x:v>1</x:v>
      </x:c>
    </x:row>
    <x:row r="10">
      <x:c r="A10" s="6" t="n">
        <x:v>9</x:v>
      </x:c>
      <x:c r="B10" s="6" t="n">
        <x:v>9</x:v>
      </x:c>
      <x:c r="C10" s="19" t="n">
        <x:v>24048</x:v>
      </x:c>
      <x:c r="D10" s="20" t="n">
        <x:v>-0.08309788931361144</x:v>
      </x:c>
      <x:c r="E10" s="6" t="n">
        <x:v>2500</x:v>
      </x:c>
      <x:c r="F10" s="6" t="n">
        <x:v>3064642</x:v>
      </x:c>
      <x:c r="G10" s="21" t="n">
        <x:v>215.4392499999999</x:v>
      </x:c>
      <x:c r="H10" s="19" t="n">
        <x:v>14225086.654358486</x:v>
      </x:c>
      <x:c r="I10" s="6" t="n">
        <x:v>67</x:v>
      </x:c>
      <x:c r="J10" s="6" t="n">
        <x:v>8</x:v>
      </x:c>
      <x:c r="K10" s="7" t="b">
        <x:v>0</x:v>
      </x:c>
      <x:c r="L10" s="6" t="b">
        <x:f>IF(A10="","",E10='_CONFIG'!$B$7)</x:f>
        <x:v>1</x:v>
      </x:c>
      <x:c r="M10" s="6" t="n">
        <x:f>IF(B10="","",COUNTIF($B$2:$B$101,B10))</x:f>
        <x:v>1</x:v>
      </x:c>
    </x:row>
    <x:row r="11">
      <x:c r="A11" s="6" t="n">
        <x:v>10</x:v>
      </x:c>
      <x:c r="B11" s="6" t="n">
        <x:v>10</x:v>
      </x:c>
      <x:c r="C11" s="19" t="n">
        <x:v>24248</x:v>
      </x:c>
      <x:c r="D11" s="20" t="n">
        <x:v>0.7478810038225029</x:v>
      </x:c>
      <x:c r="E11" s="6" t="n">
        <x:v>2500</x:v>
      </x:c>
      <x:c r="F11" s="6" t="n">
        <x:v>3044851</x:v>
      </x:c>
      <x:c r="G11" s="21" t="n">
        <x:v>220.10029200000008</x:v>
      </x:c>
      <x:c r="H11" s="19" t="n">
        <x:v>13833925.308922347</x:v>
      </x:c>
      <x:c r="I11" s="6" t="n">
        <x:v>67</x:v>
      </x:c>
      <x:c r="J11" s="6" t="n">
        <x:v>8</x:v>
      </x:c>
      <x:c r="K11" s="7" t="b">
        <x:v>0</x:v>
      </x:c>
      <x:c r="L11" s="6" t="b">
        <x:f>IF(A11="","",E11='_CONFIG'!$B$7)</x:f>
        <x:v>1</x:v>
      </x:c>
      <x:c r="M11" s="6" t="n">
        <x:f>IF(B11="","",COUNTIF($B$2:$B$101,B11))</x:f>
        <x:v>1</x:v>
      </x:c>
    </x:row>
    <x:row r="12">
      <x:c r="A12" s="6"/>
      <x:c r="B12" s="6"/>
      <x:c r="C12" s="6"/>
      <x:c r="D12" s="6"/>
      <x:c r="E12" s="6"/>
      <x:c r="F12" s="6"/>
      <x:c r="G12" s="6"/>
      <x:c r="H12" s="6"/>
      <x:c r="I12" s="6"/>
      <x:c r="J12" s="6"/>
      <x:c r="K12" s="6"/>
      <x:c r="L12" s="6" t="str">
        <x:f>IF(A12="","",E12='_CONFIG'!$B$7)</x:f>
      </x:c>
      <x:c r="M12" s="6" t="str">
        <x:f>IF(B12="","",COUNTIF($B$2:$B$101,B12))</x:f>
      </x:c>
    </x:row>
    <x:row r="13">
      <x:c r="A13" s="6"/>
      <x:c r="B13" s="6"/>
      <x:c r="C13" s="6"/>
      <x:c r="D13" s="6"/>
      <x:c r="E13" s="6"/>
      <x:c r="F13" s="6"/>
      <x:c r="G13" s="6"/>
      <x:c r="H13" s="6"/>
      <x:c r="I13" s="6"/>
      <x:c r="J13" s="6"/>
      <x:c r="K13" s="6"/>
      <x:c r="L13" s="6" t="str">
        <x:f>IF(A13="","",E13='_CONFIG'!$B$7)</x:f>
      </x:c>
      <x:c r="M13" s="6" t="str">
        <x:f>IF(B13="","",COUNTIF($B$2:$B$101,B13))</x:f>
      </x:c>
    </x:row>
    <x:row r="14">
      <x:c r="A14" s="6"/>
      <x:c r="B14" s="6"/>
      <x:c r="C14" s="6"/>
      <x:c r="D14" s="6"/>
      <x:c r="E14" s="6"/>
      <x:c r="F14" s="6"/>
      <x:c r="G14" s="6"/>
      <x:c r="H14" s="6"/>
      <x:c r="I14" s="6"/>
      <x:c r="J14" s="6"/>
      <x:c r="K14" s="6"/>
      <x:c r="L14" s="6" t="str">
        <x:f>IF(A14="","",E14='_CONFIG'!$B$7)</x:f>
      </x:c>
      <x:c r="M14" s="6" t="str">
        <x:f>IF(B14="","",COUNTIF($B$2:$B$101,B14))</x:f>
      </x:c>
    </x:row>
    <x:row r="15">
      <x:c r="A15" s="6"/>
      <x:c r="B15" s="6"/>
      <x:c r="C15" s="6"/>
      <x:c r="D15" s="6"/>
      <x:c r="E15" s="6"/>
      <x:c r="F15" s="6"/>
      <x:c r="G15" s="6"/>
      <x:c r="H15" s="6"/>
      <x:c r="I15" s="6"/>
      <x:c r="J15" s="6"/>
      <x:c r="K15" s="6"/>
      <x:c r="L15" s="6" t="str">
        <x:f>IF(A15="","",E15='_CONFIG'!$B$7)</x:f>
      </x:c>
      <x:c r="M15" s="6" t="str">
        <x:f>IF(B15="","",COUNTIF($B$2:$B$101,B15))</x:f>
      </x:c>
    </x:row>
    <x:row r="16">
      <x:c r="A16" s="6"/>
      <x:c r="B16" s="6"/>
      <x:c r="C16" s="6"/>
      <x:c r="D16" s="6"/>
      <x:c r="E16" s="6"/>
      <x:c r="F16" s="6"/>
      <x:c r="G16" s="6"/>
      <x:c r="H16" s="6"/>
      <x:c r="I16" s="6"/>
      <x:c r="J16" s="6"/>
      <x:c r="K16" s="6"/>
      <x:c r="L16" s="6" t="str">
        <x:f>IF(A16="","",E16='_CONFIG'!$B$7)</x:f>
      </x:c>
      <x:c r="M16" s="6" t="str">
        <x:f>IF(B16="","",COUNTIF($B$2:$B$101,B16))</x:f>
      </x:c>
    </x:row>
    <x:row r="17">
      <x:c r="A17" s="6"/>
      <x:c r="B17" s="6"/>
      <x:c r="C17" s="6"/>
      <x:c r="D17" s="6"/>
      <x:c r="E17" s="6"/>
      <x:c r="F17" s="6"/>
      <x:c r="G17" s="6"/>
      <x:c r="H17" s="6"/>
      <x:c r="I17" s="6"/>
      <x:c r="J17" s="6"/>
      <x:c r="K17" s="6"/>
      <x:c r="L17" s="6" t="str">
        <x:f>IF(A17="","",E17='_CONFIG'!$B$7)</x:f>
      </x:c>
      <x:c r="M17" s="6" t="str">
        <x:f>IF(B17="","",COUNTIF($B$2:$B$101,B17))</x:f>
      </x:c>
    </x:row>
    <x:row r="18">
      <x:c r="A18" s="6"/>
      <x:c r="B18" s="6"/>
      <x:c r="C18" s="6"/>
      <x:c r="D18" s="6"/>
      <x:c r="E18" s="6"/>
      <x:c r="F18" s="6"/>
      <x:c r="G18" s="6"/>
      <x:c r="H18" s="6"/>
      <x:c r="I18" s="6"/>
      <x:c r="J18" s="6"/>
      <x:c r="K18" s="6"/>
      <x:c r="L18" s="6" t="str">
        <x:f>IF(A18="","",E18='_CONFIG'!$B$7)</x:f>
      </x:c>
      <x:c r="M18" s="6" t="str">
        <x:f>IF(B18="","",COUNTIF($B$2:$B$101,B18))</x:f>
      </x:c>
    </x:row>
    <x:row r="19">
      <x:c r="A19" s="6"/>
      <x:c r="B19" s="6"/>
      <x:c r="C19" s="6"/>
      <x:c r="D19" s="6"/>
      <x:c r="E19" s="6"/>
      <x:c r="F19" s="6"/>
      <x:c r="G19" s="6"/>
      <x:c r="H19" s="6"/>
      <x:c r="I19" s="6"/>
      <x:c r="J19" s="6"/>
      <x:c r="K19" s="6"/>
      <x:c r="L19" s="6" t="str">
        <x:f>IF(A19="","",E19='_CONFIG'!$B$7)</x:f>
      </x:c>
      <x:c r="M19" s="6" t="str">
        <x:f>IF(B19="","",COUNTIF($B$2:$B$101,B19))</x:f>
      </x:c>
    </x:row>
    <x:row r="20">
      <x:c r="A20" s="6"/>
      <x:c r="B20" s="6"/>
      <x:c r="C20" s="6"/>
      <x:c r="D20" s="6"/>
      <x:c r="E20" s="6"/>
      <x:c r="F20" s="6"/>
      <x:c r="G20" s="6"/>
      <x:c r="H20" s="6"/>
      <x:c r="I20" s="6"/>
      <x:c r="J20" s="6"/>
      <x:c r="K20" s="6"/>
      <x:c r="L20" s="6" t="str">
        <x:f>IF(A20="","",E20='_CONFIG'!$B$7)</x:f>
      </x:c>
      <x:c r="M20" s="6" t="str">
        <x:f>IF(B20="","",COUNTIF($B$2:$B$101,B20))</x:f>
      </x:c>
    </x:row>
    <x:row r="21">
      <x:c r="A21" s="6"/>
      <x:c r="B21" s="6"/>
      <x:c r="C21" s="6"/>
      <x:c r="D21" s="6"/>
      <x:c r="E21" s="6"/>
      <x:c r="F21" s="6"/>
      <x:c r="G21" s="6"/>
      <x:c r="H21" s="6"/>
      <x:c r="I21" s="6"/>
      <x:c r="J21" s="6"/>
      <x:c r="K21" s="6"/>
      <x:c r="L21" s="6" t="str">
        <x:f>IF(A21="","",E21='_CONFIG'!$B$7)</x:f>
      </x:c>
      <x:c r="M21" s="6" t="str">
        <x:f>IF(B21="","",COUNTIF($B$2:$B$101,B21))</x:f>
      </x:c>
    </x:row>
    <x:row r="22">
      <x:c r="A22" s="6"/>
      <x:c r="B22" s="6"/>
      <x:c r="C22" s="6"/>
      <x:c r="D22" s="6"/>
      <x:c r="E22" s="6"/>
      <x:c r="F22" s="6"/>
      <x:c r="G22" s="6"/>
      <x:c r="H22" s="6"/>
      <x:c r="I22" s="6"/>
      <x:c r="J22" s="6"/>
      <x:c r="K22" s="6"/>
      <x:c r="L22" s="6" t="str">
        <x:f>IF(A22="","",E22='_CONFIG'!$B$7)</x:f>
      </x:c>
      <x:c r="M22" s="6" t="str">
        <x:f>IF(B22="","",COUNTIF($B$2:$B$101,B22))</x:f>
      </x:c>
    </x:row>
    <x:row r="23">
      <x:c r="A23" s="6"/>
      <x:c r="B23" s="6"/>
      <x:c r="C23" s="6"/>
      <x:c r="D23" s="6"/>
      <x:c r="E23" s="6"/>
      <x:c r="F23" s="6"/>
      <x:c r="G23" s="6"/>
      <x:c r="H23" s="6"/>
      <x:c r="I23" s="6"/>
      <x:c r="J23" s="6"/>
      <x:c r="K23" s="6"/>
      <x:c r="L23" s="6" t="str">
        <x:f>IF(A23="","",E23='_CONFIG'!$B$7)</x:f>
      </x:c>
      <x:c r="M23" s="6" t="str">
        <x:f>IF(B23="","",COUNTIF($B$2:$B$101,B23))</x:f>
      </x:c>
    </x:row>
    <x:row r="24">
      <x:c r="A24" s="6"/>
      <x:c r="B24" s="6"/>
      <x:c r="C24" s="6"/>
      <x:c r="D24" s="6"/>
      <x:c r="E24" s="6"/>
      <x:c r="F24" s="6"/>
      <x:c r="G24" s="6"/>
      <x:c r="H24" s="6"/>
      <x:c r="I24" s="6"/>
      <x:c r="J24" s="6"/>
      <x:c r="K24" s="6"/>
      <x:c r="L24" s="6" t="str">
        <x:f>IF(A24="","",E24='_CONFIG'!$B$7)</x:f>
      </x:c>
      <x:c r="M24" s="6" t="str">
        <x:f>IF(B24="","",COUNTIF($B$2:$B$101,B24))</x:f>
      </x:c>
    </x:row>
    <x:row r="25">
      <x:c r="A25" s="6"/>
      <x:c r="B25" s="6"/>
      <x:c r="C25" s="6"/>
      <x:c r="D25" s="6"/>
      <x:c r="E25" s="6"/>
      <x:c r="F25" s="6"/>
      <x:c r="G25" s="6"/>
      <x:c r="H25" s="6"/>
      <x:c r="I25" s="6"/>
      <x:c r="J25" s="6"/>
      <x:c r="K25" s="6"/>
      <x:c r="L25" s="6" t="str">
        <x:f>IF(A25="","",E25='_CONFIG'!$B$7)</x:f>
      </x:c>
      <x:c r="M25" s="6" t="str">
        <x:f>IF(B25="","",COUNTIF($B$2:$B$101,B25))</x:f>
      </x:c>
    </x:row>
    <x:row r="26">
      <x:c r="A26" s="6"/>
      <x:c r="B26" s="6"/>
      <x:c r="C26" s="6"/>
      <x:c r="D26" s="6"/>
      <x:c r="E26" s="6"/>
      <x:c r="F26" s="6"/>
      <x:c r="G26" s="6"/>
      <x:c r="H26" s="6"/>
      <x:c r="I26" s="6"/>
      <x:c r="J26" s="6"/>
      <x:c r="K26" s="6"/>
      <x:c r="L26" s="6" t="str">
        <x:f>IF(A26="","",E26='_CONFIG'!$B$7)</x:f>
      </x:c>
      <x:c r="M26" s="6" t="str">
        <x:f>IF(B26="","",COUNTIF($B$2:$B$101,B26))</x:f>
      </x:c>
    </x:row>
    <x:row r="27">
      <x:c r="A27" s="6"/>
      <x:c r="B27" s="6"/>
      <x:c r="C27" s="6"/>
      <x:c r="D27" s="6"/>
      <x:c r="E27" s="6"/>
      <x:c r="F27" s="6"/>
      <x:c r="G27" s="6"/>
      <x:c r="H27" s="6"/>
      <x:c r="I27" s="6"/>
      <x:c r="J27" s="6"/>
      <x:c r="K27" s="6"/>
      <x:c r="L27" s="6" t="str">
        <x:f>IF(A27="","",E27='_CONFIG'!$B$7)</x:f>
      </x:c>
      <x:c r="M27" s="6" t="str">
        <x:f>IF(B27="","",COUNTIF($B$2:$B$101,B27))</x:f>
      </x:c>
    </x:row>
    <x:row r="28">
      <x:c r="A28" s="6"/>
      <x:c r="B28" s="6"/>
      <x:c r="C28" s="6"/>
      <x:c r="D28" s="6"/>
      <x:c r="E28" s="6"/>
      <x:c r="F28" s="6"/>
      <x:c r="G28" s="6"/>
      <x:c r="H28" s="6"/>
      <x:c r="I28" s="6"/>
      <x:c r="J28" s="6"/>
      <x:c r="K28" s="6"/>
      <x:c r="L28" s="6" t="str">
        <x:f>IF(A28="","",E28='_CONFIG'!$B$7)</x:f>
      </x:c>
      <x:c r="M28" s="6" t="str">
        <x:f>IF(B28="","",COUNTIF($B$2:$B$101,B28))</x:f>
      </x:c>
    </x:row>
    <x:row r="29">
      <x:c r="A29" s="6"/>
      <x:c r="B29" s="6"/>
      <x:c r="C29" s="6"/>
      <x:c r="D29" s="6"/>
      <x:c r="E29" s="6"/>
      <x:c r="F29" s="6"/>
      <x:c r="G29" s="6"/>
      <x:c r="H29" s="6"/>
      <x:c r="I29" s="6"/>
      <x:c r="J29" s="6"/>
      <x:c r="K29" s="6"/>
      <x:c r="L29" s="6" t="str">
        <x:f>IF(A29="","",E29='_CONFIG'!$B$7)</x:f>
      </x:c>
      <x:c r="M29" s="6" t="str">
        <x:f>IF(B29="","",COUNTIF($B$2:$B$101,B29))</x:f>
      </x:c>
    </x:row>
    <x:row r="30">
      <x:c r="A30" s="6"/>
      <x:c r="B30" s="6"/>
      <x:c r="C30" s="6"/>
      <x:c r="D30" s="6"/>
      <x:c r="E30" s="6"/>
      <x:c r="F30" s="6"/>
      <x:c r="G30" s="6"/>
      <x:c r="H30" s="6"/>
      <x:c r="I30" s="6"/>
      <x:c r="J30" s="6"/>
      <x:c r="K30" s="6"/>
      <x:c r="L30" s="6" t="str">
        <x:f>IF(A30="","",E30='_CONFIG'!$B$7)</x:f>
      </x:c>
      <x:c r="M30" s="6" t="str">
        <x:f>IF(B30="","",COUNTIF($B$2:$B$101,B30))</x:f>
      </x:c>
    </x:row>
    <x:row r="31">
      <x:c r="A31" s="6"/>
      <x:c r="B31" s="6"/>
      <x:c r="C31" s="6"/>
      <x:c r="D31" s="6"/>
      <x:c r="E31" s="6"/>
      <x:c r="F31" s="6"/>
      <x:c r="G31" s="6"/>
      <x:c r="H31" s="6"/>
      <x:c r="I31" s="6"/>
      <x:c r="J31" s="6"/>
      <x:c r="K31" s="6"/>
      <x:c r="L31" s="6" t="str">
        <x:f>IF(A31="","",E31='_CONFIG'!$B$7)</x:f>
      </x:c>
      <x:c r="M31" s="6" t="str">
        <x:f>IF(B31="","",COUNTIF($B$2:$B$101,B31))</x:f>
      </x:c>
    </x:row>
    <x:row r="32">
      <x:c r="A32" s="6"/>
      <x:c r="B32" s="6"/>
      <x:c r="C32" s="6"/>
      <x:c r="D32" s="6"/>
      <x:c r="E32" s="6"/>
      <x:c r="F32" s="6"/>
      <x:c r="G32" s="6"/>
      <x:c r="H32" s="6"/>
      <x:c r="I32" s="6"/>
      <x:c r="J32" s="6"/>
      <x:c r="K32" s="6"/>
      <x:c r="L32" s="6" t="str">
        <x:f>IF(A32="","",E32='_CONFIG'!$B$7)</x:f>
      </x:c>
      <x:c r="M32" s="6" t="str">
        <x:f>IF(B32="","",COUNTIF($B$2:$B$101,B32))</x:f>
      </x:c>
    </x:row>
    <x:row r="33">
      <x:c r="A33" s="6"/>
      <x:c r="B33" s="6"/>
      <x:c r="C33" s="6"/>
      <x:c r="D33" s="6"/>
      <x:c r="E33" s="6"/>
      <x:c r="F33" s="6"/>
      <x:c r="G33" s="6"/>
      <x:c r="H33" s="6"/>
      <x:c r="I33" s="6"/>
      <x:c r="J33" s="6"/>
      <x:c r="K33" s="6"/>
      <x:c r="L33" s="6" t="str">
        <x:f>IF(A33="","",E33='_CONFIG'!$B$7)</x:f>
      </x:c>
      <x:c r="M33" s="6" t="str">
        <x:f>IF(B33="","",COUNTIF($B$2:$B$101,B33))</x:f>
      </x:c>
    </x:row>
    <x:row r="34">
      <x:c r="A34" s="6"/>
      <x:c r="B34" s="6"/>
      <x:c r="C34" s="6"/>
      <x:c r="D34" s="6"/>
      <x:c r="E34" s="6"/>
      <x:c r="F34" s="6"/>
      <x:c r="G34" s="6"/>
      <x:c r="H34" s="6"/>
      <x:c r="I34" s="6"/>
      <x:c r="J34" s="6"/>
      <x:c r="K34" s="6"/>
      <x:c r="L34" s="6" t="str">
        <x:f>IF(A34="","",E34='_CONFIG'!$B$7)</x:f>
      </x:c>
      <x:c r="M34" s="6" t="str">
        <x:f>IF(B34="","",COUNTIF($B$2:$B$101,B34))</x:f>
      </x:c>
    </x:row>
    <x:row r="35">
      <x:c r="A35" s="6"/>
      <x:c r="B35" s="6"/>
      <x:c r="C35" s="6"/>
      <x:c r="D35" s="6"/>
      <x:c r="E35" s="6"/>
      <x:c r="F35" s="6"/>
      <x:c r="G35" s="6"/>
      <x:c r="H35" s="6"/>
      <x:c r="I35" s="6"/>
      <x:c r="J35" s="6"/>
      <x:c r="K35" s="6"/>
      <x:c r="L35" s="6" t="str">
        <x:f>IF(A35="","",E35='_CONFIG'!$B$7)</x:f>
      </x:c>
      <x:c r="M35" s="6" t="str">
        <x:f>IF(B35="","",COUNTIF($B$2:$B$101,B35))</x:f>
      </x:c>
    </x:row>
    <x:row r="36">
      <x:c r="A36" s="6"/>
      <x:c r="B36" s="6"/>
      <x:c r="C36" s="6"/>
      <x:c r="D36" s="6"/>
      <x:c r="E36" s="6"/>
      <x:c r="F36" s="6"/>
      <x:c r="G36" s="6"/>
      <x:c r="H36" s="6"/>
      <x:c r="I36" s="6"/>
      <x:c r="J36" s="6"/>
      <x:c r="K36" s="6"/>
      <x:c r="L36" s="6" t="str">
        <x:f>IF(A36="","",E36='_CONFIG'!$B$7)</x:f>
      </x:c>
      <x:c r="M36" s="6" t="str">
        <x:f>IF(B36="","",COUNTIF($B$2:$B$101,B36))</x:f>
      </x:c>
    </x:row>
    <x:row r="37">
      <x:c r="A37" s="6"/>
      <x:c r="B37" s="6"/>
      <x:c r="C37" s="6"/>
      <x:c r="D37" s="6"/>
      <x:c r="E37" s="6"/>
      <x:c r="F37" s="6"/>
      <x:c r="G37" s="6"/>
      <x:c r="H37" s="6"/>
      <x:c r="I37" s="6"/>
      <x:c r="J37" s="6"/>
      <x:c r="K37" s="6"/>
      <x:c r="L37" s="6" t="str">
        <x:f>IF(A37="","",E37='_CONFIG'!$B$7)</x:f>
      </x:c>
      <x:c r="M37" s="6" t="str">
        <x:f>IF(B37="","",COUNTIF($B$2:$B$101,B37))</x:f>
      </x:c>
    </x:row>
    <x:row r="38">
      <x:c r="A38" s="6"/>
      <x:c r="B38" s="6"/>
      <x:c r="C38" s="6"/>
      <x:c r="D38" s="6"/>
      <x:c r="E38" s="6"/>
      <x:c r="F38" s="6"/>
      <x:c r="G38" s="6"/>
      <x:c r="H38" s="6"/>
      <x:c r="I38" s="6"/>
      <x:c r="J38" s="6"/>
      <x:c r="K38" s="6"/>
      <x:c r="L38" s="6" t="str">
        <x:f>IF(A38="","",E38='_CONFIG'!$B$7)</x:f>
      </x:c>
      <x:c r="M38" s="6" t="str">
        <x:f>IF(B38="","",COUNTIF($B$2:$B$101,B38))</x:f>
      </x:c>
    </x:row>
    <x:row r="39">
      <x:c r="A39" s="6"/>
      <x:c r="B39" s="6"/>
      <x:c r="C39" s="6"/>
      <x:c r="D39" s="6"/>
      <x:c r="E39" s="6"/>
      <x:c r="F39" s="6"/>
      <x:c r="G39" s="6"/>
      <x:c r="H39" s="6"/>
      <x:c r="I39" s="6"/>
      <x:c r="J39" s="6"/>
      <x:c r="K39" s="6"/>
      <x:c r="L39" s="6" t="str">
        <x:f>IF(A39="","",E39='_CONFIG'!$B$7)</x:f>
      </x:c>
      <x:c r="M39" s="6" t="str">
        <x:f>IF(B39="","",COUNTIF($B$2:$B$101,B39))</x:f>
      </x:c>
    </x:row>
    <x:row r="40">
      <x:c r="A40" s="6"/>
      <x:c r="B40" s="6"/>
      <x:c r="C40" s="6"/>
      <x:c r="D40" s="6"/>
      <x:c r="E40" s="6"/>
      <x:c r="F40" s="6"/>
      <x:c r="G40" s="6"/>
      <x:c r="H40" s="6"/>
      <x:c r="I40" s="6"/>
      <x:c r="J40" s="6"/>
      <x:c r="K40" s="6"/>
      <x:c r="L40" s="6" t="str">
        <x:f>IF(A40="","",E40='_CONFIG'!$B$7)</x:f>
      </x:c>
      <x:c r="M40" s="6" t="str">
        <x:f>IF(B40="","",COUNTIF($B$2:$B$101,B40))</x:f>
      </x:c>
    </x:row>
    <x:row r="41">
      <x:c r="A41" s="6"/>
      <x:c r="B41" s="6"/>
      <x:c r="C41" s="6"/>
      <x:c r="D41" s="6"/>
      <x:c r="E41" s="6"/>
      <x:c r="F41" s="6"/>
      <x:c r="G41" s="6"/>
      <x:c r="H41" s="6"/>
      <x:c r="I41" s="6"/>
      <x:c r="J41" s="6"/>
      <x:c r="K41" s="6"/>
      <x:c r="L41" s="6" t="str">
        <x:f>IF(A41="","",E41='_CONFIG'!$B$7)</x:f>
      </x:c>
      <x:c r="M41" s="6" t="str">
        <x:f>IF(B41="","",COUNTIF($B$2:$B$101,B41))</x:f>
      </x:c>
    </x:row>
    <x:row r="42">
      <x:c r="A42" s="6"/>
      <x:c r="B42" s="6"/>
      <x:c r="C42" s="6"/>
      <x:c r="D42" s="6"/>
      <x:c r="E42" s="6"/>
      <x:c r="F42" s="6"/>
      <x:c r="G42" s="6"/>
      <x:c r="H42" s="6"/>
      <x:c r="I42" s="6"/>
      <x:c r="J42" s="6"/>
      <x:c r="K42" s="6"/>
      <x:c r="L42" s="6" t="str">
        <x:f>IF(A42="","",E42='_CONFIG'!$B$7)</x:f>
      </x:c>
      <x:c r="M42" s="6" t="str">
        <x:f>IF(B42="","",COUNTIF($B$2:$B$101,B42))</x:f>
      </x:c>
    </x:row>
    <x:row r="43">
      <x:c r="A43" s="6"/>
      <x:c r="B43" s="6"/>
      <x:c r="C43" s="6"/>
      <x:c r="D43" s="6"/>
      <x:c r="E43" s="6"/>
      <x:c r="F43" s="6"/>
      <x:c r="G43" s="6"/>
      <x:c r="H43" s="6"/>
      <x:c r="I43" s="6"/>
      <x:c r="J43" s="6"/>
      <x:c r="K43" s="6"/>
      <x:c r="L43" s="6" t="str">
        <x:f>IF(A43="","",E43='_CONFIG'!$B$7)</x:f>
      </x:c>
      <x:c r="M43" s="6" t="str">
        <x:f>IF(B43="","",COUNTIF($B$2:$B$101,B43))</x:f>
      </x:c>
    </x:row>
    <x:row r="44">
      <x:c r="A44" s="6"/>
      <x:c r="B44" s="6"/>
      <x:c r="C44" s="6"/>
      <x:c r="D44" s="6"/>
      <x:c r="E44" s="6"/>
      <x:c r="F44" s="6"/>
      <x:c r="G44" s="6"/>
      <x:c r="H44" s="6"/>
      <x:c r="I44" s="6"/>
      <x:c r="J44" s="6"/>
      <x:c r="K44" s="6"/>
      <x:c r="L44" s="6" t="str">
        <x:f>IF(A44="","",E44='_CONFIG'!$B$7)</x:f>
      </x:c>
      <x:c r="M44" s="6" t="str">
        <x:f>IF(B44="","",COUNTIF($B$2:$B$101,B44))</x:f>
      </x:c>
    </x:row>
    <x:row r="45">
      <x:c r="A45" s="6"/>
      <x:c r="B45" s="6"/>
      <x:c r="C45" s="6"/>
      <x:c r="D45" s="6"/>
      <x:c r="E45" s="6"/>
      <x:c r="F45" s="6"/>
      <x:c r="G45" s="6"/>
      <x:c r="H45" s="6"/>
      <x:c r="I45" s="6"/>
      <x:c r="J45" s="6"/>
      <x:c r="K45" s="6"/>
      <x:c r="L45" s="6" t="str">
        <x:f>IF(A45="","",E45='_CONFIG'!$B$7)</x:f>
      </x:c>
      <x:c r="M45" s="6" t="str">
        <x:f>IF(B45="","",COUNTIF($B$2:$B$101,B45))</x:f>
      </x:c>
    </x:row>
    <x:row r="46">
      <x:c r="A46" s="6"/>
      <x:c r="B46" s="6"/>
      <x:c r="C46" s="6"/>
      <x:c r="D46" s="6"/>
      <x:c r="E46" s="6"/>
      <x:c r="F46" s="6"/>
      <x:c r="G46" s="6"/>
      <x:c r="H46" s="6"/>
      <x:c r="I46" s="6"/>
      <x:c r="J46" s="6"/>
      <x:c r="K46" s="6"/>
      <x:c r="L46" s="6" t="str">
        <x:f>IF(A46="","",E46='_CONFIG'!$B$7)</x:f>
      </x:c>
      <x:c r="M46" s="6" t="str">
        <x:f>IF(B46="","",COUNTIF($B$2:$B$101,B46))</x:f>
      </x:c>
    </x:row>
    <x:row r="47">
      <x:c r="A47" s="6"/>
      <x:c r="B47" s="6"/>
      <x:c r="C47" s="6"/>
      <x:c r="D47" s="6"/>
      <x:c r="E47" s="6"/>
      <x:c r="F47" s="6"/>
      <x:c r="G47" s="6"/>
      <x:c r="H47" s="6"/>
      <x:c r="I47" s="6"/>
      <x:c r="J47" s="6"/>
      <x:c r="K47" s="6"/>
      <x:c r="L47" s="6" t="str">
        <x:f>IF(A47="","",E47='_CONFIG'!$B$7)</x:f>
      </x:c>
      <x:c r="M47" s="6" t="str">
        <x:f>IF(B47="","",COUNTIF($B$2:$B$101,B47))</x:f>
      </x:c>
    </x:row>
    <x:row r="48">
      <x:c r="A48" s="6"/>
      <x:c r="B48" s="6"/>
      <x:c r="C48" s="6"/>
      <x:c r="D48" s="6"/>
      <x:c r="E48" s="6"/>
      <x:c r="F48" s="6"/>
      <x:c r="G48" s="6"/>
      <x:c r="H48" s="6"/>
      <x:c r="I48" s="6"/>
      <x:c r="J48" s="6"/>
      <x:c r="K48" s="6"/>
      <x:c r="L48" s="6" t="str">
        <x:f>IF(A48="","",E48='_CONFIG'!$B$7)</x:f>
      </x:c>
      <x:c r="M48" s="6" t="str">
        <x:f>IF(B48="","",COUNTIF($B$2:$B$101,B48))</x:f>
      </x:c>
    </x:row>
    <x:row r="49">
      <x:c r="A49" s="6"/>
      <x:c r="B49" s="6"/>
      <x:c r="C49" s="6"/>
      <x:c r="D49" s="6"/>
      <x:c r="E49" s="6"/>
      <x:c r="F49" s="6"/>
      <x:c r="G49" s="6"/>
      <x:c r="H49" s="6"/>
      <x:c r="I49" s="6"/>
      <x:c r="J49" s="6"/>
      <x:c r="K49" s="6"/>
      <x:c r="L49" s="6" t="str">
        <x:f>IF(A49="","",E49='_CONFIG'!$B$7)</x:f>
      </x:c>
      <x:c r="M49" s="6" t="str">
        <x:f>IF(B49="","",COUNTIF($B$2:$B$101,B49))</x:f>
      </x:c>
    </x:row>
    <x:row r="50">
      <x:c r="A50" s="6"/>
      <x:c r="B50" s="6"/>
      <x:c r="C50" s="6"/>
      <x:c r="D50" s="6"/>
      <x:c r="E50" s="6"/>
      <x:c r="F50" s="6"/>
      <x:c r="G50" s="6"/>
      <x:c r="H50" s="6"/>
      <x:c r="I50" s="6"/>
      <x:c r="J50" s="6"/>
      <x:c r="K50" s="6"/>
      <x:c r="L50" s="6" t="str">
        <x:f>IF(A50="","",E50='_CONFIG'!$B$7)</x:f>
      </x:c>
      <x:c r="M50" s="6" t="str">
        <x:f>IF(B50="","",COUNTIF($B$2:$B$101,B50))</x:f>
      </x:c>
    </x:row>
    <x:row r="51">
      <x:c r="A51" s="6"/>
      <x:c r="B51" s="6"/>
      <x:c r="C51" s="6"/>
      <x:c r="D51" s="6"/>
      <x:c r="E51" s="6"/>
      <x:c r="F51" s="6"/>
      <x:c r="G51" s="6"/>
      <x:c r="H51" s="6"/>
      <x:c r="I51" s="6"/>
      <x:c r="J51" s="6"/>
      <x:c r="K51" s="6"/>
      <x:c r="L51" s="6" t="str">
        <x:f>IF(A51="","",E51='_CONFIG'!$B$7)</x:f>
      </x:c>
      <x:c r="M51" s="6" t="str">
        <x:f>IF(B51="","",COUNTIF($B$2:$B$101,B51))</x:f>
      </x:c>
    </x:row>
    <x:row r="52">
      <x:c r="A52" s="6"/>
      <x:c r="B52" s="6"/>
      <x:c r="C52" s="6"/>
      <x:c r="D52" s="6"/>
      <x:c r="E52" s="6"/>
      <x:c r="F52" s="6"/>
      <x:c r="G52" s="6"/>
      <x:c r="H52" s="6"/>
      <x:c r="I52" s="6"/>
      <x:c r="J52" s="6"/>
      <x:c r="K52" s="6"/>
      <x:c r="L52" s="6" t="str">
        <x:f>IF(A52="","",E52='_CONFIG'!$B$7)</x:f>
      </x:c>
      <x:c r="M52" s="6" t="str">
        <x:f>IF(B52="","",COUNTIF($B$2:$B$101,B52))</x:f>
      </x:c>
    </x:row>
    <x:row r="53">
      <x:c r="A53" s="6"/>
      <x:c r="B53" s="6"/>
      <x:c r="C53" s="6"/>
      <x:c r="D53" s="6"/>
      <x:c r="E53" s="6"/>
      <x:c r="F53" s="6"/>
      <x:c r="G53" s="6"/>
      <x:c r="H53" s="6"/>
      <x:c r="I53" s="6"/>
      <x:c r="J53" s="6"/>
      <x:c r="K53" s="6"/>
      <x:c r="L53" s="6" t="str">
        <x:f>IF(A53="","",E53='_CONFIG'!$B$7)</x:f>
      </x:c>
      <x:c r="M53" s="6" t="str">
        <x:f>IF(B53="","",COUNTIF($B$2:$B$101,B53))</x:f>
      </x:c>
    </x:row>
    <x:row r="54">
      <x:c r="A54" s="6"/>
      <x:c r="B54" s="6"/>
      <x:c r="C54" s="6"/>
      <x:c r="D54" s="6"/>
      <x:c r="E54" s="6"/>
      <x:c r="F54" s="6"/>
      <x:c r="G54" s="6"/>
      <x:c r="H54" s="6"/>
      <x:c r="I54" s="6"/>
      <x:c r="J54" s="6"/>
      <x:c r="K54" s="6"/>
      <x:c r="L54" s="6" t="str">
        <x:f>IF(A54="","",E54='_CONFIG'!$B$7)</x:f>
      </x:c>
      <x:c r="M54" s="6" t="str">
        <x:f>IF(B54="","",COUNTIF($B$2:$B$101,B54))</x:f>
      </x:c>
    </x:row>
    <x:row r="55">
      <x:c r="A55" s="6"/>
      <x:c r="B55" s="6"/>
      <x:c r="C55" s="6"/>
      <x:c r="D55" s="6"/>
      <x:c r="E55" s="6"/>
      <x:c r="F55" s="6"/>
      <x:c r="G55" s="6"/>
      <x:c r="H55" s="6"/>
      <x:c r="I55" s="6"/>
      <x:c r="J55" s="6"/>
      <x:c r="K55" s="6"/>
      <x:c r="L55" s="6" t="str">
        <x:f>IF(A55="","",E55='_CONFIG'!$B$7)</x:f>
      </x:c>
      <x:c r="M55" s="6" t="str">
        <x:f>IF(B55="","",COUNTIF($B$2:$B$101,B55))</x:f>
      </x:c>
    </x:row>
    <x:row r="56">
      <x:c r="A56" s="6"/>
      <x:c r="B56" s="6"/>
      <x:c r="C56" s="6"/>
      <x:c r="D56" s="6"/>
      <x:c r="E56" s="6"/>
      <x:c r="F56" s="6"/>
      <x:c r="G56" s="6"/>
      <x:c r="H56" s="6"/>
      <x:c r="I56" s="6"/>
      <x:c r="J56" s="6"/>
      <x:c r="K56" s="6"/>
      <x:c r="L56" s="6" t="str">
        <x:f>IF(A56="","",E56='_CONFIG'!$B$7)</x:f>
      </x:c>
      <x:c r="M56" s="6" t="str">
        <x:f>IF(B56="","",COUNTIF($B$2:$B$101,B56))</x:f>
      </x:c>
    </x:row>
    <x:row r="57">
      <x:c r="A57" s="6"/>
      <x:c r="B57" s="6"/>
      <x:c r="C57" s="6"/>
      <x:c r="D57" s="6"/>
      <x:c r="E57" s="6"/>
      <x:c r="F57" s="6"/>
      <x:c r="G57" s="6"/>
      <x:c r="H57" s="6"/>
      <x:c r="I57" s="6"/>
      <x:c r="J57" s="6"/>
      <x:c r="K57" s="6"/>
      <x:c r="L57" s="6" t="str">
        <x:f>IF(A57="","",E57='_CONFIG'!$B$7)</x:f>
      </x:c>
      <x:c r="M57" s="6" t="str">
        <x:f>IF(B57="","",COUNTIF($B$2:$B$101,B57))</x:f>
      </x:c>
    </x:row>
    <x:row r="58">
      <x:c r="A58" s="6"/>
      <x:c r="B58" s="6"/>
      <x:c r="C58" s="6"/>
      <x:c r="D58" s="6"/>
      <x:c r="E58" s="6"/>
      <x:c r="F58" s="6"/>
      <x:c r="G58" s="6"/>
      <x:c r="H58" s="6"/>
      <x:c r="I58" s="6"/>
      <x:c r="J58" s="6"/>
      <x:c r="K58" s="6"/>
      <x:c r="L58" s="6" t="str">
        <x:f>IF(A58="","",E58='_CONFIG'!$B$7)</x:f>
      </x:c>
      <x:c r="M58" s="6" t="str">
        <x:f>IF(B58="","",COUNTIF($B$2:$B$101,B58))</x:f>
      </x:c>
    </x:row>
    <x:row r="59">
      <x:c r="A59" s="6"/>
      <x:c r="B59" s="6"/>
      <x:c r="C59" s="6"/>
      <x:c r="D59" s="6"/>
      <x:c r="E59" s="6"/>
      <x:c r="F59" s="6"/>
      <x:c r="G59" s="6"/>
      <x:c r="H59" s="6"/>
      <x:c r="I59" s="6"/>
      <x:c r="J59" s="6"/>
      <x:c r="K59" s="6"/>
      <x:c r="L59" s="6" t="str">
        <x:f>IF(A59="","",E59='_CONFIG'!$B$7)</x:f>
      </x:c>
      <x:c r="M59" s="6" t="str">
        <x:f>IF(B59="","",COUNTIF($B$2:$B$101,B59))</x:f>
      </x:c>
    </x:row>
    <x:row r="60">
      <x:c r="A60" s="6"/>
      <x:c r="B60" s="6"/>
      <x:c r="C60" s="6"/>
      <x:c r="D60" s="6"/>
      <x:c r="E60" s="6"/>
      <x:c r="F60" s="6"/>
      <x:c r="G60" s="6"/>
      <x:c r="H60" s="6"/>
      <x:c r="I60" s="6"/>
      <x:c r="J60" s="6"/>
      <x:c r="K60" s="6"/>
      <x:c r="L60" s="6" t="str">
        <x:f>IF(A60="","",E60='_CONFIG'!$B$7)</x:f>
      </x:c>
      <x:c r="M60" s="6" t="str">
        <x:f>IF(B60="","",COUNTIF($B$2:$B$101,B60))</x:f>
      </x:c>
    </x:row>
    <x:row r="61">
      <x:c r="A61" s="6"/>
      <x:c r="B61" s="6"/>
      <x:c r="C61" s="6"/>
      <x:c r="D61" s="6"/>
      <x:c r="E61" s="6"/>
      <x:c r="F61" s="6"/>
      <x:c r="G61" s="6"/>
      <x:c r="H61" s="6"/>
      <x:c r="I61" s="6"/>
      <x:c r="J61" s="6"/>
      <x:c r="K61" s="6"/>
      <x:c r="L61" s="6" t="str">
        <x:f>IF(A61="","",E61='_CONFIG'!$B$7)</x:f>
      </x:c>
      <x:c r="M61" s="6" t="str">
        <x:f>IF(B61="","",COUNTIF($B$2:$B$101,B61))</x:f>
      </x:c>
    </x:row>
    <x:row r="62">
      <x:c r="A62" s="6"/>
      <x:c r="B62" s="6"/>
      <x:c r="C62" s="6"/>
      <x:c r="D62" s="6"/>
      <x:c r="E62" s="6"/>
      <x:c r="F62" s="6"/>
      <x:c r="G62" s="6"/>
      <x:c r="H62" s="6"/>
      <x:c r="I62" s="6"/>
      <x:c r="J62" s="6"/>
      <x:c r="K62" s="6"/>
      <x:c r="L62" s="6" t="str">
        <x:f>IF(A62="","",E62='_CONFIG'!$B$7)</x:f>
      </x:c>
      <x:c r="M62" s="6" t="str">
        <x:f>IF(B62="","",COUNTIF($B$2:$B$101,B62))</x:f>
      </x:c>
    </x:row>
    <x:row r="63">
      <x:c r="A63" s="6"/>
      <x:c r="B63" s="6"/>
      <x:c r="C63" s="6"/>
      <x:c r="D63" s="6"/>
      <x:c r="E63" s="6"/>
      <x:c r="F63" s="6"/>
      <x:c r="G63" s="6"/>
      <x:c r="H63" s="6"/>
      <x:c r="I63" s="6"/>
      <x:c r="J63" s="6"/>
      <x:c r="K63" s="6"/>
      <x:c r="L63" s="6" t="str">
        <x:f>IF(A63="","",E63='_CONFIG'!$B$7)</x:f>
      </x:c>
      <x:c r="M63" s="6" t="str">
        <x:f>IF(B63="","",COUNTIF($B$2:$B$101,B63))</x:f>
      </x:c>
    </x:row>
    <x:row r="64">
      <x:c r="A64" s="6"/>
      <x:c r="B64" s="6"/>
      <x:c r="C64" s="6"/>
      <x:c r="D64" s="6"/>
      <x:c r="E64" s="6"/>
      <x:c r="F64" s="6"/>
      <x:c r="G64" s="6"/>
      <x:c r="H64" s="6"/>
      <x:c r="I64" s="6"/>
      <x:c r="J64" s="6"/>
      <x:c r="K64" s="6"/>
      <x:c r="L64" s="6" t="str">
        <x:f>IF(A64="","",E64='_CONFIG'!$B$7)</x:f>
      </x:c>
      <x:c r="M64" s="6" t="str">
        <x:f>IF(B64="","",COUNTIF($B$2:$B$101,B64))</x:f>
      </x:c>
    </x:row>
    <x:row r="65">
      <x:c r="A65" s="6"/>
      <x:c r="B65" s="6"/>
      <x:c r="C65" s="6"/>
      <x:c r="D65" s="6"/>
      <x:c r="E65" s="6"/>
      <x:c r="F65" s="6"/>
      <x:c r="G65" s="6"/>
      <x:c r="H65" s="6"/>
      <x:c r="I65" s="6"/>
      <x:c r="J65" s="6"/>
      <x:c r="K65" s="6"/>
      <x:c r="L65" s="6" t="str">
        <x:f>IF(A65="","",E65='_CONFIG'!$B$7)</x:f>
      </x:c>
      <x:c r="M65" s="6" t="str">
        <x:f>IF(B65="","",COUNTIF($B$2:$B$101,B65))</x:f>
      </x:c>
    </x:row>
    <x:row r="66">
      <x:c r="A66" s="6"/>
      <x:c r="B66" s="6"/>
      <x:c r="C66" s="6"/>
      <x:c r="D66" s="6"/>
      <x:c r="E66" s="6"/>
      <x:c r="F66" s="6"/>
      <x:c r="G66" s="6"/>
      <x:c r="H66" s="6"/>
      <x:c r="I66" s="6"/>
      <x:c r="J66" s="6"/>
      <x:c r="K66" s="6"/>
      <x:c r="L66" s="6" t="str">
        <x:f>IF(A66="","",E66='_CONFIG'!$B$7)</x:f>
      </x:c>
      <x:c r="M66" s="6" t="str">
        <x:f>IF(B66="","",COUNTIF($B$2:$B$101,B66))</x:f>
      </x:c>
    </x:row>
    <x:row r="67">
      <x:c r="A67" s="6"/>
      <x:c r="B67" s="6"/>
      <x:c r="C67" s="6"/>
      <x:c r="D67" s="6"/>
      <x:c r="E67" s="6"/>
      <x:c r="F67" s="6"/>
      <x:c r="G67" s="6"/>
      <x:c r="H67" s="6"/>
      <x:c r="I67" s="6"/>
      <x:c r="J67" s="6"/>
      <x:c r="K67" s="6"/>
      <x:c r="L67" s="6" t="str">
        <x:f>IF(A67="","",E67='_CONFIG'!$B$7)</x:f>
      </x:c>
      <x:c r="M67" s="6" t="str">
        <x:f>IF(B67="","",COUNTIF($B$2:$B$101,B67))</x:f>
      </x:c>
    </x:row>
    <x:row r="68">
      <x:c r="A68" s="6"/>
      <x:c r="B68" s="6"/>
      <x:c r="C68" s="6"/>
      <x:c r="D68" s="6"/>
      <x:c r="E68" s="6"/>
      <x:c r="F68" s="6"/>
      <x:c r="G68" s="6"/>
      <x:c r="H68" s="6"/>
      <x:c r="I68" s="6"/>
      <x:c r="J68" s="6"/>
      <x:c r="K68" s="6"/>
      <x:c r="L68" s="6" t="str">
        <x:f>IF(A68="","",E68='_CONFIG'!$B$7)</x:f>
      </x:c>
      <x:c r="M68" s="6" t="str">
        <x:f>IF(B68="","",COUNTIF($B$2:$B$101,B68))</x:f>
      </x:c>
    </x:row>
    <x:row r="69">
      <x:c r="A69" s="6"/>
      <x:c r="B69" s="6"/>
      <x:c r="C69" s="6"/>
      <x:c r="D69" s="6"/>
      <x:c r="E69" s="6"/>
      <x:c r="F69" s="6"/>
      <x:c r="G69" s="6"/>
      <x:c r="H69" s="6"/>
      <x:c r="I69" s="6"/>
      <x:c r="J69" s="6"/>
      <x:c r="K69" s="6"/>
      <x:c r="L69" s="6" t="str">
        <x:f>IF(A69="","",E69='_CONFIG'!$B$7)</x:f>
      </x:c>
      <x:c r="M69" s="6" t="str">
        <x:f>IF(B69="","",COUNTIF($B$2:$B$101,B69))</x:f>
      </x:c>
    </x:row>
    <x:row r="70">
      <x:c r="A70" s="6"/>
      <x:c r="B70" s="6"/>
      <x:c r="C70" s="6"/>
      <x:c r="D70" s="6"/>
      <x:c r="E70" s="6"/>
      <x:c r="F70" s="6"/>
      <x:c r="G70" s="6"/>
      <x:c r="H70" s="6"/>
      <x:c r="I70" s="6"/>
      <x:c r="J70" s="6"/>
      <x:c r="K70" s="6"/>
      <x:c r="L70" s="6" t="str">
        <x:f>IF(A70="","",E70='_CONFIG'!$B$7)</x:f>
      </x:c>
      <x:c r="M70" s="6" t="str">
        <x:f>IF(B70="","",COUNTIF($B$2:$B$101,B70))</x:f>
      </x:c>
    </x:row>
    <x:row r="71">
      <x:c r="A71" s="6"/>
      <x:c r="B71" s="6"/>
      <x:c r="C71" s="6"/>
      <x:c r="D71" s="6"/>
      <x:c r="E71" s="6"/>
      <x:c r="F71" s="6"/>
      <x:c r="G71" s="6"/>
      <x:c r="H71" s="6"/>
      <x:c r="I71" s="6"/>
      <x:c r="J71" s="6"/>
      <x:c r="K71" s="6"/>
      <x:c r="L71" s="6" t="str">
        <x:f>IF(A71="","",E71='_CONFIG'!$B$7)</x:f>
      </x:c>
      <x:c r="M71" s="6" t="str">
        <x:f>IF(B71="","",COUNTIF($B$2:$B$101,B71))</x:f>
      </x:c>
    </x:row>
    <x:row r="72">
      <x:c r="A72" s="6"/>
      <x:c r="B72" s="6"/>
      <x:c r="C72" s="6"/>
      <x:c r="D72" s="6"/>
      <x:c r="E72" s="6"/>
      <x:c r="F72" s="6"/>
      <x:c r="G72" s="6"/>
      <x:c r="H72" s="6"/>
      <x:c r="I72" s="6"/>
      <x:c r="J72" s="6"/>
      <x:c r="K72" s="6"/>
      <x:c r="L72" s="6" t="str">
        <x:f>IF(A72="","",E72='_CONFIG'!$B$7)</x:f>
      </x:c>
      <x:c r="M72" s="6" t="str">
        <x:f>IF(B72="","",COUNTIF($B$2:$B$101,B72))</x:f>
      </x:c>
    </x:row>
    <x:row r="73">
      <x:c r="A73" s="6"/>
      <x:c r="B73" s="6"/>
      <x:c r="C73" s="6"/>
      <x:c r="D73" s="6"/>
      <x:c r="E73" s="6"/>
      <x:c r="F73" s="6"/>
      <x:c r="G73" s="6"/>
      <x:c r="H73" s="6"/>
      <x:c r="I73" s="6"/>
      <x:c r="J73" s="6"/>
      <x:c r="K73" s="6"/>
      <x:c r="L73" s="6" t="str">
        <x:f>IF(A73="","",E73='_CONFIG'!$B$7)</x:f>
      </x:c>
      <x:c r="M73" s="6" t="str">
        <x:f>IF(B73="","",COUNTIF($B$2:$B$101,B73))</x:f>
      </x:c>
    </x:row>
    <x:row r="74">
      <x:c r="A74" s="6"/>
      <x:c r="B74" s="6"/>
      <x:c r="C74" s="6"/>
      <x:c r="D74" s="6"/>
      <x:c r="E74" s="6"/>
      <x:c r="F74" s="6"/>
      <x:c r="G74" s="6"/>
      <x:c r="H74" s="6"/>
      <x:c r="I74" s="6"/>
      <x:c r="J74" s="6"/>
      <x:c r="K74" s="6"/>
      <x:c r="L74" s="6" t="str">
        <x:f>IF(A74="","",E74='_CONFIG'!$B$7)</x:f>
      </x:c>
      <x:c r="M74" s="6" t="str">
        <x:f>IF(B74="","",COUNTIF($B$2:$B$101,B74))</x:f>
      </x:c>
    </x:row>
    <x:row r="75">
      <x:c r="A75" s="6"/>
      <x:c r="B75" s="6"/>
      <x:c r="C75" s="6"/>
      <x:c r="D75" s="6"/>
      <x:c r="E75" s="6"/>
      <x:c r="F75" s="6"/>
      <x:c r="G75" s="6"/>
      <x:c r="H75" s="6"/>
      <x:c r="I75" s="6"/>
      <x:c r="J75" s="6"/>
      <x:c r="K75" s="6"/>
      <x:c r="L75" s="6" t="str">
        <x:f>IF(A75="","",E75='_CONFIG'!$B$7)</x:f>
      </x:c>
      <x:c r="M75" s="6" t="str">
        <x:f>IF(B75="","",COUNTIF($B$2:$B$101,B75))</x:f>
      </x:c>
    </x:row>
    <x:row r="76">
      <x:c r="A76" s="6"/>
      <x:c r="B76" s="6"/>
      <x:c r="C76" s="6"/>
      <x:c r="D76" s="6"/>
      <x:c r="E76" s="6"/>
      <x:c r="F76" s="6"/>
      <x:c r="G76" s="6"/>
      <x:c r="H76" s="6"/>
      <x:c r="I76" s="6"/>
      <x:c r="J76" s="6"/>
      <x:c r="K76" s="6"/>
      <x:c r="L76" s="6" t="str">
        <x:f>IF(A76="","",E76='_CONFIG'!$B$7)</x:f>
      </x:c>
      <x:c r="M76" s="6" t="str">
        <x:f>IF(B76="","",COUNTIF($B$2:$B$101,B76))</x:f>
      </x:c>
    </x:row>
    <x:row r="77">
      <x:c r="A77" s="6"/>
      <x:c r="B77" s="6"/>
      <x:c r="C77" s="6"/>
      <x:c r="D77" s="6"/>
      <x:c r="E77" s="6"/>
      <x:c r="F77" s="6"/>
      <x:c r="G77" s="6"/>
      <x:c r="H77" s="6"/>
      <x:c r="I77" s="6"/>
      <x:c r="J77" s="6"/>
      <x:c r="K77" s="6"/>
      <x:c r="L77" s="6" t="str">
        <x:f>IF(A77="","",E77='_CONFIG'!$B$7)</x:f>
      </x:c>
      <x:c r="M77" s="6" t="str">
        <x:f>IF(B77="","",COUNTIF($B$2:$B$101,B77))</x:f>
      </x:c>
    </x:row>
    <x:row r="78">
      <x:c r="A78" s="6"/>
      <x:c r="B78" s="6"/>
      <x:c r="C78" s="6"/>
      <x:c r="D78" s="6"/>
      <x:c r="E78" s="6"/>
      <x:c r="F78" s="6"/>
      <x:c r="G78" s="6"/>
      <x:c r="H78" s="6"/>
      <x:c r="I78" s="6"/>
      <x:c r="J78" s="6"/>
      <x:c r="K78" s="6"/>
      <x:c r="L78" s="6" t="str">
        <x:f>IF(A78="","",E78='_CONFIG'!$B$7)</x:f>
      </x:c>
      <x:c r="M78" s="6" t="str">
        <x:f>IF(B78="","",COUNTIF($B$2:$B$101,B78))</x:f>
      </x:c>
    </x:row>
    <x:row r="79">
      <x:c r="A79" s="6"/>
      <x:c r="B79" s="6"/>
      <x:c r="C79" s="6"/>
      <x:c r="D79" s="6"/>
      <x:c r="E79" s="6"/>
      <x:c r="F79" s="6"/>
      <x:c r="G79" s="6"/>
      <x:c r="H79" s="6"/>
      <x:c r="I79" s="6"/>
      <x:c r="J79" s="6"/>
      <x:c r="K79" s="6"/>
      <x:c r="L79" s="6" t="str">
        <x:f>IF(A79="","",E79='_CONFIG'!$B$7)</x:f>
      </x:c>
      <x:c r="M79" s="6" t="str">
        <x:f>IF(B79="","",COUNTIF($B$2:$B$101,B79))</x:f>
      </x:c>
    </x:row>
    <x:row r="80">
      <x:c r="A80" s="6"/>
      <x:c r="B80" s="6"/>
      <x:c r="C80" s="6"/>
      <x:c r="D80" s="6"/>
      <x:c r="E80" s="6"/>
      <x:c r="F80" s="6"/>
      <x:c r="G80" s="6"/>
      <x:c r="H80" s="6"/>
      <x:c r="I80" s="6"/>
      <x:c r="J80" s="6"/>
      <x:c r="K80" s="6"/>
      <x:c r="L80" s="6" t="str">
        <x:f>IF(A80="","",E80='_CONFIG'!$B$7)</x:f>
      </x:c>
      <x:c r="M80" s="6" t="str">
        <x:f>IF(B80="","",COUNTIF($B$2:$B$101,B80))</x:f>
      </x:c>
    </x:row>
    <x:row r="81">
      <x:c r="A81" s="6"/>
      <x:c r="B81" s="6"/>
      <x:c r="C81" s="6"/>
      <x:c r="D81" s="6"/>
      <x:c r="E81" s="6"/>
      <x:c r="F81" s="6"/>
      <x:c r="G81" s="6"/>
      <x:c r="H81" s="6"/>
      <x:c r="I81" s="6"/>
      <x:c r="J81" s="6"/>
      <x:c r="K81" s="6"/>
      <x:c r="L81" s="6" t="str">
        <x:f>IF(A81="","",E81='_CONFIG'!$B$7)</x:f>
      </x:c>
      <x:c r="M81" s="6" t="str">
        <x:f>IF(B81="","",COUNTIF($B$2:$B$101,B81))</x:f>
      </x:c>
    </x:row>
    <x:row r="82">
      <x:c r="A82" s="6"/>
      <x:c r="B82" s="6"/>
      <x:c r="C82" s="6"/>
      <x:c r="D82" s="6"/>
      <x:c r="E82" s="6"/>
      <x:c r="F82" s="6"/>
      <x:c r="G82" s="6"/>
      <x:c r="H82" s="6"/>
      <x:c r="I82" s="6"/>
      <x:c r="J82" s="6"/>
      <x:c r="K82" s="6"/>
      <x:c r="L82" s="6" t="str">
        <x:f>IF(A82="","",E82='_CONFIG'!$B$7)</x:f>
      </x:c>
      <x:c r="M82" s="6" t="str">
        <x:f>IF(B82="","",COUNTIF($B$2:$B$101,B82))</x:f>
      </x:c>
    </x:row>
    <x:row r="83">
      <x:c r="A83" s="6"/>
      <x:c r="B83" s="6"/>
      <x:c r="C83" s="6"/>
      <x:c r="D83" s="6"/>
      <x:c r="E83" s="6"/>
      <x:c r="F83" s="6"/>
      <x:c r="G83" s="6"/>
      <x:c r="H83" s="6"/>
      <x:c r="I83" s="6"/>
      <x:c r="J83" s="6"/>
      <x:c r="K83" s="6"/>
      <x:c r="L83" s="6" t="str">
        <x:f>IF(A83="","",E83='_CONFIG'!$B$7)</x:f>
      </x:c>
      <x:c r="M83" s="6" t="str">
        <x:f>IF(B83="","",COUNTIF($B$2:$B$101,B83))</x:f>
      </x:c>
    </x:row>
    <x:row r="84">
      <x:c r="A84" s="6"/>
      <x:c r="B84" s="6"/>
      <x:c r="C84" s="6"/>
      <x:c r="D84" s="6"/>
      <x:c r="E84" s="6"/>
      <x:c r="F84" s="6"/>
      <x:c r="G84" s="6"/>
      <x:c r="H84" s="6"/>
      <x:c r="I84" s="6"/>
      <x:c r="J84" s="6"/>
      <x:c r="K84" s="6"/>
      <x:c r="L84" s="6" t="str">
        <x:f>IF(A84="","",E84='_CONFIG'!$B$7)</x:f>
      </x:c>
      <x:c r="M84" s="6" t="str">
        <x:f>IF(B84="","",COUNTIF($B$2:$B$101,B84))</x:f>
      </x:c>
    </x:row>
    <x:row r="85">
      <x:c r="A85" s="6"/>
      <x:c r="B85" s="6"/>
      <x:c r="C85" s="6"/>
      <x:c r="D85" s="6"/>
      <x:c r="E85" s="6"/>
      <x:c r="F85" s="6"/>
      <x:c r="G85" s="6"/>
      <x:c r="H85" s="6"/>
      <x:c r="I85" s="6"/>
      <x:c r="J85" s="6"/>
      <x:c r="K85" s="6"/>
      <x:c r="L85" s="6" t="str">
        <x:f>IF(A85="","",E85='_CONFIG'!$B$7)</x:f>
      </x:c>
      <x:c r="M85" s="6" t="str">
        <x:f>IF(B85="","",COUNTIF($B$2:$B$101,B85))</x:f>
      </x:c>
    </x:row>
    <x:row r="86">
      <x:c r="A86" s="6"/>
      <x:c r="B86" s="6"/>
      <x:c r="C86" s="6"/>
      <x:c r="D86" s="6"/>
      <x:c r="E86" s="6"/>
      <x:c r="F86" s="6"/>
      <x:c r="G86" s="6"/>
      <x:c r="H86" s="6"/>
      <x:c r="I86" s="6"/>
      <x:c r="J86" s="6"/>
      <x:c r="K86" s="6"/>
      <x:c r="L86" s="6" t="str">
        <x:f>IF(A86="","",E86='_CONFIG'!$B$7)</x:f>
      </x:c>
      <x:c r="M86" s="6" t="str">
        <x:f>IF(B86="","",COUNTIF($B$2:$B$101,B86))</x:f>
      </x:c>
    </x:row>
    <x:row r="87">
      <x:c r="A87" s="6"/>
      <x:c r="B87" s="6"/>
      <x:c r="C87" s="6"/>
      <x:c r="D87" s="6"/>
      <x:c r="E87" s="6"/>
      <x:c r="F87" s="6"/>
      <x:c r="G87" s="6"/>
      <x:c r="H87" s="6"/>
      <x:c r="I87" s="6"/>
      <x:c r="J87" s="6"/>
      <x:c r="K87" s="6"/>
      <x:c r="L87" s="6" t="str">
        <x:f>IF(A87="","",E87='_CONFIG'!$B$7)</x:f>
      </x:c>
      <x:c r="M87" s="6" t="str">
        <x:f>IF(B87="","",COUNTIF($B$2:$B$101,B87))</x:f>
      </x:c>
    </x:row>
    <x:row r="88">
      <x:c r="A88" s="6"/>
      <x:c r="B88" s="6"/>
      <x:c r="C88" s="6"/>
      <x:c r="D88" s="6"/>
      <x:c r="E88" s="6"/>
      <x:c r="F88" s="6"/>
      <x:c r="G88" s="6"/>
      <x:c r="H88" s="6"/>
      <x:c r="I88" s="6"/>
      <x:c r="J88" s="6"/>
      <x:c r="K88" s="6"/>
      <x:c r="L88" s="6" t="str">
        <x:f>IF(A88="","",E88='_CONFIG'!$B$7)</x:f>
      </x:c>
      <x:c r="M88" s="6" t="str">
        <x:f>IF(B88="","",COUNTIF($B$2:$B$101,B88))</x:f>
      </x:c>
    </x:row>
    <x:row r="89">
      <x:c r="A89" s="6"/>
      <x:c r="B89" s="6"/>
      <x:c r="C89" s="6"/>
      <x:c r="D89" s="6"/>
      <x:c r="E89" s="6"/>
      <x:c r="F89" s="6"/>
      <x:c r="G89" s="6"/>
      <x:c r="H89" s="6"/>
      <x:c r="I89" s="6"/>
      <x:c r="J89" s="6"/>
      <x:c r="K89" s="6"/>
      <x:c r="L89" s="6" t="str">
        <x:f>IF(A89="","",E89='_CONFIG'!$B$7)</x:f>
      </x:c>
      <x:c r="M89" s="6" t="str">
        <x:f>IF(B89="","",COUNTIF($B$2:$B$101,B89))</x:f>
      </x:c>
    </x:row>
    <x:row r="90">
      <x:c r="A90" s="6"/>
      <x:c r="B90" s="6"/>
      <x:c r="C90" s="6"/>
      <x:c r="D90" s="6"/>
      <x:c r="E90" s="6"/>
      <x:c r="F90" s="6"/>
      <x:c r="G90" s="6"/>
      <x:c r="H90" s="6"/>
      <x:c r="I90" s="6"/>
      <x:c r="J90" s="6"/>
      <x:c r="K90" s="6"/>
      <x:c r="L90" s="6" t="str">
        <x:f>IF(A90="","",E90='_CONFIG'!$B$7)</x:f>
      </x:c>
      <x:c r="M90" s="6" t="str">
        <x:f>IF(B90="","",COUNTIF($B$2:$B$101,B90))</x:f>
      </x:c>
    </x:row>
    <x:row r="91">
      <x:c r="A91" s="6"/>
      <x:c r="B91" s="6"/>
      <x:c r="C91" s="6"/>
      <x:c r="D91" s="6"/>
      <x:c r="E91" s="6"/>
      <x:c r="F91" s="6"/>
      <x:c r="G91" s="6"/>
      <x:c r="H91" s="6"/>
      <x:c r="I91" s="6"/>
      <x:c r="J91" s="6"/>
      <x:c r="K91" s="6"/>
      <x:c r="L91" s="6" t="str">
        <x:f>IF(A91="","",E91='_CONFIG'!$B$7)</x:f>
      </x:c>
      <x:c r="M91" s="6" t="str">
        <x:f>IF(B91="","",COUNTIF($B$2:$B$101,B91))</x:f>
      </x:c>
    </x:row>
    <x:row r="92">
      <x:c r="A92" s="6"/>
      <x:c r="B92" s="6"/>
      <x:c r="C92" s="6"/>
      <x:c r="D92" s="6"/>
      <x:c r="E92" s="6"/>
      <x:c r="F92" s="6"/>
      <x:c r="G92" s="6"/>
      <x:c r="H92" s="6"/>
      <x:c r="I92" s="6"/>
      <x:c r="J92" s="6"/>
      <x:c r="K92" s="6"/>
      <x:c r="L92" s="6" t="str">
        <x:f>IF(A92="","",E92='_CONFIG'!$B$7)</x:f>
      </x:c>
      <x:c r="M92" s="6" t="str">
        <x:f>IF(B92="","",COUNTIF($B$2:$B$101,B92))</x:f>
      </x:c>
    </x:row>
    <x:row r="93">
      <x:c r="A93" s="6"/>
      <x:c r="B93" s="6"/>
      <x:c r="C93" s="6"/>
      <x:c r="D93" s="6"/>
      <x:c r="E93" s="6"/>
      <x:c r="F93" s="6"/>
      <x:c r="G93" s="6"/>
      <x:c r="H93" s="6"/>
      <x:c r="I93" s="6"/>
      <x:c r="J93" s="6"/>
      <x:c r="K93" s="6"/>
      <x:c r="L93" s="6" t="str">
        <x:f>IF(A93="","",E93='_CONFIG'!$B$7)</x:f>
      </x:c>
      <x:c r="M93" s="6" t="str">
        <x:f>IF(B93="","",COUNTIF($B$2:$B$101,B93))</x:f>
      </x:c>
    </x:row>
    <x:row r="94">
      <x:c r="A94" s="6"/>
      <x:c r="B94" s="6"/>
      <x:c r="C94" s="6"/>
      <x:c r="D94" s="6"/>
      <x:c r="E94" s="6"/>
      <x:c r="F94" s="6"/>
      <x:c r="G94" s="6"/>
      <x:c r="H94" s="6"/>
      <x:c r="I94" s="6"/>
      <x:c r="J94" s="6"/>
      <x:c r="K94" s="6"/>
      <x:c r="L94" s="6" t="str">
        <x:f>IF(A94="","",E94='_CONFIG'!$B$7)</x:f>
      </x:c>
      <x:c r="M94" s="6" t="str">
        <x:f>IF(B94="","",COUNTIF($B$2:$B$101,B94))</x:f>
      </x:c>
    </x:row>
    <x:row r="95">
      <x:c r="A95" s="6"/>
      <x:c r="B95" s="6"/>
      <x:c r="C95" s="6"/>
      <x:c r="D95" s="6"/>
      <x:c r="E95" s="6"/>
      <x:c r="F95" s="6"/>
      <x:c r="G95" s="6"/>
      <x:c r="H95" s="6"/>
      <x:c r="I95" s="6"/>
      <x:c r="J95" s="6"/>
      <x:c r="K95" s="6"/>
      <x:c r="L95" s="6" t="str">
        <x:f>IF(A95="","",E95='_CONFIG'!$B$7)</x:f>
      </x:c>
      <x:c r="M95" s="6" t="str">
        <x:f>IF(B95="","",COUNTIF($B$2:$B$101,B95))</x:f>
      </x:c>
    </x:row>
    <x:row r="96">
      <x:c r="A96" s="6"/>
      <x:c r="B96" s="6"/>
      <x:c r="C96" s="6"/>
      <x:c r="D96" s="6"/>
      <x:c r="E96" s="6"/>
      <x:c r="F96" s="6"/>
      <x:c r="G96" s="6"/>
      <x:c r="H96" s="6"/>
      <x:c r="I96" s="6"/>
      <x:c r="J96" s="6"/>
      <x:c r="K96" s="6"/>
      <x:c r="L96" s="6" t="str">
        <x:f>IF(A96="","",E96='_CONFIG'!$B$7)</x:f>
      </x:c>
      <x:c r="M96" s="6" t="str">
        <x:f>IF(B96="","",COUNTIF($B$2:$B$101,B96))</x:f>
      </x:c>
    </x:row>
    <x:row r="97">
      <x:c r="A97" s="6"/>
      <x:c r="B97" s="6"/>
      <x:c r="C97" s="6"/>
      <x:c r="D97" s="6"/>
      <x:c r="E97" s="6"/>
      <x:c r="F97" s="6"/>
      <x:c r="G97" s="6"/>
      <x:c r="H97" s="6"/>
      <x:c r="I97" s="6"/>
      <x:c r="J97" s="6"/>
      <x:c r="K97" s="6"/>
      <x:c r="L97" s="6" t="str">
        <x:f>IF(A97="","",E97='_CONFIG'!$B$7)</x:f>
      </x:c>
      <x:c r="M97" s="6" t="str">
        <x:f>IF(B97="","",COUNTIF($B$2:$B$101,B97))</x:f>
      </x:c>
    </x:row>
    <x:row r="98">
      <x:c r="A98" s="6"/>
      <x:c r="B98" s="6"/>
      <x:c r="C98" s="6"/>
      <x:c r="D98" s="6"/>
      <x:c r="E98" s="6"/>
      <x:c r="F98" s="6"/>
      <x:c r="G98" s="6"/>
      <x:c r="H98" s="6"/>
      <x:c r="I98" s="6"/>
      <x:c r="J98" s="6"/>
      <x:c r="K98" s="6"/>
      <x:c r="L98" s="6" t="str">
        <x:f>IF(A98="","",E98='_CONFIG'!$B$7)</x:f>
      </x:c>
      <x:c r="M98" s="6" t="str">
        <x:f>IF(B98="","",COUNTIF($B$2:$B$101,B98))</x:f>
      </x:c>
    </x:row>
    <x:row r="99">
      <x:c r="A99" s="6"/>
      <x:c r="B99" s="6"/>
      <x:c r="C99" s="6"/>
      <x:c r="D99" s="6"/>
      <x:c r="E99" s="6"/>
      <x:c r="F99" s="6"/>
      <x:c r="G99" s="6"/>
      <x:c r="H99" s="6"/>
      <x:c r="I99" s="6"/>
      <x:c r="J99" s="6"/>
      <x:c r="K99" s="6"/>
      <x:c r="L99" s="6" t="str">
        <x:f>IF(A99="","",E99='_CONFIG'!$B$7)</x:f>
      </x:c>
      <x:c r="M99" s="6" t="str">
        <x:f>IF(B99="","",COUNTIF($B$2:$B$101,B99))</x:f>
      </x:c>
    </x:row>
    <x:row r="100">
      <x:c r="A100" s="6"/>
      <x:c r="B100" s="6"/>
      <x:c r="C100" s="6"/>
      <x:c r="D100" s="6"/>
      <x:c r="E100" s="6"/>
      <x:c r="F100" s="6"/>
      <x:c r="G100" s="6"/>
      <x:c r="H100" s="6"/>
      <x:c r="I100" s="6"/>
      <x:c r="J100" s="6"/>
      <x:c r="K100" s="6"/>
      <x:c r="L100" s="6" t="str">
        <x:f>IF(A100="","",E100='_CONFIG'!$B$7)</x:f>
      </x:c>
      <x:c r="M100" s="6" t="str">
        <x:f>IF(B100="","",COUNTIF($B$2:$B$101,B100))</x:f>
      </x:c>
    </x:row>
    <x:row r="101">
      <x:c r="A101" s="6"/>
      <x:c r="B101" s="6"/>
      <x:c r="C101" s="6"/>
      <x:c r="D101" s="6"/>
      <x:c r="E101" s="6"/>
      <x:c r="F101" s="6"/>
      <x:c r="G101" s="6"/>
      <x:c r="H101" s="6"/>
      <x:c r="I101" s="6"/>
      <x:c r="J101" s="6"/>
      <x:c r="K101" s="6"/>
      <x:c r="L101" s="6" t="str">
        <x:f>IF(A101="","",E101='_CONFIG'!$B$7)</x:f>
      </x:c>
      <x:c r="M101" s="6" t="str">
        <x:f>IF(B101="","",COUNTIF($B$2:$B$101,B101))</x:f>
      </x:c>
    </x:row>
    <x:row r="102">
      <x:c r="A102" s="6"/>
      <x:c r="B102" s="6"/>
      <x:c r="C102" s="6"/>
      <x:c r="D102" s="6"/>
      <x:c r="E102" s="6"/>
      <x:c r="F102" s="6"/>
      <x:c r="G102" s="6"/>
      <x:c r="H102" s="6"/>
      <x:c r="I102" s="6"/>
      <x:c r="J102" s="6"/>
      <x:c r="K102" s="6"/>
      <x:c r="L102" s="6"/>
      <x:c r="M102" s="6"/>
    </x:row>
    <x:row r="103">
      <x:c r="A103" s="6"/>
      <x:c r="B103" s="6"/>
      <x:c r="C103" s="6"/>
      <x:c r="D103" s="6"/>
      <x:c r="E103" s="6"/>
      <x:c r="F103" s="6"/>
      <x:c r="G103" s="6"/>
      <x:c r="H103" s="6"/>
      <x:c r="I103" s="6"/>
      <x:c r="J103" s="6"/>
      <x:c r="K103" s="6"/>
      <x:c r="L103" s="6"/>
      <x:c r="M103" s="6"/>
    </x:row>
    <x:row r="104">
      <x:c r="A104" s="6"/>
      <x:c r="B104" s="6"/>
      <x:c r="C104" s="6"/>
      <x:c r="D104" s="6"/>
      <x:c r="E104" s="6"/>
      <x:c r="F104" s="6"/>
      <x:c r="G104" s="6"/>
      <x:c r="H104" s="6"/>
      <x:c r="I104" s="6"/>
      <x:c r="J104" s="6"/>
      <x:c r="K104" s="6"/>
      <x:c r="L104" s="6"/>
      <x:c r="M104" s="6"/>
    </x:row>
    <x:row r="105">
      <x:c r="A105" s="6"/>
      <x:c r="B105" s="6"/>
      <x:c r="C105" s="6"/>
      <x:c r="D105" s="6"/>
      <x:c r="E105" s="6"/>
      <x:c r="F105" s="6"/>
      <x:c r="G105" s="6"/>
      <x:c r="H105" s="6"/>
      <x:c r="I105" s="6"/>
      <x:c r="J105" s="6"/>
      <x:c r="K105" s="6"/>
      <x:c r="L105" s="6"/>
      <x:c r="M105" s="6"/>
    </x:row>
    <x:row r="106">
      <x:c r="A106" s="6"/>
      <x:c r="B106" s="6"/>
      <x:c r="C106" s="6"/>
      <x:c r="D106" s="6"/>
      <x:c r="E106" s="6"/>
      <x:c r="F106" s="6"/>
      <x:c r="G106" s="6"/>
      <x:c r="H106" s="6"/>
      <x:c r="I106" s="6"/>
      <x:c r="J106" s="6"/>
      <x:c r="K106" s="6"/>
      <x:c r="L106" s="6"/>
      <x:c r="M106" s="6"/>
    </x:row>
    <x:row r="107">
      <x:c r="A107" s="6"/>
      <x:c r="B107" s="6"/>
      <x:c r="C107" s="6"/>
      <x:c r="D107" s="6"/>
      <x:c r="E107" s="6"/>
      <x:c r="F107" s="6"/>
      <x:c r="G107" s="6"/>
      <x:c r="H107" s="6"/>
      <x:c r="I107" s="6"/>
      <x:c r="J107" s="6"/>
      <x:c r="K107" s="6"/>
      <x:c r="L107" s="6"/>
      <x:c r="M107" s="6"/>
    </x:row>
    <x:row r="108">
      <x:c r="A108" s="6"/>
      <x:c r="B108" s="6"/>
      <x:c r="C108" s="6"/>
      <x:c r="D108" s="6"/>
      <x:c r="E108" s="6"/>
      <x:c r="F108" s="6"/>
      <x:c r="G108" s="6"/>
      <x:c r="H108" s="6"/>
      <x:c r="I108" s="6"/>
      <x:c r="J108" s="6"/>
      <x:c r="K108" s="6"/>
      <x:c r="L108" s="6"/>
      <x:c r="M108" s="6"/>
    </x:row>
    <x:row r="109">
      <x:c r="A109" s="6"/>
      <x:c r="B109" s="6"/>
      <x:c r="C109" s="6"/>
      <x:c r="D109" s="6"/>
      <x:c r="E109" s="6"/>
      <x:c r="F109" s="6"/>
      <x:c r="G109" s="6"/>
      <x:c r="H109" s="6"/>
      <x:c r="I109" s="6"/>
      <x:c r="J109" s="6"/>
      <x:c r="K109" s="6"/>
      <x:c r="L109" s="6"/>
      <x:c r="M109" s="6"/>
    </x:row>
    <x:row r="110">
      <x:c r="A110" s="6"/>
      <x:c r="B110" s="6"/>
      <x:c r="C110" s="6"/>
      <x:c r="D110" s="6"/>
      <x:c r="E110" s="6"/>
      <x:c r="F110" s="6"/>
      <x:c r="G110" s="6"/>
      <x:c r="H110" s="6"/>
      <x:c r="I110" s="6"/>
      <x:c r="J110" s="6"/>
      <x:c r="K110" s="6"/>
      <x:c r="L110" s="6"/>
      <x:c r="M110" s="6"/>
    </x:row>
  </x:sheetData>
  <x:pageMargins left="0.7" right="0.7" top="0.75" bottom="0.75" header="0.3" footer="0.3"/>
  <x:tableParts count="1">
    <x:tablePart xmlns:r="http://schemas.openxmlformats.org/officeDocument/2006/relationships" r:id="Raf6e15c8589d4d3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8.329999923706055" hidden="0" customWidth="1"/>
    <x:col min="2" max="2" width="8.329999923706055" hidden="0" customWidth="1"/>
    <x:col min="3" max="3" width="8.329999923706055" hidden="0" customWidth="1"/>
    <x:col min="4" max="4" width="8.329999923706055" hidden="0" customWidth="1"/>
    <x:col min="5" max="5" width="8.329999923706055" hidden="0" customWidth="1"/>
    <x:col min="6" max="6" width="8.329999923706055" hidden="0" customWidth="1"/>
    <x:col min="7" max="7" width="8.329999923706055" hidden="0" customWidth="1"/>
    <x:col min="8" max="8" width="12.220000267028809" hidden="0" customWidth="1"/>
    <x:col min="9" max="9" width="7.21999979019165" hidden="0" customWidth="1"/>
    <x:col min="10" max="10" width="8.329999923706055" hidden="0" customWidth="1"/>
  </x:cols>
  <x:sheetData>
    <x:row r="1">
      <x:c r="A1" s="14" t="str">
        <x:v>iteration</x:v>
      </x:c>
      <x:c r="B1" s="18" t="str">
        <x:v>best</x:v>
      </x:c>
      <x:c r="C1" s="18" t="str">
        <x:v>q1</x:v>
      </x:c>
      <x:c r="D1" s="18" t="str">
        <x:v>median</x:v>
      </x:c>
      <x:c r="E1" s="18" t="str">
        <x:v>mean</x:v>
      </x:c>
      <x:c r="F1" s="18" t="str">
        <x:v>q3</x:v>
      </x:c>
      <x:c r="G1" s="18" t="str">
        <x:v>worst</x:v>
      </x:c>
      <x:c r="H1" s="18" t="str">
        <x:v>mean_evaluations</x:v>
      </x:c>
      <x:c r="I1" s="18" t="str">
        <x:v>samples</x:v>
      </x:c>
      <x:c r="J1" s="15" t="str">
        <x:v>monotone</x:v>
      </x:c>
    </x:row>
    <x:row r="2">
      <x:c r="A2" s="6" t="n">
        <x:v>0</x:v>
      </x:c>
      <x:c r="B2" s="19" t="n">
        <x:v>28874</x:v>
      </x:c>
      <x:c r="C2" s="19" t="n">
        <x:v>32827</x:v>
      </x:c>
      <x:c r="D2" s="19" t="n">
        <x:v>37419</x:v>
      </x:c>
      <x:c r="E2" s="19" t="n">
        <x:v>37179.8</x:v>
      </x:c>
      <x:c r="F2" s="19" t="n">
        <x:v>41977</x:v>
      </x:c>
      <x:c r="G2" s="19" t="n">
        <x:v>44062</x:v>
      </x:c>
      <x:c r="H2" s="19" t="n">
        <x:v>3479.8</x:v>
      </x:c>
      <x:c r="I2" s="6" t="n">
        <x:v>10</x:v>
      </x:c>
      <x:c r="J2" s="6" t="str">
        <x:f>IF(A2="","",IF(A3="","PASS",IF(AND(A3&gt;A2,B3&lt;=B2,H3&gt;=H2),"PASS","FAIL")))</x:f>
      </x:c>
    </x:row>
    <x:row r="3">
      <x:c r="A3" s="6" t="n">
        <x:v>63</x:v>
      </x:c>
      <x:c r="B3" s="19" t="n">
        <x:v>24248</x:v>
      </x:c>
      <x:c r="C3" s="19" t="n">
        <x:v>24249</x:v>
      </x:c>
      <x:c r="D3" s="19" t="n">
        <x:v>24604</x:v>
      </x:c>
      <x:c r="E3" s="19" t="n">
        <x:v>24796.4</x:v>
      </x:c>
      <x:c r="F3" s="19" t="n">
        <x:v>24716</x:v>
      </x:c>
      <x:c r="G3" s="19" t="n">
        <x:v>27612</x:v>
      </x:c>
      <x:c r="H3" s="19" t="n">
        <x:v>87685.8</x:v>
      </x:c>
      <x:c r="I3" s="6" t="n">
        <x:v>10</x:v>
      </x:c>
      <x:c r="J3" s="6" t="str">
        <x:f>IF(A3="","",IF(A4="","PASS",IF(AND(A4&gt;A3,B4&lt;=B3,H4&gt;=H3),"PASS","FAIL")))</x:f>
        <x:v>PASS</x:v>
      </x:c>
    </x:row>
    <x:row r="4">
      <x:c r="A4" s="6" t="n">
        <x:v>126</x:v>
      </x:c>
      <x:c r="B4" s="19" t="n">
        <x:v>24048</x:v>
      </x:c>
      <x:c r="C4" s="19" t="n">
        <x:v>24248</x:v>
      </x:c>
      <x:c r="D4" s="19" t="n">
        <x:v>24248</x:v>
      </x:c>
      <x:c r="E4" s="19" t="n">
        <x:v>24262.2</x:v>
      </x:c>
      <x:c r="F4" s="19" t="n">
        <x:v>24251</x:v>
      </x:c>
      <x:c r="G4" s="19" t="n">
        <x:v>24688</x:v>
      </x:c>
      <x:c r="H4" s="19" t="n">
        <x:v>164842</x:v>
      </x:c>
      <x:c r="I4" s="6" t="n">
        <x:v>10</x:v>
      </x:c>
      <x:c r="J4" s="6" t="str">
        <x:f>IF(A4="","",IF(A5="","PASS",IF(AND(A5&gt;A4,B5&lt;=B4,H5&gt;=H4),"PASS","FAIL")))</x:f>
        <x:v>PASS</x:v>
      </x:c>
    </x:row>
    <x:row r="5">
      <x:c r="A5" s="6" t="n">
        <x:v>189</x:v>
      </x:c>
      <x:c r="B5" s="19" t="n">
        <x:v>24048</x:v>
      </x:c>
      <x:c r="C5" s="19" t="n">
        <x:v>24248</x:v>
      </x:c>
      <x:c r="D5" s="19" t="n">
        <x:v>24248</x:v>
      </x:c>
      <x:c r="E5" s="19" t="n">
        <x:v>24217.8</x:v>
      </x:c>
      <x:c r="F5" s="19" t="n">
        <x:v>24248</x:v>
      </x:c>
      <x:c r="G5" s="19" t="n">
        <x:v>24294</x:v>
      </x:c>
      <x:c r="H5" s="19" t="n">
        <x:v>241660.3</x:v>
      </x:c>
      <x:c r="I5" s="6" t="n">
        <x:v>10</x:v>
      </x:c>
      <x:c r="J5" s="6" t="str">
        <x:f>IF(A5="","",IF(A6="","PASS",IF(AND(A6&gt;A5,B6&lt;=B5,H6&gt;=H5),"PASS","FAIL")))</x:f>
        <x:v>PASS</x:v>
      </x:c>
    </x:row>
    <x:row r="6">
      <x:c r="A6" s="6" t="n">
        <x:v>252</x:v>
      </x:c>
      <x:c r="B6" s="19" t="n">
        <x:v>24048</x:v>
      </x:c>
      <x:c r="C6" s="19" t="n">
        <x:v>24137</x:v>
      </x:c>
      <x:c r="D6" s="19" t="n">
        <x:v>24248</x:v>
      </x:c>
      <x:c r="E6" s="19" t="n">
        <x:v>24198.4</x:v>
      </x:c>
      <x:c r="F6" s="19" t="n">
        <x:v>24248</x:v>
      </x:c>
      <x:c r="G6" s="19" t="n">
        <x:v>24294</x:v>
      </x:c>
      <x:c r="H6" s="19" t="n">
        <x:v>318428.1</x:v>
      </x:c>
      <x:c r="I6" s="6" t="n">
        <x:v>10</x:v>
      </x:c>
      <x:c r="J6" s="6" t="str">
        <x:f>IF(A6="","",IF(A7="","PASS",IF(AND(A7&gt;A6,B7&lt;=B6,H7&gt;=H6),"PASS","FAIL")))</x:f>
        <x:v>PASS</x:v>
      </x:c>
    </x:row>
    <x:row r="7">
      <x:c r="A7" s="6" t="n">
        <x:v>315</x:v>
      </x:c>
      <x:c r="B7" s="19" t="n">
        <x:v>24048</x:v>
      </x:c>
      <x:c r="C7" s="19" t="n">
        <x:v>24137</x:v>
      </x:c>
      <x:c r="D7" s="19" t="n">
        <x:v>24248</x:v>
      </x:c>
      <x:c r="E7" s="19" t="n">
        <x:v>24193.8</x:v>
      </x:c>
      <x:c r="F7" s="19" t="n">
        <x:v>24248</x:v>
      </x:c>
      <x:c r="G7" s="19" t="n">
        <x:v>24248</x:v>
      </x:c>
      <x:c r="H7" s="19" t="n">
        <x:v>394841.2</x:v>
      </x:c>
      <x:c r="I7" s="6" t="n">
        <x:v>10</x:v>
      </x:c>
      <x:c r="J7" s="6" t="str">
        <x:f>IF(A7="","",IF(A8="","PASS",IF(AND(A8&gt;A7,B8&lt;=B7,H8&gt;=H7),"PASS","FAIL")))</x:f>
        <x:v>PASS</x:v>
      </x:c>
    </x:row>
    <x:row r="8">
      <x:c r="A8" s="6" t="n">
        <x:v>378</x:v>
      </x:c>
      <x:c r="B8" s="19" t="n">
        <x:v>24048</x:v>
      </x:c>
      <x:c r="C8" s="19" t="n">
        <x:v>24137</x:v>
      </x:c>
      <x:c r="D8" s="19" t="n">
        <x:v>24248</x:v>
      </x:c>
      <x:c r="E8" s="19" t="n">
        <x:v>24193.8</x:v>
      </x:c>
      <x:c r="F8" s="19" t="n">
        <x:v>24248</x:v>
      </x:c>
      <x:c r="G8" s="19" t="n">
        <x:v>24248</x:v>
      </x:c>
      <x:c r="H8" s="19" t="n">
        <x:v>471271.9</x:v>
      </x:c>
      <x:c r="I8" s="6" t="n">
        <x:v>10</x:v>
      </x:c>
      <x:c r="J8" s="6" t="str">
        <x:f>IF(A8="","",IF(A9="","PASS",IF(AND(A9&gt;A8,B9&lt;=B8,H9&gt;=H8),"PASS","FAIL")))</x:f>
        <x:v>PASS</x:v>
      </x:c>
    </x:row>
    <x:row r="9">
      <x:c r="A9" s="6" t="n">
        <x:v>441</x:v>
      </x:c>
      <x:c r="B9" s="19" t="n">
        <x:v>24048</x:v>
      </x:c>
      <x:c r="C9" s="19" t="n">
        <x:v>24137</x:v>
      </x:c>
      <x:c r="D9" s="19" t="n">
        <x:v>24248</x:v>
      </x:c>
      <x:c r="E9" s="19" t="n">
        <x:v>24193.8</x:v>
      </x:c>
      <x:c r="F9" s="19" t="n">
        <x:v>24248</x:v>
      </x:c>
      <x:c r="G9" s="19" t="n">
        <x:v>24248</x:v>
      </x:c>
      <x:c r="H9" s="19" t="n">
        <x:v>548119.2</x:v>
      </x:c>
      <x:c r="I9" s="6" t="n">
        <x:v>10</x:v>
      </x:c>
      <x:c r="J9" s="6" t="str">
        <x:f>IF(A9="","",IF(A10="","PASS",IF(AND(A10&gt;A9,B10&lt;=B9,H10&gt;=H9),"PASS","FAIL")))</x:f>
        <x:v>PASS</x:v>
      </x:c>
    </x:row>
    <x:row r="10">
      <x:c r="A10" s="6" t="n">
        <x:v>504</x:v>
      </x:c>
      <x:c r="B10" s="19" t="n">
        <x:v>24048</x:v>
      </x:c>
      <x:c r="C10" s="19" t="n">
        <x:v>24065.5</x:v>
      </x:c>
      <x:c r="D10" s="19" t="n">
        <x:v>24248</x:v>
      </x:c>
      <x:c r="E10" s="19" t="n">
        <x:v>24174.4</x:v>
      </x:c>
      <x:c r="F10" s="19" t="n">
        <x:v>24248</x:v>
      </x:c>
      <x:c r="G10" s="19" t="n">
        <x:v>24248</x:v>
      </x:c>
      <x:c r="H10" s="19" t="n">
        <x:v>624906.4</x:v>
      </x:c>
      <x:c r="I10" s="6" t="n">
        <x:v>10</x:v>
      </x:c>
      <x:c r="J10" s="6" t="str">
        <x:f>IF(A10="","",IF(A11="","PASS",IF(AND(A11&gt;A10,B11&lt;=B10,H11&gt;=H10),"PASS","FAIL")))</x:f>
        <x:v>PASS</x:v>
      </x:c>
    </x:row>
    <x:row r="11">
      <x:c r="A11" s="6" t="n">
        <x:v>567</x:v>
      </x:c>
      <x:c r="B11" s="19" t="n">
        <x:v>24048</x:v>
      </x:c>
      <x:c r="C11" s="19" t="n">
        <x:v>24065.5</x:v>
      </x:c>
      <x:c r="D11" s="19" t="n">
        <x:v>24248</x:v>
      </x:c>
      <x:c r="E11" s="19" t="n">
        <x:v>24174.4</x:v>
      </x:c>
      <x:c r="F11" s="19" t="n">
        <x:v>24248</x:v>
      </x:c>
      <x:c r="G11" s="19" t="n">
        <x:v>24248</x:v>
      </x:c>
      <x:c r="H11" s="19" t="n">
        <x:v>701669.4</x:v>
      </x:c>
      <x:c r="I11" s="6" t="n">
        <x:v>10</x:v>
      </x:c>
      <x:c r="J11" s="6" t="str">
        <x:f>IF(A11="","",IF(A12="","PASS",IF(AND(A12&gt;A11,B12&lt;=B11,H12&gt;=H11),"PASS","FAIL")))</x:f>
        <x:v>PASS</x:v>
      </x:c>
    </x:row>
    <x:row r="12">
      <x:c r="A12" s="6" t="n">
        <x:v>630</x:v>
      </x:c>
      <x:c r="B12" s="19" t="n">
        <x:v>24048</x:v>
      </x:c>
      <x:c r="C12" s="19" t="n">
        <x:v>24065.5</x:v>
      </x:c>
      <x:c r="D12" s="19" t="n">
        <x:v>24248</x:v>
      </x:c>
      <x:c r="E12" s="19" t="n">
        <x:v>24174.4</x:v>
      </x:c>
      <x:c r="F12" s="19" t="n">
        <x:v>24248</x:v>
      </x:c>
      <x:c r="G12" s="19" t="n">
        <x:v>24248</x:v>
      </x:c>
      <x:c r="H12" s="19" t="n">
        <x:v>778058</x:v>
      </x:c>
      <x:c r="I12" s="6" t="n">
        <x:v>10</x:v>
      </x:c>
      <x:c r="J12" s="6" t="str">
        <x:f>IF(A12="","",IF(A13="","PASS",IF(AND(A13&gt;A12,B13&lt;=B12,H13&gt;=H12),"PASS","FAIL")))</x:f>
        <x:v>PASS</x:v>
      </x:c>
    </x:row>
    <x:row r="13">
      <x:c r="A13" s="6" t="n">
        <x:v>693</x:v>
      </x:c>
      <x:c r="B13" s="19" t="n">
        <x:v>24048</x:v>
      </x:c>
      <x:c r="C13" s="19" t="n">
        <x:v>24065.5</x:v>
      </x:c>
      <x:c r="D13" s="19" t="n">
        <x:v>24248</x:v>
      </x:c>
      <x:c r="E13" s="19" t="n">
        <x:v>24174.4</x:v>
      </x:c>
      <x:c r="F13" s="19" t="n">
        <x:v>24248</x:v>
      </x:c>
      <x:c r="G13" s="19" t="n">
        <x:v>24248</x:v>
      </x:c>
      <x:c r="H13" s="19" t="n">
        <x:v>854434.2</x:v>
      </x:c>
      <x:c r="I13" s="6" t="n">
        <x:v>10</x:v>
      </x:c>
      <x:c r="J13" s="6" t="str">
        <x:f>IF(A13="","",IF(A14="","PASS",IF(AND(A14&gt;A13,B14&lt;=B13,H14&gt;=H13),"PASS","FAIL")))</x:f>
        <x:v>PASS</x:v>
      </x:c>
    </x:row>
    <x:row r="14">
      <x:c r="A14" s="6" t="n">
        <x:v>756</x:v>
      </x:c>
      <x:c r="B14" s="19" t="n">
        <x:v>24048</x:v>
      </x:c>
      <x:c r="C14" s="19" t="n">
        <x:v>24065.5</x:v>
      </x:c>
      <x:c r="D14" s="19" t="n">
        <x:v>24244</x:v>
      </x:c>
      <x:c r="E14" s="19" t="n">
        <x:v>24173.6</x:v>
      </x:c>
      <x:c r="F14" s="19" t="n">
        <x:v>24248</x:v>
      </x:c>
      <x:c r="G14" s="19" t="n">
        <x:v>24248</x:v>
      </x:c>
      <x:c r="H14" s="19" t="n">
        <x:v>931142.9</x:v>
      </x:c>
      <x:c r="I14" s="6" t="n">
        <x:v>10</x:v>
      </x:c>
      <x:c r="J14" s="6" t="str">
        <x:f>IF(A14="","",IF(A15="","PASS",IF(AND(A15&gt;A14,B15&lt;=B14,H15&gt;=H14),"PASS","FAIL")))</x:f>
        <x:v>PASS</x:v>
      </x:c>
    </x:row>
    <x:row r="15">
      <x:c r="A15" s="6" t="n">
        <x:v>819</x:v>
      </x:c>
      <x:c r="B15" s="19" t="n">
        <x:v>24048</x:v>
      </x:c>
      <x:c r="C15" s="19" t="n">
        <x:v>24065.5</x:v>
      </x:c>
      <x:c r="D15" s="19" t="n">
        <x:v>24217</x:v>
      </x:c>
      <x:c r="E15" s="19" t="n">
        <x:v>24168.2</x:v>
      </x:c>
      <x:c r="F15" s="19" t="n">
        <x:v>24248</x:v>
      </x:c>
      <x:c r="G15" s="19" t="n">
        <x:v>24248</x:v>
      </x:c>
      <x:c r="H15" s="19" t="n">
        <x:v>1008109.1</x:v>
      </x:c>
      <x:c r="I15" s="6" t="n">
        <x:v>10</x:v>
      </x:c>
      <x:c r="J15" s="6" t="str">
        <x:f>IF(A15="","",IF(A16="","PASS",IF(AND(A16&gt;A15,B16&lt;=B15,H16&gt;=H15),"PASS","FAIL")))</x:f>
        <x:v>PASS</x:v>
      </x:c>
    </x:row>
    <x:row r="16">
      <x:c r="A16" s="6" t="n">
        <x:v>882</x:v>
      </x:c>
      <x:c r="B16" s="19" t="n">
        <x:v>24048</x:v>
      </x:c>
      <x:c r="C16" s="19" t="n">
        <x:v>24054</x:v>
      </x:c>
      <x:c r="D16" s="19" t="n">
        <x:v>24124</x:v>
      </x:c>
      <x:c r="E16" s="19" t="n">
        <x:v>24144.4</x:v>
      </x:c>
      <x:c r="F16" s="19" t="n">
        <x:v>24248</x:v>
      </x:c>
      <x:c r="G16" s="19" t="n">
        <x:v>24248</x:v>
      </x:c>
      <x:c r="H16" s="19" t="n">
        <x:v>1084640.4</x:v>
      </x:c>
      <x:c r="I16" s="6" t="n">
        <x:v>10</x:v>
      </x:c>
      <x:c r="J16" s="6" t="str">
        <x:f>IF(A16="","",IF(A17="","PASS",IF(AND(A17&gt;A16,B17&lt;=B16,H17&gt;=H16),"PASS","FAIL")))</x:f>
        <x:v>PASS</x:v>
      </x:c>
    </x:row>
    <x:row r="17">
      <x:c r="A17" s="6" t="n">
        <x:v>945</x:v>
      </x:c>
      <x:c r="B17" s="19" t="n">
        <x:v>24048</x:v>
      </x:c>
      <x:c r="C17" s="19" t="n">
        <x:v>24049.5</x:v>
      </x:c>
      <x:c r="D17" s="19" t="n">
        <x:v>24054</x:v>
      </x:c>
      <x:c r="E17" s="19" t="n">
        <x:v>24124.4</x:v>
      </x:c>
      <x:c r="F17" s="19" t="n">
        <x:v>24234.5</x:v>
      </x:c>
      <x:c r="G17" s="19" t="n">
        <x:v>24248</x:v>
      </x:c>
      <x:c r="H17" s="19" t="n">
        <x:v>1161576</x:v>
      </x:c>
      <x:c r="I17" s="6" t="n">
        <x:v>10</x:v>
      </x:c>
      <x:c r="J17" s="6" t="str">
        <x:f>IF(A17="","",IF(A18="","PASS",IF(AND(A18&gt;A17,B18&lt;=B17,H18&gt;=H17),"PASS","FAIL")))</x:f>
        <x:v>PASS</x:v>
      </x:c>
    </x:row>
    <x:row r="18">
      <x:c r="A18" s="6" t="n">
        <x:v>1008</x:v>
      </x:c>
      <x:c r="B18" s="19" t="n">
        <x:v>24048</x:v>
      </x:c>
      <x:c r="C18" s="19" t="n">
        <x:v>24049.5</x:v>
      </x:c>
      <x:c r="D18" s="19" t="n">
        <x:v>24054</x:v>
      </x:c>
      <x:c r="E18" s="19" t="n">
        <x:v>24105</x:v>
      </x:c>
      <x:c r="F18" s="19" t="n">
        <x:v>24159</x:v>
      </x:c>
      <x:c r="G18" s="19" t="n">
        <x:v>24248</x:v>
      </x:c>
      <x:c r="H18" s="19" t="n">
        <x:v>1238083.6</x:v>
      </x:c>
      <x:c r="I18" s="6" t="n">
        <x:v>10</x:v>
      </x:c>
      <x:c r="J18" s="6" t="str">
        <x:f>IF(A18="","",IF(A19="","PASS",IF(AND(A19&gt;A18,B19&lt;=B18,H19&gt;=H18),"PASS","FAIL")))</x:f>
        <x:v>PASS</x:v>
      </x:c>
    </x:row>
    <x:row r="19">
      <x:c r="A19" s="6" t="n">
        <x:v>1071</x:v>
      </x:c>
      <x:c r="B19" s="19" t="n">
        <x:v>24048</x:v>
      </x:c>
      <x:c r="C19" s="19" t="n">
        <x:v>24049.5</x:v>
      </x:c>
      <x:c r="D19" s="19" t="n">
        <x:v>24054</x:v>
      </x:c>
      <x:c r="E19" s="19" t="n">
        <x:v>24105</x:v>
      </x:c>
      <x:c r="F19" s="19" t="n">
        <x:v>24159</x:v>
      </x:c>
      <x:c r="G19" s="19" t="n">
        <x:v>24248</x:v>
      </x:c>
      <x:c r="H19" s="19" t="n">
        <x:v>1314496.3</x:v>
      </x:c>
      <x:c r="I19" s="6" t="n">
        <x:v>10</x:v>
      </x:c>
      <x:c r="J19" s="6" t="str">
        <x:f>IF(A19="","",IF(A20="","PASS",IF(AND(A20&gt;A19,B20&lt;=B19,H20&gt;=H19),"PASS","FAIL")))</x:f>
        <x:v>PASS</x:v>
      </x:c>
    </x:row>
    <x:row r="20">
      <x:c r="A20" s="6" t="n">
        <x:v>1134</x:v>
      </x:c>
      <x:c r="B20" s="19" t="n">
        <x:v>24048</x:v>
      </x:c>
      <x:c r="C20" s="19" t="n">
        <x:v>24049.5</x:v>
      </x:c>
      <x:c r="D20" s="19" t="n">
        <x:v>24054</x:v>
      </x:c>
      <x:c r="E20" s="19" t="n">
        <x:v>24105</x:v>
      </x:c>
      <x:c r="F20" s="19" t="n">
        <x:v>24159</x:v>
      </x:c>
      <x:c r="G20" s="19" t="n">
        <x:v>24248</x:v>
      </x:c>
      <x:c r="H20" s="19" t="n">
        <x:v>1391327.5</x:v>
      </x:c>
      <x:c r="I20" s="6" t="n">
        <x:v>10</x:v>
      </x:c>
      <x:c r="J20" s="6" t="str">
        <x:f>IF(A20="","",IF(A21="","PASS",IF(AND(A21&gt;A20,B21&lt;=B20,H21&gt;=H20),"PASS","FAIL")))</x:f>
        <x:v>PASS</x:v>
      </x:c>
    </x:row>
    <x:row r="21">
      <x:c r="A21" s="6" t="n">
        <x:v>1197</x:v>
      </x:c>
      <x:c r="B21" s="19" t="n">
        <x:v>24048</x:v>
      </x:c>
      <x:c r="C21" s="19" t="n">
        <x:v>24049.5</x:v>
      </x:c>
      <x:c r="D21" s="19" t="n">
        <x:v>24054</x:v>
      </x:c>
      <x:c r="E21" s="19" t="n">
        <x:v>24105</x:v>
      </x:c>
      <x:c r="F21" s="19" t="n">
        <x:v>24159</x:v>
      </x:c>
      <x:c r="G21" s="19" t="n">
        <x:v>24248</x:v>
      </x:c>
      <x:c r="H21" s="19" t="n">
        <x:v>1467809.8</x:v>
      </x:c>
      <x:c r="I21" s="6" t="n">
        <x:v>10</x:v>
      </x:c>
      <x:c r="J21" s="6" t="str">
        <x:f>IF(A21="","",IF(A22="","PASS",IF(AND(A22&gt;A21,B22&lt;=B21,H22&gt;=H21),"PASS","FAIL")))</x:f>
        <x:v>PASS</x:v>
      </x:c>
    </x:row>
    <x:row r="22">
      <x:c r="A22" s="6" t="n">
        <x:v>1260</x:v>
      </x:c>
      <x:c r="B22" s="19" t="n">
        <x:v>24048</x:v>
      </x:c>
      <x:c r="C22" s="19" t="n">
        <x:v>24049.5</x:v>
      </x:c>
      <x:c r="D22" s="19" t="n">
        <x:v>24054</x:v>
      </x:c>
      <x:c r="E22" s="19" t="n">
        <x:v>24105</x:v>
      </x:c>
      <x:c r="F22" s="19" t="n">
        <x:v>24159</x:v>
      </x:c>
      <x:c r="G22" s="19" t="n">
        <x:v>24248</x:v>
      </x:c>
      <x:c r="H22" s="19" t="n">
        <x:v>1544099.4</x:v>
      </x:c>
      <x:c r="I22" s="6" t="n">
        <x:v>10</x:v>
      </x:c>
      <x:c r="J22" s="6" t="str">
        <x:f>IF(A22="","",IF(A23="","PASS",IF(AND(A23&gt;A22,B23&lt;=B22,H23&gt;=H22),"PASS","FAIL")))</x:f>
        <x:v>PASS</x:v>
      </x:c>
    </x:row>
    <x:row r="23">
      <x:c r="A23" s="6" t="n">
        <x:v>1323</x:v>
      </x:c>
      <x:c r="B23" s="19" t="n">
        <x:v>24048</x:v>
      </x:c>
      <x:c r="C23" s="19" t="n">
        <x:v>24048</x:v>
      </x:c>
      <x:c r="D23" s="19" t="n">
        <x:v>24054</x:v>
      </x:c>
      <x:c r="E23" s="19" t="n">
        <x:v>24104.4</x:v>
      </x:c>
      <x:c r="F23" s="19" t="n">
        <x:v>24159</x:v>
      </x:c>
      <x:c r="G23" s="19" t="n">
        <x:v>24248</x:v>
      </x:c>
      <x:c r="H23" s="19" t="n">
        <x:v>1620455.8</x:v>
      </x:c>
      <x:c r="I23" s="6" t="n">
        <x:v>10</x:v>
      </x:c>
      <x:c r="J23" s="6" t="str">
        <x:f>IF(A23="","",IF(A24="","PASS",IF(AND(A24&gt;A23,B24&lt;=B23,H24&gt;=H23),"PASS","FAIL")))</x:f>
        <x:v>PASS</x:v>
      </x:c>
    </x:row>
    <x:row r="24">
      <x:c r="A24" s="6" t="n">
        <x:v>1386</x:v>
      </x:c>
      <x:c r="B24" s="19" t="n">
        <x:v>24048</x:v>
      </x:c>
      <x:c r="C24" s="19" t="n">
        <x:v>24048</x:v>
      </x:c>
      <x:c r="D24" s="19" t="n">
        <x:v>24054</x:v>
      </x:c>
      <x:c r="E24" s="19" t="n">
        <x:v>24104.4</x:v>
      </x:c>
      <x:c r="F24" s="19" t="n">
        <x:v>24159</x:v>
      </x:c>
      <x:c r="G24" s="19" t="n">
        <x:v>24248</x:v>
      </x:c>
      <x:c r="H24" s="19" t="n">
        <x:v>1697400</x:v>
      </x:c>
      <x:c r="I24" s="6" t="n">
        <x:v>10</x:v>
      </x:c>
      <x:c r="J24" s="6" t="str">
        <x:f>IF(A24="","",IF(A25="","PASS",IF(AND(A25&gt;A24,B25&lt;=B24,H25&gt;=H24),"PASS","FAIL")))</x:f>
        <x:v>PASS</x:v>
      </x:c>
    </x:row>
    <x:row r="25">
      <x:c r="A25" s="6" t="n">
        <x:v>1449</x:v>
      </x:c>
      <x:c r="B25" s="19" t="n">
        <x:v>24048</x:v>
      </x:c>
      <x:c r="C25" s="19" t="n">
        <x:v>24048</x:v>
      </x:c>
      <x:c r="D25" s="19" t="n">
        <x:v>24054</x:v>
      </x:c>
      <x:c r="E25" s="19" t="n">
        <x:v>24104.4</x:v>
      </x:c>
      <x:c r="F25" s="19" t="n">
        <x:v>24159</x:v>
      </x:c>
      <x:c r="G25" s="19" t="n">
        <x:v>24248</x:v>
      </x:c>
      <x:c r="H25" s="19" t="n">
        <x:v>1773934.6</x:v>
      </x:c>
      <x:c r="I25" s="6" t="n">
        <x:v>10</x:v>
      </x:c>
      <x:c r="J25" s="6" t="str">
        <x:f>IF(A25="","",IF(A26="","PASS",IF(AND(A26&gt;A25,B26&lt;=B25,H26&gt;=H25),"PASS","FAIL")))</x:f>
        <x:v>PASS</x:v>
      </x:c>
    </x:row>
    <x:row r="26">
      <x:c r="A26" s="6" t="n">
        <x:v>1512</x:v>
      </x:c>
      <x:c r="B26" s="19" t="n">
        <x:v>24048</x:v>
      </x:c>
      <x:c r="C26" s="19" t="n">
        <x:v>24048</x:v>
      </x:c>
      <x:c r="D26" s="19" t="n">
        <x:v>24054</x:v>
      </x:c>
      <x:c r="E26" s="19" t="n">
        <x:v>24099</x:v>
      </x:c>
      <x:c r="F26" s="19" t="n">
        <x:v>24159</x:v>
      </x:c>
      <x:c r="G26" s="19" t="n">
        <x:v>24248</x:v>
      </x:c>
      <x:c r="H26" s="19" t="n">
        <x:v>1850555.6</x:v>
      </x:c>
      <x:c r="I26" s="6" t="n">
        <x:v>10</x:v>
      </x:c>
      <x:c r="J26" s="6" t="str">
        <x:f>IF(A26="","",IF(A27="","PASS",IF(AND(A27&gt;A26,B27&lt;=B26,H27&gt;=H26),"PASS","FAIL")))</x:f>
        <x:v>PASS</x:v>
      </x:c>
    </x:row>
    <x:row r="27">
      <x:c r="A27" s="6" t="n">
        <x:v>1575</x:v>
      </x:c>
      <x:c r="B27" s="19" t="n">
        <x:v>24048</x:v>
      </x:c>
      <x:c r="C27" s="19" t="n">
        <x:v>24048</x:v>
      </x:c>
      <x:c r="D27" s="19" t="n">
        <x:v>24054</x:v>
      </x:c>
      <x:c r="E27" s="19" t="n">
        <x:v>24099</x:v>
      </x:c>
      <x:c r="F27" s="19" t="n">
        <x:v>24159</x:v>
      </x:c>
      <x:c r="G27" s="19" t="n">
        <x:v>24248</x:v>
      </x:c>
      <x:c r="H27" s="19" t="n">
        <x:v>1926955.4</x:v>
      </x:c>
      <x:c r="I27" s="6" t="n">
        <x:v>10</x:v>
      </x:c>
      <x:c r="J27" s="6" t="str">
        <x:f>IF(A27="","",IF(A28="","PASS",IF(AND(A28&gt;A27,B28&lt;=B27,H28&gt;=H27),"PASS","FAIL")))</x:f>
        <x:v>PASS</x:v>
      </x:c>
    </x:row>
    <x:row r="28">
      <x:c r="A28" s="6" t="n">
        <x:v>1638</x:v>
      </x:c>
      <x:c r="B28" s="19" t="n">
        <x:v>24048</x:v>
      </x:c>
      <x:c r="C28" s="19" t="n">
        <x:v>24048</x:v>
      </x:c>
      <x:c r="D28" s="19" t="n">
        <x:v>24054</x:v>
      </x:c>
      <x:c r="E28" s="19" t="n">
        <x:v>24099</x:v>
      </x:c>
      <x:c r="F28" s="19" t="n">
        <x:v>24159</x:v>
      </x:c>
      <x:c r="G28" s="19" t="n">
        <x:v>24248</x:v>
      </x:c>
      <x:c r="H28" s="19" t="n">
        <x:v>2003624.3</x:v>
      </x:c>
      <x:c r="I28" s="6" t="n">
        <x:v>10</x:v>
      </x:c>
      <x:c r="J28" s="6" t="str">
        <x:f>IF(A28="","",IF(A29="","PASS",IF(AND(A29&gt;A28,B29&lt;=B28,H29&gt;=H28),"PASS","FAIL")))</x:f>
        <x:v>PASS</x:v>
      </x:c>
    </x:row>
    <x:row r="29">
      <x:c r="A29" s="6" t="n">
        <x:v>1701</x:v>
      </x:c>
      <x:c r="B29" s="19" t="n">
        <x:v>24048</x:v>
      </x:c>
      <x:c r="C29" s="19" t="n">
        <x:v>24048</x:v>
      </x:c>
      <x:c r="D29" s="19" t="n">
        <x:v>24054</x:v>
      </x:c>
      <x:c r="E29" s="19" t="n">
        <x:v>24099</x:v>
      </x:c>
      <x:c r="F29" s="19" t="n">
        <x:v>24159</x:v>
      </x:c>
      <x:c r="G29" s="19" t="n">
        <x:v>24248</x:v>
      </x:c>
      <x:c r="H29" s="19" t="n">
        <x:v>2079969.7</x:v>
      </x:c>
      <x:c r="I29" s="6" t="n">
        <x:v>10</x:v>
      </x:c>
      <x:c r="J29" s="6" t="str">
        <x:f>IF(A29="","",IF(A30="","PASS",IF(AND(A30&gt;A29,B30&lt;=B29,H30&gt;=H29),"PASS","FAIL")))</x:f>
        <x:v>PASS</x:v>
      </x:c>
    </x:row>
    <x:row r="30">
      <x:c r="A30" s="6" t="n">
        <x:v>1764</x:v>
      </x:c>
      <x:c r="B30" s="19" t="n">
        <x:v>24048</x:v>
      </x:c>
      <x:c r="C30" s="19" t="n">
        <x:v>24048</x:v>
      </x:c>
      <x:c r="D30" s="19" t="n">
        <x:v>24051</x:v>
      </x:c>
      <x:c r="E30" s="19" t="n">
        <x:v>24098.4</x:v>
      </x:c>
      <x:c r="F30" s="19" t="n">
        <x:v>24159</x:v>
      </x:c>
      <x:c r="G30" s="19" t="n">
        <x:v>24248</x:v>
      </x:c>
      <x:c r="H30" s="19" t="n">
        <x:v>2156647</x:v>
      </x:c>
      <x:c r="I30" s="6" t="n">
        <x:v>10</x:v>
      </x:c>
      <x:c r="J30" s="6" t="str">
        <x:f>IF(A30="","",IF(A31="","PASS",IF(AND(A31&gt;A30,B31&lt;=B30,H31&gt;=H30),"PASS","FAIL")))</x:f>
        <x:v>PASS</x:v>
      </x:c>
    </x:row>
    <x:row r="31">
      <x:c r="A31" s="6" t="n">
        <x:v>1827</x:v>
      </x:c>
      <x:c r="B31" s="19" t="n">
        <x:v>24048</x:v>
      </x:c>
      <x:c r="C31" s="19" t="n">
        <x:v>24048</x:v>
      </x:c>
      <x:c r="D31" s="19" t="n">
        <x:v>24051</x:v>
      </x:c>
      <x:c r="E31" s="19" t="n">
        <x:v>24098.4</x:v>
      </x:c>
      <x:c r="F31" s="19" t="n">
        <x:v>24159</x:v>
      </x:c>
      <x:c r="G31" s="19" t="n">
        <x:v>24248</x:v>
      </x:c>
      <x:c r="H31" s="19" t="n">
        <x:v>2233185.2</x:v>
      </x:c>
      <x:c r="I31" s="6" t="n">
        <x:v>10</x:v>
      </x:c>
      <x:c r="J31" s="6" t="str">
        <x:f>IF(A31="","",IF(A32="","PASS",IF(AND(A32&gt;A31,B32&lt;=B31,H32&gt;=H31),"PASS","FAIL")))</x:f>
        <x:v>PASS</x:v>
      </x:c>
    </x:row>
    <x:row r="32">
      <x:c r="A32" s="6" t="n">
        <x:v>1890</x:v>
      </x:c>
      <x:c r="B32" s="19" t="n">
        <x:v>24048</x:v>
      </x:c>
      <x:c r="C32" s="19" t="n">
        <x:v>24048</x:v>
      </x:c>
      <x:c r="D32" s="19" t="n">
        <x:v>24051</x:v>
      </x:c>
      <x:c r="E32" s="19" t="n">
        <x:v>24098.4</x:v>
      </x:c>
      <x:c r="F32" s="19" t="n">
        <x:v>24159</x:v>
      </x:c>
      <x:c r="G32" s="19" t="n">
        <x:v>24248</x:v>
      </x:c>
      <x:c r="H32" s="19" t="n">
        <x:v>2310579.3</x:v>
      </x:c>
      <x:c r="I32" s="6" t="n">
        <x:v>10</x:v>
      </x:c>
      <x:c r="J32" s="6" t="str">
        <x:f>IF(A32="","",IF(A33="","PASS",IF(AND(A33&gt;A32,B33&lt;=B32,H33&gt;=H32),"PASS","FAIL")))</x:f>
        <x:v>PASS</x:v>
      </x:c>
    </x:row>
    <x:row r="33">
      <x:c r="A33" s="6" t="n">
        <x:v>1953</x:v>
      </x:c>
      <x:c r="B33" s="19" t="n">
        <x:v>24048</x:v>
      </x:c>
      <x:c r="C33" s="19" t="n">
        <x:v>24048</x:v>
      </x:c>
      <x:c r="D33" s="19" t="n">
        <x:v>24051</x:v>
      </x:c>
      <x:c r="E33" s="19" t="n">
        <x:v>24098.4</x:v>
      </x:c>
      <x:c r="F33" s="19" t="n">
        <x:v>24159</x:v>
      </x:c>
      <x:c r="G33" s="19" t="n">
        <x:v>24248</x:v>
      </x:c>
      <x:c r="H33" s="19" t="n">
        <x:v>2387085</x:v>
      </x:c>
      <x:c r="I33" s="6" t="n">
        <x:v>10</x:v>
      </x:c>
      <x:c r="J33" s="6" t="str">
        <x:f>IF(A33="","",IF(A34="","PASS",IF(AND(A34&gt;A33,B34&lt;=B33,H34&gt;=H33),"PASS","FAIL")))</x:f>
        <x:v>PASS</x:v>
      </x:c>
    </x:row>
    <x:row r="34">
      <x:c r="A34" s="6" t="n">
        <x:v>2016</x:v>
      </x:c>
      <x:c r="B34" s="19" t="n">
        <x:v>24048</x:v>
      </x:c>
      <x:c r="C34" s="19" t="n">
        <x:v>24048</x:v>
      </x:c>
      <x:c r="D34" s="19" t="n">
        <x:v>24051</x:v>
      </x:c>
      <x:c r="E34" s="19" t="n">
        <x:v>24098.4</x:v>
      </x:c>
      <x:c r="F34" s="19" t="n">
        <x:v>24159</x:v>
      </x:c>
      <x:c r="G34" s="19" t="n">
        <x:v>24248</x:v>
      </x:c>
      <x:c r="H34" s="19" t="n">
        <x:v>2463552.9</x:v>
      </x:c>
      <x:c r="I34" s="6" t="n">
        <x:v>10</x:v>
      </x:c>
      <x:c r="J34" s="6" t="str">
        <x:f>IF(A34="","",IF(A35="","PASS",IF(AND(A35&gt;A34,B35&lt;=B34,H35&gt;=H34),"PASS","FAIL")))</x:f>
        <x:v>PASS</x:v>
      </x:c>
    </x:row>
    <x:row r="35">
      <x:c r="A35" s="6" t="n">
        <x:v>2079</x:v>
      </x:c>
      <x:c r="B35" s="19" t="n">
        <x:v>24048</x:v>
      </x:c>
      <x:c r="C35" s="19" t="n">
        <x:v>24048</x:v>
      </x:c>
      <x:c r="D35" s="19" t="n">
        <x:v>24051</x:v>
      </x:c>
      <x:c r="E35" s="19" t="n">
        <x:v>24098.4</x:v>
      </x:c>
      <x:c r="F35" s="19" t="n">
        <x:v>24159</x:v>
      </x:c>
      <x:c r="G35" s="19" t="n">
        <x:v>24248</x:v>
      </x:c>
      <x:c r="H35" s="19" t="n">
        <x:v>2539826.6</x:v>
      </x:c>
      <x:c r="I35" s="6" t="n">
        <x:v>10</x:v>
      </x:c>
      <x:c r="J35" s="6" t="str">
        <x:f>IF(A35="","",IF(A36="","PASS",IF(AND(A36&gt;A35,B36&lt;=B35,H36&gt;=H35),"PASS","FAIL")))</x:f>
        <x:v>PASS</x:v>
      </x:c>
    </x:row>
    <x:row r="36">
      <x:c r="A36" s="6" t="n">
        <x:v>2142</x:v>
      </x:c>
      <x:c r="B36" s="19" t="n">
        <x:v>24048</x:v>
      </x:c>
      <x:c r="C36" s="19" t="n">
        <x:v>24048</x:v>
      </x:c>
      <x:c r="D36" s="19" t="n">
        <x:v>24051</x:v>
      </x:c>
      <x:c r="E36" s="19" t="n">
        <x:v>24098.4</x:v>
      </x:c>
      <x:c r="F36" s="19" t="n">
        <x:v>24159</x:v>
      </x:c>
      <x:c r="G36" s="19" t="n">
        <x:v>24248</x:v>
      </x:c>
      <x:c r="H36" s="19" t="n">
        <x:v>2616497.2</x:v>
      </x:c>
      <x:c r="I36" s="6" t="n">
        <x:v>10</x:v>
      </x:c>
      <x:c r="J36" s="6" t="str">
        <x:f>IF(A36="","",IF(A37="","PASS",IF(AND(A37&gt;A36,B37&lt;=B36,H37&gt;=H36),"PASS","FAIL")))</x:f>
        <x:v>PASS</x:v>
      </x:c>
    </x:row>
    <x:row r="37">
      <x:c r="A37" s="6" t="n">
        <x:v>2205</x:v>
      </x:c>
      <x:c r="B37" s="19" t="n">
        <x:v>24048</x:v>
      </x:c>
      <x:c r="C37" s="19" t="n">
        <x:v>24048</x:v>
      </x:c>
      <x:c r="D37" s="19" t="n">
        <x:v>24051</x:v>
      </x:c>
      <x:c r="E37" s="19" t="n">
        <x:v>24098.4</x:v>
      </x:c>
      <x:c r="F37" s="19" t="n">
        <x:v>24159</x:v>
      </x:c>
      <x:c r="G37" s="19" t="n">
        <x:v>24248</x:v>
      </x:c>
      <x:c r="H37" s="19" t="n">
        <x:v>2693518</x:v>
      </x:c>
      <x:c r="I37" s="6" t="n">
        <x:v>10</x:v>
      </x:c>
      <x:c r="J37" s="6" t="str">
        <x:f>IF(A37="","",IF(A38="","PASS",IF(AND(A38&gt;A37,B38&lt;=B37,H38&gt;=H37),"PASS","FAIL")))</x:f>
        <x:v>PASS</x:v>
      </x:c>
    </x:row>
    <x:row r="38">
      <x:c r="A38" s="6" t="n">
        <x:v>2268</x:v>
      </x:c>
      <x:c r="B38" s="19" t="n">
        <x:v>24048</x:v>
      </x:c>
      <x:c r="C38" s="19" t="n">
        <x:v>24048</x:v>
      </x:c>
      <x:c r="D38" s="19" t="n">
        <x:v>24051</x:v>
      </x:c>
      <x:c r="E38" s="19" t="n">
        <x:v>24098.4</x:v>
      </x:c>
      <x:c r="F38" s="19" t="n">
        <x:v>24159</x:v>
      </x:c>
      <x:c r="G38" s="19" t="n">
        <x:v>24248</x:v>
      </x:c>
      <x:c r="H38" s="19" t="n">
        <x:v>2769719.2</x:v>
      </x:c>
      <x:c r="I38" s="6" t="n">
        <x:v>10</x:v>
      </x:c>
      <x:c r="J38" s="6" t="str">
        <x:f>IF(A38="","",IF(A39="","PASS",IF(AND(A39&gt;A38,B39&lt;=B38,H39&gt;=H38),"PASS","FAIL")))</x:f>
        <x:v>PASS</x:v>
      </x:c>
    </x:row>
    <x:row r="39">
      <x:c r="A39" s="6" t="n">
        <x:v>2331</x:v>
      </x:c>
      <x:c r="B39" s="19" t="n">
        <x:v>24048</x:v>
      </x:c>
      <x:c r="C39" s="19" t="n">
        <x:v>24048</x:v>
      </x:c>
      <x:c r="D39" s="19" t="n">
        <x:v>24051</x:v>
      </x:c>
      <x:c r="E39" s="19" t="n">
        <x:v>24098.4</x:v>
      </x:c>
      <x:c r="F39" s="19" t="n">
        <x:v>24159</x:v>
      </x:c>
      <x:c r="G39" s="19" t="n">
        <x:v>24248</x:v>
      </x:c>
      <x:c r="H39" s="19" t="n">
        <x:v>2846070.3</x:v>
      </x:c>
      <x:c r="I39" s="6" t="n">
        <x:v>10</x:v>
      </x:c>
      <x:c r="J39" s="6" t="str">
        <x:f>IF(A39="","",IF(A40="","PASS",IF(AND(A40&gt;A39,B40&lt;=B39,H40&gt;=H39),"PASS","FAIL")))</x:f>
        <x:v>PASS</x:v>
      </x:c>
    </x:row>
    <x:row r="40">
      <x:c r="A40" s="6" t="n">
        <x:v>2394</x:v>
      </x:c>
      <x:c r="B40" s="19" t="n">
        <x:v>24048</x:v>
      </x:c>
      <x:c r="C40" s="19" t="n">
        <x:v>24048</x:v>
      </x:c>
      <x:c r="D40" s="19" t="n">
        <x:v>24051</x:v>
      </x:c>
      <x:c r="E40" s="19" t="n">
        <x:v>24098.4</x:v>
      </x:c>
      <x:c r="F40" s="19" t="n">
        <x:v>24159</x:v>
      </x:c>
      <x:c r="G40" s="19" t="n">
        <x:v>24248</x:v>
      </x:c>
      <x:c r="H40" s="19" t="n">
        <x:v>2922462.8</x:v>
      </x:c>
      <x:c r="I40" s="6" t="n">
        <x:v>10</x:v>
      </x:c>
      <x:c r="J40" s="6" t="str">
        <x:f>IF(A40="","",IF(A41="","PASS",IF(AND(A41&gt;A40,B41&lt;=B40,H41&gt;=H40),"PASS","FAIL")))</x:f>
        <x:v>PASS</x:v>
      </x:c>
    </x:row>
    <x:row r="41">
      <x:c r="A41" s="6" t="n">
        <x:v>2457</x:v>
      </x:c>
      <x:c r="B41" s="19" t="n">
        <x:v>24048</x:v>
      </x:c>
      <x:c r="C41" s="19" t="n">
        <x:v>24048</x:v>
      </x:c>
      <x:c r="D41" s="19" t="n">
        <x:v>24051</x:v>
      </x:c>
      <x:c r="E41" s="19" t="n">
        <x:v>24098.4</x:v>
      </x:c>
      <x:c r="F41" s="19" t="n">
        <x:v>24159</x:v>
      </x:c>
      <x:c r="G41" s="19" t="n">
        <x:v>24248</x:v>
      </x:c>
      <x:c r="H41" s="19" t="n">
        <x:v>2998723.9</x:v>
      </x:c>
      <x:c r="I41" s="6" t="n">
        <x:v>10</x:v>
      </x:c>
      <x:c r="J41" s="6" t="str">
        <x:f>IF(A41="","",IF(A42="","PASS",IF(AND(A42&gt;A41,B42&lt;=B41,H42&gt;=H41),"PASS","FAIL")))</x:f>
        <x:v>PASS</x:v>
      </x:c>
    </x:row>
    <x:row r="42">
      <x:c r="A42" s="6" t="n">
        <x:v>2500</x:v>
      </x:c>
      <x:c r="B42" s="19" t="n">
        <x:v>24048</x:v>
      </x:c>
      <x:c r="C42" s="19" t="n">
        <x:v>24048</x:v>
      </x:c>
      <x:c r="D42" s="19" t="n">
        <x:v>24051</x:v>
      </x:c>
      <x:c r="E42" s="19" t="n">
        <x:v>24098.4</x:v>
      </x:c>
      <x:c r="F42" s="19" t="n">
        <x:v>24159</x:v>
      </x:c>
      <x:c r="G42" s="19" t="n">
        <x:v>24248</x:v>
      </x:c>
      <x:c r="H42" s="19" t="n">
        <x:v>3050692.4</x:v>
      </x:c>
      <x:c r="I42" s="6" t="n">
        <x:v>10</x:v>
      </x:c>
      <x:c r="J42" s="6" t="str">
        <x:f>IF(A42="","",IF(A43="","PASS",IF(AND(A43&gt;A42,B43&lt;=B42,H43&gt;=H42),"PASS","FAIL")))</x:f>
        <x:v>PASS</x:v>
      </x:c>
    </x:row>
    <x:row r="43">
      <x:c r="A43" s="6"/>
      <x:c r="B43" s="6"/>
      <x:c r="C43" s="6"/>
      <x:c r="D43" s="6"/>
      <x:c r="E43" s="6"/>
      <x:c r="F43" s="6"/>
      <x:c r="G43" s="6"/>
      <x:c r="H43" s="6"/>
      <x:c r="I43" s="6"/>
      <x:c r="J43" s="6" t="str">
        <x:f>IF(A43="","",IF(A44="","PASS",IF(AND(A44&gt;A43,B44&lt;=B43,H44&gt;=H43),"PASS","FAIL")))</x:f>
      </x:c>
    </x:row>
    <x:row r="44">
      <x:c r="A44" s="6"/>
      <x:c r="B44" s="6"/>
      <x:c r="C44" s="6"/>
      <x:c r="D44" s="6"/>
      <x:c r="E44" s="6"/>
      <x:c r="F44" s="6"/>
      <x:c r="G44" s="6"/>
      <x:c r="H44" s="6"/>
      <x:c r="I44" s="6"/>
      <x:c r="J44" s="6" t="str">
        <x:f>IF(A44="","",IF(A45="","PASS",IF(AND(A45&gt;A44,B45&lt;=B44,H45&gt;=H44),"PASS","FAIL")))</x:f>
      </x:c>
    </x:row>
    <x:row r="45">
      <x:c r="A45" s="6"/>
      <x:c r="B45" s="6"/>
      <x:c r="C45" s="6"/>
      <x:c r="D45" s="6"/>
      <x:c r="E45" s="6"/>
      <x:c r="F45" s="6"/>
      <x:c r="G45" s="6"/>
      <x:c r="H45" s="6"/>
      <x:c r="I45" s="6"/>
      <x:c r="J45" s="6" t="str">
        <x:f>IF(A45="","",IF(A46="","PASS",IF(AND(A46&gt;A45,B46&lt;=B45,H46&gt;=H45),"PASS","FAIL")))</x:f>
      </x:c>
    </x:row>
    <x:row r="46">
      <x:c r="A46" s="6"/>
      <x:c r="B46" s="6"/>
      <x:c r="C46" s="6"/>
      <x:c r="D46" s="6"/>
      <x:c r="E46" s="6"/>
      <x:c r="F46" s="6"/>
      <x:c r="G46" s="6"/>
      <x:c r="H46" s="6"/>
      <x:c r="I46" s="6"/>
      <x:c r="J46" s="6" t="str">
        <x:f>IF(A46="","",IF(A47="","PASS",IF(AND(A47&gt;A46,B47&lt;=B46,H47&gt;=H46),"PASS","FAIL")))</x:f>
      </x:c>
    </x:row>
    <x:row r="47">
      <x:c r="A47" s="6"/>
      <x:c r="B47" s="6"/>
      <x:c r="C47" s="6"/>
      <x:c r="D47" s="6"/>
      <x:c r="E47" s="6"/>
      <x:c r="F47" s="6"/>
      <x:c r="G47" s="6"/>
      <x:c r="H47" s="6"/>
      <x:c r="I47" s="6"/>
      <x:c r="J47" s="6" t="str">
        <x:f>IF(A47="","",IF(A48="","PASS",IF(AND(A48&gt;A47,B48&lt;=B47,H48&gt;=H47),"PASS","FAIL")))</x:f>
      </x:c>
    </x:row>
    <x:row r="48">
      <x:c r="A48" s="6"/>
      <x:c r="B48" s="6"/>
      <x:c r="C48" s="6"/>
      <x:c r="D48" s="6"/>
      <x:c r="E48" s="6"/>
      <x:c r="F48" s="6"/>
      <x:c r="G48" s="6"/>
      <x:c r="H48" s="6"/>
      <x:c r="I48" s="6"/>
      <x:c r="J48" s="6" t="str">
        <x:f>IF(A48="","",IF(A49="","PASS",IF(AND(A49&gt;A48,B49&lt;=B48,H49&gt;=H48),"PASS","FAIL")))</x:f>
      </x:c>
    </x:row>
    <x:row r="49">
      <x:c r="A49" s="6"/>
      <x:c r="B49" s="6"/>
      <x:c r="C49" s="6"/>
      <x:c r="D49" s="6"/>
      <x:c r="E49" s="6"/>
      <x:c r="F49" s="6"/>
      <x:c r="G49" s="6"/>
      <x:c r="H49" s="6"/>
      <x:c r="I49" s="6"/>
      <x:c r="J49" s="6" t="str">
        <x:f>IF(A49="","",IF(A50="","PASS",IF(AND(A50&gt;A49,B50&lt;=B49,H50&gt;=H49),"PASS","FAIL")))</x:f>
      </x:c>
    </x:row>
    <x:row r="50">
      <x:c r="A50" s="6"/>
      <x:c r="B50" s="6"/>
      <x:c r="C50" s="6"/>
      <x:c r="D50" s="6"/>
      <x:c r="E50" s="6"/>
      <x:c r="F50" s="6"/>
      <x:c r="G50" s="6"/>
      <x:c r="H50" s="6"/>
      <x:c r="I50" s="6"/>
      <x:c r="J50" s="6" t="str">
        <x:f>IF(A50="","",IF(A51="","PASS",IF(AND(A51&gt;A50,B51&lt;=B50,H51&gt;=H50),"PASS","FAIL")))</x:f>
      </x:c>
    </x:row>
    <x:row r="51">
      <x:c r="A51" s="6"/>
      <x:c r="B51" s="6"/>
      <x:c r="C51" s="6"/>
      <x:c r="D51" s="6"/>
      <x:c r="E51" s="6"/>
      <x:c r="F51" s="6"/>
      <x:c r="G51" s="6"/>
      <x:c r="H51" s="6"/>
      <x:c r="I51" s="6"/>
      <x:c r="J51" s="6" t="str">
        <x:f>IF(A51="","",IF(A52="","PASS",IF(AND(A52&gt;A51,B52&lt;=B51,H52&gt;=H51),"PASS","FAIL")))</x:f>
      </x:c>
    </x:row>
    <x:row r="52">
      <x:c r="A52" s="6"/>
      <x:c r="B52" s="6"/>
      <x:c r="C52" s="6"/>
      <x:c r="D52" s="6"/>
      <x:c r="E52" s="6"/>
      <x:c r="F52" s="6"/>
      <x:c r="G52" s="6"/>
      <x:c r="H52" s="6"/>
      <x:c r="I52" s="6"/>
      <x:c r="J52" s="6" t="str">
        <x:f>IF(A52="","",IF(A53="","PASS",IF(AND(A53&gt;A52,B53&lt;=B52,H53&gt;=H52),"PASS","FAIL")))</x:f>
      </x:c>
    </x:row>
    <x:row r="53">
      <x:c r="A53" s="6"/>
      <x:c r="B53" s="6"/>
      <x:c r="C53" s="6"/>
      <x:c r="D53" s="6"/>
      <x:c r="E53" s="6"/>
      <x:c r="F53" s="6"/>
      <x:c r="G53" s="6"/>
      <x:c r="H53" s="6"/>
      <x:c r="I53" s="6"/>
      <x:c r="J53" s="6" t="str">
        <x:f>IF(A53="","",IF(A54="","PASS",IF(AND(A54&gt;A53,B54&lt;=B53,H54&gt;=H53),"PASS","FAIL")))</x:f>
      </x:c>
    </x:row>
    <x:row r="54">
      <x:c r="A54" s="6"/>
      <x:c r="B54" s="6"/>
      <x:c r="C54" s="6"/>
      <x:c r="D54" s="6"/>
      <x:c r="E54" s="6"/>
      <x:c r="F54" s="6"/>
      <x:c r="G54" s="6"/>
      <x:c r="H54" s="6"/>
      <x:c r="I54" s="6"/>
      <x:c r="J54" s="6" t="str">
        <x:f>IF(A54="","",IF(A55="","PASS",IF(AND(A55&gt;A54,B55&lt;=B54,H55&gt;=H54),"PASS","FAIL")))</x:f>
      </x:c>
    </x:row>
    <x:row r="55">
      <x:c r="A55" s="6"/>
      <x:c r="B55" s="6"/>
      <x:c r="C55" s="6"/>
      <x:c r="D55" s="6"/>
      <x:c r="E55" s="6"/>
      <x:c r="F55" s="6"/>
      <x:c r="G55" s="6"/>
      <x:c r="H55" s="6"/>
      <x:c r="I55" s="6"/>
      <x:c r="J55" s="6" t="str">
        <x:f>IF(A55="","",IF(A56="","PASS",IF(AND(A56&gt;A55,B56&lt;=B55,H56&gt;=H55),"PASS","FAIL")))</x:f>
      </x:c>
    </x:row>
    <x:row r="56">
      <x:c r="A56" s="6"/>
      <x:c r="B56" s="6"/>
      <x:c r="C56" s="6"/>
      <x:c r="D56" s="6"/>
      <x:c r="E56" s="6"/>
      <x:c r="F56" s="6"/>
      <x:c r="G56" s="6"/>
      <x:c r="H56" s="6"/>
      <x:c r="I56" s="6"/>
      <x:c r="J56" s="6" t="str">
        <x:f>IF(A56="","",IF(A57="","PASS",IF(AND(A57&gt;A56,B57&lt;=B56,H57&gt;=H56),"PASS","FAIL")))</x:f>
      </x:c>
    </x:row>
    <x:row r="57">
      <x:c r="A57" s="6"/>
      <x:c r="B57" s="6"/>
      <x:c r="C57" s="6"/>
      <x:c r="D57" s="6"/>
      <x:c r="E57" s="6"/>
      <x:c r="F57" s="6"/>
      <x:c r="G57" s="6"/>
      <x:c r="H57" s="6"/>
      <x:c r="I57" s="6"/>
      <x:c r="J57" s="6" t="str">
        <x:f>IF(A57="","",IF(A58="","PASS",IF(AND(A58&gt;A57,B58&lt;=B57,H58&gt;=H57),"PASS","FAIL")))</x:f>
      </x:c>
    </x:row>
    <x:row r="58">
      <x:c r="A58" s="6"/>
      <x:c r="B58" s="6"/>
      <x:c r="C58" s="6"/>
      <x:c r="D58" s="6"/>
      <x:c r="E58" s="6"/>
      <x:c r="F58" s="6"/>
      <x:c r="G58" s="6"/>
      <x:c r="H58" s="6"/>
      <x:c r="I58" s="6"/>
      <x:c r="J58" s="6" t="str">
        <x:f>IF(A58="","",IF(A59="","PASS",IF(AND(A59&gt;A58,B59&lt;=B58,H59&gt;=H58),"PASS","FAIL")))</x:f>
      </x:c>
    </x:row>
    <x:row r="59">
      <x:c r="A59" s="6"/>
      <x:c r="B59" s="6"/>
      <x:c r="C59" s="6"/>
      <x:c r="D59" s="6"/>
      <x:c r="E59" s="6"/>
      <x:c r="F59" s="6"/>
      <x:c r="G59" s="6"/>
      <x:c r="H59" s="6"/>
      <x:c r="I59" s="6"/>
      <x:c r="J59" s="6" t="str">
        <x:f>IF(A59="","",IF(A60="","PASS",IF(AND(A60&gt;A59,B60&lt;=B59,H60&gt;=H59),"PASS","FAIL")))</x:f>
      </x:c>
    </x:row>
    <x:row r="60">
      <x:c r="A60" s="6"/>
      <x:c r="B60" s="6"/>
      <x:c r="C60" s="6"/>
      <x:c r="D60" s="6"/>
      <x:c r="E60" s="6"/>
      <x:c r="F60" s="6"/>
      <x:c r="G60" s="6"/>
      <x:c r="H60" s="6"/>
      <x:c r="I60" s="6"/>
      <x:c r="J60" s="6" t="str">
        <x:f>IF(A60="","",IF(A61="","PASS",IF(AND(A61&gt;A60,B61&lt;=B60,H61&gt;=H60),"PASS","FAIL")))</x:f>
      </x:c>
    </x:row>
    <x:row r="61">
      <x:c r="A61" s="6"/>
      <x:c r="B61" s="6"/>
      <x:c r="C61" s="6"/>
      <x:c r="D61" s="6"/>
      <x:c r="E61" s="6"/>
      <x:c r="F61" s="6"/>
      <x:c r="G61" s="6"/>
      <x:c r="H61" s="6"/>
      <x:c r="I61" s="6"/>
      <x:c r="J61" s="6" t="str">
        <x:f>IF(A61="","",IF(A62="","PASS",IF(AND(A62&gt;A61,B62&lt;=B61,H62&gt;=H61),"PASS","FAIL")))</x:f>
      </x:c>
    </x:row>
    <x:row r="62">
      <x:c r="A62" s="6"/>
      <x:c r="B62" s="6"/>
      <x:c r="C62" s="6"/>
      <x:c r="D62" s="6"/>
      <x:c r="E62" s="6"/>
      <x:c r="F62" s="6"/>
      <x:c r="G62" s="6"/>
      <x:c r="H62" s="6"/>
      <x:c r="I62" s="6"/>
      <x:c r="J62" s="6" t="str">
        <x:f>IF(A62="","",IF(A63="","PASS",IF(AND(A63&gt;A62,B63&lt;=B62,H63&gt;=H62),"PASS","FAIL")))</x:f>
      </x:c>
    </x:row>
    <x:row r="63">
      <x:c r="A63" s="6"/>
      <x:c r="B63" s="6"/>
      <x:c r="C63" s="6"/>
      <x:c r="D63" s="6"/>
      <x:c r="E63" s="6"/>
      <x:c r="F63" s="6"/>
      <x:c r="G63" s="6"/>
      <x:c r="H63" s="6"/>
      <x:c r="I63" s="6"/>
      <x:c r="J63" s="6" t="str">
        <x:f>IF(A63="","",IF(A64="","PASS",IF(AND(A64&gt;A63,B64&lt;=B63,H64&gt;=H63),"PASS","FAIL")))</x:f>
      </x:c>
    </x:row>
    <x:row r="64">
      <x:c r="A64" s="6"/>
      <x:c r="B64" s="6"/>
      <x:c r="C64" s="6"/>
      <x:c r="D64" s="6"/>
      <x:c r="E64" s="6"/>
      <x:c r="F64" s="6"/>
      <x:c r="G64" s="6"/>
      <x:c r="H64" s="6"/>
      <x:c r="I64" s="6"/>
      <x:c r="J64" s="6" t="str">
        <x:f>IF(A64="","",IF(A65="","PASS",IF(AND(A65&gt;A64,B65&lt;=B64,H65&gt;=H64),"PASS","FAIL")))</x:f>
      </x:c>
    </x:row>
    <x:row r="65">
      <x:c r="A65" s="6"/>
      <x:c r="B65" s="6"/>
      <x:c r="C65" s="6"/>
      <x:c r="D65" s="6"/>
      <x:c r="E65" s="6"/>
      <x:c r="F65" s="6"/>
      <x:c r="G65" s="6"/>
      <x:c r="H65" s="6"/>
      <x:c r="I65" s="6"/>
      <x:c r="J65" s="6" t="str">
        <x:f>IF(A65="","",IF(A66="","PASS",IF(AND(A66&gt;A65,B66&lt;=B65,H66&gt;=H65),"PASS","FAIL")))</x:f>
      </x:c>
    </x:row>
    <x:row r="66">
      <x:c r="A66" s="6"/>
      <x:c r="B66" s="6"/>
      <x:c r="C66" s="6"/>
      <x:c r="D66" s="6"/>
      <x:c r="E66" s="6"/>
      <x:c r="F66" s="6"/>
      <x:c r="G66" s="6"/>
      <x:c r="H66" s="6"/>
      <x:c r="I66" s="6"/>
      <x:c r="J66" s="6" t="str">
        <x:f>IF(A66="","",IF(A67="","PASS",IF(AND(A67&gt;A66,B67&lt;=B66,H67&gt;=H66),"PASS","FAIL")))</x:f>
      </x:c>
    </x:row>
    <x:row r="67">
      <x:c r="A67" s="6"/>
      <x:c r="B67" s="6"/>
      <x:c r="C67" s="6"/>
      <x:c r="D67" s="6"/>
      <x:c r="E67" s="6"/>
      <x:c r="F67" s="6"/>
      <x:c r="G67" s="6"/>
      <x:c r="H67" s="6"/>
      <x:c r="I67" s="6"/>
      <x:c r="J67" s="6" t="str">
        <x:f>IF(A67="","",IF(A68="","PASS",IF(AND(A68&gt;A67,B68&lt;=B67,H68&gt;=H67),"PASS","FAIL")))</x:f>
      </x:c>
    </x:row>
    <x:row r="68">
      <x:c r="A68" s="6"/>
      <x:c r="B68" s="6"/>
      <x:c r="C68" s="6"/>
      <x:c r="D68" s="6"/>
      <x:c r="E68" s="6"/>
      <x:c r="F68" s="6"/>
      <x:c r="G68" s="6"/>
      <x:c r="H68" s="6"/>
      <x:c r="I68" s="6"/>
      <x:c r="J68" s="6" t="str">
        <x:f>IF(A68="","",IF(A69="","PASS",IF(AND(A69&gt;A68,B69&lt;=B68,H69&gt;=H68),"PASS","FAIL")))</x:f>
      </x:c>
    </x:row>
    <x:row r="69">
      <x:c r="A69" s="6"/>
      <x:c r="B69" s="6"/>
      <x:c r="C69" s="6"/>
      <x:c r="D69" s="6"/>
      <x:c r="E69" s="6"/>
      <x:c r="F69" s="6"/>
      <x:c r="G69" s="6"/>
      <x:c r="H69" s="6"/>
      <x:c r="I69" s="6"/>
      <x:c r="J69" s="6" t="str">
        <x:f>IF(A69="","",IF(A70="","PASS",IF(AND(A70&gt;A69,B70&lt;=B69,H70&gt;=H69),"PASS","FAIL")))</x:f>
      </x:c>
    </x:row>
    <x:row r="70">
      <x:c r="A70" s="6"/>
      <x:c r="B70" s="6"/>
      <x:c r="C70" s="6"/>
      <x:c r="D70" s="6"/>
      <x:c r="E70" s="6"/>
      <x:c r="F70" s="6"/>
      <x:c r="G70" s="6"/>
      <x:c r="H70" s="6"/>
      <x:c r="I70" s="6"/>
      <x:c r="J70" s="6" t="str">
        <x:f>IF(A70="","",IF(A71="","PASS",IF(AND(A71&gt;A70,B71&lt;=B70,H71&gt;=H70),"PASS","FAIL")))</x:f>
      </x:c>
    </x:row>
    <x:row r="71">
      <x:c r="A71" s="6"/>
      <x:c r="B71" s="6"/>
      <x:c r="C71" s="6"/>
      <x:c r="D71" s="6"/>
      <x:c r="E71" s="6"/>
      <x:c r="F71" s="6"/>
      <x:c r="G71" s="6"/>
      <x:c r="H71" s="6"/>
      <x:c r="I71" s="6"/>
      <x:c r="J71" s="6" t="str">
        <x:f>IF(A71="","",IF(A72="","PASS",IF(AND(A72&gt;A71,B72&lt;=B71,H72&gt;=H71),"PASS","FAIL")))</x:f>
      </x:c>
    </x:row>
    <x:row r="72">
      <x:c r="A72" s="6"/>
      <x:c r="B72" s="6"/>
      <x:c r="C72" s="6"/>
      <x:c r="D72" s="6"/>
      <x:c r="E72" s="6"/>
      <x:c r="F72" s="6"/>
      <x:c r="G72" s="6"/>
      <x:c r="H72" s="6"/>
      <x:c r="I72" s="6"/>
      <x:c r="J72" s="6" t="str">
        <x:f>IF(A72="","",IF(A73="","PASS",IF(AND(A73&gt;A72,B73&lt;=B72,H73&gt;=H72),"PASS","FAIL")))</x:f>
      </x:c>
    </x:row>
    <x:row r="73">
      <x:c r="A73" s="6"/>
      <x:c r="B73" s="6"/>
      <x:c r="C73" s="6"/>
      <x:c r="D73" s="6"/>
      <x:c r="E73" s="6"/>
      <x:c r="F73" s="6"/>
      <x:c r="G73" s="6"/>
      <x:c r="H73" s="6"/>
      <x:c r="I73" s="6"/>
      <x:c r="J73" s="6" t="str">
        <x:f>IF(A73="","",IF(A74="","PASS",IF(AND(A74&gt;A73,B74&lt;=B73,H74&gt;=H73),"PASS","FAIL")))</x:f>
      </x:c>
    </x:row>
    <x:row r="74">
      <x:c r="A74" s="6"/>
      <x:c r="B74" s="6"/>
      <x:c r="C74" s="6"/>
      <x:c r="D74" s="6"/>
      <x:c r="E74" s="6"/>
      <x:c r="F74" s="6"/>
      <x:c r="G74" s="6"/>
      <x:c r="H74" s="6"/>
      <x:c r="I74" s="6"/>
      <x:c r="J74" s="6" t="str">
        <x:f>IF(A74="","",IF(A75="","PASS",IF(AND(A75&gt;A74,B75&lt;=B74,H75&gt;=H74),"PASS","FAIL")))</x:f>
      </x:c>
    </x:row>
    <x:row r="75">
      <x:c r="A75" s="6"/>
      <x:c r="B75" s="6"/>
      <x:c r="C75" s="6"/>
      <x:c r="D75" s="6"/>
      <x:c r="E75" s="6"/>
      <x:c r="F75" s="6"/>
      <x:c r="G75" s="6"/>
      <x:c r="H75" s="6"/>
      <x:c r="I75" s="6"/>
      <x:c r="J75" s="6" t="str">
        <x:f>IF(A75="","",IF(A76="","PASS",IF(AND(A76&gt;A75,B76&lt;=B75,H76&gt;=H75),"PASS","FAIL")))</x:f>
      </x:c>
    </x:row>
    <x:row r="76">
      <x:c r="A76" s="6"/>
      <x:c r="B76" s="6"/>
      <x:c r="C76" s="6"/>
      <x:c r="D76" s="6"/>
      <x:c r="E76" s="6"/>
      <x:c r="F76" s="6"/>
      <x:c r="G76" s="6"/>
      <x:c r="H76" s="6"/>
      <x:c r="I76" s="6"/>
      <x:c r="J76" s="6" t="str">
        <x:f>IF(A76="","",IF(A77="","PASS",IF(AND(A77&gt;A76,B77&lt;=B76,H77&gt;=H76),"PASS","FAIL")))</x:f>
      </x:c>
    </x:row>
    <x:row r="77">
      <x:c r="A77" s="6"/>
      <x:c r="B77" s="6"/>
      <x:c r="C77" s="6"/>
      <x:c r="D77" s="6"/>
      <x:c r="E77" s="6"/>
      <x:c r="F77" s="6"/>
      <x:c r="G77" s="6"/>
      <x:c r="H77" s="6"/>
      <x:c r="I77" s="6"/>
      <x:c r="J77" s="6" t="str">
        <x:f>IF(A77="","",IF(A78="","PASS",IF(AND(A78&gt;A77,B78&lt;=B77,H78&gt;=H77),"PASS","FAIL")))</x:f>
      </x:c>
    </x:row>
    <x:row r="78">
      <x:c r="A78" s="6"/>
      <x:c r="B78" s="6"/>
      <x:c r="C78" s="6"/>
      <x:c r="D78" s="6"/>
      <x:c r="E78" s="6"/>
      <x:c r="F78" s="6"/>
      <x:c r="G78" s="6"/>
      <x:c r="H78" s="6"/>
      <x:c r="I78" s="6"/>
      <x:c r="J78" s="6" t="str">
        <x:f>IF(A78="","",IF(A79="","PASS",IF(AND(A79&gt;A78,B79&lt;=B78,H79&gt;=H78),"PASS","FAIL")))</x:f>
      </x:c>
    </x:row>
    <x:row r="79">
      <x:c r="A79" s="6"/>
      <x:c r="B79" s="6"/>
      <x:c r="C79" s="6"/>
      <x:c r="D79" s="6"/>
      <x:c r="E79" s="6"/>
      <x:c r="F79" s="6"/>
      <x:c r="G79" s="6"/>
      <x:c r="H79" s="6"/>
      <x:c r="I79" s="6"/>
      <x:c r="J79" s="6" t="str">
        <x:f>IF(A79="","",IF(A80="","PASS",IF(AND(A80&gt;A79,B80&lt;=B79,H80&gt;=H79),"PASS","FAIL")))</x:f>
      </x:c>
    </x:row>
    <x:row r="80">
      <x:c r="A80" s="6"/>
      <x:c r="B80" s="6"/>
      <x:c r="C80" s="6"/>
      <x:c r="D80" s="6"/>
      <x:c r="E80" s="6"/>
      <x:c r="F80" s="6"/>
      <x:c r="G80" s="6"/>
      <x:c r="H80" s="6"/>
      <x:c r="I80" s="6"/>
      <x:c r="J80" s="6" t="str">
        <x:f>IF(A80="","",IF(A81="","PASS",IF(AND(A81&gt;A80,B81&lt;=B80,H81&gt;=H80),"PASS","FAIL")))</x:f>
      </x:c>
    </x:row>
    <x:row r="81">
      <x:c r="A81" s="6"/>
      <x:c r="B81" s="6"/>
      <x:c r="C81" s="6"/>
      <x:c r="D81" s="6"/>
      <x:c r="E81" s="6"/>
      <x:c r="F81" s="6"/>
      <x:c r="G81" s="6"/>
      <x:c r="H81" s="6"/>
      <x:c r="I81" s="6"/>
      <x:c r="J81" s="6" t="str">
        <x:f>IF(A81="","",IF(A82="","PASS",IF(AND(A82&gt;A81,B82&lt;=B81,H82&gt;=H81),"PASS","FAIL")))</x:f>
      </x:c>
    </x:row>
    <x:row r="82">
      <x:c r="A82" s="6"/>
      <x:c r="B82" s="6"/>
      <x:c r="C82" s="6"/>
      <x:c r="D82" s="6"/>
      <x:c r="E82" s="6"/>
      <x:c r="F82" s="6"/>
      <x:c r="G82" s="6"/>
      <x:c r="H82" s="6"/>
      <x:c r="I82" s="6"/>
      <x:c r="J82" s="6" t="str">
        <x:f>IF(A82="","",IF(A83="","PASS",IF(AND(A83&gt;A82,B83&lt;=B82,H83&gt;=H82),"PASS","FAIL")))</x:f>
      </x:c>
    </x:row>
    <x:row r="83">
      <x:c r="A83" s="6"/>
      <x:c r="B83" s="6"/>
      <x:c r="C83" s="6"/>
      <x:c r="D83" s="6"/>
      <x:c r="E83" s="6"/>
      <x:c r="F83" s="6"/>
      <x:c r="G83" s="6"/>
      <x:c r="H83" s="6"/>
      <x:c r="I83" s="6"/>
      <x:c r="J83" s="6" t="str">
        <x:f>IF(A83="","",IF(A84="","PASS",IF(AND(A84&gt;A83,B84&lt;=B83,H84&gt;=H83),"PASS","FAIL")))</x:f>
      </x:c>
    </x:row>
    <x:row r="84">
      <x:c r="A84" s="6"/>
      <x:c r="B84" s="6"/>
      <x:c r="C84" s="6"/>
      <x:c r="D84" s="6"/>
      <x:c r="E84" s="6"/>
      <x:c r="F84" s="6"/>
      <x:c r="G84" s="6"/>
      <x:c r="H84" s="6"/>
      <x:c r="I84" s="6"/>
      <x:c r="J84" s="6" t="str">
        <x:f>IF(A84="","",IF(A85="","PASS",IF(AND(A85&gt;A84,B85&lt;=B84,H85&gt;=H84),"PASS","FAIL")))</x:f>
      </x:c>
    </x:row>
    <x:row r="85">
      <x:c r="A85" s="6"/>
      <x:c r="B85" s="6"/>
      <x:c r="C85" s="6"/>
      <x:c r="D85" s="6"/>
      <x:c r="E85" s="6"/>
      <x:c r="F85" s="6"/>
      <x:c r="G85" s="6"/>
      <x:c r="H85" s="6"/>
      <x:c r="I85" s="6"/>
      <x:c r="J85" s="6" t="str">
        <x:f>IF(A85="","",IF(A86="","PASS",IF(AND(A86&gt;A85,B86&lt;=B85,H86&gt;=H85),"PASS","FAIL")))</x:f>
      </x:c>
    </x:row>
    <x:row r="86">
      <x:c r="A86" s="6"/>
      <x:c r="B86" s="6"/>
      <x:c r="C86" s="6"/>
      <x:c r="D86" s="6"/>
      <x:c r="E86" s="6"/>
      <x:c r="F86" s="6"/>
      <x:c r="G86" s="6"/>
      <x:c r="H86" s="6"/>
      <x:c r="I86" s="6"/>
      <x:c r="J86" s="6" t="str">
        <x:f>IF(A86="","",IF(A87="","PASS",IF(AND(A87&gt;A86,B87&lt;=B86,H87&gt;=H86),"PASS","FAIL")))</x:f>
      </x:c>
    </x:row>
    <x:row r="87">
      <x:c r="A87" s="6"/>
      <x:c r="B87" s="6"/>
      <x:c r="C87" s="6"/>
      <x:c r="D87" s="6"/>
      <x:c r="E87" s="6"/>
      <x:c r="F87" s="6"/>
      <x:c r="G87" s="6"/>
      <x:c r="H87" s="6"/>
      <x:c r="I87" s="6"/>
      <x:c r="J87" s="6" t="str">
        <x:f>IF(A87="","",IF(A88="","PASS",IF(AND(A88&gt;A87,B88&lt;=B87,H88&gt;=H87),"PASS","FAIL")))</x:f>
      </x:c>
    </x:row>
    <x:row r="88">
      <x:c r="A88" s="6"/>
      <x:c r="B88" s="6"/>
      <x:c r="C88" s="6"/>
      <x:c r="D88" s="6"/>
      <x:c r="E88" s="6"/>
      <x:c r="F88" s="6"/>
      <x:c r="G88" s="6"/>
      <x:c r="H88" s="6"/>
      <x:c r="I88" s="6"/>
      <x:c r="J88" s="6" t="str">
        <x:f>IF(A88="","",IF(A89="","PASS",IF(AND(A89&gt;A88,B89&lt;=B88,H89&gt;=H88),"PASS","FAIL")))</x:f>
      </x:c>
    </x:row>
    <x:row r="89">
      <x:c r="A89" s="6"/>
      <x:c r="B89" s="6"/>
      <x:c r="C89" s="6"/>
      <x:c r="D89" s="6"/>
      <x:c r="E89" s="6"/>
      <x:c r="F89" s="6"/>
      <x:c r="G89" s="6"/>
      <x:c r="H89" s="6"/>
      <x:c r="I89" s="6"/>
      <x:c r="J89" s="6" t="str">
        <x:f>IF(A89="","",IF(A90="","PASS",IF(AND(A90&gt;A89,B90&lt;=B89,H90&gt;=H89),"PASS","FAIL")))</x:f>
      </x:c>
    </x:row>
    <x:row r="90">
      <x:c r="A90" s="6"/>
      <x:c r="B90" s="6"/>
      <x:c r="C90" s="6"/>
      <x:c r="D90" s="6"/>
      <x:c r="E90" s="6"/>
      <x:c r="F90" s="6"/>
      <x:c r="G90" s="6"/>
      <x:c r="H90" s="6"/>
      <x:c r="I90" s="6"/>
      <x:c r="J90" s="6" t="str">
        <x:f>IF(A90="","",IF(A91="","PASS",IF(AND(A91&gt;A90,B91&lt;=B90,H91&gt;=H90),"PASS","FAIL")))</x:f>
      </x:c>
    </x:row>
    <x:row r="91">
      <x:c r="A91" s="6"/>
      <x:c r="B91" s="6"/>
      <x:c r="C91" s="6"/>
      <x:c r="D91" s="6"/>
      <x:c r="E91" s="6"/>
      <x:c r="F91" s="6"/>
      <x:c r="G91" s="6"/>
      <x:c r="H91" s="6"/>
      <x:c r="I91" s="6"/>
      <x:c r="J91" s="6" t="str">
        <x:f>IF(A91="","",IF(A92="","PASS",IF(AND(A92&gt;A91,B92&lt;=B91,H92&gt;=H91),"PASS","FAIL")))</x:f>
      </x:c>
    </x:row>
    <x:row r="92">
      <x:c r="A92" s="6"/>
      <x:c r="B92" s="6"/>
      <x:c r="C92" s="6"/>
      <x:c r="D92" s="6"/>
      <x:c r="E92" s="6"/>
      <x:c r="F92" s="6"/>
      <x:c r="G92" s="6"/>
      <x:c r="H92" s="6"/>
      <x:c r="I92" s="6"/>
      <x:c r="J92" s="6" t="str">
        <x:f>IF(A92="","",IF(A93="","PASS",IF(AND(A93&gt;A92,B93&lt;=B92,H93&gt;=H92),"PASS","FAIL")))</x:f>
      </x:c>
    </x:row>
    <x:row r="93">
      <x:c r="A93" s="6"/>
      <x:c r="B93" s="6"/>
      <x:c r="C93" s="6"/>
      <x:c r="D93" s="6"/>
      <x:c r="E93" s="6"/>
      <x:c r="F93" s="6"/>
      <x:c r="G93" s="6"/>
      <x:c r="H93" s="6"/>
      <x:c r="I93" s="6"/>
      <x:c r="J93" s="6" t="str">
        <x:f>IF(A93="","",IF(A94="","PASS",IF(AND(A94&gt;A93,B94&lt;=B93,H94&gt;=H93),"PASS","FAIL")))</x:f>
      </x:c>
    </x:row>
    <x:row r="94">
      <x:c r="A94" s="6"/>
      <x:c r="B94" s="6"/>
      <x:c r="C94" s="6"/>
      <x:c r="D94" s="6"/>
      <x:c r="E94" s="6"/>
      <x:c r="F94" s="6"/>
      <x:c r="G94" s="6"/>
      <x:c r="H94" s="6"/>
      <x:c r="I94" s="6"/>
      <x:c r="J94" s="6" t="str">
        <x:f>IF(A94="","",IF(A95="","PASS",IF(AND(A95&gt;A94,B95&lt;=B94,H95&gt;=H94),"PASS","FAIL")))</x:f>
      </x:c>
    </x:row>
    <x:row r="95">
      <x:c r="A95" s="6"/>
      <x:c r="B95" s="6"/>
      <x:c r="C95" s="6"/>
      <x:c r="D95" s="6"/>
      <x:c r="E95" s="6"/>
      <x:c r="F95" s="6"/>
      <x:c r="G95" s="6"/>
      <x:c r="H95" s="6"/>
      <x:c r="I95" s="6"/>
      <x:c r="J95" s="6" t="str">
        <x:f>IF(A95="","",IF(A96="","PASS",IF(AND(A96&gt;A95,B96&lt;=B95,H96&gt;=H95),"PASS","FAIL")))</x:f>
      </x:c>
    </x:row>
    <x:row r="96">
      <x:c r="A96" s="6"/>
      <x:c r="B96" s="6"/>
      <x:c r="C96" s="6"/>
      <x:c r="D96" s="6"/>
      <x:c r="E96" s="6"/>
      <x:c r="F96" s="6"/>
      <x:c r="G96" s="6"/>
      <x:c r="H96" s="6"/>
      <x:c r="I96" s="6"/>
      <x:c r="J96" s="6" t="str">
        <x:f>IF(A96="","",IF(A97="","PASS",IF(AND(A97&gt;A96,B97&lt;=B96,H97&gt;=H96),"PASS","FAIL")))</x:f>
      </x:c>
    </x:row>
    <x:row r="97">
      <x:c r="A97" s="6"/>
      <x:c r="B97" s="6"/>
      <x:c r="C97" s="6"/>
      <x:c r="D97" s="6"/>
      <x:c r="E97" s="6"/>
      <x:c r="F97" s="6"/>
      <x:c r="G97" s="6"/>
      <x:c r="H97" s="6"/>
      <x:c r="I97" s="6"/>
      <x:c r="J97" s="6" t="str">
        <x:f>IF(A97="","",IF(A98="","PASS",IF(AND(A98&gt;A97,B98&lt;=B97,H98&gt;=H97),"PASS","FAIL")))</x:f>
      </x:c>
    </x:row>
    <x:row r="98">
      <x:c r="A98" s="6"/>
      <x:c r="B98" s="6"/>
      <x:c r="C98" s="6"/>
      <x:c r="D98" s="6"/>
      <x:c r="E98" s="6"/>
      <x:c r="F98" s="6"/>
      <x:c r="G98" s="6"/>
      <x:c r="H98" s="6"/>
      <x:c r="I98" s="6"/>
      <x:c r="J98" s="6" t="str">
        <x:f>IF(A98="","",IF(A99="","PASS",IF(AND(A99&gt;A98,B99&lt;=B98,H99&gt;=H98),"PASS","FAIL")))</x:f>
      </x:c>
    </x:row>
    <x:row r="99">
      <x:c r="A99" s="6"/>
      <x:c r="B99" s="6"/>
      <x:c r="C99" s="6"/>
      <x:c r="D99" s="6"/>
      <x:c r="E99" s="6"/>
      <x:c r="F99" s="6"/>
      <x:c r="G99" s="6"/>
      <x:c r="H99" s="6"/>
      <x:c r="I99" s="6"/>
      <x:c r="J99" s="6" t="str">
        <x:f>IF(A99="","",IF(A100="","PASS",IF(AND(A100&gt;A99,B100&lt;=B99,H100&gt;=H99),"PASS","FAIL")))</x:f>
      </x:c>
    </x:row>
    <x:row r="100">
      <x:c r="A100" s="6"/>
      <x:c r="B100" s="6"/>
      <x:c r="C100" s="6"/>
      <x:c r="D100" s="6"/>
      <x:c r="E100" s="6"/>
      <x:c r="F100" s="6"/>
      <x:c r="G100" s="6"/>
      <x:c r="H100" s="6"/>
      <x:c r="I100" s="6"/>
      <x:c r="J100" s="6" t="str">
        <x:f>IF(A100="","",IF(A101="","PASS",IF(AND(A101&gt;A100,B101&lt;=B100,H101&gt;=H100),"PASS","FAIL")))</x:f>
      </x:c>
    </x:row>
    <x:row r="101">
      <x:c r="A101" s="6"/>
      <x:c r="B101" s="6"/>
      <x:c r="C101" s="6"/>
      <x:c r="D101" s="6"/>
      <x:c r="E101" s="6"/>
      <x:c r="F101" s="6"/>
      <x:c r="G101" s="6"/>
      <x:c r="H101" s="6"/>
      <x:c r="I101" s="6"/>
      <x:c r="J101" s="6" t="str">
        <x:f>IF(A101="","",IF(A102="","PASS",IF(AND(A102&gt;A101,B102&lt;=B101,H102&gt;=H101),"PASS","FAIL")))</x:f>
      </x:c>
    </x:row>
    <x:row r="102">
      <x:c r="A102" s="6"/>
      <x:c r="B102" s="6"/>
      <x:c r="C102" s="6"/>
      <x:c r="D102" s="6"/>
      <x:c r="E102" s="6"/>
      <x:c r="F102" s="6"/>
      <x:c r="G102" s="6"/>
      <x:c r="H102" s="6"/>
      <x:c r="I102" s="6"/>
      <x:c r="J102" s="6" t="str">
        <x:f>IF(A102="","",IF(A103="","PASS",IF(AND(A103&gt;A102,B103&lt;=B102,H103&gt;=H102),"PASS","FAIL")))</x:f>
      </x:c>
    </x:row>
    <x:row r="103">
      <x:c r="A103" s="6"/>
      <x:c r="B103" s="6"/>
      <x:c r="C103" s="6"/>
      <x:c r="D103" s="6"/>
      <x:c r="E103" s="6"/>
      <x:c r="F103" s="6"/>
      <x:c r="G103" s="6"/>
      <x:c r="H103" s="6"/>
      <x:c r="I103" s="6"/>
      <x:c r="J103" s="6" t="str">
        <x:f>IF(A103="","",IF(A104="","PASS",IF(AND(A104&gt;A103,B104&lt;=B103,H104&gt;=H103),"PASS","FAIL")))</x:f>
      </x:c>
    </x:row>
    <x:row r="104">
      <x:c r="A104" s="6"/>
      <x:c r="B104" s="6"/>
      <x:c r="C104" s="6"/>
      <x:c r="D104" s="6"/>
      <x:c r="E104" s="6"/>
      <x:c r="F104" s="6"/>
      <x:c r="G104" s="6"/>
      <x:c r="H104" s="6"/>
      <x:c r="I104" s="6"/>
      <x:c r="J104" s="6" t="str">
        <x:f>IF(A104="","",IF(A105="","PASS",IF(AND(A105&gt;A104,B105&lt;=B104,H105&gt;=H104),"PASS","FAIL")))</x:f>
      </x:c>
    </x:row>
    <x:row r="105">
      <x:c r="A105" s="6"/>
      <x:c r="B105" s="6"/>
      <x:c r="C105" s="6"/>
      <x:c r="D105" s="6"/>
      <x:c r="E105" s="6"/>
      <x:c r="F105" s="6"/>
      <x:c r="G105" s="6"/>
      <x:c r="H105" s="6"/>
      <x:c r="I105" s="6"/>
      <x:c r="J105" s="6" t="str">
        <x:f>IF(A105="","",IF(A106="","PASS",IF(AND(A106&gt;A105,B106&lt;=B105,H106&gt;=H105),"PASS","FAIL")))</x:f>
      </x:c>
    </x:row>
    <x:row r="106">
      <x:c r="A106" s="6"/>
      <x:c r="B106" s="6"/>
      <x:c r="C106" s="6"/>
      <x:c r="D106" s="6"/>
      <x:c r="E106" s="6"/>
      <x:c r="F106" s="6"/>
      <x:c r="G106" s="6"/>
      <x:c r="H106" s="6"/>
      <x:c r="I106" s="6"/>
      <x:c r="J106" s="6" t="str">
        <x:f>IF(A106="","",IF(A107="","PASS",IF(AND(A107&gt;A106,B107&lt;=B106,H107&gt;=H106),"PASS","FAIL")))</x:f>
      </x:c>
    </x:row>
    <x:row r="107">
      <x:c r="A107" s="6"/>
      <x:c r="B107" s="6"/>
      <x:c r="C107" s="6"/>
      <x:c r="D107" s="6"/>
      <x:c r="E107" s="6"/>
      <x:c r="F107" s="6"/>
      <x:c r="G107" s="6"/>
      <x:c r="H107" s="6"/>
      <x:c r="I107" s="6"/>
      <x:c r="J107" s="6" t="str">
        <x:f>IF(A107="","",IF(A108="","PASS",IF(AND(A108&gt;A107,B108&lt;=B107,H108&gt;=H107),"PASS","FAIL")))</x:f>
      </x:c>
    </x:row>
    <x:row r="108">
      <x:c r="A108" s="6"/>
      <x:c r="B108" s="6"/>
      <x:c r="C108" s="6"/>
      <x:c r="D108" s="6"/>
      <x:c r="E108" s="6"/>
      <x:c r="F108" s="6"/>
      <x:c r="G108" s="6"/>
      <x:c r="H108" s="6"/>
      <x:c r="I108" s="6"/>
      <x:c r="J108" s="6" t="str">
        <x:f>IF(A108="","",IF(A109="","PASS",IF(AND(A109&gt;A108,B109&lt;=B108,H109&gt;=H108),"PASS","FAIL")))</x:f>
      </x:c>
    </x:row>
    <x:row r="109">
      <x:c r="A109" s="6"/>
      <x:c r="B109" s="6"/>
      <x:c r="C109" s="6"/>
      <x:c r="D109" s="6"/>
      <x:c r="E109" s="6"/>
      <x:c r="F109" s="6"/>
      <x:c r="G109" s="6"/>
      <x:c r="H109" s="6"/>
      <x:c r="I109" s="6"/>
      <x:c r="J109" s="6" t="str">
        <x:f>IF(A109="","",IF(A110="","PASS",IF(AND(A110&gt;A109,B110&lt;=B109,H110&gt;=H109),"PASS","FAIL")))</x:f>
      </x:c>
    </x:row>
    <x:row r="110">
      <x:c r="A110" s="6"/>
      <x:c r="B110" s="6"/>
      <x:c r="C110" s="6"/>
      <x:c r="D110" s="6"/>
      <x:c r="E110" s="6"/>
      <x:c r="F110" s="6"/>
      <x:c r="G110" s="6"/>
      <x:c r="H110" s="6"/>
      <x:c r="I110" s="6"/>
      <x:c r="J110" s="6" t="str">
        <x:f>IF(A110="","",IF(A111="","PASS",IF(AND(A111&gt;A110,B111&lt;=B110,H111&gt;=H110),"PASS","FAIL")))</x:f>
      </x:c>
    </x:row>
    <x:row r="111">
      <x:c r="A111" s="6"/>
      <x:c r="B111" s="6"/>
      <x:c r="C111" s="6"/>
      <x:c r="D111" s="6"/>
      <x:c r="E111" s="6"/>
      <x:c r="F111" s="6"/>
      <x:c r="G111" s="6"/>
      <x:c r="H111" s="6"/>
      <x:c r="I111" s="6"/>
      <x:c r="J111" s="6" t="str">
        <x:f>IF(A111="","",IF(A112="","PASS",IF(AND(A112&gt;A111,B112&lt;=B111,H112&gt;=H111),"PASS","FAIL")))</x:f>
      </x:c>
    </x:row>
    <x:row r="112">
      <x:c r="A112" s="6"/>
      <x:c r="B112" s="6"/>
      <x:c r="C112" s="6"/>
      <x:c r="D112" s="6"/>
      <x:c r="E112" s="6"/>
      <x:c r="F112" s="6"/>
      <x:c r="G112" s="6"/>
      <x:c r="H112" s="6"/>
      <x:c r="I112" s="6"/>
      <x:c r="J112" s="6" t="str">
        <x:f>IF(A112="","",IF(A113="","PASS",IF(AND(A113&gt;A112,B113&lt;=B112,H113&gt;=H112),"PASS","FAIL")))</x:f>
      </x:c>
    </x:row>
    <x:row r="113">
      <x:c r="A113" s="6"/>
      <x:c r="B113" s="6"/>
      <x:c r="C113" s="6"/>
      <x:c r="D113" s="6"/>
      <x:c r="E113" s="6"/>
      <x:c r="F113" s="6"/>
      <x:c r="G113" s="6"/>
      <x:c r="H113" s="6"/>
      <x:c r="I113" s="6"/>
      <x:c r="J113" s="6" t="str">
        <x:f>IF(A113="","",IF(A114="","PASS",IF(AND(A114&gt;A113,B114&lt;=B113,H114&gt;=H113),"PASS","FAIL")))</x:f>
      </x:c>
    </x:row>
    <x:row r="114">
      <x:c r="A114" s="6"/>
      <x:c r="B114" s="6"/>
      <x:c r="C114" s="6"/>
      <x:c r="D114" s="6"/>
      <x:c r="E114" s="6"/>
      <x:c r="F114" s="6"/>
      <x:c r="G114" s="6"/>
      <x:c r="H114" s="6"/>
      <x:c r="I114" s="6"/>
      <x:c r="J114" s="6" t="str">
        <x:f>IF(A114="","",IF(A115="","PASS",IF(AND(A115&gt;A114,B115&lt;=B114,H115&gt;=H114),"PASS","FAIL")))</x:f>
      </x:c>
    </x:row>
    <x:row r="115">
      <x:c r="A115" s="6"/>
      <x:c r="B115" s="6"/>
      <x:c r="C115" s="6"/>
      <x:c r="D115" s="6"/>
      <x:c r="E115" s="6"/>
      <x:c r="F115" s="6"/>
      <x:c r="G115" s="6"/>
      <x:c r="H115" s="6"/>
      <x:c r="I115" s="6"/>
      <x:c r="J115" s="6" t="str">
        <x:f>IF(A115="","",IF(A116="","PASS",IF(AND(A116&gt;A115,B116&lt;=B115,H116&gt;=H115),"PASS","FAIL")))</x:f>
      </x:c>
    </x:row>
    <x:row r="116">
      <x:c r="A116" s="6"/>
      <x:c r="B116" s="6"/>
      <x:c r="C116" s="6"/>
      <x:c r="D116" s="6"/>
      <x:c r="E116" s="6"/>
      <x:c r="F116" s="6"/>
      <x:c r="G116" s="6"/>
      <x:c r="H116" s="6"/>
      <x:c r="I116" s="6"/>
      <x:c r="J116" s="6" t="str">
        <x:f>IF(A116="","",IF(A117="","PASS",IF(AND(A117&gt;A116,B117&lt;=B116,H117&gt;=H116),"PASS","FAIL")))</x:f>
      </x:c>
    </x:row>
    <x:row r="117">
      <x:c r="A117" s="6"/>
      <x:c r="B117" s="6"/>
      <x:c r="C117" s="6"/>
      <x:c r="D117" s="6"/>
      <x:c r="E117" s="6"/>
      <x:c r="F117" s="6"/>
      <x:c r="G117" s="6"/>
      <x:c r="H117" s="6"/>
      <x:c r="I117" s="6"/>
      <x:c r="J117" s="6" t="str">
        <x:f>IF(A117="","",IF(A118="","PASS",IF(AND(A118&gt;A117,B118&lt;=B117,H118&gt;=H117),"PASS","FAIL")))</x:f>
      </x:c>
    </x:row>
    <x:row r="118">
      <x:c r="A118" s="6"/>
      <x:c r="B118" s="6"/>
      <x:c r="C118" s="6"/>
      <x:c r="D118" s="6"/>
      <x:c r="E118" s="6"/>
      <x:c r="F118" s="6"/>
      <x:c r="G118" s="6"/>
      <x:c r="H118" s="6"/>
      <x:c r="I118" s="6"/>
      <x:c r="J118" s="6" t="str">
        <x:f>IF(A118="","",IF(A119="","PASS",IF(AND(A119&gt;A118,B119&lt;=B118,H119&gt;=H118),"PASS","FAIL")))</x:f>
      </x:c>
    </x:row>
    <x:row r="119">
      <x:c r="A119" s="6"/>
      <x:c r="B119" s="6"/>
      <x:c r="C119" s="6"/>
      <x:c r="D119" s="6"/>
      <x:c r="E119" s="6"/>
      <x:c r="F119" s="6"/>
      <x:c r="G119" s="6"/>
      <x:c r="H119" s="6"/>
      <x:c r="I119" s="6"/>
      <x:c r="J119" s="6" t="str">
        <x:f>IF(A119="","",IF(A120="","PASS",IF(AND(A120&gt;A119,B120&lt;=B119,H120&gt;=H119),"PASS","FAIL")))</x:f>
      </x:c>
    </x:row>
    <x:row r="120">
      <x:c r="A120" s="6"/>
      <x:c r="B120" s="6"/>
      <x:c r="C120" s="6"/>
      <x:c r="D120" s="6"/>
      <x:c r="E120" s="6"/>
      <x:c r="F120" s="6"/>
      <x:c r="G120" s="6"/>
      <x:c r="H120" s="6"/>
      <x:c r="I120" s="6"/>
      <x:c r="J120" s="6" t="str">
        <x:f>IF(A120="","",IF(A121="","PASS",IF(AND(A121&gt;A120,B121&lt;=B120,H121&gt;=H120),"PASS","FAIL")))</x:f>
      </x:c>
    </x:row>
    <x:row r="121">
      <x:c r="A121" s="6"/>
      <x:c r="B121" s="6"/>
      <x:c r="C121" s="6"/>
      <x:c r="D121" s="6"/>
      <x:c r="E121" s="6"/>
      <x:c r="F121" s="6"/>
      <x:c r="G121" s="6"/>
      <x:c r="H121" s="6"/>
      <x:c r="I121" s="6"/>
      <x:c r="J121" s="6" t="str">
        <x:f>IF(A121="","",IF(A122="","PASS",IF(AND(A122&gt;A121,B122&lt;=B121,H122&gt;=H121),"PASS","FAIL")))</x:f>
      </x:c>
    </x:row>
    <x:row r="122">
      <x:c r="A122" s="6"/>
      <x:c r="B122" s="6"/>
      <x:c r="C122" s="6"/>
      <x:c r="D122" s="6"/>
      <x:c r="E122" s="6"/>
      <x:c r="F122" s="6"/>
      <x:c r="G122" s="6"/>
      <x:c r="H122" s="6"/>
      <x:c r="I122" s="6"/>
      <x:c r="J122" s="6" t="str">
        <x:f>IF(A122="","",IF(A123="","PASS",IF(AND(A123&gt;A122,B123&lt;=B122,H123&gt;=H122),"PASS","FAIL")))</x:f>
      </x:c>
    </x:row>
    <x:row r="123">
      <x:c r="A123" s="6"/>
      <x:c r="B123" s="6"/>
      <x:c r="C123" s="6"/>
      <x:c r="D123" s="6"/>
      <x:c r="E123" s="6"/>
      <x:c r="F123" s="6"/>
      <x:c r="G123" s="6"/>
      <x:c r="H123" s="6"/>
      <x:c r="I123" s="6"/>
      <x:c r="J123" s="6" t="str">
        <x:f>IF(A123="","",IF(A124="","PASS",IF(AND(A124&gt;A123,B124&lt;=B123,H124&gt;=H123),"PASS","FAIL")))</x:f>
      </x:c>
    </x:row>
    <x:row r="124">
      <x:c r="A124" s="6"/>
      <x:c r="B124" s="6"/>
      <x:c r="C124" s="6"/>
      <x:c r="D124" s="6"/>
      <x:c r="E124" s="6"/>
      <x:c r="F124" s="6"/>
      <x:c r="G124" s="6"/>
      <x:c r="H124" s="6"/>
      <x:c r="I124" s="6"/>
      <x:c r="J124" s="6" t="str">
        <x:f>IF(A124="","",IF(A125="","PASS",IF(AND(A125&gt;A124,B125&lt;=B124,H125&gt;=H124),"PASS","FAIL")))</x:f>
      </x:c>
    </x:row>
    <x:row r="125">
      <x:c r="A125" s="6"/>
      <x:c r="B125" s="6"/>
      <x:c r="C125" s="6"/>
      <x:c r="D125" s="6"/>
      <x:c r="E125" s="6"/>
      <x:c r="F125" s="6"/>
      <x:c r="G125" s="6"/>
      <x:c r="H125" s="6"/>
      <x:c r="I125" s="6"/>
      <x:c r="J125" s="6" t="str">
        <x:f>IF(A125="","",IF(A126="","PASS",IF(AND(A126&gt;A125,B126&lt;=B125,H126&gt;=H125),"PASS","FAIL")))</x:f>
      </x:c>
    </x:row>
    <x:row r="126">
      <x:c r="A126" s="6"/>
      <x:c r="B126" s="6"/>
      <x:c r="C126" s="6"/>
      <x:c r="D126" s="6"/>
      <x:c r="E126" s="6"/>
      <x:c r="F126" s="6"/>
      <x:c r="G126" s="6"/>
      <x:c r="H126" s="6"/>
      <x:c r="I126" s="6"/>
      <x:c r="J126" s="6" t="str">
        <x:f>IF(A126="","",IF(A127="","PASS",IF(AND(A127&gt;A126,B127&lt;=B126,H127&gt;=H126),"PASS","FAIL")))</x:f>
      </x:c>
    </x:row>
    <x:row r="127">
      <x:c r="A127" s="6"/>
      <x:c r="B127" s="6"/>
      <x:c r="C127" s="6"/>
      <x:c r="D127" s="6"/>
      <x:c r="E127" s="6"/>
      <x:c r="F127" s="6"/>
      <x:c r="G127" s="6"/>
      <x:c r="H127" s="6"/>
      <x:c r="I127" s="6"/>
      <x:c r="J127" s="6" t="str">
        <x:f>IF(A127="","",IF(A128="","PASS",IF(AND(A128&gt;A127,B128&lt;=B127,H128&gt;=H127),"PASS","FAIL")))</x:f>
      </x:c>
    </x:row>
    <x:row r="128">
      <x:c r="A128" s="6"/>
      <x:c r="B128" s="6"/>
      <x:c r="C128" s="6"/>
      <x:c r="D128" s="6"/>
      <x:c r="E128" s="6"/>
      <x:c r="F128" s="6"/>
      <x:c r="G128" s="6"/>
      <x:c r="H128" s="6"/>
      <x:c r="I128" s="6"/>
      <x:c r="J128" s="6" t="str">
        <x:f>IF(A128="","",IF(A129="","PASS",IF(AND(A129&gt;A128,B129&lt;=B128,H129&gt;=H128),"PASS","FAIL")))</x:f>
      </x:c>
    </x:row>
    <x:row r="129">
      <x:c r="A129" s="6"/>
      <x:c r="B129" s="6"/>
      <x:c r="C129" s="6"/>
      <x:c r="D129" s="6"/>
      <x:c r="E129" s="6"/>
      <x:c r="F129" s="6"/>
      <x:c r="G129" s="6"/>
      <x:c r="H129" s="6"/>
      <x:c r="I129" s="6"/>
      <x:c r="J129" s="6" t="str">
        <x:f>IF(A129="","",IF(A130="","PASS",IF(AND(A130&gt;A129,B130&lt;=B129,H130&gt;=H129),"PASS","FAIL")))</x:f>
      </x:c>
    </x:row>
    <x:row r="130">
      <x:c r="A130" s="6"/>
      <x:c r="B130" s="6"/>
      <x:c r="C130" s="6"/>
      <x:c r="D130" s="6"/>
      <x:c r="E130" s="6"/>
      <x:c r="F130" s="6"/>
      <x:c r="G130" s="6"/>
      <x:c r="H130" s="6"/>
      <x:c r="I130" s="6"/>
      <x:c r="J130" s="6" t="str">
        <x:f>IF(A130="","",IF(A131="","PASS",IF(AND(A131&gt;A130,B131&lt;=B130,H131&gt;=H130),"PASS","FAIL")))</x:f>
      </x:c>
    </x:row>
    <x:row r="131">
      <x:c r="A131" s="6"/>
      <x:c r="B131" s="6"/>
      <x:c r="C131" s="6"/>
      <x:c r="D131" s="6"/>
      <x:c r="E131" s="6"/>
      <x:c r="F131" s="6"/>
      <x:c r="G131" s="6"/>
      <x:c r="H131" s="6"/>
      <x:c r="I131" s="6"/>
      <x:c r="J131" s="6" t="str">
        <x:f>IF(A131="","",IF(A132="","PASS",IF(AND(A132&gt;A131,B132&lt;=B131,H132&gt;=H131),"PASS","FAIL")))</x:f>
      </x:c>
    </x:row>
    <x:row r="132">
      <x:c r="A132" s="6"/>
      <x:c r="B132" s="6"/>
      <x:c r="C132" s="6"/>
      <x:c r="D132" s="6"/>
      <x:c r="E132" s="6"/>
      <x:c r="F132" s="6"/>
      <x:c r="G132" s="6"/>
      <x:c r="H132" s="6"/>
      <x:c r="I132" s="6"/>
      <x:c r="J132" s="6" t="str">
        <x:f>IF(A132="","",IF(A133="","PASS",IF(AND(A133&gt;A132,B133&lt;=B132,H133&gt;=H132),"PASS","FAIL")))</x:f>
      </x:c>
    </x:row>
    <x:row r="133">
      <x:c r="A133" s="6"/>
      <x:c r="B133" s="6"/>
      <x:c r="C133" s="6"/>
      <x:c r="D133" s="6"/>
      <x:c r="E133" s="6"/>
      <x:c r="F133" s="6"/>
      <x:c r="G133" s="6"/>
      <x:c r="H133" s="6"/>
      <x:c r="I133" s="6"/>
      <x:c r="J133" s="6" t="str">
        <x:f>IF(A133="","",IF(A134="","PASS",IF(AND(A134&gt;A133,B134&lt;=B133,H134&gt;=H133),"PASS","FAIL")))</x:f>
      </x:c>
    </x:row>
    <x:row r="134">
      <x:c r="A134" s="6"/>
      <x:c r="B134" s="6"/>
      <x:c r="C134" s="6"/>
      <x:c r="D134" s="6"/>
      <x:c r="E134" s="6"/>
      <x:c r="F134" s="6"/>
      <x:c r="G134" s="6"/>
      <x:c r="H134" s="6"/>
      <x:c r="I134" s="6"/>
      <x:c r="J134" s="6" t="str">
        <x:f>IF(A134="","",IF(A135="","PASS",IF(AND(A135&gt;A134,B135&lt;=B134,H135&gt;=H134),"PASS","FAIL")))</x:f>
      </x:c>
    </x:row>
    <x:row r="135">
      <x:c r="A135" s="6"/>
      <x:c r="B135" s="6"/>
      <x:c r="C135" s="6"/>
      <x:c r="D135" s="6"/>
      <x:c r="E135" s="6"/>
      <x:c r="F135" s="6"/>
      <x:c r="G135" s="6"/>
      <x:c r="H135" s="6"/>
      <x:c r="I135" s="6"/>
      <x:c r="J135" s="6" t="str">
        <x:f>IF(A135="","",IF(A136="","PASS",IF(AND(A136&gt;A135,B136&lt;=B135,H136&gt;=H135),"PASS","FAIL")))</x:f>
      </x:c>
    </x:row>
    <x:row r="136">
      <x:c r="A136" s="6"/>
      <x:c r="B136" s="6"/>
      <x:c r="C136" s="6"/>
      <x:c r="D136" s="6"/>
      <x:c r="E136" s="6"/>
      <x:c r="F136" s="6"/>
      <x:c r="G136" s="6"/>
      <x:c r="H136" s="6"/>
      <x:c r="I136" s="6"/>
      <x:c r="J136" s="6" t="str">
        <x:f>IF(A136="","",IF(A137="","PASS",IF(AND(A137&gt;A136,B137&lt;=B136,H137&gt;=H136),"PASS","FAIL")))</x:f>
      </x:c>
    </x:row>
    <x:row r="137">
      <x:c r="A137" s="6"/>
      <x:c r="B137" s="6"/>
      <x:c r="C137" s="6"/>
      <x:c r="D137" s="6"/>
      <x:c r="E137" s="6"/>
      <x:c r="F137" s="6"/>
      <x:c r="G137" s="6"/>
      <x:c r="H137" s="6"/>
      <x:c r="I137" s="6"/>
      <x:c r="J137" s="6" t="str">
        <x:f>IF(A137="","",IF(A138="","PASS",IF(AND(A138&gt;A137,B138&lt;=B137,H138&gt;=H137),"PASS","FAIL")))</x:f>
      </x:c>
    </x:row>
    <x:row r="138">
      <x:c r="A138" s="6"/>
      <x:c r="B138" s="6"/>
      <x:c r="C138" s="6"/>
      <x:c r="D138" s="6"/>
      <x:c r="E138" s="6"/>
      <x:c r="F138" s="6"/>
      <x:c r="G138" s="6"/>
      <x:c r="H138" s="6"/>
      <x:c r="I138" s="6"/>
      <x:c r="J138" s="6" t="str">
        <x:f>IF(A138="","",IF(A139="","PASS",IF(AND(A139&gt;A138,B139&lt;=B138,H139&gt;=H138),"PASS","FAIL")))</x:f>
      </x:c>
    </x:row>
    <x:row r="139">
      <x:c r="A139" s="6"/>
      <x:c r="B139" s="6"/>
      <x:c r="C139" s="6"/>
      <x:c r="D139" s="6"/>
      <x:c r="E139" s="6"/>
      <x:c r="F139" s="6"/>
      <x:c r="G139" s="6"/>
      <x:c r="H139" s="6"/>
      <x:c r="I139" s="6"/>
      <x:c r="J139" s="6" t="str">
        <x:f>IF(A139="","",IF(A140="","PASS",IF(AND(A140&gt;A139,B140&lt;=B139,H140&gt;=H139),"PASS","FAIL")))</x:f>
      </x:c>
    </x:row>
    <x:row r="140">
      <x:c r="A140" s="6"/>
      <x:c r="B140" s="6"/>
      <x:c r="C140" s="6"/>
      <x:c r="D140" s="6"/>
      <x:c r="E140" s="6"/>
      <x:c r="F140" s="6"/>
      <x:c r="G140" s="6"/>
      <x:c r="H140" s="6"/>
      <x:c r="I140" s="6"/>
      <x:c r="J140" s="6" t="str">
        <x:f>IF(A140="","",IF(A141="","PASS",IF(AND(A141&gt;A140,B141&lt;=B140,H141&gt;=H140),"PASS","FAIL")))</x:f>
      </x:c>
    </x:row>
    <x:row r="141">
      <x:c r="A141" s="6"/>
      <x:c r="B141" s="6"/>
      <x:c r="C141" s="6"/>
      <x:c r="D141" s="6"/>
      <x:c r="E141" s="6"/>
      <x:c r="F141" s="6"/>
      <x:c r="G141" s="6"/>
      <x:c r="H141" s="6"/>
      <x:c r="I141" s="6"/>
      <x:c r="J141" s="6" t="str">
        <x:f>IF(A141="","",IF(A142="","PASS",IF(AND(A142&gt;A141,B142&lt;=B141,H142&gt;=H141),"PASS","FAIL")))</x:f>
      </x:c>
    </x:row>
    <x:row r="142">
      <x:c r="A142" s="6"/>
      <x:c r="B142" s="6"/>
      <x:c r="C142" s="6"/>
      <x:c r="D142" s="6"/>
      <x:c r="E142" s="6"/>
      <x:c r="F142" s="6"/>
      <x:c r="G142" s="6"/>
      <x:c r="H142" s="6"/>
      <x:c r="I142" s="6"/>
      <x:c r="J142" s="6" t="str">
        <x:f>IF(A142="","",IF(A143="","PASS",IF(AND(A143&gt;A142,B143&lt;=B142,H143&gt;=H142),"PASS","FAIL")))</x:f>
      </x:c>
    </x:row>
    <x:row r="143">
      <x:c r="A143" s="6"/>
      <x:c r="B143" s="6"/>
      <x:c r="C143" s="6"/>
      <x:c r="D143" s="6"/>
      <x:c r="E143" s="6"/>
      <x:c r="F143" s="6"/>
      <x:c r="G143" s="6"/>
      <x:c r="H143" s="6"/>
      <x:c r="I143" s="6"/>
      <x:c r="J143" s="6" t="str">
        <x:f>IF(A143="","",IF(A144="","PASS",IF(AND(A144&gt;A143,B144&lt;=B143,H144&gt;=H143),"PASS","FAIL")))</x:f>
      </x:c>
    </x:row>
    <x:row r="144">
      <x:c r="A144" s="6"/>
      <x:c r="B144" s="6"/>
      <x:c r="C144" s="6"/>
      <x:c r="D144" s="6"/>
      <x:c r="E144" s="6"/>
      <x:c r="F144" s="6"/>
      <x:c r="G144" s="6"/>
      <x:c r="H144" s="6"/>
      <x:c r="I144" s="6"/>
      <x:c r="J144" s="6" t="str">
        <x:f>IF(A144="","",IF(A145="","PASS",IF(AND(A145&gt;A144,B145&lt;=B144,H145&gt;=H144),"PASS","FAIL")))</x:f>
      </x:c>
    </x:row>
    <x:row r="145">
      <x:c r="A145" s="6"/>
      <x:c r="B145" s="6"/>
      <x:c r="C145" s="6"/>
      <x:c r="D145" s="6"/>
      <x:c r="E145" s="6"/>
      <x:c r="F145" s="6"/>
      <x:c r="G145" s="6"/>
      <x:c r="H145" s="6"/>
      <x:c r="I145" s="6"/>
      <x:c r="J145" s="6" t="str">
        <x:f>IF(A145="","",IF(A146="","PASS",IF(AND(A146&gt;A145,B146&lt;=B145,H146&gt;=H145),"PASS","FAIL")))</x:f>
      </x:c>
    </x:row>
    <x:row r="146">
      <x:c r="A146" s="6"/>
      <x:c r="B146" s="6"/>
      <x:c r="C146" s="6"/>
      <x:c r="D146" s="6"/>
      <x:c r="E146" s="6"/>
      <x:c r="F146" s="6"/>
      <x:c r="G146" s="6"/>
      <x:c r="H146" s="6"/>
      <x:c r="I146" s="6"/>
      <x:c r="J146" s="6" t="str">
        <x:f>IF(A146="","",IF(A147="","PASS",IF(AND(A147&gt;A146,B147&lt;=B146,H147&gt;=H146),"PASS","FAIL")))</x:f>
      </x:c>
    </x:row>
    <x:row r="147">
      <x:c r="A147" s="6"/>
      <x:c r="B147" s="6"/>
      <x:c r="C147" s="6"/>
      <x:c r="D147" s="6"/>
      <x:c r="E147" s="6"/>
      <x:c r="F147" s="6"/>
      <x:c r="G147" s="6"/>
      <x:c r="H147" s="6"/>
      <x:c r="I147" s="6"/>
      <x:c r="J147" s="6" t="str">
        <x:f>IF(A147="","",IF(A148="","PASS",IF(AND(A148&gt;A147,B148&lt;=B147,H148&gt;=H147),"PASS","FAIL")))</x:f>
      </x:c>
    </x:row>
    <x:row r="148">
      <x:c r="A148" s="6"/>
      <x:c r="B148" s="6"/>
      <x:c r="C148" s="6"/>
      <x:c r="D148" s="6"/>
      <x:c r="E148" s="6"/>
      <x:c r="F148" s="6"/>
      <x:c r="G148" s="6"/>
      <x:c r="H148" s="6"/>
      <x:c r="I148" s="6"/>
      <x:c r="J148" s="6" t="str">
        <x:f>IF(A148="","",IF(A149="","PASS",IF(AND(A149&gt;A148,B149&lt;=B148,H149&gt;=H148),"PASS","FAIL")))</x:f>
      </x:c>
    </x:row>
    <x:row r="149">
      <x:c r="A149" s="6"/>
      <x:c r="B149" s="6"/>
      <x:c r="C149" s="6"/>
      <x:c r="D149" s="6"/>
      <x:c r="E149" s="6"/>
      <x:c r="F149" s="6"/>
      <x:c r="G149" s="6"/>
      <x:c r="H149" s="6"/>
      <x:c r="I149" s="6"/>
      <x:c r="J149" s="6" t="str">
        <x:f>IF(A149="","",IF(A150="","PASS",IF(AND(A150&gt;A149,B150&lt;=B149,H150&gt;=H149),"PASS","FAIL")))</x:f>
      </x:c>
    </x:row>
    <x:row r="150">
      <x:c r="A150" s="6"/>
      <x:c r="B150" s="6"/>
      <x:c r="C150" s="6"/>
      <x:c r="D150" s="6"/>
      <x:c r="E150" s="6"/>
      <x:c r="F150" s="6"/>
      <x:c r="G150" s="6"/>
      <x:c r="H150" s="6"/>
      <x:c r="I150" s="6"/>
      <x:c r="J150" s="6" t="str">
        <x:f>IF(A150="","",IF(A151="","PASS",IF(AND(A151&gt;A150,B151&lt;=B150,H151&gt;=H150),"PASS","FAIL")))</x:f>
      </x:c>
    </x:row>
    <x:row r="151">
      <x:c r="A151" s="6"/>
      <x:c r="B151" s="6"/>
      <x:c r="C151" s="6"/>
      <x:c r="D151" s="6"/>
      <x:c r="E151" s="6"/>
      <x:c r="F151" s="6"/>
      <x:c r="G151" s="6"/>
      <x:c r="H151" s="6"/>
      <x:c r="I151" s="6"/>
      <x:c r="J151" s="6" t="str">
        <x:f>IF(A151="","",IF(A152="","PASS",IF(AND(A152&gt;A151,B152&lt;=B151,H152&gt;=H151),"PASS","FAIL")))</x:f>
      </x:c>
    </x:row>
    <x:row r="152">
      <x:c r="A152" s="6"/>
      <x:c r="B152" s="6"/>
      <x:c r="C152" s="6"/>
      <x:c r="D152" s="6"/>
      <x:c r="E152" s="6"/>
      <x:c r="F152" s="6"/>
      <x:c r="G152" s="6"/>
      <x:c r="H152" s="6"/>
      <x:c r="I152" s="6"/>
      <x:c r="J152" s="6"/>
    </x:row>
    <x:row r="153">
      <x:c r="A153" s="6"/>
      <x:c r="B153" s="6"/>
      <x:c r="C153" s="6"/>
      <x:c r="D153" s="6"/>
      <x:c r="E153" s="6"/>
      <x:c r="F153" s="6"/>
      <x:c r="G153" s="6"/>
      <x:c r="H153" s="6"/>
      <x:c r="I153" s="6"/>
      <x:c r="J153" s="6"/>
    </x:row>
    <x:row r="154">
      <x:c r="A154" s="6"/>
      <x:c r="B154" s="6"/>
      <x:c r="C154" s="6"/>
      <x:c r="D154" s="6"/>
      <x:c r="E154" s="6"/>
      <x:c r="F154" s="6"/>
      <x:c r="G154" s="6"/>
      <x:c r="H154" s="6"/>
      <x:c r="I154" s="6"/>
      <x:c r="J154" s="6"/>
    </x:row>
    <x:row r="155">
      <x:c r="A155" s="6"/>
      <x:c r="B155" s="6"/>
      <x:c r="C155" s="6"/>
      <x:c r="D155" s="6"/>
      <x:c r="E155" s="6"/>
      <x:c r="F155" s="6"/>
      <x:c r="G155" s="6"/>
      <x:c r="H155" s="6"/>
      <x:c r="I155" s="6"/>
      <x:c r="J155" s="6"/>
    </x:row>
    <x:row r="156">
      <x:c r="A156" s="6"/>
      <x:c r="B156" s="6"/>
      <x:c r="C156" s="6"/>
      <x:c r="D156" s="6"/>
      <x:c r="E156" s="6"/>
      <x:c r="F156" s="6"/>
      <x:c r="G156" s="6"/>
      <x:c r="H156" s="6"/>
      <x:c r="I156" s="6"/>
      <x:c r="J156" s="6"/>
    </x:row>
    <x:row r="157">
      <x:c r="A157" s="6"/>
      <x:c r="B157" s="6"/>
      <x:c r="C157" s="6"/>
      <x:c r="D157" s="6"/>
      <x:c r="E157" s="6"/>
      <x:c r="F157" s="6"/>
      <x:c r="G157" s="6"/>
      <x:c r="H157" s="6"/>
      <x:c r="I157" s="6"/>
      <x:c r="J157" s="6"/>
    </x:row>
    <x:row r="158">
      <x:c r="A158" s="6"/>
      <x:c r="B158" s="6"/>
      <x:c r="C158" s="6"/>
      <x:c r="D158" s="6"/>
      <x:c r="E158" s="6"/>
      <x:c r="F158" s="6"/>
      <x:c r="G158" s="6"/>
      <x:c r="H158" s="6"/>
      <x:c r="I158" s="6"/>
      <x:c r="J158" s="6"/>
    </x:row>
    <x:row r="159">
      <x:c r="A159" s="6"/>
      <x:c r="B159" s="6"/>
      <x:c r="C159" s="6"/>
      <x:c r="D159" s="6"/>
      <x:c r="E159" s="6"/>
      <x:c r="F159" s="6"/>
      <x:c r="G159" s="6"/>
      <x:c r="H159" s="6"/>
      <x:c r="I159" s="6"/>
      <x:c r="J159" s="6"/>
    </x:row>
    <x:row r="160">
      <x:c r="A160" s="6"/>
      <x:c r="B160" s="6"/>
      <x:c r="C160" s="6"/>
      <x:c r="D160" s="6"/>
      <x:c r="E160" s="6"/>
      <x:c r="F160" s="6"/>
      <x:c r="G160" s="6"/>
      <x:c r="H160" s="6"/>
      <x:c r="I160" s="6"/>
      <x:c r="J160" s="6"/>
    </x:row>
  </x:sheetData>
  <x:pageMargins left="0.7" right="0.7" top="0.75" bottom="0.75" header="0.3" footer="0.3"/>
  <x:tableParts count="1">
    <x:tablePart xmlns:r="http://schemas.openxmlformats.org/officeDocument/2006/relationships" r:id="R21a8740c684245e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7.21999979019165" hidden="0" customWidth="1"/>
    <x:col min="2" max="2" width="9.4399995803833" hidden="0" customWidth="1"/>
    <x:col min="3" max="3" width="7.21999979019165" hidden="0" customWidth="1"/>
    <x:col min="4" max="4" width="6.110000133514404" hidden="0" customWidth="1"/>
    <x:col min="5" max="5" width="7.78000020980835" hidden="0" customWidth="1"/>
    <x:col min="6" max="6" width="7.78000020980835" hidden="0" customWidth="1"/>
    <x:col min="7" max="7" width="10.5600004196167" hidden="0" customWidth="1"/>
    <x:col min="8" max="8" width="8.890000343322754" hidden="0" customWidth="1"/>
    <x:col min="9" max="9" width="8.329999923706055" hidden="0" customWidth="1"/>
    <x:col min="10" max="10" width="9.4399995803833" hidden="0" customWidth="1"/>
    <x:col min="11" max="11" width="10" hidden="0" customWidth="1"/>
    <x:col min="12" max="12" width="8.329999923706055" hidden="0" customWidth="1"/>
    <x:col min="13" max="13" width="6.670000076293945" hidden="0" customWidth="1"/>
    <x:col min="14" max="14" width="8.329999923706055" hidden="0" customWidth="1"/>
    <x:col min="15" max="15" width="10" hidden="0" customWidth="1"/>
    <x:col min="16" max="16" width="10" hidden="0" customWidth="1"/>
    <x:col min="17" max="17" width="10" hidden="0" customWidth="1"/>
    <x:col min="18" max="18" width="11.670000076293945" hidden="0" customWidth="1"/>
    <x:col min="19" max="19" width="7.78000020980835" hidden="0" customWidth="1"/>
    <x:col min="20" max="20" width="12.779999732971191" hidden="0" customWidth="1"/>
  </x:cols>
  <x:sheetData>
    <x:row r="1">
      <x:c r="A1" s="14" t="str">
        <x:v>position</x:v>
      </x:c>
      <x:c r="B1" s="18" t="str">
        <x:v>status</x:v>
      </x:c>
      <x:c r="C1" s="18" t="str">
        <x:v>job_id</x:v>
      </x:c>
      <x:c r="D1" s="18" t="str">
        <x:v>family</x:v>
      </x:c>
      <x:c r="E1" s="18" t="str">
        <x:v>release</x:v>
      </x:c>
      <x:c r="F1" s="18" t="str">
        <x:v>due</x:v>
      </x:c>
      <x:c r="G1" s="18" t="str">
        <x:v>hard_deadline</x:v>
      </x:c>
      <x:c r="H1" s="18" t="str">
        <x:v>setup_start</x:v>
      </x:c>
      <x:c r="I1" s="18" t="str">
        <x:v>setup_time</x:v>
      </x:c>
      <x:c r="J1" s="18" t="str">
        <x:v>process_start</x:v>
      </x:c>
      <x:c r="K1" s="18" t="str">
        <x:v>processing_time</x:v>
      </x:c>
      <x:c r="L1" s="18" t="str">
        <x:v>finish</x:v>
      </x:c>
      <x:c r="M1" s="18" t="str">
        <x:v>late</x:v>
      </x:c>
      <x:c r="N1" s="18" t="str">
        <x:v>setup_cost</x:v>
      </x:c>
      <x:c r="O1" s="18" t="str">
        <x:v>execution_cost</x:v>
      </x:c>
      <x:c r="P1" s="18" t="str">
        <x:v>tardiness_cost</x:v>
      </x:c>
      <x:c r="Q1" s="18" t="str">
        <x:v>rejection_cost</x:v>
      </x:c>
      <x:c r="R1" s="18" t="str">
        <x:v>total_contribution</x:v>
      </x:c>
      <x:c r="S1" s="18" t="str">
        <x:v>feasible</x:v>
      </x:c>
      <x:c r="T1" s="15" t="str">
        <x:v>job_duplicate_count</x:v>
      </x:c>
    </x:row>
    <x:row r="2">
      <x:c r="A2" s="6" t="n">
        <x:v>1</x:v>
      </x:c>
      <x:c r="B2" s="6" t="str">
        <x:v>scheduled</x:v>
      </x:c>
      <x:c r="C2" s="6" t="n">
        <x:v>41</x:v>
      </x:c>
      <x:c r="D2" s="6" t="n">
        <x:v>3</x:v>
      </x:c>
      <x:c r="E2" s="19" t="n">
        <x:v>0</x:v>
      </x:c>
      <x:c r="F2" s="19" t="n">
        <x:v>1400</x:v>
      </x:c>
      <x:c r="G2" s="19" t="n">
        <x:v>20000</x:v>
      </x:c>
      <x:c r="H2" s="19" t="n">
        <x:v>0</x:v>
      </x:c>
      <x:c r="I2" s="19" t="n">
        <x:v>0</x:v>
      </x:c>
      <x:c r="J2" s="19" t="n">
        <x:v>0</x:v>
      </x:c>
      <x:c r="K2" s="19" t="n">
        <x:v>70</x:v>
      </x:c>
      <x:c r="L2" s="19" t="n">
        <x:v>70</x:v>
      </x:c>
      <x:c r="M2" s="19" t="n">
        <x:v>0</x:v>
      </x:c>
      <x:c r="N2" s="19" t="n">
        <x:v>0</x:v>
      </x:c>
      <x:c r="O2" s="19" t="n">
        <x:v>100</x:v>
      </x:c>
      <x:c r="P2" s="19" t="n">
        <x:v>0</x:v>
      </x:c>
      <x:c r="Q2" s="19" t="n">
        <x:v>0</x:v>
      </x:c>
      <x:c r="R2" s="19" t="n">
        <x:v>100</x:v>
      </x:c>
      <x:c r="S2" s="7" t="b">
        <x:v>1</x:v>
      </x:c>
      <x:c r="T2" s="6" t="n">
        <x:f>IF(C2="","",COUNTIF($C$2:$C$601,C2))</x:f>
        <x:v>1</x:v>
      </x:c>
    </x:row>
    <x:row r="3">
      <x:c r="A3" s="6" t="n">
        <x:v>2</x:v>
      </x:c>
      <x:c r="B3" s="6" t="str">
        <x:v>scheduled</x:v>
      </x:c>
      <x:c r="C3" s="6" t="n">
        <x:v>40</x:v>
      </x:c>
      <x:c r="D3" s="6" t="n">
        <x:v>3</x:v>
      </x:c>
      <x:c r="E3" s="19" t="n">
        <x:v>0</x:v>
      </x:c>
      <x:c r="F3" s="19" t="n">
        <x:v>1200</x:v>
      </x:c>
      <x:c r="G3" s="19" t="n">
        <x:v>20000</x:v>
      </x:c>
      <x:c r="H3" s="19" t="n">
        <x:v>70</x:v>
      </x:c>
      <x:c r="I3" s="19" t="n">
        <x:v>0</x:v>
      </x:c>
      <x:c r="J3" s="19" t="n">
        <x:v>70</x:v>
      </x:c>
      <x:c r="K3" s="19" t="n">
        <x:v>70</x:v>
      </x:c>
      <x:c r="L3" s="19" t="n">
        <x:v>140</x:v>
      </x:c>
      <x:c r="M3" s="19" t="n">
        <x:v>0</x:v>
      </x:c>
      <x:c r="N3" s="19" t="n">
        <x:v>0</x:v>
      </x:c>
      <x:c r="O3" s="19" t="n">
        <x:v>100</x:v>
      </x:c>
      <x:c r="P3" s="19" t="n">
        <x:v>0</x:v>
      </x:c>
      <x:c r="Q3" s="19" t="n">
        <x:v>0</x:v>
      </x:c>
      <x:c r="R3" s="19" t="n">
        <x:v>100</x:v>
      </x:c>
      <x:c r="S3" s="7" t="b">
        <x:v>1</x:v>
      </x:c>
      <x:c r="T3" s="6" t="n">
        <x:f>IF(C3="","",COUNTIF($C$2:$C$601,C3))</x:f>
        <x:v>1</x:v>
      </x:c>
    </x:row>
    <x:row r="4">
      <x:c r="A4" s="6" t="n">
        <x:v>3</x:v>
      </x:c>
      <x:c r="B4" s="6" t="str">
        <x:v>scheduled</x:v>
      </x:c>
      <x:c r="C4" s="6" t="n">
        <x:v>39</x:v>
      </x:c>
      <x:c r="D4" s="6" t="n">
        <x:v>3</x:v>
      </x:c>
      <x:c r="E4" s="19" t="n">
        <x:v>0</x:v>
      </x:c>
      <x:c r="F4" s="19" t="n">
        <x:v>1400</x:v>
      </x:c>
      <x:c r="G4" s="19" t="n">
        <x:v>20000</x:v>
      </x:c>
      <x:c r="H4" s="19" t="n">
        <x:v>140</x:v>
      </x:c>
      <x:c r="I4" s="19" t="n">
        <x:v>0</x:v>
      </x:c>
      <x:c r="J4" s="19" t="n">
        <x:v>140</x:v>
      </x:c>
      <x:c r="K4" s="19" t="n">
        <x:v>70</x:v>
      </x:c>
      <x:c r="L4" s="19" t="n">
        <x:v>210</x:v>
      </x:c>
      <x:c r="M4" s="19" t="n">
        <x:v>0</x:v>
      </x:c>
      <x:c r="N4" s="19" t="n">
        <x:v>0</x:v>
      </x:c>
      <x:c r="O4" s="19" t="n">
        <x:v>100</x:v>
      </x:c>
      <x:c r="P4" s="19" t="n">
        <x:v>0</x:v>
      </x:c>
      <x:c r="Q4" s="19" t="n">
        <x:v>0</x:v>
      </x:c>
      <x:c r="R4" s="19" t="n">
        <x:v>100</x:v>
      </x:c>
      <x:c r="S4" s="7" t="b">
        <x:v>1</x:v>
      </x:c>
      <x:c r="T4" s="6" t="n">
        <x:f>IF(C4="","",COUNTIF($C$2:$C$601,C4))</x:f>
        <x:v>1</x:v>
      </x:c>
    </x:row>
    <x:row r="5">
      <x:c r="A5" s="6" t="n">
        <x:v>4</x:v>
      </x:c>
      <x:c r="B5" s="6" t="str">
        <x:v>scheduled</x:v>
      </x:c>
      <x:c r="C5" s="6" t="n">
        <x:v>37</x:v>
      </x:c>
      <x:c r="D5" s="6" t="n">
        <x:v>3</x:v>
      </x:c>
      <x:c r="E5" s="19" t="n">
        <x:v>0</x:v>
      </x:c>
      <x:c r="F5" s="19" t="n">
        <x:v>1400</x:v>
      </x:c>
      <x:c r="G5" s="19" t="n">
        <x:v>20000</x:v>
      </x:c>
      <x:c r="H5" s="19" t="n">
        <x:v>210</x:v>
      </x:c>
      <x:c r="I5" s="19" t="n">
        <x:v>0</x:v>
      </x:c>
      <x:c r="J5" s="19" t="n">
        <x:v>210</x:v>
      </x:c>
      <x:c r="K5" s="19" t="n">
        <x:v>70</x:v>
      </x:c>
      <x:c r="L5" s="19" t="n">
        <x:v>280</x:v>
      </x:c>
      <x:c r="M5" s="19" t="n">
        <x:v>0</x:v>
      </x:c>
      <x:c r="N5" s="19" t="n">
        <x:v>0</x:v>
      </x:c>
      <x:c r="O5" s="19" t="n">
        <x:v>100</x:v>
      </x:c>
      <x:c r="P5" s="19" t="n">
        <x:v>0</x:v>
      </x:c>
      <x:c r="Q5" s="19" t="n">
        <x:v>0</x:v>
      </x:c>
      <x:c r="R5" s="19" t="n">
        <x:v>100</x:v>
      </x:c>
      <x:c r="S5" s="7" t="b">
        <x:v>1</x:v>
      </x:c>
      <x:c r="T5" s="6" t="n">
        <x:f>IF(C5="","",COUNTIF($C$2:$C$601,C5))</x:f>
        <x:v>1</x:v>
      </x:c>
    </x:row>
    <x:row r="6">
      <x:c r="A6" s="6" t="n">
        <x:v>5</x:v>
      </x:c>
      <x:c r="B6" s="6" t="str">
        <x:v>scheduled</x:v>
      </x:c>
      <x:c r="C6" s="6" t="n">
        <x:v>47</x:v>
      </x:c>
      <x:c r="D6" s="6" t="n">
        <x:v>3</x:v>
      </x:c>
      <x:c r="E6" s="19" t="n">
        <x:v>0</x:v>
      </x:c>
      <x:c r="F6" s="19" t="n">
        <x:v>1200</x:v>
      </x:c>
      <x:c r="G6" s="19" t="n">
        <x:v>20000</x:v>
      </x:c>
      <x:c r="H6" s="19" t="n">
        <x:v>280</x:v>
      </x:c>
      <x:c r="I6" s="19" t="n">
        <x:v>0</x:v>
      </x:c>
      <x:c r="J6" s="19" t="n">
        <x:v>280</x:v>
      </x:c>
      <x:c r="K6" s="19" t="n">
        <x:v>70</x:v>
      </x:c>
      <x:c r="L6" s="19" t="n">
        <x:v>350</x:v>
      </x:c>
      <x:c r="M6" s="19" t="n">
        <x:v>0</x:v>
      </x:c>
      <x:c r="N6" s="19" t="n">
        <x:v>0</x:v>
      </x:c>
      <x:c r="O6" s="19" t="n">
        <x:v>100</x:v>
      </x:c>
      <x:c r="P6" s="19" t="n">
        <x:v>0</x:v>
      </x:c>
      <x:c r="Q6" s="19" t="n">
        <x:v>0</x:v>
      </x:c>
      <x:c r="R6" s="19" t="n">
        <x:v>100</x:v>
      </x:c>
      <x:c r="S6" s="7" t="b">
        <x:v>1</x:v>
      </x:c>
      <x:c r="T6" s="6" t="n">
        <x:f>IF(C6="","",COUNTIF($C$2:$C$601,C6))</x:f>
        <x:v>1</x:v>
      </x:c>
    </x:row>
    <x:row r="7">
      <x:c r="A7" s="6" t="n">
        <x:v>6</x:v>
      </x:c>
      <x:c r="B7" s="6" t="str">
        <x:v>scheduled</x:v>
      </x:c>
      <x:c r="C7" s="6" t="n">
        <x:v>45</x:v>
      </x:c>
      <x:c r="D7" s="6" t="n">
        <x:v>3</x:v>
      </x:c>
      <x:c r="E7" s="19" t="n">
        <x:v>0</x:v>
      </x:c>
      <x:c r="F7" s="19" t="n">
        <x:v>1200</x:v>
      </x:c>
      <x:c r="G7" s="19" t="n">
        <x:v>20000</x:v>
      </x:c>
      <x:c r="H7" s="19" t="n">
        <x:v>350</x:v>
      </x:c>
      <x:c r="I7" s="19" t="n">
        <x:v>0</x:v>
      </x:c>
      <x:c r="J7" s="19" t="n">
        <x:v>350</x:v>
      </x:c>
      <x:c r="K7" s="19" t="n">
        <x:v>70</x:v>
      </x:c>
      <x:c r="L7" s="19" t="n">
        <x:v>420</x:v>
      </x:c>
      <x:c r="M7" s="19" t="n">
        <x:v>0</x:v>
      </x:c>
      <x:c r="N7" s="19" t="n">
        <x:v>0</x:v>
      </x:c>
      <x:c r="O7" s="19" t="n">
        <x:v>100</x:v>
      </x:c>
      <x:c r="P7" s="19" t="n">
        <x:v>0</x:v>
      </x:c>
      <x:c r="Q7" s="19" t="n">
        <x:v>0</x:v>
      </x:c>
      <x:c r="R7" s="19" t="n">
        <x:v>100</x:v>
      </x:c>
      <x:c r="S7" s="7" t="b">
        <x:v>1</x:v>
      </x:c>
      <x:c r="T7" s="6" t="n">
        <x:f>IF(C7="","",COUNTIF($C$2:$C$601,C7))</x:f>
        <x:v>1</x:v>
      </x:c>
    </x:row>
    <x:row r="8">
      <x:c r="A8" s="6" t="n">
        <x:v>7</x:v>
      </x:c>
      <x:c r="B8" s="6" t="str">
        <x:v>scheduled</x:v>
      </x:c>
      <x:c r="C8" s="6" t="n">
        <x:v>43</x:v>
      </x:c>
      <x:c r="D8" s="6" t="n">
        <x:v>3</x:v>
      </x:c>
      <x:c r="E8" s="19" t="n">
        <x:v>0</x:v>
      </x:c>
      <x:c r="F8" s="19" t="n">
        <x:v>1400</x:v>
      </x:c>
      <x:c r="G8" s="19" t="n">
        <x:v>20000</x:v>
      </x:c>
      <x:c r="H8" s="19" t="n">
        <x:v>420</x:v>
      </x:c>
      <x:c r="I8" s="19" t="n">
        <x:v>0</x:v>
      </x:c>
      <x:c r="J8" s="19" t="n">
        <x:v>420</x:v>
      </x:c>
      <x:c r="K8" s="19" t="n">
        <x:v>70</x:v>
      </x:c>
      <x:c r="L8" s="19" t="n">
        <x:v>490</x:v>
      </x:c>
      <x:c r="M8" s="19" t="n">
        <x:v>0</x:v>
      </x:c>
      <x:c r="N8" s="19" t="n">
        <x:v>0</x:v>
      </x:c>
      <x:c r="O8" s="19" t="n">
        <x:v>100</x:v>
      </x:c>
      <x:c r="P8" s="19" t="n">
        <x:v>0</x:v>
      </x:c>
      <x:c r="Q8" s="19" t="n">
        <x:v>0</x:v>
      </x:c>
      <x:c r="R8" s="19" t="n">
        <x:v>100</x:v>
      </x:c>
      <x:c r="S8" s="7" t="b">
        <x:v>1</x:v>
      </x:c>
      <x:c r="T8" s="6" t="n">
        <x:f>IF(C8="","",COUNTIF($C$2:$C$601,C8))</x:f>
        <x:v>1</x:v>
      </x:c>
    </x:row>
    <x:row r="9">
      <x:c r="A9" s="6" t="n">
        <x:v>8</x:v>
      </x:c>
      <x:c r="B9" s="6" t="str">
        <x:v>scheduled</x:v>
      </x:c>
      <x:c r="C9" s="6" t="n">
        <x:v>42</x:v>
      </x:c>
      <x:c r="D9" s="6" t="n">
        <x:v>3</x:v>
      </x:c>
      <x:c r="E9" s="19" t="n">
        <x:v>0</x:v>
      </x:c>
      <x:c r="F9" s="19" t="n">
        <x:v>1400</x:v>
      </x:c>
      <x:c r="G9" s="19" t="n">
        <x:v>20000</x:v>
      </x:c>
      <x:c r="H9" s="19" t="n">
        <x:v>490</x:v>
      </x:c>
      <x:c r="I9" s="19" t="n">
        <x:v>0</x:v>
      </x:c>
      <x:c r="J9" s="19" t="n">
        <x:v>490</x:v>
      </x:c>
      <x:c r="K9" s="19" t="n">
        <x:v>70</x:v>
      </x:c>
      <x:c r="L9" s="19" t="n">
        <x:v>560</x:v>
      </x:c>
      <x:c r="M9" s="19" t="n">
        <x:v>0</x:v>
      </x:c>
      <x:c r="N9" s="19" t="n">
        <x:v>0</x:v>
      </x:c>
      <x:c r="O9" s="19" t="n">
        <x:v>100</x:v>
      </x:c>
      <x:c r="P9" s="19" t="n">
        <x:v>0</x:v>
      </x:c>
      <x:c r="Q9" s="19" t="n">
        <x:v>0</x:v>
      </x:c>
      <x:c r="R9" s="19" t="n">
        <x:v>100</x:v>
      </x:c>
      <x:c r="S9" s="7" t="b">
        <x:v>1</x:v>
      </x:c>
      <x:c r="T9" s="6" t="n">
        <x:f>IF(C9="","",COUNTIF($C$2:$C$601,C9))</x:f>
        <x:v>1</x:v>
      </x:c>
    </x:row>
    <x:row r="10">
      <x:c r="A10" s="6" t="n">
        <x:v>9</x:v>
      </x:c>
      <x:c r="B10" s="6" t="str">
        <x:v>scheduled</x:v>
      </x:c>
      <x:c r="C10" s="6" t="n">
        <x:v>44</x:v>
      </x:c>
      <x:c r="D10" s="6" t="n">
        <x:v>3</x:v>
      </x:c>
      <x:c r="E10" s="19" t="n">
        <x:v>0</x:v>
      </x:c>
      <x:c r="F10" s="19" t="n">
        <x:v>1400</x:v>
      </x:c>
      <x:c r="G10" s="19" t="n">
        <x:v>20000</x:v>
      </x:c>
      <x:c r="H10" s="19" t="n">
        <x:v>560</x:v>
      </x:c>
      <x:c r="I10" s="19" t="n">
        <x:v>0</x:v>
      </x:c>
      <x:c r="J10" s="19" t="n">
        <x:v>560</x:v>
      </x:c>
      <x:c r="K10" s="19" t="n">
        <x:v>70</x:v>
      </x:c>
      <x:c r="L10" s="19" t="n">
        <x:v>630</x:v>
      </x:c>
      <x:c r="M10" s="19" t="n">
        <x:v>0</x:v>
      </x:c>
      <x:c r="N10" s="19" t="n">
        <x:v>0</x:v>
      </x:c>
      <x:c r="O10" s="19" t="n">
        <x:v>100</x:v>
      </x:c>
      <x:c r="P10" s="19" t="n">
        <x:v>0</x:v>
      </x:c>
      <x:c r="Q10" s="19" t="n">
        <x:v>0</x:v>
      </x:c>
      <x:c r="R10" s="19" t="n">
        <x:v>100</x:v>
      </x:c>
      <x:c r="S10" s="7" t="b">
        <x:v>1</x:v>
      </x:c>
      <x:c r="T10" s="6" t="n">
        <x:f>IF(C10="","",COUNTIF($C$2:$C$601,C10))</x:f>
        <x:v>1</x:v>
      </x:c>
    </x:row>
    <x:row r="11">
      <x:c r="A11" s="6" t="n">
        <x:v>10</x:v>
      </x:c>
      <x:c r="B11" s="6" t="str">
        <x:v>scheduled</x:v>
      </x:c>
      <x:c r="C11" s="6" t="n">
        <x:v>38</x:v>
      </x:c>
      <x:c r="D11" s="6" t="n">
        <x:v>3</x:v>
      </x:c>
      <x:c r="E11" s="19" t="n">
        <x:v>0</x:v>
      </x:c>
      <x:c r="F11" s="19" t="n">
        <x:v>1400</x:v>
      </x:c>
      <x:c r="G11" s="19" t="n">
        <x:v>20000</x:v>
      </x:c>
      <x:c r="H11" s="19" t="n">
        <x:v>630</x:v>
      </x:c>
      <x:c r="I11" s="19" t="n">
        <x:v>0</x:v>
      </x:c>
      <x:c r="J11" s="19" t="n">
        <x:v>630</x:v>
      </x:c>
      <x:c r="K11" s="19" t="n">
        <x:v>70</x:v>
      </x:c>
      <x:c r="L11" s="19" t="n">
        <x:v>700</x:v>
      </x:c>
      <x:c r="M11" s="19" t="n">
        <x:v>0</x:v>
      </x:c>
      <x:c r="N11" s="19" t="n">
        <x:v>0</x:v>
      </x:c>
      <x:c r="O11" s="19" t="n">
        <x:v>100</x:v>
      </x:c>
      <x:c r="P11" s="19" t="n">
        <x:v>0</x:v>
      </x:c>
      <x:c r="Q11" s="19" t="n">
        <x:v>0</x:v>
      </x:c>
      <x:c r="R11" s="19" t="n">
        <x:v>100</x:v>
      </x:c>
      <x:c r="S11" s="7" t="b">
        <x:v>1</x:v>
      </x:c>
      <x:c r="T11" s="6" t="n">
        <x:f>IF(C11="","",COUNTIF($C$2:$C$601,C11))</x:f>
        <x:v>1</x:v>
      </x:c>
    </x:row>
    <x:row r="12">
      <x:c r="A12" s="6" t="n">
        <x:v>11</x:v>
      </x:c>
      <x:c r="B12" s="6" t="str">
        <x:v>scheduled</x:v>
      </x:c>
      <x:c r="C12" s="6" t="n">
        <x:v>46</x:v>
      </x:c>
      <x:c r="D12" s="6" t="n">
        <x:v>3</x:v>
      </x:c>
      <x:c r="E12" s="19" t="n">
        <x:v>0</x:v>
      </x:c>
      <x:c r="F12" s="19" t="n">
        <x:v>1400</x:v>
      </x:c>
      <x:c r="G12" s="19" t="n">
        <x:v>20000</x:v>
      </x:c>
      <x:c r="H12" s="19" t="n">
        <x:v>700</x:v>
      </x:c>
      <x:c r="I12" s="19" t="n">
        <x:v>0</x:v>
      </x:c>
      <x:c r="J12" s="19" t="n">
        <x:v>700</x:v>
      </x:c>
      <x:c r="K12" s="19" t="n">
        <x:v>70</x:v>
      </x:c>
      <x:c r="L12" s="19" t="n">
        <x:v>770</x:v>
      </x:c>
      <x:c r="M12" s="19" t="n">
        <x:v>0</x:v>
      </x:c>
      <x:c r="N12" s="19" t="n">
        <x:v>0</x:v>
      </x:c>
      <x:c r="O12" s="19" t="n">
        <x:v>100</x:v>
      </x:c>
      <x:c r="P12" s="19" t="n">
        <x:v>0</x:v>
      </x:c>
      <x:c r="Q12" s="19" t="n">
        <x:v>0</x:v>
      </x:c>
      <x:c r="R12" s="19" t="n">
        <x:v>100</x:v>
      </x:c>
      <x:c r="S12" s="7" t="b">
        <x:v>1</x:v>
      </x:c>
      <x:c r="T12" s="6" t="n">
        <x:f>IF(C12="","",COUNTIF($C$2:$C$601,C12))</x:f>
        <x:v>1</x:v>
      </x:c>
    </x:row>
    <x:row r="13">
      <x:c r="A13" s="6" t="n">
        <x:v>12</x:v>
      </x:c>
      <x:c r="B13" s="6" t="str">
        <x:v>scheduled</x:v>
      </x:c>
      <x:c r="C13" s="6" t="n">
        <x:v>62</x:v>
      </x:c>
      <x:c r="D13" s="6" t="n">
        <x:v>2</x:v>
      </x:c>
      <x:c r="E13" s="19" t="n">
        <x:v>0</x:v>
      </x:c>
      <x:c r="F13" s="19" t="n">
        <x:v>2000</x:v>
      </x:c>
      <x:c r="G13" s="19" t="n">
        <x:v>20000</x:v>
      </x:c>
      <x:c r="H13" s="19" t="n">
        <x:v>770</x:v>
      </x:c>
      <x:c r="I13" s="19" t="n">
        <x:v>3</x:v>
      </x:c>
      <x:c r="J13" s="19" t="n">
        <x:v>773</x:v>
      </x:c>
      <x:c r="K13" s="19" t="n">
        <x:v>90</x:v>
      </x:c>
      <x:c r="L13" s="19" t="n">
        <x:v>863</x:v>
      </x:c>
      <x:c r="M13" s="19" t="n">
        <x:v>0</x:v>
      </x:c>
      <x:c r="N13" s="19" t="n">
        <x:v>60</x:v>
      </x:c>
      <x:c r="O13" s="19" t="n">
        <x:v>100</x:v>
      </x:c>
      <x:c r="P13" s="19" t="n">
        <x:v>0</x:v>
      </x:c>
      <x:c r="Q13" s="19" t="n">
        <x:v>0</x:v>
      </x:c>
      <x:c r="R13" s="19" t="n">
        <x:v>160</x:v>
      </x:c>
      <x:c r="S13" s="7" t="b">
        <x:v>1</x:v>
      </x:c>
      <x:c r="T13" s="6" t="n">
        <x:f>IF(C13="","",COUNTIF($C$2:$C$601,C13))</x:f>
        <x:v>1</x:v>
      </x:c>
    </x:row>
    <x:row r="14">
      <x:c r="A14" s="6" t="n">
        <x:v>13</x:v>
      </x:c>
      <x:c r="B14" s="6" t="str">
        <x:v>scheduled</x:v>
      </x:c>
      <x:c r="C14" s="6" t="n">
        <x:v>56</x:v>
      </x:c>
      <x:c r="D14" s="6" t="n">
        <x:v>2</x:v>
      </x:c>
      <x:c r="E14" s="19" t="n">
        <x:v>0</x:v>
      </x:c>
      <x:c r="F14" s="19" t="n">
        <x:v>1900</x:v>
      </x:c>
      <x:c r="G14" s="19" t="n">
        <x:v>20000</x:v>
      </x:c>
      <x:c r="H14" s="19" t="n">
        <x:v>863</x:v>
      </x:c>
      <x:c r="I14" s="19" t="n">
        <x:v>0</x:v>
      </x:c>
      <x:c r="J14" s="19" t="n">
        <x:v>863</x:v>
      </x:c>
      <x:c r="K14" s="19" t="n">
        <x:v>90</x:v>
      </x:c>
      <x:c r="L14" s="19" t="n">
        <x:v>953</x:v>
      </x:c>
      <x:c r="M14" s="19" t="n">
        <x:v>0</x:v>
      </x:c>
      <x:c r="N14" s="19" t="n">
        <x:v>0</x:v>
      </x:c>
      <x:c r="O14" s="19" t="n">
        <x:v>100</x:v>
      </x:c>
      <x:c r="P14" s="19" t="n">
        <x:v>0</x:v>
      </x:c>
      <x:c r="Q14" s="19" t="n">
        <x:v>0</x:v>
      </x:c>
      <x:c r="R14" s="19" t="n">
        <x:v>100</x:v>
      </x:c>
      <x:c r="S14" s="7" t="b">
        <x:v>1</x:v>
      </x:c>
      <x:c r="T14" s="6" t="n">
        <x:f>IF(C14="","",COUNTIF($C$2:$C$601,C14))</x:f>
        <x:v>1</x:v>
      </x:c>
    </x:row>
    <x:row r="15">
      <x:c r="A15" s="6" t="n">
        <x:v>14</x:v>
      </x:c>
      <x:c r="B15" s="6" t="str">
        <x:v>scheduled</x:v>
      </x:c>
      <x:c r="C15" s="6" t="n">
        <x:v>57</x:v>
      </x:c>
      <x:c r="D15" s="6" t="n">
        <x:v>2</x:v>
      </x:c>
      <x:c r="E15" s="19" t="n">
        <x:v>0</x:v>
      </x:c>
      <x:c r="F15" s="19" t="n">
        <x:v>1900</x:v>
      </x:c>
      <x:c r="G15" s="19" t="n">
        <x:v>20000</x:v>
      </x:c>
      <x:c r="H15" s="19" t="n">
        <x:v>953</x:v>
      </x:c>
      <x:c r="I15" s="19" t="n">
        <x:v>0</x:v>
      </x:c>
      <x:c r="J15" s="19" t="n">
        <x:v>953</x:v>
      </x:c>
      <x:c r="K15" s="19" t="n">
        <x:v>90</x:v>
      </x:c>
      <x:c r="L15" s="19" t="n">
        <x:v>1043</x:v>
      </x:c>
      <x:c r="M15" s="19" t="n">
        <x:v>0</x:v>
      </x:c>
      <x:c r="N15" s="19" t="n">
        <x:v>0</x:v>
      </x:c>
      <x:c r="O15" s="19" t="n">
        <x:v>100</x:v>
      </x:c>
      <x:c r="P15" s="19" t="n">
        <x:v>0</x:v>
      </x:c>
      <x:c r="Q15" s="19" t="n">
        <x:v>0</x:v>
      </x:c>
      <x:c r="R15" s="19" t="n">
        <x:v>100</x:v>
      </x:c>
      <x:c r="S15" s="7" t="b">
        <x:v>1</x:v>
      </x:c>
      <x:c r="T15" s="6" t="n">
        <x:f>IF(C15="","",COUNTIF($C$2:$C$601,C15))</x:f>
        <x:v>1</x:v>
      </x:c>
    </x:row>
    <x:row r="16">
      <x:c r="A16" s="6" t="n">
        <x:v>15</x:v>
      </x:c>
      <x:c r="B16" s="6" t="str">
        <x:v>scheduled</x:v>
      </x:c>
      <x:c r="C16" s="6" t="n">
        <x:v>63</x:v>
      </x:c>
      <x:c r="D16" s="6" t="n">
        <x:v>2</x:v>
      </x:c>
      <x:c r="E16" s="19" t="n">
        <x:v>0</x:v>
      </x:c>
      <x:c r="F16" s="19" t="n">
        <x:v>2000</x:v>
      </x:c>
      <x:c r="G16" s="19" t="n">
        <x:v>20000</x:v>
      </x:c>
      <x:c r="H16" s="19" t="n">
        <x:v>1043</x:v>
      </x:c>
      <x:c r="I16" s="19" t="n">
        <x:v>0</x:v>
      </x:c>
      <x:c r="J16" s="19" t="n">
        <x:v>1043</x:v>
      </x:c>
      <x:c r="K16" s="19" t="n">
        <x:v>90</x:v>
      </x:c>
      <x:c r="L16" s="19" t="n">
        <x:v>1133</x:v>
      </x:c>
      <x:c r="M16" s="19" t="n">
        <x:v>0</x:v>
      </x:c>
      <x:c r="N16" s="19" t="n">
        <x:v>0</x:v>
      </x:c>
      <x:c r="O16" s="19" t="n">
        <x:v>100</x:v>
      </x:c>
      <x:c r="P16" s="19" t="n">
        <x:v>0</x:v>
      </x:c>
      <x:c r="Q16" s="19" t="n">
        <x:v>0</x:v>
      </x:c>
      <x:c r="R16" s="19" t="n">
        <x:v>100</x:v>
      </x:c>
      <x:c r="S16" s="7" t="b">
        <x:v>1</x:v>
      </x:c>
      <x:c r="T16" s="6" t="n">
        <x:f>IF(C16="","",COUNTIF($C$2:$C$601,C16))</x:f>
        <x:v>1</x:v>
      </x:c>
    </x:row>
    <x:row r="17">
      <x:c r="A17" s="6" t="n">
        <x:v>16</x:v>
      </x:c>
      <x:c r="B17" s="6" t="str">
        <x:v>scheduled</x:v>
      </x:c>
      <x:c r="C17" s="6" t="n">
        <x:v>61</x:v>
      </x:c>
      <x:c r="D17" s="6" t="n">
        <x:v>2</x:v>
      </x:c>
      <x:c r="E17" s="19" t="n">
        <x:v>0</x:v>
      </x:c>
      <x:c r="F17" s="19" t="n">
        <x:v>2000</x:v>
      </x:c>
      <x:c r="G17" s="19" t="n">
        <x:v>20000</x:v>
      </x:c>
      <x:c r="H17" s="19" t="n">
        <x:v>1133</x:v>
      </x:c>
      <x:c r="I17" s="19" t="n">
        <x:v>0</x:v>
      </x:c>
      <x:c r="J17" s="19" t="n">
        <x:v>1133</x:v>
      </x:c>
      <x:c r="K17" s="19" t="n">
        <x:v>90</x:v>
      </x:c>
      <x:c r="L17" s="19" t="n">
        <x:v>1223</x:v>
      </x:c>
      <x:c r="M17" s="19" t="n">
        <x:v>0</x:v>
      </x:c>
      <x:c r="N17" s="19" t="n">
        <x:v>0</x:v>
      </x:c>
      <x:c r="O17" s="19" t="n">
        <x:v>100</x:v>
      </x:c>
      <x:c r="P17" s="19" t="n">
        <x:v>0</x:v>
      </x:c>
      <x:c r="Q17" s="19" t="n">
        <x:v>0</x:v>
      </x:c>
      <x:c r="R17" s="19" t="n">
        <x:v>100</x:v>
      </x:c>
      <x:c r="S17" s="7" t="b">
        <x:v>1</x:v>
      </x:c>
      <x:c r="T17" s="6" t="n">
        <x:f>IF(C17="","",COUNTIF($C$2:$C$601,C17))</x:f>
        <x:v>1</x:v>
      </x:c>
    </x:row>
    <x:row r="18">
      <x:c r="A18" s="6" t="n">
        <x:v>17</x:v>
      </x:c>
      <x:c r="B18" s="6" t="str">
        <x:v>scheduled</x:v>
      </x:c>
      <x:c r="C18" s="6" t="n">
        <x:v>58</x:v>
      </x:c>
      <x:c r="D18" s="6" t="n">
        <x:v>2</x:v>
      </x:c>
      <x:c r="E18" s="19" t="n">
        <x:v>0</x:v>
      </x:c>
      <x:c r="F18" s="19" t="n">
        <x:v>1900</x:v>
      </x:c>
      <x:c r="G18" s="19" t="n">
        <x:v>20000</x:v>
      </x:c>
      <x:c r="H18" s="19" t="n">
        <x:v>1223</x:v>
      </x:c>
      <x:c r="I18" s="19" t="n">
        <x:v>0</x:v>
      </x:c>
      <x:c r="J18" s="19" t="n">
        <x:v>1223</x:v>
      </x:c>
      <x:c r="K18" s="19" t="n">
        <x:v>90</x:v>
      </x:c>
      <x:c r="L18" s="19" t="n">
        <x:v>1313</x:v>
      </x:c>
      <x:c r="M18" s="19" t="n">
        <x:v>0</x:v>
      </x:c>
      <x:c r="N18" s="19" t="n">
        <x:v>0</x:v>
      </x:c>
      <x:c r="O18" s="19" t="n">
        <x:v>100</x:v>
      </x:c>
      <x:c r="P18" s="19" t="n">
        <x:v>0</x:v>
      </x:c>
      <x:c r="Q18" s="19" t="n">
        <x:v>0</x:v>
      </x:c>
      <x:c r="R18" s="19" t="n">
        <x:v>100</x:v>
      </x:c>
      <x:c r="S18" s="7" t="b">
        <x:v>1</x:v>
      </x:c>
      <x:c r="T18" s="6" t="n">
        <x:f>IF(C18="","",COUNTIF($C$2:$C$601,C18))</x:f>
        <x:v>1</x:v>
      </x:c>
    </x:row>
    <x:row r="19">
      <x:c r="A19" s="6" t="n">
        <x:v>18</x:v>
      </x:c>
      <x:c r="B19" s="6" t="str">
        <x:v>scheduled</x:v>
      </x:c>
      <x:c r="C19" s="6" t="n">
        <x:v>64</x:v>
      </x:c>
      <x:c r="D19" s="6" t="n">
        <x:v>2</x:v>
      </x:c>
      <x:c r="E19" s="19" t="n">
        <x:v>0</x:v>
      </x:c>
      <x:c r="F19" s="19" t="n">
        <x:v>2000</x:v>
      </x:c>
      <x:c r="G19" s="19" t="n">
        <x:v>20000</x:v>
      </x:c>
      <x:c r="H19" s="19" t="n">
        <x:v>1313</x:v>
      </x:c>
      <x:c r="I19" s="19" t="n">
        <x:v>0</x:v>
      </x:c>
      <x:c r="J19" s="19" t="n">
        <x:v>1313</x:v>
      </x:c>
      <x:c r="K19" s="19" t="n">
        <x:v>90</x:v>
      </x:c>
      <x:c r="L19" s="19" t="n">
        <x:v>1403</x:v>
      </x:c>
      <x:c r="M19" s="19" t="n">
        <x:v>0</x:v>
      </x:c>
      <x:c r="N19" s="19" t="n">
        <x:v>0</x:v>
      </x:c>
      <x:c r="O19" s="19" t="n">
        <x:v>100</x:v>
      </x:c>
      <x:c r="P19" s="19" t="n">
        <x:v>0</x:v>
      </x:c>
      <x:c r="Q19" s="19" t="n">
        <x:v>0</x:v>
      </x:c>
      <x:c r="R19" s="19" t="n">
        <x:v>100</x:v>
      </x:c>
      <x:c r="S19" s="7" t="b">
        <x:v>1</x:v>
      </x:c>
      <x:c r="T19" s="6" t="n">
        <x:f>IF(C19="","",COUNTIF($C$2:$C$601,C19))</x:f>
        <x:v>1</x:v>
      </x:c>
    </x:row>
    <x:row r="20">
      <x:c r="A20" s="6" t="n">
        <x:v>19</x:v>
      </x:c>
      <x:c r="B20" s="6" t="str">
        <x:v>scheduled</x:v>
      </x:c>
      <x:c r="C20" s="6" t="n">
        <x:v>68</x:v>
      </x:c>
      <x:c r="D20" s="6" t="n">
        <x:v>2</x:v>
      </x:c>
      <x:c r="E20" s="19" t="n">
        <x:v>0</x:v>
      </x:c>
      <x:c r="F20" s="19" t="n">
        <x:v>2000</x:v>
      </x:c>
      <x:c r="G20" s="19" t="n">
        <x:v>20000</x:v>
      </x:c>
      <x:c r="H20" s="19" t="n">
        <x:v>1403</x:v>
      </x:c>
      <x:c r="I20" s="19" t="n">
        <x:v>0</x:v>
      </x:c>
      <x:c r="J20" s="19" t="n">
        <x:v>1403</x:v>
      </x:c>
      <x:c r="K20" s="19" t="n">
        <x:v>90</x:v>
      </x:c>
      <x:c r="L20" s="19" t="n">
        <x:v>1493</x:v>
      </x:c>
      <x:c r="M20" s="19" t="n">
        <x:v>0</x:v>
      </x:c>
      <x:c r="N20" s="19" t="n">
        <x:v>0</x:v>
      </x:c>
      <x:c r="O20" s="19" t="n">
        <x:v>100</x:v>
      </x:c>
      <x:c r="P20" s="19" t="n">
        <x:v>0</x:v>
      </x:c>
      <x:c r="Q20" s="19" t="n">
        <x:v>0</x:v>
      </x:c>
      <x:c r="R20" s="19" t="n">
        <x:v>100</x:v>
      </x:c>
      <x:c r="S20" s="7" t="b">
        <x:v>1</x:v>
      </x:c>
      <x:c r="T20" s="6" t="n">
        <x:f>IF(C20="","",COUNTIF($C$2:$C$601,C20))</x:f>
        <x:v>1</x:v>
      </x:c>
    </x:row>
    <x:row r="21">
      <x:c r="A21" s="6" t="n">
        <x:v>20</x:v>
      </x:c>
      <x:c r="B21" s="6" t="str">
        <x:v>scheduled</x:v>
      </x:c>
      <x:c r="C21" s="6" t="n">
        <x:v>59</x:v>
      </x:c>
      <x:c r="D21" s="6" t="n">
        <x:v>2</x:v>
      </x:c>
      <x:c r="E21" s="19" t="n">
        <x:v>0</x:v>
      </x:c>
      <x:c r="F21" s="19" t="n">
        <x:v>1900</x:v>
      </x:c>
      <x:c r="G21" s="19" t="n">
        <x:v>20000</x:v>
      </x:c>
      <x:c r="H21" s="19" t="n">
        <x:v>1493</x:v>
      </x:c>
      <x:c r="I21" s="19" t="n">
        <x:v>0</x:v>
      </x:c>
      <x:c r="J21" s="19" t="n">
        <x:v>1493</x:v>
      </x:c>
      <x:c r="K21" s="19" t="n">
        <x:v>90</x:v>
      </x:c>
      <x:c r="L21" s="19" t="n">
        <x:v>1583</x:v>
      </x:c>
      <x:c r="M21" s="19" t="n">
        <x:v>0</x:v>
      </x:c>
      <x:c r="N21" s="19" t="n">
        <x:v>0</x:v>
      </x:c>
      <x:c r="O21" s="19" t="n">
        <x:v>100</x:v>
      </x:c>
      <x:c r="P21" s="19" t="n">
        <x:v>0</x:v>
      </x:c>
      <x:c r="Q21" s="19" t="n">
        <x:v>0</x:v>
      </x:c>
      <x:c r="R21" s="19" t="n">
        <x:v>100</x:v>
      </x:c>
      <x:c r="S21" s="7" t="b">
        <x:v>1</x:v>
      </x:c>
      <x:c r="T21" s="6" t="n">
        <x:f>IF(C21="","",COUNTIF($C$2:$C$601,C21))</x:f>
        <x:v>1</x:v>
      </x:c>
    </x:row>
    <x:row r="22">
      <x:c r="A22" s="6" t="n">
        <x:v>21</x:v>
      </x:c>
      <x:c r="B22" s="6" t="str">
        <x:v>scheduled</x:v>
      </x:c>
      <x:c r="C22" s="6" t="n">
        <x:v>71</x:v>
      </x:c>
      <x:c r="D22" s="6" t="n">
        <x:v>2</x:v>
      </x:c>
      <x:c r="E22" s="19" t="n">
        <x:v>0</x:v>
      </x:c>
      <x:c r="F22" s="19" t="n">
        <x:v>2000</x:v>
      </x:c>
      <x:c r="G22" s="19" t="n">
        <x:v>20000</x:v>
      </x:c>
      <x:c r="H22" s="19" t="n">
        <x:v>1583</x:v>
      </x:c>
      <x:c r="I22" s="19" t="n">
        <x:v>0</x:v>
      </x:c>
      <x:c r="J22" s="19" t="n">
        <x:v>1583</x:v>
      </x:c>
      <x:c r="K22" s="19" t="n">
        <x:v>90</x:v>
      </x:c>
      <x:c r="L22" s="19" t="n">
        <x:v>1673</x:v>
      </x:c>
      <x:c r="M22" s="19" t="n">
        <x:v>0</x:v>
      </x:c>
      <x:c r="N22" s="19" t="n">
        <x:v>0</x:v>
      </x:c>
      <x:c r="O22" s="19" t="n">
        <x:v>100</x:v>
      </x:c>
      <x:c r="P22" s="19" t="n">
        <x:v>0</x:v>
      </x:c>
      <x:c r="Q22" s="19" t="n">
        <x:v>0</x:v>
      </x:c>
      <x:c r="R22" s="19" t="n">
        <x:v>100</x:v>
      </x:c>
      <x:c r="S22" s="7" t="b">
        <x:v>1</x:v>
      </x:c>
      <x:c r="T22" s="6" t="n">
        <x:f>IF(C22="","",COUNTIF($C$2:$C$601,C22))</x:f>
        <x:v>1</x:v>
      </x:c>
    </x:row>
    <x:row r="23">
      <x:c r="A23" s="6" t="n">
        <x:v>22</x:v>
      </x:c>
      <x:c r="B23" s="6" t="str">
        <x:v>scheduled</x:v>
      </x:c>
      <x:c r="C23" s="6" t="n">
        <x:v>70</x:v>
      </x:c>
      <x:c r="D23" s="6" t="n">
        <x:v>2</x:v>
      </x:c>
      <x:c r="E23" s="19" t="n">
        <x:v>0</x:v>
      </x:c>
      <x:c r="F23" s="19" t="n">
        <x:v>2000</x:v>
      </x:c>
      <x:c r="G23" s="19" t="n">
        <x:v>20000</x:v>
      </x:c>
      <x:c r="H23" s="19" t="n">
        <x:v>1673</x:v>
      </x:c>
      <x:c r="I23" s="19" t="n">
        <x:v>0</x:v>
      </x:c>
      <x:c r="J23" s="19" t="n">
        <x:v>1673</x:v>
      </x:c>
      <x:c r="K23" s="19" t="n">
        <x:v>90</x:v>
      </x:c>
      <x:c r="L23" s="19" t="n">
        <x:v>1763</x:v>
      </x:c>
      <x:c r="M23" s="19" t="n">
        <x:v>0</x:v>
      </x:c>
      <x:c r="N23" s="19" t="n">
        <x:v>0</x:v>
      </x:c>
      <x:c r="O23" s="19" t="n">
        <x:v>100</x:v>
      </x:c>
      <x:c r="P23" s="19" t="n">
        <x:v>0</x:v>
      </x:c>
      <x:c r="Q23" s="19" t="n">
        <x:v>0</x:v>
      </x:c>
      <x:c r="R23" s="19" t="n">
        <x:v>100</x:v>
      </x:c>
      <x:c r="S23" s="7" t="b">
        <x:v>1</x:v>
      </x:c>
      <x:c r="T23" s="6" t="n">
        <x:f>IF(C23="","",COUNTIF($C$2:$C$601,C23))</x:f>
        <x:v>1</x:v>
      </x:c>
    </x:row>
    <x:row r="24">
      <x:c r="A24" s="6" t="n">
        <x:v>23</x:v>
      </x:c>
      <x:c r="B24" s="6" t="str">
        <x:v>scheduled</x:v>
      </x:c>
      <x:c r="C24" s="6" t="n">
        <x:v>60</x:v>
      </x:c>
      <x:c r="D24" s="6" t="n">
        <x:v>2</x:v>
      </x:c>
      <x:c r="E24" s="19" t="n">
        <x:v>0</x:v>
      </x:c>
      <x:c r="F24" s="19" t="n">
        <x:v>2000</x:v>
      </x:c>
      <x:c r="G24" s="19" t="n">
        <x:v>20000</x:v>
      </x:c>
      <x:c r="H24" s="19" t="n">
        <x:v>1763</x:v>
      </x:c>
      <x:c r="I24" s="19" t="n">
        <x:v>0</x:v>
      </x:c>
      <x:c r="J24" s="19" t="n">
        <x:v>1763</x:v>
      </x:c>
      <x:c r="K24" s="19" t="n">
        <x:v>90</x:v>
      </x:c>
      <x:c r="L24" s="19" t="n">
        <x:v>1853</x:v>
      </x:c>
      <x:c r="M24" s="19" t="n">
        <x:v>0</x:v>
      </x:c>
      <x:c r="N24" s="19" t="n">
        <x:v>0</x:v>
      </x:c>
      <x:c r="O24" s="19" t="n">
        <x:v>100</x:v>
      </x:c>
      <x:c r="P24" s="19" t="n">
        <x:v>0</x:v>
      </x:c>
      <x:c r="Q24" s="19" t="n">
        <x:v>0</x:v>
      </x:c>
      <x:c r="R24" s="19" t="n">
        <x:v>100</x:v>
      </x:c>
      <x:c r="S24" s="7" t="b">
        <x:v>1</x:v>
      </x:c>
      <x:c r="T24" s="6" t="n">
        <x:f>IF(C24="","",COUNTIF($C$2:$C$601,C24))</x:f>
        <x:v>1</x:v>
      </x:c>
    </x:row>
    <x:row r="25">
      <x:c r="A25" s="6" t="n">
        <x:v>24</x:v>
      </x:c>
      <x:c r="B25" s="6" t="str">
        <x:v>scheduled</x:v>
      </x:c>
      <x:c r="C25" s="6" t="n">
        <x:v>65</x:v>
      </x:c>
      <x:c r="D25" s="6" t="n">
        <x:v>2</x:v>
      </x:c>
      <x:c r="E25" s="19" t="n">
        <x:v>0</x:v>
      </x:c>
      <x:c r="F25" s="19" t="n">
        <x:v>2000</x:v>
      </x:c>
      <x:c r="G25" s="19" t="n">
        <x:v>20000</x:v>
      </x:c>
      <x:c r="H25" s="19" t="n">
        <x:v>1853</x:v>
      </x:c>
      <x:c r="I25" s="19" t="n">
        <x:v>0</x:v>
      </x:c>
      <x:c r="J25" s="19" t="n">
        <x:v>1853</x:v>
      </x:c>
      <x:c r="K25" s="19" t="n">
        <x:v>90</x:v>
      </x:c>
      <x:c r="L25" s="19" t="n">
        <x:v>1943</x:v>
      </x:c>
      <x:c r="M25" s="19" t="n">
        <x:v>0</x:v>
      </x:c>
      <x:c r="N25" s="19" t="n">
        <x:v>0</x:v>
      </x:c>
      <x:c r="O25" s="19" t="n">
        <x:v>100</x:v>
      </x:c>
      <x:c r="P25" s="19" t="n">
        <x:v>0</x:v>
      </x:c>
      <x:c r="Q25" s="19" t="n">
        <x:v>0</x:v>
      </x:c>
      <x:c r="R25" s="19" t="n">
        <x:v>100</x:v>
      </x:c>
      <x:c r="S25" s="7" t="b">
        <x:v>1</x:v>
      </x:c>
      <x:c r="T25" s="6" t="n">
        <x:f>IF(C25="","",COUNTIF($C$2:$C$601,C25))</x:f>
        <x:v>1</x:v>
      </x:c>
    </x:row>
    <x:row r="26">
      <x:c r="A26" s="6" t="n">
        <x:v>25</x:v>
      </x:c>
      <x:c r="B26" s="6" t="str">
        <x:v>scheduled</x:v>
      </x:c>
      <x:c r="C26" s="6" t="n">
        <x:v>67</x:v>
      </x:c>
      <x:c r="D26" s="6" t="n">
        <x:v>2</x:v>
      </x:c>
      <x:c r="E26" s="19" t="n">
        <x:v>0</x:v>
      </x:c>
      <x:c r="F26" s="19" t="n">
        <x:v>2000</x:v>
      </x:c>
      <x:c r="G26" s="19" t="n">
        <x:v>20000</x:v>
      </x:c>
      <x:c r="H26" s="19" t="n">
        <x:v>1943</x:v>
      </x:c>
      <x:c r="I26" s="19" t="n">
        <x:v>0</x:v>
      </x:c>
      <x:c r="J26" s="19" t="n">
        <x:v>1943</x:v>
      </x:c>
      <x:c r="K26" s="19" t="n">
        <x:v>90</x:v>
      </x:c>
      <x:c r="L26" s="19" t="n">
        <x:v>2033</x:v>
      </x:c>
      <x:c r="M26" s="19" t="n">
        <x:v>33</x:v>
      </x:c>
      <x:c r="N26" s="19" t="n">
        <x:v>0</x:v>
      </x:c>
      <x:c r="O26" s="19" t="n">
        <x:v>100</x:v>
      </x:c>
      <x:c r="P26" s="19" t="n">
        <x:v>132</x:v>
      </x:c>
      <x:c r="Q26" s="19" t="n">
        <x:v>0</x:v>
      </x:c>
      <x:c r="R26" s="19" t="n">
        <x:v>232</x:v>
      </x:c>
      <x:c r="S26" s="7" t="b">
        <x:v>1</x:v>
      </x:c>
      <x:c r="T26" s="6" t="n">
        <x:f>IF(C26="","",COUNTIF($C$2:$C$601,C26))</x:f>
        <x:v>1</x:v>
      </x:c>
    </x:row>
    <x:row r="27">
      <x:c r="A27" s="6" t="n">
        <x:v>26</x:v>
      </x:c>
      <x:c r="B27" s="6" t="str">
        <x:v>scheduled</x:v>
      </x:c>
      <x:c r="C27" s="6" t="n">
        <x:v>72</x:v>
      </x:c>
      <x:c r="D27" s="6" t="n">
        <x:v>2</x:v>
      </x:c>
      <x:c r="E27" s="19" t="n">
        <x:v>0</x:v>
      </x:c>
      <x:c r="F27" s="19" t="n">
        <x:v>2000</x:v>
      </x:c>
      <x:c r="G27" s="19" t="n">
        <x:v>20000</x:v>
      </x:c>
      <x:c r="H27" s="19" t="n">
        <x:v>2033</x:v>
      </x:c>
      <x:c r="I27" s="19" t="n">
        <x:v>0</x:v>
      </x:c>
      <x:c r="J27" s="19" t="n">
        <x:v>2033</x:v>
      </x:c>
      <x:c r="K27" s="19" t="n">
        <x:v>90</x:v>
      </x:c>
      <x:c r="L27" s="19" t="n">
        <x:v>2123</x:v>
      </x:c>
      <x:c r="M27" s="19" t="n">
        <x:v>123</x:v>
      </x:c>
      <x:c r="N27" s="19" t="n">
        <x:v>0</x:v>
      </x:c>
      <x:c r="O27" s="19" t="n">
        <x:v>100</x:v>
      </x:c>
      <x:c r="P27" s="19" t="n">
        <x:v>492</x:v>
      </x:c>
      <x:c r="Q27" s="19" t="n">
        <x:v>0</x:v>
      </x:c>
      <x:c r="R27" s="19" t="n">
        <x:v>592</x:v>
      </x:c>
      <x:c r="S27" s="7" t="b">
        <x:v>1</x:v>
      </x:c>
      <x:c r="T27" s="6" t="n">
        <x:f>IF(C27="","",COUNTIF($C$2:$C$601,C27))</x:f>
        <x:v>1</x:v>
      </x:c>
    </x:row>
    <x:row r="28">
      <x:c r="A28" s="6" t="n">
        <x:v>27</x:v>
      </x:c>
      <x:c r="B28" s="6" t="str">
        <x:v>scheduled</x:v>
      </x:c>
      <x:c r="C28" s="6" t="n">
        <x:v>69</x:v>
      </x:c>
      <x:c r="D28" s="6" t="n">
        <x:v>2</x:v>
      </x:c>
      <x:c r="E28" s="19" t="n">
        <x:v>0</x:v>
      </x:c>
      <x:c r="F28" s="19" t="n">
        <x:v>2000</x:v>
      </x:c>
      <x:c r="G28" s="19" t="n">
        <x:v>20000</x:v>
      </x:c>
      <x:c r="H28" s="19" t="n">
        <x:v>2123</x:v>
      </x:c>
      <x:c r="I28" s="19" t="n">
        <x:v>0</x:v>
      </x:c>
      <x:c r="J28" s="19" t="n">
        <x:v>2123</x:v>
      </x:c>
      <x:c r="K28" s="19" t="n">
        <x:v>90</x:v>
      </x:c>
      <x:c r="L28" s="19" t="n">
        <x:v>2213</x:v>
      </x:c>
      <x:c r="M28" s="19" t="n">
        <x:v>213</x:v>
      </x:c>
      <x:c r="N28" s="19" t="n">
        <x:v>0</x:v>
      </x:c>
      <x:c r="O28" s="19" t="n">
        <x:v>100</x:v>
      </x:c>
      <x:c r="P28" s="19" t="n">
        <x:v>852</x:v>
      </x:c>
      <x:c r="Q28" s="19" t="n">
        <x:v>0</x:v>
      </x:c>
      <x:c r="R28" s="19" t="n">
        <x:v>952</x:v>
      </x:c>
      <x:c r="S28" s="7" t="b">
        <x:v>1</x:v>
      </x:c>
      <x:c r="T28" s="6" t="n">
        <x:f>IF(C28="","",COUNTIF($C$2:$C$601,C28))</x:f>
        <x:v>1</x:v>
      </x:c>
    </x:row>
    <x:row r="29">
      <x:c r="A29" s="6" t="n">
        <x:v>28</x:v>
      </x:c>
      <x:c r="B29" s="6" t="str">
        <x:v>scheduled</x:v>
      </x:c>
      <x:c r="C29" s="6" t="n">
        <x:v>66</x:v>
      </x:c>
      <x:c r="D29" s="6" t="n">
        <x:v>2</x:v>
      </x:c>
      <x:c r="E29" s="19" t="n">
        <x:v>0</x:v>
      </x:c>
      <x:c r="F29" s="19" t="n">
        <x:v>2000</x:v>
      </x:c>
      <x:c r="G29" s="19" t="n">
        <x:v>20000</x:v>
      </x:c>
      <x:c r="H29" s="19" t="n">
        <x:v>2213</x:v>
      </x:c>
      <x:c r="I29" s="19" t="n">
        <x:v>0</x:v>
      </x:c>
      <x:c r="J29" s="19" t="n">
        <x:v>2213</x:v>
      </x:c>
      <x:c r="K29" s="19" t="n">
        <x:v>90</x:v>
      </x:c>
      <x:c r="L29" s="19" t="n">
        <x:v>2303</x:v>
      </x:c>
      <x:c r="M29" s="19" t="n">
        <x:v>303</x:v>
      </x:c>
      <x:c r="N29" s="19" t="n">
        <x:v>0</x:v>
      </x:c>
      <x:c r="O29" s="19" t="n">
        <x:v>100</x:v>
      </x:c>
      <x:c r="P29" s="19" t="n">
        <x:v>1212</x:v>
      </x:c>
      <x:c r="Q29" s="19" t="n">
        <x:v>0</x:v>
      </x:c>
      <x:c r="R29" s="19" t="n">
        <x:v>1312</x:v>
      </x:c>
      <x:c r="S29" s="7" t="b">
        <x:v>1</x:v>
      </x:c>
      <x:c r="T29" s="6" t="n">
        <x:f>IF(C29="","",COUNTIF($C$2:$C$601,C29))</x:f>
        <x:v>1</x:v>
      </x:c>
    </x:row>
    <x:row r="30">
      <x:c r="A30" s="6" t="n">
        <x:v>29</x:v>
      </x:c>
      <x:c r="B30" s="6" t="str">
        <x:v>scheduled</x:v>
      </x:c>
      <x:c r="C30" s="6" t="n">
        <x:v>73</x:v>
      </x:c>
      <x:c r="D30" s="6" t="n">
        <x:v>0</x:v>
      </x:c>
      <x:c r="E30" s="19" t="n">
        <x:v>0</x:v>
      </x:c>
      <x:c r="F30" s="19" t="n">
        <x:v>2500</x:v>
      </x:c>
      <x:c r="G30" s="19" t="n">
        <x:v>20000</x:v>
      </x:c>
      <x:c r="H30" s="19" t="n">
        <x:v>2303</x:v>
      </x:c>
      <x:c r="I30" s="19" t="n">
        <x:v>10</x:v>
      </x:c>
      <x:c r="J30" s="19" t="n">
        <x:v>2313</x:v>
      </x:c>
      <x:c r="K30" s="19" t="n">
        <x:v>70</x:v>
      </x:c>
      <x:c r="L30" s="19" t="n">
        <x:v>2383</x:v>
      </x:c>
      <x:c r="M30" s="19" t="n">
        <x:v>0</x:v>
      </x:c>
      <x:c r="N30" s="19" t="n">
        <x:v>200</x:v>
      </x:c>
      <x:c r="O30" s="19" t="n">
        <x:v>100</x:v>
      </x:c>
      <x:c r="P30" s="19" t="n">
        <x:v>0</x:v>
      </x:c>
      <x:c r="Q30" s="19" t="n">
        <x:v>0</x:v>
      </x:c>
      <x:c r="R30" s="19" t="n">
        <x:v>300</x:v>
      </x:c>
      <x:c r="S30" s="7" t="b">
        <x:v>1</x:v>
      </x:c>
      <x:c r="T30" s="6" t="n">
        <x:f>IF(C30="","",COUNTIF($C$2:$C$601,C30))</x:f>
        <x:v>1</x:v>
      </x:c>
    </x:row>
    <x:row r="31">
      <x:c r="A31" s="6" t="n">
        <x:v>30</x:v>
      </x:c>
      <x:c r="B31" s="6" t="str">
        <x:v>scheduled</x:v>
      </x:c>
      <x:c r="C31" s="6" t="n">
        <x:v>74</x:v>
      </x:c>
      <x:c r="D31" s="6" t="n">
        <x:v>0</x:v>
      </x:c>
      <x:c r="E31" s="19" t="n">
        <x:v>0</x:v>
      </x:c>
      <x:c r="F31" s="19" t="n">
        <x:v>2500</x:v>
      </x:c>
      <x:c r="G31" s="19" t="n">
        <x:v>20000</x:v>
      </x:c>
      <x:c r="H31" s="19" t="n">
        <x:v>2383</x:v>
      </x:c>
      <x:c r="I31" s="19" t="n">
        <x:v>0</x:v>
      </x:c>
      <x:c r="J31" s="19" t="n">
        <x:v>2383</x:v>
      </x:c>
      <x:c r="K31" s="19" t="n">
        <x:v>70</x:v>
      </x:c>
      <x:c r="L31" s="19" t="n">
        <x:v>2453</x:v>
      </x:c>
      <x:c r="M31" s="19" t="n">
        <x:v>0</x:v>
      </x:c>
      <x:c r="N31" s="19" t="n">
        <x:v>0</x:v>
      </x:c>
      <x:c r="O31" s="19" t="n">
        <x:v>100</x:v>
      </x:c>
      <x:c r="P31" s="19" t="n">
        <x:v>0</x:v>
      </x:c>
      <x:c r="Q31" s="19" t="n">
        <x:v>0</x:v>
      </x:c>
      <x:c r="R31" s="19" t="n">
        <x:v>100</x:v>
      </x:c>
      <x:c r="S31" s="7" t="b">
        <x:v>1</x:v>
      </x:c>
      <x:c r="T31" s="6" t="n">
        <x:f>IF(C31="","",COUNTIF($C$2:$C$601,C31))</x:f>
        <x:v>1</x:v>
      </x:c>
    </x:row>
    <x:row r="32">
      <x:c r="A32" s="6" t="n">
        <x:v>31</x:v>
      </x:c>
      <x:c r="B32" s="6" t="str">
        <x:v>scheduled</x:v>
      </x:c>
      <x:c r="C32" s="6" t="n">
        <x:v>9</x:v>
      </x:c>
      <x:c r="D32" s="6" t="n">
        <x:v>0</x:v>
      </x:c>
      <x:c r="E32" s="19" t="n">
        <x:v>0</x:v>
      </x:c>
      <x:c r="F32" s="19" t="n">
        <x:v>5300</x:v>
      </x:c>
      <x:c r="G32" s="19" t="n">
        <x:v>20000</x:v>
      </x:c>
      <x:c r="H32" s="19" t="n">
        <x:v>2453</x:v>
      </x:c>
      <x:c r="I32" s="19" t="n">
        <x:v>0</x:v>
      </x:c>
      <x:c r="J32" s="19" t="n">
        <x:v>2453</x:v>
      </x:c>
      <x:c r="K32" s="19" t="n">
        <x:v>70</x:v>
      </x:c>
      <x:c r="L32" s="19" t="n">
        <x:v>2523</x:v>
      </x:c>
      <x:c r="M32" s="19" t="n">
        <x:v>0</x:v>
      </x:c>
      <x:c r="N32" s="19" t="n">
        <x:v>0</x:v>
      </x:c>
      <x:c r="O32" s="19" t="n">
        <x:v>100</x:v>
      </x:c>
      <x:c r="P32" s="19" t="n">
        <x:v>0</x:v>
      </x:c>
      <x:c r="Q32" s="19" t="n">
        <x:v>0</x:v>
      </x:c>
      <x:c r="R32" s="19" t="n">
        <x:v>100</x:v>
      </x:c>
      <x:c r="S32" s="7" t="b">
        <x:v>1</x:v>
      </x:c>
      <x:c r="T32" s="6" t="n">
        <x:f>IF(C32="","",COUNTIF($C$2:$C$601,C32))</x:f>
        <x:v>1</x:v>
      </x:c>
    </x:row>
    <x:row r="33">
      <x:c r="A33" s="6" t="n">
        <x:v>32</x:v>
      </x:c>
      <x:c r="B33" s="6" t="str">
        <x:v>scheduled</x:v>
      </x:c>
      <x:c r="C33" s="6" t="n">
        <x:v>23</x:v>
      </x:c>
      <x:c r="D33" s="6" t="n">
        <x:v>1</x:v>
      </x:c>
      <x:c r="E33" s="19" t="n">
        <x:v>0</x:v>
      </x:c>
      <x:c r="F33" s="19" t="n">
        <x:v>4300</x:v>
      </x:c>
      <x:c r="G33" s="19" t="n">
        <x:v>20000</x:v>
      </x:c>
      <x:c r="H33" s="19" t="n">
        <x:v>2523</x:v>
      </x:c>
      <x:c r="I33" s="19" t="n">
        <x:v>10</x:v>
      </x:c>
      <x:c r="J33" s="19" t="n">
        <x:v>2533</x:v>
      </x:c>
      <x:c r="K33" s="19" t="n">
        <x:v>90</x:v>
      </x:c>
      <x:c r="L33" s="19" t="n">
        <x:v>2623</x:v>
      </x:c>
      <x:c r="M33" s="19" t="n">
        <x:v>0</x:v>
      </x:c>
      <x:c r="N33" s="19" t="n">
        <x:v>200</x:v>
      </x:c>
      <x:c r="O33" s="19" t="n">
        <x:v>100</x:v>
      </x:c>
      <x:c r="P33" s="19" t="n">
        <x:v>0</x:v>
      </x:c>
      <x:c r="Q33" s="19" t="n">
        <x:v>0</x:v>
      </x:c>
      <x:c r="R33" s="19" t="n">
        <x:v>300</x:v>
      </x:c>
      <x:c r="S33" s="7" t="b">
        <x:v>1</x:v>
      </x:c>
      <x:c r="T33" s="6" t="n">
        <x:f>IF(C33="","",COUNTIF($C$2:$C$601,C33))</x:f>
        <x:v>1</x:v>
      </x:c>
    </x:row>
    <x:row r="34">
      <x:c r="A34" s="6" t="n">
        <x:v>33</x:v>
      </x:c>
      <x:c r="B34" s="6" t="str">
        <x:v>scheduled</x:v>
      </x:c>
      <x:c r="C34" s="6" t="n">
        <x:v>25</x:v>
      </x:c>
      <x:c r="D34" s="6" t="n">
        <x:v>1</x:v>
      </x:c>
      <x:c r="E34" s="19" t="n">
        <x:v>0</x:v>
      </x:c>
      <x:c r="F34" s="19" t="n">
        <x:v>4300</x:v>
      </x:c>
      <x:c r="G34" s="19" t="n">
        <x:v>20000</x:v>
      </x:c>
      <x:c r="H34" s="19" t="n">
        <x:v>2623</x:v>
      </x:c>
      <x:c r="I34" s="19" t="n">
        <x:v>0</x:v>
      </x:c>
      <x:c r="J34" s="19" t="n">
        <x:v>2623</x:v>
      </x:c>
      <x:c r="K34" s="19" t="n">
        <x:v>90</x:v>
      </x:c>
      <x:c r="L34" s="19" t="n">
        <x:v>2713</x:v>
      </x:c>
      <x:c r="M34" s="19" t="n">
        <x:v>0</x:v>
      </x:c>
      <x:c r="N34" s="19" t="n">
        <x:v>0</x:v>
      </x:c>
      <x:c r="O34" s="19" t="n">
        <x:v>100</x:v>
      </x:c>
      <x:c r="P34" s="19" t="n">
        <x:v>0</x:v>
      </x:c>
      <x:c r="Q34" s="19" t="n">
        <x:v>0</x:v>
      </x:c>
      <x:c r="R34" s="19" t="n">
        <x:v>100</x:v>
      </x:c>
      <x:c r="S34" s="7" t="b">
        <x:v>1</x:v>
      </x:c>
      <x:c r="T34" s="6" t="n">
        <x:f>IF(C34="","",COUNTIF($C$2:$C$601,C34))</x:f>
        <x:v>1</x:v>
      </x:c>
    </x:row>
    <x:row r="35">
      <x:c r="A35" s="6" t="n">
        <x:v>34</x:v>
      </x:c>
      <x:c r="B35" s="6" t="str">
        <x:v>scheduled</x:v>
      </x:c>
      <x:c r="C35" s="6" t="n">
        <x:v>31</x:v>
      </x:c>
      <x:c r="D35" s="6" t="n">
        <x:v>1</x:v>
      </x:c>
      <x:c r="E35" s="19" t="n">
        <x:v>0</x:v>
      </x:c>
      <x:c r="F35" s="19" t="n">
        <x:v>5900</x:v>
      </x:c>
      <x:c r="G35" s="19" t="n">
        <x:v>20000</x:v>
      </x:c>
      <x:c r="H35" s="19" t="n">
        <x:v>2713</x:v>
      </x:c>
      <x:c r="I35" s="19" t="n">
        <x:v>0</x:v>
      </x:c>
      <x:c r="J35" s="19" t="n">
        <x:v>2713</x:v>
      </x:c>
      <x:c r="K35" s="19" t="n">
        <x:v>90</x:v>
      </x:c>
      <x:c r="L35" s="19" t="n">
        <x:v>2803</x:v>
      </x:c>
      <x:c r="M35" s="19" t="n">
        <x:v>0</x:v>
      </x:c>
      <x:c r="N35" s="19" t="n">
        <x:v>0</x:v>
      </x:c>
      <x:c r="O35" s="19" t="n">
        <x:v>100</x:v>
      </x:c>
      <x:c r="P35" s="19" t="n">
        <x:v>0</x:v>
      </x:c>
      <x:c r="Q35" s="19" t="n">
        <x:v>0</x:v>
      </x:c>
      <x:c r="R35" s="19" t="n">
        <x:v>100</x:v>
      </x:c>
      <x:c r="S35" s="7" t="b">
        <x:v>1</x:v>
      </x:c>
      <x:c r="T35" s="6" t="n">
        <x:f>IF(C35="","",COUNTIF($C$2:$C$601,C35))</x:f>
        <x:v>1</x:v>
      </x:c>
    </x:row>
    <x:row r="36">
      <x:c r="A36" s="6" t="n">
        <x:v>35</x:v>
      </x:c>
      <x:c r="B36" s="6" t="str">
        <x:v>scheduled</x:v>
      </x:c>
      <x:c r="C36" s="6" t="n">
        <x:v>21</x:v>
      </x:c>
      <x:c r="D36" s="6" t="n">
        <x:v>1</x:v>
      </x:c>
      <x:c r="E36" s="19" t="n">
        <x:v>0</x:v>
      </x:c>
      <x:c r="F36" s="19" t="n">
        <x:v>3700</x:v>
      </x:c>
      <x:c r="G36" s="19" t="n">
        <x:v>20000</x:v>
      </x:c>
      <x:c r="H36" s="19" t="n">
        <x:v>2803</x:v>
      </x:c>
      <x:c r="I36" s="19" t="n">
        <x:v>0</x:v>
      </x:c>
      <x:c r="J36" s="19" t="n">
        <x:v>2803</x:v>
      </x:c>
      <x:c r="K36" s="19" t="n">
        <x:v>90</x:v>
      </x:c>
      <x:c r="L36" s="19" t="n">
        <x:v>2893</x:v>
      </x:c>
      <x:c r="M36" s="19" t="n">
        <x:v>0</x:v>
      </x:c>
      <x:c r="N36" s="19" t="n">
        <x:v>0</x:v>
      </x:c>
      <x:c r="O36" s="19" t="n">
        <x:v>100</x:v>
      </x:c>
      <x:c r="P36" s="19" t="n">
        <x:v>0</x:v>
      </x:c>
      <x:c r="Q36" s="19" t="n">
        <x:v>0</x:v>
      </x:c>
      <x:c r="R36" s="19" t="n">
        <x:v>100</x:v>
      </x:c>
      <x:c r="S36" s="7" t="b">
        <x:v>1</x:v>
      </x:c>
      <x:c r="T36" s="6" t="n">
        <x:f>IF(C36="","",COUNTIF($C$2:$C$601,C36))</x:f>
        <x:v>1</x:v>
      </x:c>
    </x:row>
    <x:row r="37">
      <x:c r="A37" s="6" t="n">
        <x:v>36</x:v>
      </x:c>
      <x:c r="B37" s="6" t="str">
        <x:v>scheduled</x:v>
      </x:c>
      <x:c r="C37" s="6" t="n">
        <x:v>11</x:v>
      </x:c>
      <x:c r="D37" s="6" t="n">
        <x:v>1</x:v>
      </x:c>
      <x:c r="E37" s="19" t="n">
        <x:v>0</x:v>
      </x:c>
      <x:c r="F37" s="19" t="n">
        <x:v>3700</x:v>
      </x:c>
      <x:c r="G37" s="19" t="n">
        <x:v>20000</x:v>
      </x:c>
      <x:c r="H37" s="19" t="n">
        <x:v>2893</x:v>
      </x:c>
      <x:c r="I37" s="19" t="n">
        <x:v>0</x:v>
      </x:c>
      <x:c r="J37" s="19" t="n">
        <x:v>2893</x:v>
      </x:c>
      <x:c r="K37" s="19" t="n">
        <x:v>90</x:v>
      </x:c>
      <x:c r="L37" s="19" t="n">
        <x:v>2983</x:v>
      </x:c>
      <x:c r="M37" s="19" t="n">
        <x:v>0</x:v>
      </x:c>
      <x:c r="N37" s="19" t="n">
        <x:v>0</x:v>
      </x:c>
      <x:c r="O37" s="19" t="n">
        <x:v>100</x:v>
      </x:c>
      <x:c r="P37" s="19" t="n">
        <x:v>0</x:v>
      </x:c>
      <x:c r="Q37" s="19" t="n">
        <x:v>0</x:v>
      </x:c>
      <x:c r="R37" s="19" t="n">
        <x:v>100</x:v>
      </x:c>
      <x:c r="S37" s="7" t="b">
        <x:v>1</x:v>
      </x:c>
      <x:c r="T37" s="6" t="n">
        <x:f>IF(C37="","",COUNTIF($C$2:$C$601,C37))</x:f>
        <x:v>1</x:v>
      </x:c>
    </x:row>
    <x:row r="38">
      <x:c r="A38" s="6" t="n">
        <x:v>37</x:v>
      </x:c>
      <x:c r="B38" s="6" t="str">
        <x:v>scheduled</x:v>
      </x:c>
      <x:c r="C38" s="6" t="n">
        <x:v>15</x:v>
      </x:c>
      <x:c r="D38" s="6" t="n">
        <x:v>1</x:v>
      </x:c>
      <x:c r="E38" s="19" t="n">
        <x:v>0</x:v>
      </x:c>
      <x:c r="F38" s="19" t="n">
        <x:v>3700</x:v>
      </x:c>
      <x:c r="G38" s="19" t="n">
        <x:v>20000</x:v>
      </x:c>
      <x:c r="H38" s="19" t="n">
        <x:v>2983</x:v>
      </x:c>
      <x:c r="I38" s="19" t="n">
        <x:v>0</x:v>
      </x:c>
      <x:c r="J38" s="19" t="n">
        <x:v>2983</x:v>
      </x:c>
      <x:c r="K38" s="19" t="n">
        <x:v>90</x:v>
      </x:c>
      <x:c r="L38" s="19" t="n">
        <x:v>3073</x:v>
      </x:c>
      <x:c r="M38" s="19" t="n">
        <x:v>0</x:v>
      </x:c>
      <x:c r="N38" s="19" t="n">
        <x:v>0</x:v>
      </x:c>
      <x:c r="O38" s="19" t="n">
        <x:v>100</x:v>
      </x:c>
      <x:c r="P38" s="19" t="n">
        <x:v>0</x:v>
      </x:c>
      <x:c r="Q38" s="19" t="n">
        <x:v>0</x:v>
      </x:c>
      <x:c r="R38" s="19" t="n">
        <x:v>100</x:v>
      </x:c>
      <x:c r="S38" s="7" t="b">
        <x:v>1</x:v>
      </x:c>
      <x:c r="T38" s="6" t="n">
        <x:f>IF(C38="","",COUNTIF($C$2:$C$601,C38))</x:f>
        <x:v>1</x:v>
      </x:c>
    </x:row>
    <x:row r="39">
      <x:c r="A39" s="6" t="n">
        <x:v>38</x:v>
      </x:c>
      <x:c r="B39" s="6" t="str">
        <x:v>scheduled</x:v>
      </x:c>
      <x:c r="C39" s="6" t="n">
        <x:v>19</x:v>
      </x:c>
      <x:c r="D39" s="6" t="n">
        <x:v>1</x:v>
      </x:c>
      <x:c r="E39" s="19" t="n">
        <x:v>0</x:v>
      </x:c>
      <x:c r="F39" s="19" t="n">
        <x:v>4900</x:v>
      </x:c>
      <x:c r="G39" s="19" t="n">
        <x:v>20000</x:v>
      </x:c>
      <x:c r="H39" s="19" t="n">
        <x:v>3073</x:v>
      </x:c>
      <x:c r="I39" s="19" t="n">
        <x:v>0</x:v>
      </x:c>
      <x:c r="J39" s="19" t="n">
        <x:v>3073</x:v>
      </x:c>
      <x:c r="K39" s="19" t="n">
        <x:v>90</x:v>
      </x:c>
      <x:c r="L39" s="19" t="n">
        <x:v>3163</x:v>
      </x:c>
      <x:c r="M39" s="19" t="n">
        <x:v>0</x:v>
      </x:c>
      <x:c r="N39" s="19" t="n">
        <x:v>0</x:v>
      </x:c>
      <x:c r="O39" s="19" t="n">
        <x:v>100</x:v>
      </x:c>
      <x:c r="P39" s="19" t="n">
        <x:v>0</x:v>
      </x:c>
      <x:c r="Q39" s="19" t="n">
        <x:v>0</x:v>
      </x:c>
      <x:c r="R39" s="19" t="n">
        <x:v>100</x:v>
      </x:c>
      <x:c r="S39" s="7" t="b">
        <x:v>1</x:v>
      </x:c>
      <x:c r="T39" s="6" t="n">
        <x:f>IF(C39="","",COUNTIF($C$2:$C$601,C39))</x:f>
        <x:v>1</x:v>
      </x:c>
    </x:row>
    <x:row r="40">
      <x:c r="A40" s="6" t="n">
        <x:v>39</x:v>
      </x:c>
      <x:c r="B40" s="6" t="str">
        <x:v>scheduled</x:v>
      </x:c>
      <x:c r="C40" s="6" t="n">
        <x:v>16</x:v>
      </x:c>
      <x:c r="D40" s="6" t="n">
        <x:v>1</x:v>
      </x:c>
      <x:c r="E40" s="19" t="n">
        <x:v>0</x:v>
      </x:c>
      <x:c r="F40" s="19" t="n">
        <x:v>4300</x:v>
      </x:c>
      <x:c r="G40" s="19" t="n">
        <x:v>20000</x:v>
      </x:c>
      <x:c r="H40" s="19" t="n">
        <x:v>3163</x:v>
      </x:c>
      <x:c r="I40" s="19" t="n">
        <x:v>0</x:v>
      </x:c>
      <x:c r="J40" s="19" t="n">
        <x:v>3163</x:v>
      </x:c>
      <x:c r="K40" s="19" t="n">
        <x:v>90</x:v>
      </x:c>
      <x:c r="L40" s="19" t="n">
        <x:v>3253</x:v>
      </x:c>
      <x:c r="M40" s="19" t="n">
        <x:v>0</x:v>
      </x:c>
      <x:c r="N40" s="19" t="n">
        <x:v>0</x:v>
      </x:c>
      <x:c r="O40" s="19" t="n">
        <x:v>100</x:v>
      </x:c>
      <x:c r="P40" s="19" t="n">
        <x:v>0</x:v>
      </x:c>
      <x:c r="Q40" s="19" t="n">
        <x:v>0</x:v>
      </x:c>
      <x:c r="R40" s="19" t="n">
        <x:v>100</x:v>
      </x:c>
      <x:c r="S40" s="7" t="b">
        <x:v>1</x:v>
      </x:c>
      <x:c r="T40" s="6" t="n">
        <x:f>IF(C40="","",COUNTIF($C$2:$C$601,C40))</x:f>
        <x:v>1</x:v>
      </x:c>
    </x:row>
    <x:row r="41">
      <x:c r="A41" s="6" t="n">
        <x:v>40</x:v>
      </x:c>
      <x:c r="B41" s="6" t="str">
        <x:v>scheduled</x:v>
      </x:c>
      <x:c r="C41" s="6" t="n">
        <x:v>14</x:v>
      </x:c>
      <x:c r="D41" s="6" t="n">
        <x:v>1</x:v>
      </x:c>
      <x:c r="E41" s="19" t="n">
        <x:v>0</x:v>
      </x:c>
      <x:c r="F41" s="19" t="n">
        <x:v>4300</x:v>
      </x:c>
      <x:c r="G41" s="19" t="n">
        <x:v>20000</x:v>
      </x:c>
      <x:c r="H41" s="19" t="n">
        <x:v>3253</x:v>
      </x:c>
      <x:c r="I41" s="19" t="n">
        <x:v>0</x:v>
      </x:c>
      <x:c r="J41" s="19" t="n">
        <x:v>3253</x:v>
      </x:c>
      <x:c r="K41" s="19" t="n">
        <x:v>90</x:v>
      </x:c>
      <x:c r="L41" s="19" t="n">
        <x:v>3343</x:v>
      </x:c>
      <x:c r="M41" s="19" t="n">
        <x:v>0</x:v>
      </x:c>
      <x:c r="N41" s="19" t="n">
        <x:v>0</x:v>
      </x:c>
      <x:c r="O41" s="19" t="n">
        <x:v>100</x:v>
      </x:c>
      <x:c r="P41" s="19" t="n">
        <x:v>0</x:v>
      </x:c>
      <x:c r="Q41" s="19" t="n">
        <x:v>0</x:v>
      </x:c>
      <x:c r="R41" s="19" t="n">
        <x:v>100</x:v>
      </x:c>
      <x:c r="S41" s="7" t="b">
        <x:v>1</x:v>
      </x:c>
      <x:c r="T41" s="6" t="n">
        <x:f>IF(C41="","",COUNTIF($C$2:$C$601,C41))</x:f>
        <x:v>1</x:v>
      </x:c>
    </x:row>
    <x:row r="42">
      <x:c r="A42" s="6" t="n">
        <x:v>41</x:v>
      </x:c>
      <x:c r="B42" s="6" t="str">
        <x:v>scheduled</x:v>
      </x:c>
      <x:c r="C42" s="6" t="n">
        <x:v>22</x:v>
      </x:c>
      <x:c r="D42" s="6" t="n">
        <x:v>1</x:v>
      </x:c>
      <x:c r="E42" s="19" t="n">
        <x:v>0</x:v>
      </x:c>
      <x:c r="F42" s="19" t="n">
        <x:v>5900</x:v>
      </x:c>
      <x:c r="G42" s="19" t="n">
        <x:v>20000</x:v>
      </x:c>
      <x:c r="H42" s="19" t="n">
        <x:v>3343</x:v>
      </x:c>
      <x:c r="I42" s="19" t="n">
        <x:v>0</x:v>
      </x:c>
      <x:c r="J42" s="19" t="n">
        <x:v>3343</x:v>
      </x:c>
      <x:c r="K42" s="19" t="n">
        <x:v>90</x:v>
      </x:c>
      <x:c r="L42" s="19" t="n">
        <x:v>3433</x:v>
      </x:c>
      <x:c r="M42" s="19" t="n">
        <x:v>0</x:v>
      </x:c>
      <x:c r="N42" s="19" t="n">
        <x:v>0</x:v>
      </x:c>
      <x:c r="O42" s="19" t="n">
        <x:v>100</x:v>
      </x:c>
      <x:c r="P42" s="19" t="n">
        <x:v>0</x:v>
      </x:c>
      <x:c r="Q42" s="19" t="n">
        <x:v>0</x:v>
      </x:c>
      <x:c r="R42" s="19" t="n">
        <x:v>100</x:v>
      </x:c>
      <x:c r="S42" s="7" t="b">
        <x:v>1</x:v>
      </x:c>
      <x:c r="T42" s="6" t="n">
        <x:f>IF(C42="","",COUNTIF($C$2:$C$601,C42))</x:f>
        <x:v>1</x:v>
      </x:c>
    </x:row>
    <x:row r="43">
      <x:c r="A43" s="6" t="n">
        <x:v>42</x:v>
      </x:c>
      <x:c r="B43" s="6" t="str">
        <x:v>scheduled</x:v>
      </x:c>
      <x:c r="C43" s="6" t="n">
        <x:v>20</x:v>
      </x:c>
      <x:c r="D43" s="6" t="n">
        <x:v>1</x:v>
      </x:c>
      <x:c r="E43" s="19" t="n">
        <x:v>0</x:v>
      </x:c>
      <x:c r="F43" s="19" t="n">
        <x:v>4300</x:v>
      </x:c>
      <x:c r="G43" s="19" t="n">
        <x:v>20000</x:v>
      </x:c>
      <x:c r="H43" s="19" t="n">
        <x:v>3433</x:v>
      </x:c>
      <x:c r="I43" s="19" t="n">
        <x:v>0</x:v>
      </x:c>
      <x:c r="J43" s="19" t="n">
        <x:v>3433</x:v>
      </x:c>
      <x:c r="K43" s="19" t="n">
        <x:v>90</x:v>
      </x:c>
      <x:c r="L43" s="19" t="n">
        <x:v>3523</x:v>
      </x:c>
      <x:c r="M43" s="19" t="n">
        <x:v>0</x:v>
      </x:c>
      <x:c r="N43" s="19" t="n">
        <x:v>0</x:v>
      </x:c>
      <x:c r="O43" s="19" t="n">
        <x:v>100</x:v>
      </x:c>
      <x:c r="P43" s="19" t="n">
        <x:v>0</x:v>
      </x:c>
      <x:c r="Q43" s="19" t="n">
        <x:v>0</x:v>
      </x:c>
      <x:c r="R43" s="19" t="n">
        <x:v>100</x:v>
      </x:c>
      <x:c r="S43" s="7" t="b">
        <x:v>1</x:v>
      </x:c>
      <x:c r="T43" s="6" t="n">
        <x:f>IF(C43="","",COUNTIF($C$2:$C$601,C43))</x:f>
        <x:v>1</x:v>
      </x:c>
    </x:row>
    <x:row r="44">
      <x:c r="A44" s="6" t="n">
        <x:v>43</x:v>
      </x:c>
      <x:c r="B44" s="6" t="str">
        <x:v>scheduled</x:v>
      </x:c>
      <x:c r="C44" s="6" t="n">
        <x:v>13</x:v>
      </x:c>
      <x:c r="D44" s="6" t="n">
        <x:v>1</x:v>
      </x:c>
      <x:c r="E44" s="19" t="n">
        <x:v>0</x:v>
      </x:c>
      <x:c r="F44" s="19" t="n">
        <x:v>3700</x:v>
      </x:c>
      <x:c r="G44" s="19" t="n">
        <x:v>20000</x:v>
      </x:c>
      <x:c r="H44" s="19" t="n">
        <x:v>3523</x:v>
      </x:c>
      <x:c r="I44" s="19" t="n">
        <x:v>0</x:v>
      </x:c>
      <x:c r="J44" s="19" t="n">
        <x:v>3523</x:v>
      </x:c>
      <x:c r="K44" s="19" t="n">
        <x:v>90</x:v>
      </x:c>
      <x:c r="L44" s="19" t="n">
        <x:v>3613</x:v>
      </x:c>
      <x:c r="M44" s="19" t="n">
        <x:v>0</x:v>
      </x:c>
      <x:c r="N44" s="19" t="n">
        <x:v>0</x:v>
      </x:c>
      <x:c r="O44" s="19" t="n">
        <x:v>100</x:v>
      </x:c>
      <x:c r="P44" s="19" t="n">
        <x:v>0</x:v>
      </x:c>
      <x:c r="Q44" s="19" t="n">
        <x:v>0</x:v>
      </x:c>
      <x:c r="R44" s="19" t="n">
        <x:v>100</x:v>
      </x:c>
      <x:c r="S44" s="7" t="b">
        <x:v>1</x:v>
      </x:c>
      <x:c r="T44" s="6" t="n">
        <x:f>IF(C44="","",COUNTIF($C$2:$C$601,C44))</x:f>
        <x:v>1</x:v>
      </x:c>
    </x:row>
    <x:row r="45">
      <x:c r="A45" s="6" t="n">
        <x:v>44</x:v>
      </x:c>
      <x:c r="B45" s="6" t="str">
        <x:v>scheduled</x:v>
      </x:c>
      <x:c r="C45" s="6" t="n">
        <x:v>28</x:v>
      </x:c>
      <x:c r="D45" s="6" t="n">
        <x:v>1</x:v>
      </x:c>
      <x:c r="E45" s="19" t="n">
        <x:v>0</x:v>
      </x:c>
      <x:c r="F45" s="19" t="n">
        <x:v>4900</x:v>
      </x:c>
      <x:c r="G45" s="19" t="n">
        <x:v>20000</x:v>
      </x:c>
      <x:c r="H45" s="19" t="n">
        <x:v>3613</x:v>
      </x:c>
      <x:c r="I45" s="19" t="n">
        <x:v>0</x:v>
      </x:c>
      <x:c r="J45" s="19" t="n">
        <x:v>3613</x:v>
      </x:c>
      <x:c r="K45" s="19" t="n">
        <x:v>90</x:v>
      </x:c>
      <x:c r="L45" s="19" t="n">
        <x:v>3703</x:v>
      </x:c>
      <x:c r="M45" s="19" t="n">
        <x:v>0</x:v>
      </x:c>
      <x:c r="N45" s="19" t="n">
        <x:v>0</x:v>
      </x:c>
      <x:c r="O45" s="19" t="n">
        <x:v>100</x:v>
      </x:c>
      <x:c r="P45" s="19" t="n">
        <x:v>0</x:v>
      </x:c>
      <x:c r="Q45" s="19" t="n">
        <x:v>0</x:v>
      </x:c>
      <x:c r="R45" s="19" t="n">
        <x:v>100</x:v>
      </x:c>
      <x:c r="S45" s="7" t="b">
        <x:v>1</x:v>
      </x:c>
      <x:c r="T45" s="6" t="n">
        <x:f>IF(C45="","",COUNTIF($C$2:$C$601,C45))</x:f>
        <x:v>1</x:v>
      </x:c>
    </x:row>
    <x:row r="46">
      <x:c r="A46" s="6" t="n">
        <x:v>45</x:v>
      </x:c>
      <x:c r="B46" s="6" t="str">
        <x:v>scheduled</x:v>
      </x:c>
      <x:c r="C46" s="6" t="n">
        <x:v>18</x:v>
      </x:c>
      <x:c r="D46" s="6" t="n">
        <x:v>1</x:v>
      </x:c>
      <x:c r="E46" s="19" t="n">
        <x:v>0</x:v>
      </x:c>
      <x:c r="F46" s="19" t="n">
        <x:v>4300</x:v>
      </x:c>
      <x:c r="G46" s="19" t="n">
        <x:v>20000</x:v>
      </x:c>
      <x:c r="H46" s="19" t="n">
        <x:v>3703</x:v>
      </x:c>
      <x:c r="I46" s="19" t="n">
        <x:v>0</x:v>
      </x:c>
      <x:c r="J46" s="19" t="n">
        <x:v>3703</x:v>
      </x:c>
      <x:c r="K46" s="19" t="n">
        <x:v>90</x:v>
      </x:c>
      <x:c r="L46" s="19" t="n">
        <x:v>3793</x:v>
      </x:c>
      <x:c r="M46" s="19" t="n">
        <x:v>0</x:v>
      </x:c>
      <x:c r="N46" s="19" t="n">
        <x:v>0</x:v>
      </x:c>
      <x:c r="O46" s="19" t="n">
        <x:v>100</x:v>
      </x:c>
      <x:c r="P46" s="19" t="n">
        <x:v>0</x:v>
      </x:c>
      <x:c r="Q46" s="19" t="n">
        <x:v>0</x:v>
      </x:c>
      <x:c r="R46" s="19" t="n">
        <x:v>100</x:v>
      </x:c>
      <x:c r="S46" s="7" t="b">
        <x:v>1</x:v>
      </x:c>
      <x:c r="T46" s="6" t="n">
        <x:f>IF(C46="","",COUNTIF($C$2:$C$601,C46))</x:f>
        <x:v>1</x:v>
      </x:c>
    </x:row>
    <x:row r="47">
      <x:c r="A47" s="6" t="n">
        <x:v>46</x:v>
      </x:c>
      <x:c r="B47" s="6" t="str">
        <x:v>scheduled</x:v>
      </x:c>
      <x:c r="C47" s="6" t="n">
        <x:v>34</x:v>
      </x:c>
      <x:c r="D47" s="6" t="n">
        <x:v>1</x:v>
      </x:c>
      <x:c r="E47" s="19" t="n">
        <x:v>0</x:v>
      </x:c>
      <x:c r="F47" s="19" t="n">
        <x:v>6300</x:v>
      </x:c>
      <x:c r="G47" s="19" t="n">
        <x:v>20000</x:v>
      </x:c>
      <x:c r="H47" s="19" t="n">
        <x:v>3793</x:v>
      </x:c>
      <x:c r="I47" s="19" t="n">
        <x:v>0</x:v>
      </x:c>
      <x:c r="J47" s="19" t="n">
        <x:v>3793</x:v>
      </x:c>
      <x:c r="K47" s="19" t="n">
        <x:v>90</x:v>
      </x:c>
      <x:c r="L47" s="19" t="n">
        <x:v>3883</x:v>
      </x:c>
      <x:c r="M47" s="19" t="n">
        <x:v>0</x:v>
      </x:c>
      <x:c r="N47" s="19" t="n">
        <x:v>0</x:v>
      </x:c>
      <x:c r="O47" s="19" t="n">
        <x:v>100</x:v>
      </x:c>
      <x:c r="P47" s="19" t="n">
        <x:v>0</x:v>
      </x:c>
      <x:c r="Q47" s="19" t="n">
        <x:v>0</x:v>
      </x:c>
      <x:c r="R47" s="19" t="n">
        <x:v>100</x:v>
      </x:c>
      <x:c r="S47" s="7" t="b">
        <x:v>1</x:v>
      </x:c>
      <x:c r="T47" s="6" t="n">
        <x:f>IF(C47="","",COUNTIF($C$2:$C$601,C47))</x:f>
        <x:v>1</x:v>
      </x:c>
    </x:row>
    <x:row r="48">
      <x:c r="A48" s="6" t="n">
        <x:v>47</x:v>
      </x:c>
      <x:c r="B48" s="6" t="str">
        <x:v>scheduled</x:v>
      </x:c>
      <x:c r="C48" s="6" t="n">
        <x:v>24</x:v>
      </x:c>
      <x:c r="D48" s="6" t="n">
        <x:v>1</x:v>
      </x:c>
      <x:c r="E48" s="19" t="n">
        <x:v>0</x:v>
      </x:c>
      <x:c r="F48" s="19" t="n">
        <x:v>4300</x:v>
      </x:c>
      <x:c r="G48" s="19" t="n">
        <x:v>20000</x:v>
      </x:c>
      <x:c r="H48" s="19" t="n">
        <x:v>3883</x:v>
      </x:c>
      <x:c r="I48" s="19" t="n">
        <x:v>0</x:v>
      </x:c>
      <x:c r="J48" s="19" t="n">
        <x:v>3883</x:v>
      </x:c>
      <x:c r="K48" s="19" t="n">
        <x:v>90</x:v>
      </x:c>
      <x:c r="L48" s="19" t="n">
        <x:v>3973</x:v>
      </x:c>
      <x:c r="M48" s="19" t="n">
        <x:v>0</x:v>
      </x:c>
      <x:c r="N48" s="19" t="n">
        <x:v>0</x:v>
      </x:c>
      <x:c r="O48" s="19" t="n">
        <x:v>100</x:v>
      </x:c>
      <x:c r="P48" s="19" t="n">
        <x:v>0</x:v>
      </x:c>
      <x:c r="Q48" s="19" t="n">
        <x:v>0</x:v>
      </x:c>
      <x:c r="R48" s="19" t="n">
        <x:v>100</x:v>
      </x:c>
      <x:c r="S48" s="7" t="b">
        <x:v>1</x:v>
      </x:c>
      <x:c r="T48" s="6" t="n">
        <x:f>IF(C48="","",COUNTIF($C$2:$C$601,C48))</x:f>
        <x:v>1</x:v>
      </x:c>
    </x:row>
    <x:row r="49">
      <x:c r="A49" s="6" t="n">
        <x:v>48</x:v>
      </x:c>
      <x:c r="B49" s="6" t="str">
        <x:v>scheduled</x:v>
      </x:c>
      <x:c r="C49" s="6" t="n">
        <x:v>29</x:v>
      </x:c>
      <x:c r="D49" s="6" t="n">
        <x:v>1</x:v>
      </x:c>
      <x:c r="E49" s="19" t="n">
        <x:v>0</x:v>
      </x:c>
      <x:c r="F49" s="19" t="n">
        <x:v>5900</x:v>
      </x:c>
      <x:c r="G49" s="19" t="n">
        <x:v>20000</x:v>
      </x:c>
      <x:c r="H49" s="19" t="n">
        <x:v>3973</x:v>
      </x:c>
      <x:c r="I49" s="19" t="n">
        <x:v>0</x:v>
      </x:c>
      <x:c r="J49" s="19" t="n">
        <x:v>3973</x:v>
      </x:c>
      <x:c r="K49" s="19" t="n">
        <x:v>90</x:v>
      </x:c>
      <x:c r="L49" s="19" t="n">
        <x:v>4063</x:v>
      </x:c>
      <x:c r="M49" s="19" t="n">
        <x:v>0</x:v>
      </x:c>
      <x:c r="N49" s="19" t="n">
        <x:v>0</x:v>
      </x:c>
      <x:c r="O49" s="19" t="n">
        <x:v>100</x:v>
      </x:c>
      <x:c r="P49" s="19" t="n">
        <x:v>0</x:v>
      </x:c>
      <x:c r="Q49" s="19" t="n">
        <x:v>0</x:v>
      </x:c>
      <x:c r="R49" s="19" t="n">
        <x:v>100</x:v>
      </x:c>
      <x:c r="S49" s="7" t="b">
        <x:v>1</x:v>
      </x:c>
      <x:c r="T49" s="6" t="n">
        <x:f>IF(C49="","",COUNTIF($C$2:$C$601,C49))</x:f>
        <x:v>1</x:v>
      </x:c>
    </x:row>
    <x:row r="50">
      <x:c r="A50" s="6" t="n">
        <x:v>49</x:v>
      </x:c>
      <x:c r="B50" s="6" t="str">
        <x:v>scheduled</x:v>
      </x:c>
      <x:c r="C50" s="6" t="n">
        <x:v>36</x:v>
      </x:c>
      <x:c r="D50" s="6" t="n">
        <x:v>1</x:v>
      </x:c>
      <x:c r="E50" s="19" t="n">
        <x:v>0</x:v>
      </x:c>
      <x:c r="F50" s="19" t="n">
        <x:v>5900</x:v>
      </x:c>
      <x:c r="G50" s="19" t="n">
        <x:v>20000</x:v>
      </x:c>
      <x:c r="H50" s="19" t="n">
        <x:v>4063</x:v>
      </x:c>
      <x:c r="I50" s="19" t="n">
        <x:v>0</x:v>
      </x:c>
      <x:c r="J50" s="19" t="n">
        <x:v>4063</x:v>
      </x:c>
      <x:c r="K50" s="19" t="n">
        <x:v>90</x:v>
      </x:c>
      <x:c r="L50" s="19" t="n">
        <x:v>4153</x:v>
      </x:c>
      <x:c r="M50" s="19" t="n">
        <x:v>0</x:v>
      </x:c>
      <x:c r="N50" s="19" t="n">
        <x:v>0</x:v>
      </x:c>
      <x:c r="O50" s="19" t="n">
        <x:v>100</x:v>
      </x:c>
      <x:c r="P50" s="19" t="n">
        <x:v>0</x:v>
      </x:c>
      <x:c r="Q50" s="19" t="n">
        <x:v>0</x:v>
      </x:c>
      <x:c r="R50" s="19" t="n">
        <x:v>100</x:v>
      </x:c>
      <x:c r="S50" s="7" t="b">
        <x:v>1</x:v>
      </x:c>
      <x:c r="T50" s="6" t="n">
        <x:f>IF(C50="","",COUNTIF($C$2:$C$601,C50))</x:f>
        <x:v>1</x:v>
      </x:c>
    </x:row>
    <x:row r="51">
      <x:c r="A51" s="6" t="n">
        <x:v>50</x:v>
      </x:c>
      <x:c r="B51" s="6" t="str">
        <x:v>scheduled</x:v>
      </x:c>
      <x:c r="C51" s="6" t="n">
        <x:v>17</x:v>
      </x:c>
      <x:c r="D51" s="6" t="n">
        <x:v>1</x:v>
      </x:c>
      <x:c r="E51" s="19" t="n">
        <x:v>0</x:v>
      </x:c>
      <x:c r="F51" s="19" t="n">
        <x:v>4300</x:v>
      </x:c>
      <x:c r="G51" s="19" t="n">
        <x:v>20000</x:v>
      </x:c>
      <x:c r="H51" s="19" t="n">
        <x:v>4153</x:v>
      </x:c>
      <x:c r="I51" s="19" t="n">
        <x:v>0</x:v>
      </x:c>
      <x:c r="J51" s="19" t="n">
        <x:v>4153</x:v>
      </x:c>
      <x:c r="K51" s="19" t="n">
        <x:v>90</x:v>
      </x:c>
      <x:c r="L51" s="19" t="n">
        <x:v>4243</x:v>
      </x:c>
      <x:c r="M51" s="19" t="n">
        <x:v>0</x:v>
      </x:c>
      <x:c r="N51" s="19" t="n">
        <x:v>0</x:v>
      </x:c>
      <x:c r="O51" s="19" t="n">
        <x:v>100</x:v>
      </x:c>
      <x:c r="P51" s="19" t="n">
        <x:v>0</x:v>
      </x:c>
      <x:c r="Q51" s="19" t="n">
        <x:v>0</x:v>
      </x:c>
      <x:c r="R51" s="19" t="n">
        <x:v>100</x:v>
      </x:c>
      <x:c r="S51" s="7" t="b">
        <x:v>1</x:v>
      </x:c>
      <x:c r="T51" s="6" t="n">
        <x:f>IF(C51="","",COUNTIF($C$2:$C$601,C51))</x:f>
        <x:v>1</x:v>
      </x:c>
    </x:row>
    <x:row r="52">
      <x:c r="A52" s="6" t="n">
        <x:v>51</x:v>
      </x:c>
      <x:c r="B52" s="6" t="str">
        <x:v>scheduled</x:v>
      </x:c>
      <x:c r="C52" s="6" t="n">
        <x:v>12</x:v>
      </x:c>
      <x:c r="D52" s="6" t="n">
        <x:v>1</x:v>
      </x:c>
      <x:c r="E52" s="19" t="n">
        <x:v>0</x:v>
      </x:c>
      <x:c r="F52" s="19" t="n">
        <x:v>4900</x:v>
      </x:c>
      <x:c r="G52" s="19" t="n">
        <x:v>20000</x:v>
      </x:c>
      <x:c r="H52" s="19" t="n">
        <x:v>4243</x:v>
      </x:c>
      <x:c r="I52" s="19" t="n">
        <x:v>0</x:v>
      </x:c>
      <x:c r="J52" s="19" t="n">
        <x:v>4243</x:v>
      </x:c>
      <x:c r="K52" s="19" t="n">
        <x:v>90</x:v>
      </x:c>
      <x:c r="L52" s="19" t="n">
        <x:v>4333</x:v>
      </x:c>
      <x:c r="M52" s="19" t="n">
        <x:v>0</x:v>
      </x:c>
      <x:c r="N52" s="19" t="n">
        <x:v>0</x:v>
      </x:c>
      <x:c r="O52" s="19" t="n">
        <x:v>100</x:v>
      </x:c>
      <x:c r="P52" s="19" t="n">
        <x:v>0</x:v>
      </x:c>
      <x:c r="Q52" s="19" t="n">
        <x:v>0</x:v>
      </x:c>
      <x:c r="R52" s="19" t="n">
        <x:v>100</x:v>
      </x:c>
      <x:c r="S52" s="7" t="b">
        <x:v>1</x:v>
      </x:c>
      <x:c r="T52" s="6" t="n">
        <x:f>IF(C52="","",COUNTIF($C$2:$C$601,C52))</x:f>
        <x:v>1</x:v>
      </x:c>
    </x:row>
    <x:row r="53">
      <x:c r="A53" s="6" t="n">
        <x:v>52</x:v>
      </x:c>
      <x:c r="B53" s="6" t="str">
        <x:v>scheduled</x:v>
      </x:c>
      <x:c r="C53" s="6" t="n">
        <x:v>33</x:v>
      </x:c>
      <x:c r="D53" s="6" t="n">
        <x:v>1</x:v>
      </x:c>
      <x:c r="E53" s="19" t="n">
        <x:v>0</x:v>
      </x:c>
      <x:c r="F53" s="19" t="n">
        <x:v>6300</x:v>
      </x:c>
      <x:c r="G53" s="19" t="n">
        <x:v>20000</x:v>
      </x:c>
      <x:c r="H53" s="19" t="n">
        <x:v>4333</x:v>
      </x:c>
      <x:c r="I53" s="19" t="n">
        <x:v>0</x:v>
      </x:c>
      <x:c r="J53" s="19" t="n">
        <x:v>4333</x:v>
      </x:c>
      <x:c r="K53" s="19" t="n">
        <x:v>90</x:v>
      </x:c>
      <x:c r="L53" s="19" t="n">
        <x:v>4423</x:v>
      </x:c>
      <x:c r="M53" s="19" t="n">
        <x:v>0</x:v>
      </x:c>
      <x:c r="N53" s="19" t="n">
        <x:v>0</x:v>
      </x:c>
      <x:c r="O53" s="19" t="n">
        <x:v>100</x:v>
      </x:c>
      <x:c r="P53" s="19" t="n">
        <x:v>0</x:v>
      </x:c>
      <x:c r="Q53" s="19" t="n">
        <x:v>0</x:v>
      </x:c>
      <x:c r="R53" s="19" t="n">
        <x:v>100</x:v>
      </x:c>
      <x:c r="S53" s="7" t="b">
        <x:v>1</x:v>
      </x:c>
      <x:c r="T53" s="6" t="n">
        <x:f>IF(C53="","",COUNTIF($C$2:$C$601,C53))</x:f>
        <x:v>1</x:v>
      </x:c>
    </x:row>
    <x:row r="54">
      <x:c r="A54" s="6" t="n">
        <x:v>53</x:v>
      </x:c>
      <x:c r="B54" s="6" t="str">
        <x:v>scheduled</x:v>
      </x:c>
      <x:c r="C54" s="6" t="n">
        <x:v>26</x:v>
      </x:c>
      <x:c r="D54" s="6" t="n">
        <x:v>1</x:v>
      </x:c>
      <x:c r="E54" s="19" t="n">
        <x:v>0</x:v>
      </x:c>
      <x:c r="F54" s="19" t="n">
        <x:v>4900</x:v>
      </x:c>
      <x:c r="G54" s="19" t="n">
        <x:v>20000</x:v>
      </x:c>
      <x:c r="H54" s="19" t="n">
        <x:v>4423</x:v>
      </x:c>
      <x:c r="I54" s="19" t="n">
        <x:v>0</x:v>
      </x:c>
      <x:c r="J54" s="19" t="n">
        <x:v>4423</x:v>
      </x:c>
      <x:c r="K54" s="19" t="n">
        <x:v>90</x:v>
      </x:c>
      <x:c r="L54" s="19" t="n">
        <x:v>4513</x:v>
      </x:c>
      <x:c r="M54" s="19" t="n">
        <x:v>0</x:v>
      </x:c>
      <x:c r="N54" s="19" t="n">
        <x:v>0</x:v>
      </x:c>
      <x:c r="O54" s="19" t="n">
        <x:v>100</x:v>
      </x:c>
      <x:c r="P54" s="19" t="n">
        <x:v>0</x:v>
      </x:c>
      <x:c r="Q54" s="19" t="n">
        <x:v>0</x:v>
      </x:c>
      <x:c r="R54" s="19" t="n">
        <x:v>100</x:v>
      </x:c>
      <x:c r="S54" s="7" t="b">
        <x:v>1</x:v>
      </x:c>
      <x:c r="T54" s="6" t="n">
        <x:f>IF(C54="","",COUNTIF($C$2:$C$601,C54))</x:f>
        <x:v>1</x:v>
      </x:c>
    </x:row>
    <x:row r="55">
      <x:c r="A55" s="6" t="n">
        <x:v>54</x:v>
      </x:c>
      <x:c r="B55" s="6" t="str">
        <x:v>scheduled</x:v>
      </x:c>
      <x:c r="C55" s="6" t="n">
        <x:v>35</x:v>
      </x:c>
      <x:c r="D55" s="6" t="n">
        <x:v>1</x:v>
      </x:c>
      <x:c r="E55" s="19" t="n">
        <x:v>0</x:v>
      </x:c>
      <x:c r="F55" s="19" t="n">
        <x:v>5900</x:v>
      </x:c>
      <x:c r="G55" s="19" t="n">
        <x:v>20000</x:v>
      </x:c>
      <x:c r="H55" s="19" t="n">
        <x:v>4513</x:v>
      </x:c>
      <x:c r="I55" s="19" t="n">
        <x:v>0</x:v>
      </x:c>
      <x:c r="J55" s="19" t="n">
        <x:v>4513</x:v>
      </x:c>
      <x:c r="K55" s="19" t="n">
        <x:v>90</x:v>
      </x:c>
      <x:c r="L55" s="19" t="n">
        <x:v>4603</x:v>
      </x:c>
      <x:c r="M55" s="19" t="n">
        <x:v>0</x:v>
      </x:c>
      <x:c r="N55" s="19" t="n">
        <x:v>0</x:v>
      </x:c>
      <x:c r="O55" s="19" t="n">
        <x:v>100</x:v>
      </x:c>
      <x:c r="P55" s="19" t="n">
        <x:v>0</x:v>
      </x:c>
      <x:c r="Q55" s="19" t="n">
        <x:v>0</x:v>
      </x:c>
      <x:c r="R55" s="19" t="n">
        <x:v>100</x:v>
      </x:c>
      <x:c r="S55" s="7" t="b">
        <x:v>1</x:v>
      </x:c>
      <x:c r="T55" s="6" t="n">
        <x:f>IF(C55="","",COUNTIF($C$2:$C$601,C55))</x:f>
        <x:v>1</x:v>
      </x:c>
    </x:row>
    <x:row r="56">
      <x:c r="A56" s="6" t="n">
        <x:v>55</x:v>
      </x:c>
      <x:c r="B56" s="6" t="str">
        <x:v>scheduled</x:v>
      </x:c>
      <x:c r="C56" s="6" t="n">
        <x:v>30</x:v>
      </x:c>
      <x:c r="D56" s="6" t="n">
        <x:v>1</x:v>
      </x:c>
      <x:c r="E56" s="19" t="n">
        <x:v>0</x:v>
      </x:c>
      <x:c r="F56" s="19" t="n">
        <x:v>5900</x:v>
      </x:c>
      <x:c r="G56" s="19" t="n">
        <x:v>20000</x:v>
      </x:c>
      <x:c r="H56" s="19" t="n">
        <x:v>4603</x:v>
      </x:c>
      <x:c r="I56" s="19" t="n">
        <x:v>0</x:v>
      </x:c>
      <x:c r="J56" s="19" t="n">
        <x:v>4603</x:v>
      </x:c>
      <x:c r="K56" s="19" t="n">
        <x:v>90</x:v>
      </x:c>
      <x:c r="L56" s="19" t="n">
        <x:v>4693</x:v>
      </x:c>
      <x:c r="M56" s="19" t="n">
        <x:v>0</x:v>
      </x:c>
      <x:c r="N56" s="19" t="n">
        <x:v>0</x:v>
      </x:c>
      <x:c r="O56" s="19" t="n">
        <x:v>100</x:v>
      </x:c>
      <x:c r="P56" s="19" t="n">
        <x:v>0</x:v>
      </x:c>
      <x:c r="Q56" s="19" t="n">
        <x:v>0</x:v>
      </x:c>
      <x:c r="R56" s="19" t="n">
        <x:v>100</x:v>
      </x:c>
      <x:c r="S56" s="7" t="b">
        <x:v>1</x:v>
      </x:c>
      <x:c r="T56" s="6" t="n">
        <x:f>IF(C56="","",COUNTIF($C$2:$C$601,C56))</x:f>
        <x:v>1</x:v>
      </x:c>
    </x:row>
    <x:row r="57">
      <x:c r="A57" s="6" t="n">
        <x:v>56</x:v>
      </x:c>
      <x:c r="B57" s="6" t="str">
        <x:v>scheduled</x:v>
      </x:c>
      <x:c r="C57" s="6" t="n">
        <x:v>27</x:v>
      </x:c>
      <x:c r="D57" s="6" t="n">
        <x:v>1</x:v>
      </x:c>
      <x:c r="E57" s="19" t="n">
        <x:v>0</x:v>
      </x:c>
      <x:c r="F57" s="19" t="n">
        <x:v>4900</x:v>
      </x:c>
      <x:c r="G57" s="19" t="n">
        <x:v>20000</x:v>
      </x:c>
      <x:c r="H57" s="19" t="n">
        <x:v>4693</x:v>
      </x:c>
      <x:c r="I57" s="19" t="n">
        <x:v>0</x:v>
      </x:c>
      <x:c r="J57" s="19" t="n">
        <x:v>4693</x:v>
      </x:c>
      <x:c r="K57" s="19" t="n">
        <x:v>90</x:v>
      </x:c>
      <x:c r="L57" s="19" t="n">
        <x:v>4783</x:v>
      </x:c>
      <x:c r="M57" s="19" t="n">
        <x:v>0</x:v>
      </x:c>
      <x:c r="N57" s="19" t="n">
        <x:v>0</x:v>
      </x:c>
      <x:c r="O57" s="19" t="n">
        <x:v>100</x:v>
      </x:c>
      <x:c r="P57" s="19" t="n">
        <x:v>0</x:v>
      </x:c>
      <x:c r="Q57" s="19" t="n">
        <x:v>0</x:v>
      </x:c>
      <x:c r="R57" s="19" t="n">
        <x:v>100</x:v>
      </x:c>
      <x:c r="S57" s="7" t="b">
        <x:v>1</x:v>
      </x:c>
      <x:c r="T57" s="6" t="n">
        <x:f>IF(C57="","",COUNTIF($C$2:$C$601,C57))</x:f>
        <x:v>1</x:v>
      </x:c>
    </x:row>
    <x:row r="58">
      <x:c r="A58" s="6" t="n">
        <x:v>57</x:v>
      </x:c>
      <x:c r="B58" s="6" t="str">
        <x:v>scheduled</x:v>
      </x:c>
      <x:c r="C58" s="6" t="n">
        <x:v>32</x:v>
      </x:c>
      <x:c r="D58" s="6" t="n">
        <x:v>1</x:v>
      </x:c>
      <x:c r="E58" s="19" t="n">
        <x:v>0</x:v>
      </x:c>
      <x:c r="F58" s="19" t="n">
        <x:v>6300</x:v>
      </x:c>
      <x:c r="G58" s="19" t="n">
        <x:v>20000</x:v>
      </x:c>
      <x:c r="H58" s="19" t="n">
        <x:v>4783</x:v>
      </x:c>
      <x:c r="I58" s="19" t="n">
        <x:v>0</x:v>
      </x:c>
      <x:c r="J58" s="19" t="n">
        <x:v>4783</x:v>
      </x:c>
      <x:c r="K58" s="19" t="n">
        <x:v>90</x:v>
      </x:c>
      <x:c r="L58" s="19" t="n">
        <x:v>4873</x:v>
      </x:c>
      <x:c r="M58" s="19" t="n">
        <x:v>0</x:v>
      </x:c>
      <x:c r="N58" s="19" t="n">
        <x:v>0</x:v>
      </x:c>
      <x:c r="O58" s="19" t="n">
        <x:v>100</x:v>
      </x:c>
      <x:c r="P58" s="19" t="n">
        <x:v>0</x:v>
      </x:c>
      <x:c r="Q58" s="19" t="n">
        <x:v>0</x:v>
      </x:c>
      <x:c r="R58" s="19" t="n">
        <x:v>100</x:v>
      </x:c>
      <x:c r="S58" s="7" t="b">
        <x:v>1</x:v>
      </x:c>
      <x:c r="T58" s="6" t="n">
        <x:f>IF(C58="","",COUNTIF($C$2:$C$601,C58))</x:f>
        <x:v>1</x:v>
      </x:c>
    </x:row>
    <x:row r="59">
      <x:c r="A59" s="6" t="n">
        <x:v>58</x:v>
      </x:c>
      <x:c r="B59" s="6" t="str">
        <x:v>scheduled</x:v>
      </x:c>
      <x:c r="C59" s="6" t="n">
        <x:v>8</x:v>
      </x:c>
      <x:c r="D59" s="6" t="n">
        <x:v>0</x:v>
      </x:c>
      <x:c r="E59" s="19" t="n">
        <x:v>0</x:v>
      </x:c>
      <x:c r="F59" s="19" t="n">
        <x:v>5300</x:v>
      </x:c>
      <x:c r="G59" s="19" t="n">
        <x:v>20000</x:v>
      </x:c>
      <x:c r="H59" s="19" t="n">
        <x:v>4873</x:v>
      </x:c>
      <x:c r="I59" s="19" t="n">
        <x:v>10</x:v>
      </x:c>
      <x:c r="J59" s="19" t="n">
        <x:v>4883</x:v>
      </x:c>
      <x:c r="K59" s="19" t="n">
        <x:v>70</x:v>
      </x:c>
      <x:c r="L59" s="19" t="n">
        <x:v>4953</x:v>
      </x:c>
      <x:c r="M59" s="19" t="n">
        <x:v>0</x:v>
      </x:c>
      <x:c r="N59" s="19" t="n">
        <x:v>200</x:v>
      </x:c>
      <x:c r="O59" s="19" t="n">
        <x:v>100</x:v>
      </x:c>
      <x:c r="P59" s="19" t="n">
        <x:v>0</x:v>
      </x:c>
      <x:c r="Q59" s="19" t="n">
        <x:v>0</x:v>
      </x:c>
      <x:c r="R59" s="19" t="n">
        <x:v>300</x:v>
      </x:c>
      <x:c r="S59" s="7" t="b">
        <x:v>1</x:v>
      </x:c>
      <x:c r="T59" s="6" t="n">
        <x:f>IF(C59="","",COUNTIF($C$2:$C$601,C59))</x:f>
        <x:v>1</x:v>
      </x:c>
    </x:row>
    <x:row r="60">
      <x:c r="A60" s="6" t="n">
        <x:v>59</x:v>
      </x:c>
      <x:c r="B60" s="6" t="str">
        <x:v>scheduled</x:v>
      </x:c>
      <x:c r="C60" s="6" t="n">
        <x:v>0</x:v>
      </x:c>
      <x:c r="D60" s="6" t="n">
        <x:v>0</x:v>
      </x:c>
      <x:c r="E60" s="19" t="n">
        <x:v>0</x:v>
      </x:c>
      <x:c r="F60" s="19" t="n">
        <x:v>5100</x:v>
      </x:c>
      <x:c r="G60" s="19" t="n">
        <x:v>20000</x:v>
      </x:c>
      <x:c r="H60" s="19" t="n">
        <x:v>4953</x:v>
      </x:c>
      <x:c r="I60" s="19" t="n">
        <x:v>0</x:v>
      </x:c>
      <x:c r="J60" s="19" t="n">
        <x:v>4953</x:v>
      </x:c>
      <x:c r="K60" s="19" t="n">
        <x:v>70</x:v>
      </x:c>
      <x:c r="L60" s="19" t="n">
        <x:v>5023</x:v>
      </x:c>
      <x:c r="M60" s="19" t="n">
        <x:v>0</x:v>
      </x:c>
      <x:c r="N60" s="19" t="n">
        <x:v>0</x:v>
      </x:c>
      <x:c r="O60" s="19" t="n">
        <x:v>100</x:v>
      </x:c>
      <x:c r="P60" s="19" t="n">
        <x:v>0</x:v>
      </x:c>
      <x:c r="Q60" s="19" t="n">
        <x:v>0</x:v>
      </x:c>
      <x:c r="R60" s="19" t="n">
        <x:v>100</x:v>
      </x:c>
      <x:c r="S60" s="7" t="b">
        <x:v>1</x:v>
      </x:c>
      <x:c r="T60" s="6" t="str">
        <x:f>IF(C60="","",COUNTIF($C$2:$C$601,C60))</x:f>
      </x:c>
    </x:row>
    <x:row r="61">
      <x:c r="A61" s="6" t="n">
        <x:v>60</x:v>
      </x:c>
      <x:c r="B61" s="6" t="str">
        <x:v>scheduled</x:v>
      </x:c>
      <x:c r="C61" s="6" t="n">
        <x:v>6</x:v>
      </x:c>
      <x:c r="D61" s="6" t="n">
        <x:v>0</x:v>
      </x:c>
      <x:c r="E61" s="19" t="n">
        <x:v>0</x:v>
      </x:c>
      <x:c r="F61" s="19" t="n">
        <x:v>5300</x:v>
      </x:c>
      <x:c r="G61" s="19" t="n">
        <x:v>20000</x:v>
      </x:c>
      <x:c r="H61" s="19" t="n">
        <x:v>5023</x:v>
      </x:c>
      <x:c r="I61" s="19" t="n">
        <x:v>0</x:v>
      </x:c>
      <x:c r="J61" s="19" t="n">
        <x:v>5023</x:v>
      </x:c>
      <x:c r="K61" s="19" t="n">
        <x:v>70</x:v>
      </x:c>
      <x:c r="L61" s="19" t="n">
        <x:v>5093</x:v>
      </x:c>
      <x:c r="M61" s="19" t="n">
        <x:v>0</x:v>
      </x:c>
      <x:c r="N61" s="19" t="n">
        <x:v>0</x:v>
      </x:c>
      <x:c r="O61" s="19" t="n">
        <x:v>100</x:v>
      </x:c>
      <x:c r="P61" s="19" t="n">
        <x:v>0</x:v>
      </x:c>
      <x:c r="Q61" s="19" t="n">
        <x:v>0</x:v>
      </x:c>
      <x:c r="R61" s="19" t="n">
        <x:v>100</x:v>
      </x:c>
      <x:c r="S61" s="7" t="b">
        <x:v>1</x:v>
      </x:c>
      <x:c r="T61" s="6" t="n">
        <x:f>IF(C61="","",COUNTIF($C$2:$C$601,C61))</x:f>
        <x:v>1</x:v>
      </x:c>
    </x:row>
    <x:row r="62">
      <x:c r="A62" s="6" t="n">
        <x:v>61</x:v>
      </x:c>
      <x:c r="B62" s="6" t="str">
        <x:v>scheduled</x:v>
      </x:c>
      <x:c r="C62" s="6" t="n">
        <x:v>7</x:v>
      </x:c>
      <x:c r="D62" s="6" t="n">
        <x:v>0</x:v>
      </x:c>
      <x:c r="E62" s="19" t="n">
        <x:v>0</x:v>
      </x:c>
      <x:c r="F62" s="19" t="n">
        <x:v>5300</x:v>
      </x:c>
      <x:c r="G62" s="19" t="n">
        <x:v>20000</x:v>
      </x:c>
      <x:c r="H62" s="19" t="n">
        <x:v>5093</x:v>
      </x:c>
      <x:c r="I62" s="19" t="n">
        <x:v>0</x:v>
      </x:c>
      <x:c r="J62" s="19" t="n">
        <x:v>5093</x:v>
      </x:c>
      <x:c r="K62" s="19" t="n">
        <x:v>70</x:v>
      </x:c>
      <x:c r="L62" s="19" t="n">
        <x:v>5163</x:v>
      </x:c>
      <x:c r="M62" s="19" t="n">
        <x:v>0</x:v>
      </x:c>
      <x:c r="N62" s="19" t="n">
        <x:v>0</x:v>
      </x:c>
      <x:c r="O62" s="19" t="n">
        <x:v>100</x:v>
      </x:c>
      <x:c r="P62" s="19" t="n">
        <x:v>0</x:v>
      </x:c>
      <x:c r="Q62" s="19" t="n">
        <x:v>0</x:v>
      </x:c>
      <x:c r="R62" s="19" t="n">
        <x:v>100</x:v>
      </x:c>
      <x:c r="S62" s="7" t="b">
        <x:v>1</x:v>
      </x:c>
      <x:c r="T62" s="6" t="n">
        <x:f>IF(C62="","",COUNTIF($C$2:$C$601,C62))</x:f>
        <x:v>1</x:v>
      </x:c>
    </x:row>
    <x:row r="63">
      <x:c r="A63" s="6" t="n">
        <x:v>62</x:v>
      </x:c>
      <x:c r="B63" s="6" t="str">
        <x:v>scheduled</x:v>
      </x:c>
      <x:c r="C63" s="6" t="n">
        <x:v>5</x:v>
      </x:c>
      <x:c r="D63" s="6" t="n">
        <x:v>0</x:v>
      </x:c>
      <x:c r="E63" s="19" t="n">
        <x:v>0</x:v>
      </x:c>
      <x:c r="F63" s="19" t="n">
        <x:v>5300</x:v>
      </x:c>
      <x:c r="G63" s="19" t="n">
        <x:v>20000</x:v>
      </x:c>
      <x:c r="H63" s="19" t="n">
        <x:v>5163</x:v>
      </x:c>
      <x:c r="I63" s="19" t="n">
        <x:v>0</x:v>
      </x:c>
      <x:c r="J63" s="19" t="n">
        <x:v>5163</x:v>
      </x:c>
      <x:c r="K63" s="19" t="n">
        <x:v>70</x:v>
      </x:c>
      <x:c r="L63" s="19" t="n">
        <x:v>5233</x:v>
      </x:c>
      <x:c r="M63" s="19" t="n">
        <x:v>0</x:v>
      </x:c>
      <x:c r="N63" s="19" t="n">
        <x:v>0</x:v>
      </x:c>
      <x:c r="O63" s="19" t="n">
        <x:v>100</x:v>
      </x:c>
      <x:c r="P63" s="19" t="n">
        <x:v>0</x:v>
      </x:c>
      <x:c r="Q63" s="19" t="n">
        <x:v>0</x:v>
      </x:c>
      <x:c r="R63" s="19" t="n">
        <x:v>100</x:v>
      </x:c>
      <x:c r="S63" s="7" t="b">
        <x:v>1</x:v>
      </x:c>
      <x:c r="T63" s="6" t="n">
        <x:f>IF(C63="","",COUNTIF($C$2:$C$601,C63))</x:f>
        <x:v>1</x:v>
      </x:c>
    </x:row>
    <x:row r="64">
      <x:c r="A64" s="6" t="n">
        <x:v>63</x:v>
      </x:c>
      <x:c r="B64" s="6" t="str">
        <x:v>scheduled</x:v>
      </x:c>
      <x:c r="C64" s="6" t="n">
        <x:v>10</x:v>
      </x:c>
      <x:c r="D64" s="6" t="n">
        <x:v>0</x:v>
      </x:c>
      <x:c r="E64" s="19" t="n">
        <x:v>0</x:v>
      </x:c>
      <x:c r="F64" s="19" t="n">
        <x:v>5700</x:v>
      </x:c>
      <x:c r="G64" s="19" t="n">
        <x:v>20000</x:v>
      </x:c>
      <x:c r="H64" s="19" t="n">
        <x:v>5233</x:v>
      </x:c>
      <x:c r="I64" s="19" t="n">
        <x:v>0</x:v>
      </x:c>
      <x:c r="J64" s="19" t="n">
        <x:v>5233</x:v>
      </x:c>
      <x:c r="K64" s="19" t="n">
        <x:v>70</x:v>
      </x:c>
      <x:c r="L64" s="19" t="n">
        <x:v>5303</x:v>
      </x:c>
      <x:c r="M64" s="19" t="n">
        <x:v>0</x:v>
      </x:c>
      <x:c r="N64" s="19" t="n">
        <x:v>0</x:v>
      </x:c>
      <x:c r="O64" s="19" t="n">
        <x:v>100</x:v>
      </x:c>
      <x:c r="P64" s="19" t="n">
        <x:v>0</x:v>
      </x:c>
      <x:c r="Q64" s="19" t="n">
        <x:v>0</x:v>
      </x:c>
      <x:c r="R64" s="19" t="n">
        <x:v>100</x:v>
      </x:c>
      <x:c r="S64" s="7" t="b">
        <x:v>1</x:v>
      </x:c>
      <x:c r="T64" s="6" t="n">
        <x:f>IF(C64="","",COUNTIF($C$2:$C$601,C64))</x:f>
        <x:v>1</x:v>
      </x:c>
    </x:row>
    <x:row r="65">
      <x:c r="A65" s="6" t="n">
        <x:v>64</x:v>
      </x:c>
      <x:c r="B65" s="6" t="str">
        <x:v>scheduled</x:v>
      </x:c>
      <x:c r="C65" s="6" t="n">
        <x:v>4</x:v>
      </x:c>
      <x:c r="D65" s="6" t="n">
        <x:v>0</x:v>
      </x:c>
      <x:c r="E65" s="19" t="n">
        <x:v>0</x:v>
      </x:c>
      <x:c r="F65" s="19" t="n">
        <x:v>5700</x:v>
      </x:c>
      <x:c r="G65" s="19" t="n">
        <x:v>20000</x:v>
      </x:c>
      <x:c r="H65" s="19" t="n">
        <x:v>5303</x:v>
      </x:c>
      <x:c r="I65" s="19" t="n">
        <x:v>0</x:v>
      </x:c>
      <x:c r="J65" s="19" t="n">
        <x:v>5303</x:v>
      </x:c>
      <x:c r="K65" s="19" t="n">
        <x:v>70</x:v>
      </x:c>
      <x:c r="L65" s="19" t="n">
        <x:v>5373</x:v>
      </x:c>
      <x:c r="M65" s="19" t="n">
        <x:v>0</x:v>
      </x:c>
      <x:c r="N65" s="19" t="n">
        <x:v>0</x:v>
      </x:c>
      <x:c r="O65" s="19" t="n">
        <x:v>100</x:v>
      </x:c>
      <x:c r="P65" s="19" t="n">
        <x:v>0</x:v>
      </x:c>
      <x:c r="Q65" s="19" t="n">
        <x:v>0</x:v>
      </x:c>
      <x:c r="R65" s="19" t="n">
        <x:v>100</x:v>
      </x:c>
      <x:c r="S65" s="7" t="b">
        <x:v>1</x:v>
      </x:c>
      <x:c r="T65" s="6" t="n">
        <x:f>IF(C65="","",COUNTIF($C$2:$C$601,C65))</x:f>
        <x:v>1</x:v>
      </x:c>
    </x:row>
    <x:row r="66">
      <x:c r="A66" s="6" t="n">
        <x:v>65</x:v>
      </x:c>
      <x:c r="B66" s="6" t="str">
        <x:v>scheduled</x:v>
      </x:c>
      <x:c r="C66" s="6" t="n">
        <x:v>2</x:v>
      </x:c>
      <x:c r="D66" s="6" t="n">
        <x:v>0</x:v>
      </x:c>
      <x:c r="E66" s="19" t="n">
        <x:v>0</x:v>
      </x:c>
      <x:c r="F66" s="19" t="n">
        <x:v>5700</x:v>
      </x:c>
      <x:c r="G66" s="19" t="n">
        <x:v>20000</x:v>
      </x:c>
      <x:c r="H66" s="19" t="n">
        <x:v>5373</x:v>
      </x:c>
      <x:c r="I66" s="19" t="n">
        <x:v>0</x:v>
      </x:c>
      <x:c r="J66" s="19" t="n">
        <x:v>5373</x:v>
      </x:c>
      <x:c r="K66" s="19" t="n">
        <x:v>70</x:v>
      </x:c>
      <x:c r="L66" s="19" t="n">
        <x:v>5443</x:v>
      </x:c>
      <x:c r="M66" s="19" t="n">
        <x:v>0</x:v>
      </x:c>
      <x:c r="N66" s="19" t="n">
        <x:v>0</x:v>
      </x:c>
      <x:c r="O66" s="19" t="n">
        <x:v>100</x:v>
      </x:c>
      <x:c r="P66" s="19" t="n">
        <x:v>0</x:v>
      </x:c>
      <x:c r="Q66" s="19" t="n">
        <x:v>0</x:v>
      </x:c>
      <x:c r="R66" s="19" t="n">
        <x:v>100</x:v>
      </x:c>
      <x:c r="S66" s="7" t="b">
        <x:v>1</x:v>
      </x:c>
      <x:c r="T66" s="6" t="n">
        <x:f>IF(C66="","",COUNTIF($C$2:$C$601,C66))</x:f>
        <x:v>1</x:v>
      </x:c>
    </x:row>
    <x:row r="67">
      <x:c r="A67" s="6" t="n">
        <x:v>66</x:v>
      </x:c>
      <x:c r="B67" s="6" t="str">
        <x:v>scheduled</x:v>
      </x:c>
      <x:c r="C67" s="6" t="n">
        <x:v>1</x:v>
      </x:c>
      <x:c r="D67" s="6" t="n">
        <x:v>0</x:v>
      </x:c>
      <x:c r="E67" s="19" t="n">
        <x:v>0</x:v>
      </x:c>
      <x:c r="F67" s="19" t="n">
        <x:v>5700</x:v>
      </x:c>
      <x:c r="G67" s="19" t="n">
        <x:v>20000</x:v>
      </x:c>
      <x:c r="H67" s="19" t="n">
        <x:v>5443</x:v>
      </x:c>
      <x:c r="I67" s="19" t="n">
        <x:v>0</x:v>
      </x:c>
      <x:c r="J67" s="19" t="n">
        <x:v>5443</x:v>
      </x:c>
      <x:c r="K67" s="19" t="n">
        <x:v>70</x:v>
      </x:c>
      <x:c r="L67" s="19" t="n">
        <x:v>5513</x:v>
      </x:c>
      <x:c r="M67" s="19" t="n">
        <x:v>0</x:v>
      </x:c>
      <x:c r="N67" s="19" t="n">
        <x:v>0</x:v>
      </x:c>
      <x:c r="O67" s="19" t="n">
        <x:v>100</x:v>
      </x:c>
      <x:c r="P67" s="19" t="n">
        <x:v>0</x:v>
      </x:c>
      <x:c r="Q67" s="19" t="n">
        <x:v>0</x:v>
      </x:c>
      <x:c r="R67" s="19" t="n">
        <x:v>100</x:v>
      </x:c>
      <x:c r="S67" s="7" t="b">
        <x:v>1</x:v>
      </x:c>
      <x:c r="T67" s="6" t="n">
        <x:f>IF(C67="","",COUNTIF($C$2:$C$601,C67))</x:f>
        <x:v>1</x:v>
      </x:c>
    </x:row>
    <x:row r="68">
      <x:c r="A68" s="6" t="n">
        <x:v>67</x:v>
      </x:c>
      <x:c r="B68" s="6" t="str">
        <x:v>scheduled</x:v>
      </x:c>
      <x:c r="C68" s="6" t="n">
        <x:v>3</x:v>
      </x:c>
      <x:c r="D68" s="6" t="n">
        <x:v>0</x:v>
      </x:c>
      <x:c r="E68" s="19" t="n">
        <x:v>0</x:v>
      </x:c>
      <x:c r="F68" s="19" t="n">
        <x:v>5700</x:v>
      </x:c>
      <x:c r="G68" s="19" t="n">
        <x:v>20000</x:v>
      </x:c>
      <x:c r="H68" s="19" t="n">
        <x:v>5513</x:v>
      </x:c>
      <x:c r="I68" s="19" t="n">
        <x:v>0</x:v>
      </x:c>
      <x:c r="J68" s="19" t="n">
        <x:v>5513</x:v>
      </x:c>
      <x:c r="K68" s="19" t="n">
        <x:v>70</x:v>
      </x:c>
      <x:c r="L68" s="19" t="n">
        <x:v>5583</x:v>
      </x:c>
      <x:c r="M68" s="19" t="n">
        <x:v>0</x:v>
      </x:c>
      <x:c r="N68" s="19" t="n">
        <x:v>0</x:v>
      </x:c>
      <x:c r="O68" s="19" t="n">
        <x:v>100</x:v>
      </x:c>
      <x:c r="P68" s="19" t="n">
        <x:v>0</x:v>
      </x:c>
      <x:c r="Q68" s="19" t="n">
        <x:v>0</x:v>
      </x:c>
      <x:c r="R68" s="19" t="n">
        <x:v>100</x:v>
      </x:c>
      <x:c r="S68" s="7" t="b">
        <x:v>1</x:v>
      </x:c>
      <x:c r="T68" s="6" t="n">
        <x:f>IF(C68="","",COUNTIF($C$2:$C$601,C68))</x:f>
        <x:v>1</x:v>
      </x:c>
    </x:row>
    <x:row r="69">
      <x:c r="A69" s="6"/>
      <x:c r="B69" s="6" t="str">
        <x:v>rejected</x:v>
      </x:c>
      <x:c r="C69" s="6" t="n">
        <x:v>48</x:v>
      </x:c>
      <x:c r="D69" s="6" t="n">
        <x:v>2</x:v>
      </x:c>
      <x:c r="E69" s="19" t="n">
        <x:v>0</x:v>
      </x:c>
      <x:c r="F69" s="19" t="n">
        <x:v>700</x:v>
      </x:c>
      <x:c r="G69" s="19" t="n">
        <x:v>20000</x:v>
      </x:c>
      <x:c r="H69" s="19"/>
      <x:c r="I69" s="19"/>
      <x:c r="J69" s="19"/>
      <x:c r="K69" s="19" t="n">
        <x:v>90</x:v>
      </x:c>
      <x:c r="L69" s="19"/>
      <x:c r="M69" s="19"/>
      <x:c r="N69" s="19" t="n">
        <x:v>0</x:v>
      </x:c>
      <x:c r="O69" s="19" t="n">
        <x:v>0</x:v>
      </x:c>
      <x:c r="P69" s="19" t="n">
        <x:v>0</x:v>
      </x:c>
      <x:c r="Q69" s="19" t="n">
        <x:v>1750</x:v>
      </x:c>
      <x:c r="R69" s="19" t="n">
        <x:v>1750</x:v>
      </x:c>
      <x:c r="S69" s="6"/>
      <x:c r="T69" s="6" t="n">
        <x:f>IF(C69="","",COUNTIF($C$2:$C$601,C69))</x:f>
        <x:v>1</x:v>
      </x:c>
    </x:row>
    <x:row r="70">
      <x:c r="A70" s="6"/>
      <x:c r="B70" s="6" t="str">
        <x:v>rejected</x:v>
      </x:c>
      <x:c r="C70" s="6" t="n">
        <x:v>49</x:v>
      </x:c>
      <x:c r="D70" s="6" t="n">
        <x:v>2</x:v>
      </x:c>
      <x:c r="E70" s="19" t="n">
        <x:v>0</x:v>
      </x:c>
      <x:c r="F70" s="19" t="n">
        <x:v>700</x:v>
      </x:c>
      <x:c r="G70" s="19" t="n">
        <x:v>20000</x:v>
      </x:c>
      <x:c r="H70" s="19"/>
      <x:c r="I70" s="19"/>
      <x:c r="J70" s="19"/>
      <x:c r="K70" s="19" t="n">
        <x:v>90</x:v>
      </x:c>
      <x:c r="L70" s="19"/>
      <x:c r="M70" s="19"/>
      <x:c r="N70" s="19" t="n">
        <x:v>0</x:v>
      </x:c>
      <x:c r="O70" s="19" t="n">
        <x:v>0</x:v>
      </x:c>
      <x:c r="P70" s="19" t="n">
        <x:v>0</x:v>
      </x:c>
      <x:c r="Q70" s="19" t="n">
        <x:v>1750</x:v>
      </x:c>
      <x:c r="R70" s="19" t="n">
        <x:v>1750</x:v>
      </x:c>
      <x:c r="S70" s="6"/>
      <x:c r="T70" s="6" t="n">
        <x:f>IF(C70="","",COUNTIF($C$2:$C$601,C70))</x:f>
        <x:v>1</x:v>
      </x:c>
    </x:row>
    <x:row r="71">
      <x:c r="A71" s="6"/>
      <x:c r="B71" s="6" t="str">
        <x:v>rejected</x:v>
      </x:c>
      <x:c r="C71" s="6" t="n">
        <x:v>50</x:v>
      </x:c>
      <x:c r="D71" s="6" t="n">
        <x:v>2</x:v>
      </x:c>
      <x:c r="E71" s="19" t="n">
        <x:v>0</x:v>
      </x:c>
      <x:c r="F71" s="19" t="n">
        <x:v>700</x:v>
      </x:c>
      <x:c r="G71" s="19" t="n">
        <x:v>20000</x:v>
      </x:c>
      <x:c r="H71" s="19"/>
      <x:c r="I71" s="19"/>
      <x:c r="J71" s="19"/>
      <x:c r="K71" s="19" t="n">
        <x:v>90</x:v>
      </x:c>
      <x:c r="L71" s="19"/>
      <x:c r="M71" s="19"/>
      <x:c r="N71" s="19" t="n">
        <x:v>0</x:v>
      </x:c>
      <x:c r="O71" s="19" t="n">
        <x:v>0</x:v>
      </x:c>
      <x:c r="P71" s="19" t="n">
        <x:v>0</x:v>
      </x:c>
      <x:c r="Q71" s="19" t="n">
        <x:v>1750</x:v>
      </x:c>
      <x:c r="R71" s="19" t="n">
        <x:v>1750</x:v>
      </x:c>
      <x:c r="S71" s="6"/>
      <x:c r="T71" s="6" t="n">
        <x:f>IF(C71="","",COUNTIF($C$2:$C$601,C71))</x:f>
        <x:v>1</x:v>
      </x:c>
    </x:row>
    <x:row r="72">
      <x:c r="A72" s="6"/>
      <x:c r="B72" s="6" t="str">
        <x:v>rejected</x:v>
      </x:c>
      <x:c r="C72" s="6" t="n">
        <x:v>51</x:v>
      </x:c>
      <x:c r="D72" s="6" t="n">
        <x:v>2</x:v>
      </x:c>
      <x:c r="E72" s="19" t="n">
        <x:v>0</x:v>
      </x:c>
      <x:c r="F72" s="19" t="n">
        <x:v>700</x:v>
      </x:c>
      <x:c r="G72" s="19" t="n">
        <x:v>20000</x:v>
      </x:c>
      <x:c r="H72" s="19"/>
      <x:c r="I72" s="19"/>
      <x:c r="J72" s="19"/>
      <x:c r="K72" s="19" t="n">
        <x:v>90</x:v>
      </x:c>
      <x:c r="L72" s="19"/>
      <x:c r="M72" s="19"/>
      <x:c r="N72" s="19" t="n">
        <x:v>0</x:v>
      </x:c>
      <x:c r="O72" s="19" t="n">
        <x:v>0</x:v>
      </x:c>
      <x:c r="P72" s="19" t="n">
        <x:v>0</x:v>
      </x:c>
      <x:c r="Q72" s="19" t="n">
        <x:v>1750</x:v>
      </x:c>
      <x:c r="R72" s="19" t="n">
        <x:v>1750</x:v>
      </x:c>
      <x:c r="S72" s="6"/>
      <x:c r="T72" s="6" t="n">
        <x:f>IF(C72="","",COUNTIF($C$2:$C$601,C72))</x:f>
        <x:v>1</x:v>
      </x:c>
    </x:row>
    <x:row r="73">
      <x:c r="A73" s="6"/>
      <x:c r="B73" s="6" t="str">
        <x:v>rejected</x:v>
      </x:c>
      <x:c r="C73" s="6" t="n">
        <x:v>52</x:v>
      </x:c>
      <x:c r="D73" s="6" t="n">
        <x:v>2</x:v>
      </x:c>
      <x:c r="E73" s="19" t="n">
        <x:v>0</x:v>
      </x:c>
      <x:c r="F73" s="19" t="n">
        <x:v>800</x:v>
      </x:c>
      <x:c r="G73" s="19" t="n">
        <x:v>20000</x:v>
      </x:c>
      <x:c r="H73" s="19"/>
      <x:c r="I73" s="19"/>
      <x:c r="J73" s="19"/>
      <x:c r="K73" s="19" t="n">
        <x:v>90</x:v>
      </x:c>
      <x:c r="L73" s="19"/>
      <x:c r="M73" s="19"/>
      <x:c r="N73" s="19" t="n">
        <x:v>0</x:v>
      </x:c>
      <x:c r="O73" s="19" t="n">
        <x:v>0</x:v>
      </x:c>
      <x:c r="P73" s="19" t="n">
        <x:v>0</x:v>
      </x:c>
      <x:c r="Q73" s="19" t="n">
        <x:v>1750</x:v>
      </x:c>
      <x:c r="R73" s="19" t="n">
        <x:v>1750</x:v>
      </x:c>
      <x:c r="S73" s="6"/>
      <x:c r="T73" s="6" t="n">
        <x:f>IF(C73="","",COUNTIF($C$2:$C$601,C73))</x:f>
        <x:v>1</x:v>
      </x:c>
    </x:row>
    <x:row r="74">
      <x:c r="A74" s="6"/>
      <x:c r="B74" s="6" t="str">
        <x:v>rejected</x:v>
      </x:c>
      <x:c r="C74" s="6" t="n">
        <x:v>53</x:v>
      </x:c>
      <x:c r="D74" s="6" t="n">
        <x:v>2</x:v>
      </x:c>
      <x:c r="E74" s="19" t="n">
        <x:v>0</x:v>
      </x:c>
      <x:c r="F74" s="19" t="n">
        <x:v>800</x:v>
      </x:c>
      <x:c r="G74" s="19" t="n">
        <x:v>20000</x:v>
      </x:c>
      <x:c r="H74" s="19"/>
      <x:c r="I74" s="19"/>
      <x:c r="J74" s="19"/>
      <x:c r="K74" s="19" t="n">
        <x:v>90</x:v>
      </x:c>
      <x:c r="L74" s="19"/>
      <x:c r="M74" s="19"/>
      <x:c r="N74" s="19" t="n">
        <x:v>0</x:v>
      </x:c>
      <x:c r="O74" s="19" t="n">
        <x:v>0</x:v>
      </x:c>
      <x:c r="P74" s="19" t="n">
        <x:v>0</x:v>
      </x:c>
      <x:c r="Q74" s="19" t="n">
        <x:v>1750</x:v>
      </x:c>
      <x:c r="R74" s="19" t="n">
        <x:v>1750</x:v>
      </x:c>
      <x:c r="S74" s="6"/>
      <x:c r="T74" s="6" t="n">
        <x:f>IF(C74="","",COUNTIF($C$2:$C$601,C74))</x:f>
        <x:v>1</x:v>
      </x:c>
    </x:row>
    <x:row r="75">
      <x:c r="A75" s="6"/>
      <x:c r="B75" s="6" t="str">
        <x:v>rejected</x:v>
      </x:c>
      <x:c r="C75" s="6" t="n">
        <x:v>54</x:v>
      </x:c>
      <x:c r="D75" s="6" t="n">
        <x:v>2</x:v>
      </x:c>
      <x:c r="E75" s="19" t="n">
        <x:v>0</x:v>
      </x:c>
      <x:c r="F75" s="19" t="n">
        <x:v>800</x:v>
      </x:c>
      <x:c r="G75" s="19" t="n">
        <x:v>20000</x:v>
      </x:c>
      <x:c r="H75" s="19"/>
      <x:c r="I75" s="19"/>
      <x:c r="J75" s="19"/>
      <x:c r="K75" s="19" t="n">
        <x:v>90</x:v>
      </x:c>
      <x:c r="L75" s="19"/>
      <x:c r="M75" s="19"/>
      <x:c r="N75" s="19" t="n">
        <x:v>0</x:v>
      </x:c>
      <x:c r="O75" s="19" t="n">
        <x:v>0</x:v>
      </x:c>
      <x:c r="P75" s="19" t="n">
        <x:v>0</x:v>
      </x:c>
      <x:c r="Q75" s="19" t="n">
        <x:v>1750</x:v>
      </x:c>
      <x:c r="R75" s="19" t="n">
        <x:v>1750</x:v>
      </x:c>
      <x:c r="S75" s="6"/>
      <x:c r="T75" s="6" t="n">
        <x:f>IF(C75="","",COUNTIF($C$2:$C$601,C75))</x:f>
        <x:v>1</x:v>
      </x:c>
    </x:row>
    <x:row r="76">
      <x:c r="A76" s="6"/>
      <x:c r="B76" s="6" t="str">
        <x:v>rejected</x:v>
      </x:c>
      <x:c r="C76" s="6" t="n">
        <x:v>55</x:v>
      </x:c>
      <x:c r="D76" s="6" t="n">
        <x:v>2</x:v>
      </x:c>
      <x:c r="E76" s="19" t="n">
        <x:v>0</x:v>
      </x:c>
      <x:c r="F76" s="19" t="n">
        <x:v>800</x:v>
      </x:c>
      <x:c r="G76" s="19" t="n">
        <x:v>20000</x:v>
      </x:c>
      <x:c r="H76" s="19"/>
      <x:c r="I76" s="19"/>
      <x:c r="J76" s="19"/>
      <x:c r="K76" s="19" t="n">
        <x:v>90</x:v>
      </x:c>
      <x:c r="L76" s="19"/>
      <x:c r="M76" s="19"/>
      <x:c r="N76" s="19" t="n">
        <x:v>0</x:v>
      </x:c>
      <x:c r="O76" s="19" t="n">
        <x:v>0</x:v>
      </x:c>
      <x:c r="P76" s="19" t="n">
        <x:v>0</x:v>
      </x:c>
      <x:c r="Q76" s="19" t="n">
        <x:v>1750</x:v>
      </x:c>
      <x:c r="R76" s="19" t="n">
        <x:v>1750</x:v>
      </x:c>
      <x:c r="S76" s="6"/>
      <x:c r="T76" s="6" t="n">
        <x:f>IF(C76="","",COUNTIF($C$2:$C$601,C76))</x:f>
        <x:v>1</x:v>
      </x:c>
    </x:row>
    <x:row r="77">
      <x:c r="A77" s="6"/>
      <x:c r="B77" s="6"/>
      <x:c r="C77" s="6"/>
      <x:c r="D77" s="6"/>
      <x:c r="E77" s="6"/>
      <x:c r="F77" s="6"/>
      <x:c r="G77" s="6"/>
      <x:c r="H77" s="6"/>
      <x:c r="I77" s="6"/>
      <x:c r="J77" s="6"/>
      <x:c r="K77" s="6"/>
      <x:c r="L77" s="6"/>
      <x:c r="M77" s="6"/>
      <x:c r="N77" s="6"/>
      <x:c r="O77" s="6"/>
      <x:c r="P77" s="6"/>
      <x:c r="Q77" s="6"/>
      <x:c r="R77" s="6"/>
      <x:c r="S77" s="6"/>
      <x:c r="T77" s="6" t="str">
        <x:f>IF(C77="","",COUNTIF($C$2:$C$601,C77))</x:f>
      </x:c>
    </x:row>
    <x:row r="78">
      <x:c r="A78" s="6"/>
      <x:c r="B78" s="6"/>
      <x:c r="C78" s="6"/>
      <x:c r="D78" s="6"/>
      <x:c r="E78" s="6"/>
      <x:c r="F78" s="6"/>
      <x:c r="G78" s="6"/>
      <x:c r="H78" s="6"/>
      <x:c r="I78" s="6"/>
      <x:c r="J78" s="6"/>
      <x:c r="K78" s="6"/>
      <x:c r="L78" s="6"/>
      <x:c r="M78" s="6"/>
      <x:c r="N78" s="6"/>
      <x:c r="O78" s="6"/>
      <x:c r="P78" s="6"/>
      <x:c r="Q78" s="6"/>
      <x:c r="R78" s="6"/>
      <x:c r="S78" s="6"/>
      <x:c r="T78" s="6" t="str">
        <x:f>IF(C78="","",COUNTIF($C$2:$C$601,C78))</x:f>
      </x:c>
    </x:row>
    <x:row r="79">
      <x:c r="A79" s="6"/>
      <x:c r="B79" s="6"/>
      <x:c r="C79" s="6"/>
      <x:c r="D79" s="6"/>
      <x:c r="E79" s="6"/>
      <x:c r="F79" s="6"/>
      <x:c r="G79" s="6"/>
      <x:c r="H79" s="6"/>
      <x:c r="I79" s="6"/>
      <x:c r="J79" s="6"/>
      <x:c r="K79" s="6"/>
      <x:c r="L79" s="6"/>
      <x:c r="M79" s="6"/>
      <x:c r="N79" s="6"/>
      <x:c r="O79" s="6"/>
      <x:c r="P79" s="6"/>
      <x:c r="Q79" s="6"/>
      <x:c r="R79" s="6"/>
      <x:c r="S79" s="6"/>
      <x:c r="T79" s="6" t="str">
        <x:f>IF(C79="","",COUNTIF($C$2:$C$601,C79))</x:f>
      </x:c>
    </x:row>
    <x:row r="80">
      <x:c r="A80" s="6"/>
      <x:c r="B80" s="6"/>
      <x:c r="C80" s="6"/>
      <x:c r="D80" s="6"/>
      <x:c r="E80" s="6"/>
      <x:c r="F80" s="6"/>
      <x:c r="G80" s="6"/>
      <x:c r="H80" s="6"/>
      <x:c r="I80" s="6"/>
      <x:c r="J80" s="6"/>
      <x:c r="K80" s="6"/>
      <x:c r="L80" s="6"/>
      <x:c r="M80" s="6"/>
      <x:c r="N80" s="6"/>
      <x:c r="O80" s="6"/>
      <x:c r="P80" s="6"/>
      <x:c r="Q80" s="6"/>
      <x:c r="R80" s="6"/>
      <x:c r="S80" s="6"/>
      <x:c r="T80" s="6" t="str">
        <x:f>IF(C80="","",COUNTIF($C$2:$C$601,C80))</x:f>
      </x:c>
    </x:row>
    <x:row r="81">
      <x:c r="A81" s="6"/>
      <x:c r="B81" s="6"/>
      <x:c r="C81" s="6"/>
      <x:c r="D81" s="6"/>
      <x:c r="E81" s="6"/>
      <x:c r="F81" s="6"/>
      <x:c r="G81" s="6"/>
      <x:c r="H81" s="6"/>
      <x:c r="I81" s="6"/>
      <x:c r="J81" s="6"/>
      <x:c r="K81" s="6"/>
      <x:c r="L81" s="6"/>
      <x:c r="M81" s="6"/>
      <x:c r="N81" s="6"/>
      <x:c r="O81" s="6"/>
      <x:c r="P81" s="6"/>
      <x:c r="Q81" s="6"/>
      <x:c r="R81" s="6"/>
      <x:c r="S81" s="6"/>
      <x:c r="T81" s="6" t="str">
        <x:f>IF(C81="","",COUNTIF($C$2:$C$601,C81))</x:f>
      </x:c>
    </x:row>
    <x:row r="82">
      <x:c r="A82" s="6"/>
      <x:c r="B82" s="6"/>
      <x:c r="C82" s="6"/>
      <x:c r="D82" s="6"/>
      <x:c r="E82" s="6"/>
      <x:c r="F82" s="6"/>
      <x:c r="G82" s="6"/>
      <x:c r="H82" s="6"/>
      <x:c r="I82" s="6"/>
      <x:c r="J82" s="6"/>
      <x:c r="K82" s="6"/>
      <x:c r="L82" s="6"/>
      <x:c r="M82" s="6"/>
      <x:c r="N82" s="6"/>
      <x:c r="O82" s="6"/>
      <x:c r="P82" s="6"/>
      <x:c r="Q82" s="6"/>
      <x:c r="R82" s="6"/>
      <x:c r="S82" s="6"/>
      <x:c r="T82" s="6" t="str">
        <x:f>IF(C82="","",COUNTIF($C$2:$C$601,C82))</x:f>
      </x:c>
    </x:row>
    <x:row r="83">
      <x:c r="A83" s="6"/>
      <x:c r="B83" s="6"/>
      <x:c r="C83" s="6"/>
      <x:c r="D83" s="6"/>
      <x:c r="E83" s="6"/>
      <x:c r="F83" s="6"/>
      <x:c r="G83" s="6"/>
      <x:c r="H83" s="6"/>
      <x:c r="I83" s="6"/>
      <x:c r="J83" s="6"/>
      <x:c r="K83" s="6"/>
      <x:c r="L83" s="6"/>
      <x:c r="M83" s="6"/>
      <x:c r="N83" s="6"/>
      <x:c r="O83" s="6"/>
      <x:c r="P83" s="6"/>
      <x:c r="Q83" s="6"/>
      <x:c r="R83" s="6"/>
      <x:c r="S83" s="6"/>
      <x:c r="T83" s="6" t="str">
        <x:f>IF(C83="","",COUNTIF($C$2:$C$601,C83))</x:f>
      </x:c>
    </x:row>
    <x:row r="84">
      <x:c r="A84" s="6"/>
      <x:c r="B84" s="6"/>
      <x:c r="C84" s="6"/>
      <x:c r="D84" s="6"/>
      <x:c r="E84" s="6"/>
      <x:c r="F84" s="6"/>
      <x:c r="G84" s="6"/>
      <x:c r="H84" s="6"/>
      <x:c r="I84" s="6"/>
      <x:c r="J84" s="6"/>
      <x:c r="K84" s="6"/>
      <x:c r="L84" s="6"/>
      <x:c r="M84" s="6"/>
      <x:c r="N84" s="6"/>
      <x:c r="O84" s="6"/>
      <x:c r="P84" s="6"/>
      <x:c r="Q84" s="6"/>
      <x:c r="R84" s="6"/>
      <x:c r="S84" s="6"/>
      <x:c r="T84" s="6" t="str">
        <x:f>IF(C84="","",COUNTIF($C$2:$C$601,C84))</x:f>
      </x:c>
    </x:row>
    <x:row r="85">
      <x:c r="A85" s="6"/>
      <x:c r="B85" s="6"/>
      <x:c r="C85" s="6"/>
      <x:c r="D85" s="6"/>
      <x:c r="E85" s="6"/>
      <x:c r="F85" s="6"/>
      <x:c r="G85" s="6"/>
      <x:c r="H85" s="6"/>
      <x:c r="I85" s="6"/>
      <x:c r="J85" s="6"/>
      <x:c r="K85" s="6"/>
      <x:c r="L85" s="6"/>
      <x:c r="M85" s="6"/>
      <x:c r="N85" s="6"/>
      <x:c r="O85" s="6"/>
      <x:c r="P85" s="6"/>
      <x:c r="Q85" s="6"/>
      <x:c r="R85" s="6"/>
      <x:c r="S85" s="6"/>
      <x:c r="T85" s="6" t="str">
        <x:f>IF(C85="","",COUNTIF($C$2:$C$601,C85))</x:f>
      </x:c>
    </x:row>
    <x:row r="86">
      <x:c r="A86" s="6"/>
      <x:c r="B86" s="6"/>
      <x:c r="C86" s="6"/>
      <x:c r="D86" s="6"/>
      <x:c r="E86" s="6"/>
      <x:c r="F86" s="6"/>
      <x:c r="G86" s="6"/>
      <x:c r="H86" s="6"/>
      <x:c r="I86" s="6"/>
      <x:c r="J86" s="6"/>
      <x:c r="K86" s="6"/>
      <x:c r="L86" s="6"/>
      <x:c r="M86" s="6"/>
      <x:c r="N86" s="6"/>
      <x:c r="O86" s="6"/>
      <x:c r="P86" s="6"/>
      <x:c r="Q86" s="6"/>
      <x:c r="R86" s="6"/>
      <x:c r="S86" s="6"/>
      <x:c r="T86" s="6" t="str">
        <x:f>IF(C86="","",COUNTIF($C$2:$C$601,C86))</x:f>
      </x:c>
    </x:row>
    <x:row r="87">
      <x:c r="A87" s="6"/>
      <x:c r="B87" s="6"/>
      <x:c r="C87" s="6"/>
      <x:c r="D87" s="6"/>
      <x:c r="E87" s="6"/>
      <x:c r="F87" s="6"/>
      <x:c r="G87" s="6"/>
      <x:c r="H87" s="6"/>
      <x:c r="I87" s="6"/>
      <x:c r="J87" s="6"/>
      <x:c r="K87" s="6"/>
      <x:c r="L87" s="6"/>
      <x:c r="M87" s="6"/>
      <x:c r="N87" s="6"/>
      <x:c r="O87" s="6"/>
      <x:c r="P87" s="6"/>
      <x:c r="Q87" s="6"/>
      <x:c r="R87" s="6"/>
      <x:c r="S87" s="6"/>
      <x:c r="T87" s="6" t="str">
        <x:f>IF(C87="","",COUNTIF($C$2:$C$601,C87))</x:f>
      </x:c>
    </x:row>
    <x:row r="88">
      <x:c r="A88" s="6"/>
      <x:c r="B88" s="6"/>
      <x:c r="C88" s="6"/>
      <x:c r="D88" s="6"/>
      <x:c r="E88" s="6"/>
      <x:c r="F88" s="6"/>
      <x:c r="G88" s="6"/>
      <x:c r="H88" s="6"/>
      <x:c r="I88" s="6"/>
      <x:c r="J88" s="6"/>
      <x:c r="K88" s="6"/>
      <x:c r="L88" s="6"/>
      <x:c r="M88" s="6"/>
      <x:c r="N88" s="6"/>
      <x:c r="O88" s="6"/>
      <x:c r="P88" s="6"/>
      <x:c r="Q88" s="6"/>
      <x:c r="R88" s="6"/>
      <x:c r="S88" s="6"/>
      <x:c r="T88" s="6" t="str">
        <x:f>IF(C88="","",COUNTIF($C$2:$C$601,C88))</x:f>
      </x:c>
    </x:row>
    <x:row r="89">
      <x:c r="A89" s="6"/>
      <x:c r="B89" s="6"/>
      <x:c r="C89" s="6"/>
      <x:c r="D89" s="6"/>
      <x:c r="E89" s="6"/>
      <x:c r="F89" s="6"/>
      <x:c r="G89" s="6"/>
      <x:c r="H89" s="6"/>
      <x:c r="I89" s="6"/>
      <x:c r="J89" s="6"/>
      <x:c r="K89" s="6"/>
      <x:c r="L89" s="6"/>
      <x:c r="M89" s="6"/>
      <x:c r="N89" s="6"/>
      <x:c r="O89" s="6"/>
      <x:c r="P89" s="6"/>
      <x:c r="Q89" s="6"/>
      <x:c r="R89" s="6"/>
      <x:c r="S89" s="6"/>
      <x:c r="T89" s="6" t="str">
        <x:f>IF(C89="","",COUNTIF($C$2:$C$601,C89))</x:f>
      </x:c>
    </x:row>
    <x:row r="90">
      <x:c r="A90" s="6"/>
      <x:c r="B90" s="6"/>
      <x:c r="C90" s="6"/>
      <x:c r="D90" s="6"/>
      <x:c r="E90" s="6"/>
      <x:c r="F90" s="6"/>
      <x:c r="G90" s="6"/>
      <x:c r="H90" s="6"/>
      <x:c r="I90" s="6"/>
      <x:c r="J90" s="6"/>
      <x:c r="K90" s="6"/>
      <x:c r="L90" s="6"/>
      <x:c r="M90" s="6"/>
      <x:c r="N90" s="6"/>
      <x:c r="O90" s="6"/>
      <x:c r="P90" s="6"/>
      <x:c r="Q90" s="6"/>
      <x:c r="R90" s="6"/>
      <x:c r="S90" s="6"/>
      <x:c r="T90" s="6" t="str">
        <x:f>IF(C90="","",COUNTIF($C$2:$C$601,C90))</x:f>
      </x:c>
    </x:row>
    <x:row r="91">
      <x:c r="A91" s="6"/>
      <x:c r="B91" s="6"/>
      <x:c r="C91" s="6"/>
      <x:c r="D91" s="6"/>
      <x:c r="E91" s="6"/>
      <x:c r="F91" s="6"/>
      <x:c r="G91" s="6"/>
      <x:c r="H91" s="6"/>
      <x:c r="I91" s="6"/>
      <x:c r="J91" s="6"/>
      <x:c r="K91" s="6"/>
      <x:c r="L91" s="6"/>
      <x:c r="M91" s="6"/>
      <x:c r="N91" s="6"/>
      <x:c r="O91" s="6"/>
      <x:c r="P91" s="6"/>
      <x:c r="Q91" s="6"/>
      <x:c r="R91" s="6"/>
      <x:c r="S91" s="6"/>
      <x:c r="T91" s="6" t="str">
        <x:f>IF(C91="","",COUNTIF($C$2:$C$601,C91))</x:f>
      </x:c>
    </x:row>
    <x:row r="92">
      <x:c r="A92" s="6"/>
      <x:c r="B92" s="6"/>
      <x:c r="C92" s="6"/>
      <x:c r="D92" s="6"/>
      <x:c r="E92" s="6"/>
      <x:c r="F92" s="6"/>
      <x:c r="G92" s="6"/>
      <x:c r="H92" s="6"/>
      <x:c r="I92" s="6"/>
      <x:c r="J92" s="6"/>
      <x:c r="K92" s="6"/>
      <x:c r="L92" s="6"/>
      <x:c r="M92" s="6"/>
      <x:c r="N92" s="6"/>
      <x:c r="O92" s="6"/>
      <x:c r="P92" s="6"/>
      <x:c r="Q92" s="6"/>
      <x:c r="R92" s="6"/>
      <x:c r="S92" s="6"/>
      <x:c r="T92" s="6" t="str">
        <x:f>IF(C92="","",COUNTIF($C$2:$C$601,C92))</x:f>
      </x:c>
    </x:row>
    <x:row r="93">
      <x:c r="A93" s="6"/>
      <x:c r="B93" s="6"/>
      <x:c r="C93" s="6"/>
      <x:c r="D93" s="6"/>
      <x:c r="E93" s="6"/>
      <x:c r="F93" s="6"/>
      <x:c r="G93" s="6"/>
      <x:c r="H93" s="6"/>
      <x:c r="I93" s="6"/>
      <x:c r="J93" s="6"/>
      <x:c r="K93" s="6"/>
      <x:c r="L93" s="6"/>
      <x:c r="M93" s="6"/>
      <x:c r="N93" s="6"/>
      <x:c r="O93" s="6"/>
      <x:c r="P93" s="6"/>
      <x:c r="Q93" s="6"/>
      <x:c r="R93" s="6"/>
      <x:c r="S93" s="6"/>
      <x:c r="T93" s="6" t="str">
        <x:f>IF(C93="","",COUNTIF($C$2:$C$601,C93))</x:f>
      </x:c>
    </x:row>
    <x:row r="94">
      <x:c r="A94" s="6"/>
      <x:c r="B94" s="6"/>
      <x:c r="C94" s="6"/>
      <x:c r="D94" s="6"/>
      <x:c r="E94" s="6"/>
      <x:c r="F94" s="6"/>
      <x:c r="G94" s="6"/>
      <x:c r="H94" s="6"/>
      <x:c r="I94" s="6"/>
      <x:c r="J94" s="6"/>
      <x:c r="K94" s="6"/>
      <x:c r="L94" s="6"/>
      <x:c r="M94" s="6"/>
      <x:c r="N94" s="6"/>
      <x:c r="O94" s="6"/>
      <x:c r="P94" s="6"/>
      <x:c r="Q94" s="6"/>
      <x:c r="R94" s="6"/>
      <x:c r="S94" s="6"/>
      <x:c r="T94" s="6" t="str">
        <x:f>IF(C94="","",COUNTIF($C$2:$C$601,C94))</x:f>
      </x:c>
    </x:row>
    <x:row r="95">
      <x:c r="A95" s="6"/>
      <x:c r="B95" s="6"/>
      <x:c r="C95" s="6"/>
      <x:c r="D95" s="6"/>
      <x:c r="E95" s="6"/>
      <x:c r="F95" s="6"/>
      <x:c r="G95" s="6"/>
      <x:c r="H95" s="6"/>
      <x:c r="I95" s="6"/>
      <x:c r="J95" s="6"/>
      <x:c r="K95" s="6"/>
      <x:c r="L95" s="6"/>
      <x:c r="M95" s="6"/>
      <x:c r="N95" s="6"/>
      <x:c r="O95" s="6"/>
      <x:c r="P95" s="6"/>
      <x:c r="Q95" s="6"/>
      <x:c r="R95" s="6"/>
      <x:c r="S95" s="6"/>
      <x:c r="T95" s="6" t="str">
        <x:f>IF(C95="","",COUNTIF($C$2:$C$601,C95))</x:f>
      </x:c>
    </x:row>
    <x:row r="96">
      <x:c r="A96" s="6"/>
      <x:c r="B96" s="6"/>
      <x:c r="C96" s="6"/>
      <x:c r="D96" s="6"/>
      <x:c r="E96" s="6"/>
      <x:c r="F96" s="6"/>
      <x:c r="G96" s="6"/>
      <x:c r="H96" s="6"/>
      <x:c r="I96" s="6"/>
      <x:c r="J96" s="6"/>
      <x:c r="K96" s="6"/>
      <x:c r="L96" s="6"/>
      <x:c r="M96" s="6"/>
      <x:c r="N96" s="6"/>
      <x:c r="O96" s="6"/>
      <x:c r="P96" s="6"/>
      <x:c r="Q96" s="6"/>
      <x:c r="R96" s="6"/>
      <x:c r="S96" s="6"/>
      <x:c r="T96" s="6" t="str">
        <x:f>IF(C96="","",COUNTIF($C$2:$C$601,C96))</x:f>
      </x:c>
    </x:row>
    <x:row r="97">
      <x:c r="A97" s="6"/>
      <x:c r="B97" s="6"/>
      <x:c r="C97" s="6"/>
      <x:c r="D97" s="6"/>
      <x:c r="E97" s="6"/>
      <x:c r="F97" s="6"/>
      <x:c r="G97" s="6"/>
      <x:c r="H97" s="6"/>
      <x:c r="I97" s="6"/>
      <x:c r="J97" s="6"/>
      <x:c r="K97" s="6"/>
      <x:c r="L97" s="6"/>
      <x:c r="M97" s="6"/>
      <x:c r="N97" s="6"/>
      <x:c r="O97" s="6"/>
      <x:c r="P97" s="6"/>
      <x:c r="Q97" s="6"/>
      <x:c r="R97" s="6"/>
      <x:c r="S97" s="6"/>
      <x:c r="T97" s="6" t="str">
        <x:f>IF(C97="","",COUNTIF($C$2:$C$601,C97))</x:f>
      </x:c>
    </x:row>
    <x:row r="98">
      <x:c r="A98" s="6"/>
      <x:c r="B98" s="6"/>
      <x:c r="C98" s="6"/>
      <x:c r="D98" s="6"/>
      <x:c r="E98" s="6"/>
      <x:c r="F98" s="6"/>
      <x:c r="G98" s="6"/>
      <x:c r="H98" s="6"/>
      <x:c r="I98" s="6"/>
      <x:c r="J98" s="6"/>
      <x:c r="K98" s="6"/>
      <x:c r="L98" s="6"/>
      <x:c r="M98" s="6"/>
      <x:c r="N98" s="6"/>
      <x:c r="O98" s="6"/>
      <x:c r="P98" s="6"/>
      <x:c r="Q98" s="6"/>
      <x:c r="R98" s="6"/>
      <x:c r="S98" s="6"/>
      <x:c r="T98" s="6" t="str">
        <x:f>IF(C98="","",COUNTIF($C$2:$C$601,C98))</x:f>
      </x:c>
    </x:row>
    <x:row r="99">
      <x:c r="A99" s="6"/>
      <x:c r="B99" s="6"/>
      <x:c r="C99" s="6"/>
      <x:c r="D99" s="6"/>
      <x:c r="E99" s="6"/>
      <x:c r="F99" s="6"/>
      <x:c r="G99" s="6"/>
      <x:c r="H99" s="6"/>
      <x:c r="I99" s="6"/>
      <x:c r="J99" s="6"/>
      <x:c r="K99" s="6"/>
      <x:c r="L99" s="6"/>
      <x:c r="M99" s="6"/>
      <x:c r="N99" s="6"/>
      <x:c r="O99" s="6"/>
      <x:c r="P99" s="6"/>
      <x:c r="Q99" s="6"/>
      <x:c r="R99" s="6"/>
      <x:c r="S99" s="6"/>
      <x:c r="T99" s="6" t="str">
        <x:f>IF(C99="","",COUNTIF($C$2:$C$601,C99))</x:f>
      </x:c>
    </x:row>
    <x:row r="100">
      <x:c r="A100" s="6"/>
      <x:c r="B100" s="6"/>
      <x:c r="C100" s="6"/>
      <x:c r="D100" s="6"/>
      <x:c r="E100" s="6"/>
      <x:c r="F100" s="6"/>
      <x:c r="G100" s="6"/>
      <x:c r="H100" s="6"/>
      <x:c r="I100" s="6"/>
      <x:c r="J100" s="6"/>
      <x:c r="K100" s="6"/>
      <x:c r="L100" s="6"/>
      <x:c r="M100" s="6"/>
      <x:c r="N100" s="6"/>
      <x:c r="O100" s="6"/>
      <x:c r="P100" s="6"/>
      <x:c r="Q100" s="6"/>
      <x:c r="R100" s="6"/>
      <x:c r="S100" s="6"/>
      <x:c r="T100" s="6" t="str">
        <x:f>IF(C100="","",COUNTIF($C$2:$C$601,C100))</x:f>
      </x:c>
    </x:row>
    <x:row r="101">
      <x:c r="A101" s="6"/>
      <x:c r="B101" s="6"/>
      <x:c r="C101" s="6"/>
      <x:c r="D101" s="6"/>
      <x:c r="E101" s="6"/>
      <x:c r="F101" s="6"/>
      <x:c r="G101" s="6"/>
      <x:c r="H101" s="6"/>
      <x:c r="I101" s="6"/>
      <x:c r="J101" s="6"/>
      <x:c r="K101" s="6"/>
      <x:c r="L101" s="6"/>
      <x:c r="M101" s="6"/>
      <x:c r="N101" s="6"/>
      <x:c r="O101" s="6"/>
      <x:c r="P101" s="6"/>
      <x:c r="Q101" s="6"/>
      <x:c r="R101" s="6"/>
      <x:c r="S101" s="6"/>
      <x:c r="T101" s="6" t="str">
        <x:f>IF(C101="","",COUNTIF($C$2:$C$601,C101))</x:f>
      </x:c>
    </x:row>
    <x:row r="102">
      <x:c r="A102" s="6"/>
      <x:c r="B102" s="6"/>
      <x:c r="C102" s="6"/>
      <x:c r="D102" s="6"/>
      <x:c r="E102" s="6"/>
      <x:c r="F102" s="6"/>
      <x:c r="G102" s="6"/>
      <x:c r="H102" s="6"/>
      <x:c r="I102" s="6"/>
      <x:c r="J102" s="6"/>
      <x:c r="K102" s="6"/>
      <x:c r="L102" s="6"/>
      <x:c r="M102" s="6"/>
      <x:c r="N102" s="6"/>
      <x:c r="O102" s="6"/>
      <x:c r="P102" s="6"/>
      <x:c r="Q102" s="6"/>
      <x:c r="R102" s="6"/>
      <x:c r="S102" s="6"/>
      <x:c r="T102" s="6" t="str">
        <x:f>IF(C102="","",COUNTIF($C$2:$C$601,C102))</x:f>
      </x:c>
    </x:row>
    <x:row r="103">
      <x:c r="A103" s="6"/>
      <x:c r="B103" s="6"/>
      <x:c r="C103" s="6"/>
      <x:c r="D103" s="6"/>
      <x:c r="E103" s="6"/>
      <x:c r="F103" s="6"/>
      <x:c r="G103" s="6"/>
      <x:c r="H103" s="6"/>
      <x:c r="I103" s="6"/>
      <x:c r="J103" s="6"/>
      <x:c r="K103" s="6"/>
      <x:c r="L103" s="6"/>
      <x:c r="M103" s="6"/>
      <x:c r="N103" s="6"/>
      <x:c r="O103" s="6"/>
      <x:c r="P103" s="6"/>
      <x:c r="Q103" s="6"/>
      <x:c r="R103" s="6"/>
      <x:c r="S103" s="6"/>
      <x:c r="T103" s="6" t="str">
        <x:f>IF(C103="","",COUNTIF($C$2:$C$601,C103))</x:f>
      </x:c>
    </x:row>
    <x:row r="104">
      <x:c r="A104" s="6"/>
      <x:c r="B104" s="6"/>
      <x:c r="C104" s="6"/>
      <x:c r="D104" s="6"/>
      <x:c r="E104" s="6"/>
      <x:c r="F104" s="6"/>
      <x:c r="G104" s="6"/>
      <x:c r="H104" s="6"/>
      <x:c r="I104" s="6"/>
      <x:c r="J104" s="6"/>
      <x:c r="K104" s="6"/>
      <x:c r="L104" s="6"/>
      <x:c r="M104" s="6"/>
      <x:c r="N104" s="6"/>
      <x:c r="O104" s="6"/>
      <x:c r="P104" s="6"/>
      <x:c r="Q104" s="6"/>
      <x:c r="R104" s="6"/>
      <x:c r="S104" s="6"/>
      <x:c r="T104" s="6" t="str">
        <x:f>IF(C104="","",COUNTIF($C$2:$C$601,C104))</x:f>
      </x:c>
    </x:row>
    <x:row r="105">
      <x:c r="A105" s="6"/>
      <x:c r="B105" s="6"/>
      <x:c r="C105" s="6"/>
      <x:c r="D105" s="6"/>
      <x:c r="E105" s="6"/>
      <x:c r="F105" s="6"/>
      <x:c r="G105" s="6"/>
      <x:c r="H105" s="6"/>
      <x:c r="I105" s="6"/>
      <x:c r="J105" s="6"/>
      <x:c r="K105" s="6"/>
      <x:c r="L105" s="6"/>
      <x:c r="M105" s="6"/>
      <x:c r="N105" s="6"/>
      <x:c r="O105" s="6"/>
      <x:c r="P105" s="6"/>
      <x:c r="Q105" s="6"/>
      <x:c r="R105" s="6"/>
      <x:c r="S105" s="6"/>
      <x:c r="T105" s="6" t="str">
        <x:f>IF(C105="","",COUNTIF($C$2:$C$601,C105))</x:f>
      </x:c>
    </x:row>
    <x:row r="106">
      <x:c r="A106" s="6"/>
      <x:c r="B106" s="6"/>
      <x:c r="C106" s="6"/>
      <x:c r="D106" s="6"/>
      <x:c r="E106" s="6"/>
      <x:c r="F106" s="6"/>
      <x:c r="G106" s="6"/>
      <x:c r="H106" s="6"/>
      <x:c r="I106" s="6"/>
      <x:c r="J106" s="6"/>
      <x:c r="K106" s="6"/>
      <x:c r="L106" s="6"/>
      <x:c r="M106" s="6"/>
      <x:c r="N106" s="6"/>
      <x:c r="O106" s="6"/>
      <x:c r="P106" s="6"/>
      <x:c r="Q106" s="6"/>
      <x:c r="R106" s="6"/>
      <x:c r="S106" s="6"/>
      <x:c r="T106" s="6" t="str">
        <x:f>IF(C106="","",COUNTIF($C$2:$C$601,C106))</x:f>
      </x:c>
    </x:row>
    <x:row r="107">
      <x:c r="A107" s="6"/>
      <x:c r="B107" s="6"/>
      <x:c r="C107" s="6"/>
      <x:c r="D107" s="6"/>
      <x:c r="E107" s="6"/>
      <x:c r="F107" s="6"/>
      <x:c r="G107" s="6"/>
      <x:c r="H107" s="6"/>
      <x:c r="I107" s="6"/>
      <x:c r="J107" s="6"/>
      <x:c r="K107" s="6"/>
      <x:c r="L107" s="6"/>
      <x:c r="M107" s="6"/>
      <x:c r="N107" s="6"/>
      <x:c r="O107" s="6"/>
      <x:c r="P107" s="6"/>
      <x:c r="Q107" s="6"/>
      <x:c r="R107" s="6"/>
      <x:c r="S107" s="6"/>
      <x:c r="T107" s="6" t="str">
        <x:f>IF(C107="","",COUNTIF($C$2:$C$601,C107))</x:f>
      </x:c>
    </x:row>
    <x:row r="108">
      <x:c r="A108" s="6"/>
      <x:c r="B108" s="6"/>
      <x:c r="C108" s="6"/>
      <x:c r="D108" s="6"/>
      <x:c r="E108" s="6"/>
      <x:c r="F108" s="6"/>
      <x:c r="G108" s="6"/>
      <x:c r="H108" s="6"/>
      <x:c r="I108" s="6"/>
      <x:c r="J108" s="6"/>
      <x:c r="K108" s="6"/>
      <x:c r="L108" s="6"/>
      <x:c r="M108" s="6"/>
      <x:c r="N108" s="6"/>
      <x:c r="O108" s="6"/>
      <x:c r="P108" s="6"/>
      <x:c r="Q108" s="6"/>
      <x:c r="R108" s="6"/>
      <x:c r="S108" s="6"/>
      <x:c r="T108" s="6" t="str">
        <x:f>IF(C108="","",COUNTIF($C$2:$C$601,C108))</x:f>
      </x:c>
    </x:row>
    <x:row r="109">
      <x:c r="A109" s="6"/>
      <x:c r="B109" s="6"/>
      <x:c r="C109" s="6"/>
      <x:c r="D109" s="6"/>
      <x:c r="E109" s="6"/>
      <x:c r="F109" s="6"/>
      <x:c r="G109" s="6"/>
      <x:c r="H109" s="6"/>
      <x:c r="I109" s="6"/>
      <x:c r="J109" s="6"/>
      <x:c r="K109" s="6"/>
      <x:c r="L109" s="6"/>
      <x:c r="M109" s="6"/>
      <x:c r="N109" s="6"/>
      <x:c r="O109" s="6"/>
      <x:c r="P109" s="6"/>
      <x:c r="Q109" s="6"/>
      <x:c r="R109" s="6"/>
      <x:c r="S109" s="6"/>
      <x:c r="T109" s="6" t="str">
        <x:f>IF(C109="","",COUNTIF($C$2:$C$601,C109))</x:f>
      </x:c>
    </x:row>
    <x:row r="110">
      <x:c r="A110" s="6"/>
      <x:c r="B110" s="6"/>
      <x:c r="C110" s="6"/>
      <x:c r="D110" s="6"/>
      <x:c r="E110" s="6"/>
      <x:c r="F110" s="6"/>
      <x:c r="G110" s="6"/>
      <x:c r="H110" s="6"/>
      <x:c r="I110" s="6"/>
      <x:c r="J110" s="6"/>
      <x:c r="K110" s="6"/>
      <x:c r="L110" s="6"/>
      <x:c r="M110" s="6"/>
      <x:c r="N110" s="6"/>
      <x:c r="O110" s="6"/>
      <x:c r="P110" s="6"/>
      <x:c r="Q110" s="6"/>
      <x:c r="R110" s="6"/>
      <x:c r="S110" s="6"/>
      <x:c r="T110" s="6" t="str">
        <x:f>IF(C110="","",COUNTIF($C$2:$C$601,C110))</x:f>
      </x:c>
    </x:row>
    <x:row r="111">
      <x:c r="A111" s="6"/>
      <x:c r="B111" s="6"/>
      <x:c r="C111" s="6"/>
      <x:c r="D111" s="6"/>
      <x:c r="E111" s="6"/>
      <x:c r="F111" s="6"/>
      <x:c r="G111" s="6"/>
      <x:c r="H111" s="6"/>
      <x:c r="I111" s="6"/>
      <x:c r="J111" s="6"/>
      <x:c r="K111" s="6"/>
      <x:c r="L111" s="6"/>
      <x:c r="M111" s="6"/>
      <x:c r="N111" s="6"/>
      <x:c r="O111" s="6"/>
      <x:c r="P111" s="6"/>
      <x:c r="Q111" s="6"/>
      <x:c r="R111" s="6"/>
      <x:c r="S111" s="6"/>
      <x:c r="T111" s="6" t="str">
        <x:f>IF(C111="","",COUNTIF($C$2:$C$601,C111))</x:f>
      </x:c>
    </x:row>
    <x:row r="112">
      <x:c r="A112" s="6"/>
      <x:c r="B112" s="6"/>
      <x:c r="C112" s="6"/>
      <x:c r="D112" s="6"/>
      <x:c r="E112" s="6"/>
      <x:c r="F112" s="6"/>
      <x:c r="G112" s="6"/>
      <x:c r="H112" s="6"/>
      <x:c r="I112" s="6"/>
      <x:c r="J112" s="6"/>
      <x:c r="K112" s="6"/>
      <x:c r="L112" s="6"/>
      <x:c r="M112" s="6"/>
      <x:c r="N112" s="6"/>
      <x:c r="O112" s="6"/>
      <x:c r="P112" s="6"/>
      <x:c r="Q112" s="6"/>
      <x:c r="R112" s="6"/>
      <x:c r="S112" s="6"/>
      <x:c r="T112" s="6" t="str">
        <x:f>IF(C112="","",COUNTIF($C$2:$C$601,C112))</x:f>
      </x:c>
    </x:row>
    <x:row r="113">
      <x:c r="A113" s="6"/>
      <x:c r="B113" s="6"/>
      <x:c r="C113" s="6"/>
      <x:c r="D113" s="6"/>
      <x:c r="E113" s="6"/>
      <x:c r="F113" s="6"/>
      <x:c r="G113" s="6"/>
      <x:c r="H113" s="6"/>
      <x:c r="I113" s="6"/>
      <x:c r="J113" s="6"/>
      <x:c r="K113" s="6"/>
      <x:c r="L113" s="6"/>
      <x:c r="M113" s="6"/>
      <x:c r="N113" s="6"/>
      <x:c r="O113" s="6"/>
      <x:c r="P113" s="6"/>
      <x:c r="Q113" s="6"/>
      <x:c r="R113" s="6"/>
      <x:c r="S113" s="6"/>
      <x:c r="T113" s="6" t="str">
        <x:f>IF(C113="","",COUNTIF($C$2:$C$601,C113))</x:f>
      </x:c>
    </x:row>
    <x:row r="114">
      <x:c r="A114" s="6"/>
      <x:c r="B114" s="6"/>
      <x:c r="C114" s="6"/>
      <x:c r="D114" s="6"/>
      <x:c r="E114" s="6"/>
      <x:c r="F114" s="6"/>
      <x:c r="G114" s="6"/>
      <x:c r="H114" s="6"/>
      <x:c r="I114" s="6"/>
      <x:c r="J114" s="6"/>
      <x:c r="K114" s="6"/>
      <x:c r="L114" s="6"/>
      <x:c r="M114" s="6"/>
      <x:c r="N114" s="6"/>
      <x:c r="O114" s="6"/>
      <x:c r="P114" s="6"/>
      <x:c r="Q114" s="6"/>
      <x:c r="R114" s="6"/>
      <x:c r="S114" s="6"/>
      <x:c r="T114" s="6" t="str">
        <x:f>IF(C114="","",COUNTIF($C$2:$C$601,C114))</x:f>
      </x:c>
    </x:row>
    <x:row r="115">
      <x:c r="A115" s="6"/>
      <x:c r="B115" s="6"/>
      <x:c r="C115" s="6"/>
      <x:c r="D115" s="6"/>
      <x:c r="E115" s="6"/>
      <x:c r="F115" s="6"/>
      <x:c r="G115" s="6"/>
      <x:c r="H115" s="6"/>
      <x:c r="I115" s="6"/>
      <x:c r="J115" s="6"/>
      <x:c r="K115" s="6"/>
      <x:c r="L115" s="6"/>
      <x:c r="M115" s="6"/>
      <x:c r="N115" s="6"/>
      <x:c r="O115" s="6"/>
      <x:c r="P115" s="6"/>
      <x:c r="Q115" s="6"/>
      <x:c r="R115" s="6"/>
      <x:c r="S115" s="6"/>
      <x:c r="T115" s="6" t="str">
        <x:f>IF(C115="","",COUNTIF($C$2:$C$601,C115))</x:f>
      </x:c>
    </x:row>
    <x:row r="116">
      <x:c r="A116" s="6"/>
      <x:c r="B116" s="6"/>
      <x:c r="C116" s="6"/>
      <x:c r="D116" s="6"/>
      <x:c r="E116" s="6"/>
      <x:c r="F116" s="6"/>
      <x:c r="G116" s="6"/>
      <x:c r="H116" s="6"/>
      <x:c r="I116" s="6"/>
      <x:c r="J116" s="6"/>
      <x:c r="K116" s="6"/>
      <x:c r="L116" s="6"/>
      <x:c r="M116" s="6"/>
      <x:c r="N116" s="6"/>
      <x:c r="O116" s="6"/>
      <x:c r="P116" s="6"/>
      <x:c r="Q116" s="6"/>
      <x:c r="R116" s="6"/>
      <x:c r="S116" s="6"/>
      <x:c r="T116" s="6" t="str">
        <x:f>IF(C116="","",COUNTIF($C$2:$C$601,C116))</x:f>
      </x:c>
    </x:row>
    <x:row r="117">
      <x:c r="A117" s="6"/>
      <x:c r="B117" s="6"/>
      <x:c r="C117" s="6"/>
      <x:c r="D117" s="6"/>
      <x:c r="E117" s="6"/>
      <x:c r="F117" s="6"/>
      <x:c r="G117" s="6"/>
      <x:c r="H117" s="6"/>
      <x:c r="I117" s="6"/>
      <x:c r="J117" s="6"/>
      <x:c r="K117" s="6"/>
      <x:c r="L117" s="6"/>
      <x:c r="M117" s="6"/>
      <x:c r="N117" s="6"/>
      <x:c r="O117" s="6"/>
      <x:c r="P117" s="6"/>
      <x:c r="Q117" s="6"/>
      <x:c r="R117" s="6"/>
      <x:c r="S117" s="6"/>
      <x:c r="T117" s="6" t="str">
        <x:f>IF(C117="","",COUNTIF($C$2:$C$601,C117))</x:f>
      </x:c>
    </x:row>
    <x:row r="118">
      <x:c r="A118" s="6"/>
      <x:c r="B118" s="6"/>
      <x:c r="C118" s="6"/>
      <x:c r="D118" s="6"/>
      <x:c r="E118" s="6"/>
      <x:c r="F118" s="6"/>
      <x:c r="G118" s="6"/>
      <x:c r="H118" s="6"/>
      <x:c r="I118" s="6"/>
      <x:c r="J118" s="6"/>
      <x:c r="K118" s="6"/>
      <x:c r="L118" s="6"/>
      <x:c r="M118" s="6"/>
      <x:c r="N118" s="6"/>
      <x:c r="O118" s="6"/>
      <x:c r="P118" s="6"/>
      <x:c r="Q118" s="6"/>
      <x:c r="R118" s="6"/>
      <x:c r="S118" s="6"/>
      <x:c r="T118" s="6" t="str">
        <x:f>IF(C118="","",COUNTIF($C$2:$C$601,C118))</x:f>
      </x:c>
    </x:row>
    <x:row r="119">
      <x:c r="A119" s="6"/>
      <x:c r="B119" s="6"/>
      <x:c r="C119" s="6"/>
      <x:c r="D119" s="6"/>
      <x:c r="E119" s="6"/>
      <x:c r="F119" s="6"/>
      <x:c r="G119" s="6"/>
      <x:c r="H119" s="6"/>
      <x:c r="I119" s="6"/>
      <x:c r="J119" s="6"/>
      <x:c r="K119" s="6"/>
      <x:c r="L119" s="6"/>
      <x:c r="M119" s="6"/>
      <x:c r="N119" s="6"/>
      <x:c r="O119" s="6"/>
      <x:c r="P119" s="6"/>
      <x:c r="Q119" s="6"/>
      <x:c r="R119" s="6"/>
      <x:c r="S119" s="6"/>
      <x:c r="T119" s="6" t="str">
        <x:f>IF(C119="","",COUNTIF($C$2:$C$601,C119))</x:f>
      </x:c>
    </x:row>
    <x:row r="120">
      <x:c r="A120" s="6"/>
      <x:c r="B120" s="6"/>
      <x:c r="C120" s="6"/>
      <x:c r="D120" s="6"/>
      <x:c r="E120" s="6"/>
      <x:c r="F120" s="6"/>
      <x:c r="G120" s="6"/>
      <x:c r="H120" s="6"/>
      <x:c r="I120" s="6"/>
      <x:c r="J120" s="6"/>
      <x:c r="K120" s="6"/>
      <x:c r="L120" s="6"/>
      <x:c r="M120" s="6"/>
      <x:c r="N120" s="6"/>
      <x:c r="O120" s="6"/>
      <x:c r="P120" s="6"/>
      <x:c r="Q120" s="6"/>
      <x:c r="R120" s="6"/>
      <x:c r="S120" s="6"/>
      <x:c r="T120" s="6" t="str">
        <x:f>IF(C120="","",COUNTIF($C$2:$C$601,C120))</x:f>
      </x:c>
    </x:row>
    <x:row r="121">
      <x:c r="A121" s="6"/>
      <x:c r="B121" s="6"/>
      <x:c r="C121" s="6"/>
      <x:c r="D121" s="6"/>
      <x:c r="E121" s="6"/>
      <x:c r="F121" s="6"/>
      <x:c r="G121" s="6"/>
      <x:c r="H121" s="6"/>
      <x:c r="I121" s="6"/>
      <x:c r="J121" s="6"/>
      <x:c r="K121" s="6"/>
      <x:c r="L121" s="6"/>
      <x:c r="M121" s="6"/>
      <x:c r="N121" s="6"/>
      <x:c r="O121" s="6"/>
      <x:c r="P121" s="6"/>
      <x:c r="Q121" s="6"/>
      <x:c r="R121" s="6"/>
      <x:c r="S121" s="6"/>
      <x:c r="T121" s="6" t="str">
        <x:f>IF(C121="","",COUNTIF($C$2:$C$601,C121))</x:f>
      </x:c>
    </x:row>
    <x:row r="122">
      <x:c r="A122" s="6"/>
      <x:c r="B122" s="6"/>
      <x:c r="C122" s="6"/>
      <x:c r="D122" s="6"/>
      <x:c r="E122" s="6"/>
      <x:c r="F122" s="6"/>
      <x:c r="G122" s="6"/>
      <x:c r="H122" s="6"/>
      <x:c r="I122" s="6"/>
      <x:c r="J122" s="6"/>
      <x:c r="K122" s="6"/>
      <x:c r="L122" s="6"/>
      <x:c r="M122" s="6"/>
      <x:c r="N122" s="6"/>
      <x:c r="O122" s="6"/>
      <x:c r="P122" s="6"/>
      <x:c r="Q122" s="6"/>
      <x:c r="R122" s="6"/>
      <x:c r="S122" s="6"/>
      <x:c r="T122" s="6" t="str">
        <x:f>IF(C122="","",COUNTIF($C$2:$C$601,C122))</x:f>
      </x:c>
    </x:row>
    <x:row r="123">
      <x:c r="A123" s="6"/>
      <x:c r="B123" s="6"/>
      <x:c r="C123" s="6"/>
      <x:c r="D123" s="6"/>
      <x:c r="E123" s="6"/>
      <x:c r="F123" s="6"/>
      <x:c r="G123" s="6"/>
      <x:c r="H123" s="6"/>
      <x:c r="I123" s="6"/>
      <x:c r="J123" s="6"/>
      <x:c r="K123" s="6"/>
      <x:c r="L123" s="6"/>
      <x:c r="M123" s="6"/>
      <x:c r="N123" s="6"/>
      <x:c r="O123" s="6"/>
      <x:c r="P123" s="6"/>
      <x:c r="Q123" s="6"/>
      <x:c r="R123" s="6"/>
      <x:c r="S123" s="6"/>
      <x:c r="T123" s="6" t="str">
        <x:f>IF(C123="","",COUNTIF($C$2:$C$601,C123))</x:f>
      </x:c>
    </x:row>
    <x:row r="124">
      <x:c r="A124" s="6"/>
      <x:c r="B124" s="6"/>
      <x:c r="C124" s="6"/>
      <x:c r="D124" s="6"/>
      <x:c r="E124" s="6"/>
      <x:c r="F124" s="6"/>
      <x:c r="G124" s="6"/>
      <x:c r="H124" s="6"/>
      <x:c r="I124" s="6"/>
      <x:c r="J124" s="6"/>
      <x:c r="K124" s="6"/>
      <x:c r="L124" s="6"/>
      <x:c r="M124" s="6"/>
      <x:c r="N124" s="6"/>
      <x:c r="O124" s="6"/>
      <x:c r="P124" s="6"/>
      <x:c r="Q124" s="6"/>
      <x:c r="R124" s="6"/>
      <x:c r="S124" s="6"/>
      <x:c r="T124" s="6" t="str">
        <x:f>IF(C124="","",COUNTIF($C$2:$C$601,C124))</x:f>
      </x:c>
    </x:row>
    <x:row r="125">
      <x:c r="A125" s="6"/>
      <x:c r="B125" s="6"/>
      <x:c r="C125" s="6"/>
      <x:c r="D125" s="6"/>
      <x:c r="E125" s="6"/>
      <x:c r="F125" s="6"/>
      <x:c r="G125" s="6"/>
      <x:c r="H125" s="6"/>
      <x:c r="I125" s="6"/>
      <x:c r="J125" s="6"/>
      <x:c r="K125" s="6"/>
      <x:c r="L125" s="6"/>
      <x:c r="M125" s="6"/>
      <x:c r="N125" s="6"/>
      <x:c r="O125" s="6"/>
      <x:c r="P125" s="6"/>
      <x:c r="Q125" s="6"/>
      <x:c r="R125" s="6"/>
      <x:c r="S125" s="6"/>
      <x:c r="T125" s="6" t="str">
        <x:f>IF(C125="","",COUNTIF($C$2:$C$601,C125))</x:f>
      </x:c>
    </x:row>
    <x:row r="126">
      <x:c r="A126" s="6"/>
      <x:c r="B126" s="6"/>
      <x:c r="C126" s="6"/>
      <x:c r="D126" s="6"/>
      <x:c r="E126" s="6"/>
      <x:c r="F126" s="6"/>
      <x:c r="G126" s="6"/>
      <x:c r="H126" s="6"/>
      <x:c r="I126" s="6"/>
      <x:c r="J126" s="6"/>
      <x:c r="K126" s="6"/>
      <x:c r="L126" s="6"/>
      <x:c r="M126" s="6"/>
      <x:c r="N126" s="6"/>
      <x:c r="O126" s="6"/>
      <x:c r="P126" s="6"/>
      <x:c r="Q126" s="6"/>
      <x:c r="R126" s="6"/>
      <x:c r="S126" s="6"/>
      <x:c r="T126" s="6" t="str">
        <x:f>IF(C126="","",COUNTIF($C$2:$C$601,C126))</x:f>
      </x:c>
    </x:row>
    <x:row r="127">
      <x:c r="A127" s="6"/>
      <x:c r="B127" s="6"/>
      <x:c r="C127" s="6"/>
      <x:c r="D127" s="6"/>
      <x:c r="E127" s="6"/>
      <x:c r="F127" s="6"/>
      <x:c r="G127" s="6"/>
      <x:c r="H127" s="6"/>
      <x:c r="I127" s="6"/>
      <x:c r="J127" s="6"/>
      <x:c r="K127" s="6"/>
      <x:c r="L127" s="6"/>
      <x:c r="M127" s="6"/>
      <x:c r="N127" s="6"/>
      <x:c r="O127" s="6"/>
      <x:c r="P127" s="6"/>
      <x:c r="Q127" s="6"/>
      <x:c r="R127" s="6"/>
      <x:c r="S127" s="6"/>
      <x:c r="T127" s="6" t="str">
        <x:f>IF(C127="","",COUNTIF($C$2:$C$601,C127))</x:f>
      </x:c>
    </x:row>
    <x:row r="128">
      <x:c r="A128" s="6"/>
      <x:c r="B128" s="6"/>
      <x:c r="C128" s="6"/>
      <x:c r="D128" s="6"/>
      <x:c r="E128" s="6"/>
      <x:c r="F128" s="6"/>
      <x:c r="G128" s="6"/>
      <x:c r="H128" s="6"/>
      <x:c r="I128" s="6"/>
      <x:c r="J128" s="6"/>
      <x:c r="K128" s="6"/>
      <x:c r="L128" s="6"/>
      <x:c r="M128" s="6"/>
      <x:c r="N128" s="6"/>
      <x:c r="O128" s="6"/>
      <x:c r="P128" s="6"/>
      <x:c r="Q128" s="6"/>
      <x:c r="R128" s="6"/>
      <x:c r="S128" s="6"/>
      <x:c r="T128" s="6" t="str">
        <x:f>IF(C128="","",COUNTIF($C$2:$C$601,C128))</x:f>
      </x:c>
    </x:row>
    <x:row r="129">
      <x:c r="A129" s="6"/>
      <x:c r="B129" s="6"/>
      <x:c r="C129" s="6"/>
      <x:c r="D129" s="6"/>
      <x:c r="E129" s="6"/>
      <x:c r="F129" s="6"/>
      <x:c r="G129" s="6"/>
      <x:c r="H129" s="6"/>
      <x:c r="I129" s="6"/>
      <x:c r="J129" s="6"/>
      <x:c r="K129" s="6"/>
      <x:c r="L129" s="6"/>
      <x:c r="M129" s="6"/>
      <x:c r="N129" s="6"/>
      <x:c r="O129" s="6"/>
      <x:c r="P129" s="6"/>
      <x:c r="Q129" s="6"/>
      <x:c r="R129" s="6"/>
      <x:c r="S129" s="6"/>
      <x:c r="T129" s="6" t="str">
        <x:f>IF(C129="","",COUNTIF($C$2:$C$601,C129))</x:f>
      </x:c>
    </x:row>
    <x:row r="130">
      <x:c r="A130" s="6"/>
      <x:c r="B130" s="6"/>
      <x:c r="C130" s="6"/>
      <x:c r="D130" s="6"/>
      <x:c r="E130" s="6"/>
      <x:c r="F130" s="6"/>
      <x:c r="G130" s="6"/>
      <x:c r="H130" s="6"/>
      <x:c r="I130" s="6"/>
      <x:c r="J130" s="6"/>
      <x:c r="K130" s="6"/>
      <x:c r="L130" s="6"/>
      <x:c r="M130" s="6"/>
      <x:c r="N130" s="6"/>
      <x:c r="O130" s="6"/>
      <x:c r="P130" s="6"/>
      <x:c r="Q130" s="6"/>
      <x:c r="R130" s="6"/>
      <x:c r="S130" s="6"/>
      <x:c r="T130" s="6" t="str">
        <x:f>IF(C130="","",COUNTIF($C$2:$C$601,C130))</x:f>
      </x:c>
    </x:row>
    <x:row r="131">
      <x:c r="A131" s="6"/>
      <x:c r="B131" s="6"/>
      <x:c r="C131" s="6"/>
      <x:c r="D131" s="6"/>
      <x:c r="E131" s="6"/>
      <x:c r="F131" s="6"/>
      <x:c r="G131" s="6"/>
      <x:c r="H131" s="6"/>
      <x:c r="I131" s="6"/>
      <x:c r="J131" s="6"/>
      <x:c r="K131" s="6"/>
      <x:c r="L131" s="6"/>
      <x:c r="M131" s="6"/>
      <x:c r="N131" s="6"/>
      <x:c r="O131" s="6"/>
      <x:c r="P131" s="6"/>
      <x:c r="Q131" s="6"/>
      <x:c r="R131" s="6"/>
      <x:c r="S131" s="6"/>
      <x:c r="T131" s="6" t="str">
        <x:f>IF(C131="","",COUNTIF($C$2:$C$601,C131))</x:f>
      </x:c>
    </x:row>
    <x:row r="132">
      <x:c r="A132" s="6"/>
      <x:c r="B132" s="6"/>
      <x:c r="C132" s="6"/>
      <x:c r="D132" s="6"/>
      <x:c r="E132" s="6"/>
      <x:c r="F132" s="6"/>
      <x:c r="G132" s="6"/>
      <x:c r="H132" s="6"/>
      <x:c r="I132" s="6"/>
      <x:c r="J132" s="6"/>
      <x:c r="K132" s="6"/>
      <x:c r="L132" s="6"/>
      <x:c r="M132" s="6"/>
      <x:c r="N132" s="6"/>
      <x:c r="O132" s="6"/>
      <x:c r="P132" s="6"/>
      <x:c r="Q132" s="6"/>
      <x:c r="R132" s="6"/>
      <x:c r="S132" s="6"/>
      <x:c r="T132" s="6" t="str">
        <x:f>IF(C132="","",COUNTIF($C$2:$C$601,C132))</x:f>
      </x:c>
    </x:row>
    <x:row r="133">
      <x:c r="A133" s="6"/>
      <x:c r="B133" s="6"/>
      <x:c r="C133" s="6"/>
      <x:c r="D133" s="6"/>
      <x:c r="E133" s="6"/>
      <x:c r="F133" s="6"/>
      <x:c r="G133" s="6"/>
      <x:c r="H133" s="6"/>
      <x:c r="I133" s="6"/>
      <x:c r="J133" s="6"/>
      <x:c r="K133" s="6"/>
      <x:c r="L133" s="6"/>
      <x:c r="M133" s="6"/>
      <x:c r="N133" s="6"/>
      <x:c r="O133" s="6"/>
      <x:c r="P133" s="6"/>
      <x:c r="Q133" s="6"/>
      <x:c r="R133" s="6"/>
      <x:c r="S133" s="6"/>
      <x:c r="T133" s="6" t="str">
        <x:f>IF(C133="","",COUNTIF($C$2:$C$601,C133))</x:f>
      </x:c>
    </x:row>
    <x:row r="134">
      <x:c r="A134" s="6"/>
      <x:c r="B134" s="6"/>
      <x:c r="C134" s="6"/>
      <x:c r="D134" s="6"/>
      <x:c r="E134" s="6"/>
      <x:c r="F134" s="6"/>
      <x:c r="G134" s="6"/>
      <x:c r="H134" s="6"/>
      <x:c r="I134" s="6"/>
      <x:c r="J134" s="6"/>
      <x:c r="K134" s="6"/>
      <x:c r="L134" s="6"/>
      <x:c r="M134" s="6"/>
      <x:c r="N134" s="6"/>
      <x:c r="O134" s="6"/>
      <x:c r="P134" s="6"/>
      <x:c r="Q134" s="6"/>
      <x:c r="R134" s="6"/>
      <x:c r="S134" s="6"/>
      <x:c r="T134" s="6" t="str">
        <x:f>IF(C134="","",COUNTIF($C$2:$C$601,C134))</x:f>
      </x:c>
    </x:row>
    <x:row r="135">
      <x:c r="A135" s="6"/>
      <x:c r="B135" s="6"/>
      <x:c r="C135" s="6"/>
      <x:c r="D135" s="6"/>
      <x:c r="E135" s="6"/>
      <x:c r="F135" s="6"/>
      <x:c r="G135" s="6"/>
      <x:c r="H135" s="6"/>
      <x:c r="I135" s="6"/>
      <x:c r="J135" s="6"/>
      <x:c r="K135" s="6"/>
      <x:c r="L135" s="6"/>
      <x:c r="M135" s="6"/>
      <x:c r="N135" s="6"/>
      <x:c r="O135" s="6"/>
      <x:c r="P135" s="6"/>
      <x:c r="Q135" s="6"/>
      <x:c r="R135" s="6"/>
      <x:c r="S135" s="6"/>
      <x:c r="T135" s="6" t="str">
        <x:f>IF(C135="","",COUNTIF($C$2:$C$601,C135))</x:f>
      </x:c>
    </x:row>
    <x:row r="136">
      <x:c r="A136" s="6"/>
      <x:c r="B136" s="6"/>
      <x:c r="C136" s="6"/>
      <x:c r="D136" s="6"/>
      <x:c r="E136" s="6"/>
      <x:c r="F136" s="6"/>
      <x:c r="G136" s="6"/>
      <x:c r="H136" s="6"/>
      <x:c r="I136" s="6"/>
      <x:c r="J136" s="6"/>
      <x:c r="K136" s="6"/>
      <x:c r="L136" s="6"/>
      <x:c r="M136" s="6"/>
      <x:c r="N136" s="6"/>
      <x:c r="O136" s="6"/>
      <x:c r="P136" s="6"/>
      <x:c r="Q136" s="6"/>
      <x:c r="R136" s="6"/>
      <x:c r="S136" s="6"/>
      <x:c r="T136" s="6" t="str">
        <x:f>IF(C136="","",COUNTIF($C$2:$C$601,C136))</x:f>
      </x:c>
    </x:row>
    <x:row r="137">
      <x:c r="A137" s="6"/>
      <x:c r="B137" s="6"/>
      <x:c r="C137" s="6"/>
      <x:c r="D137" s="6"/>
      <x:c r="E137" s="6"/>
      <x:c r="F137" s="6"/>
      <x:c r="G137" s="6"/>
      <x:c r="H137" s="6"/>
      <x:c r="I137" s="6"/>
      <x:c r="J137" s="6"/>
      <x:c r="K137" s="6"/>
      <x:c r="L137" s="6"/>
      <x:c r="M137" s="6"/>
      <x:c r="N137" s="6"/>
      <x:c r="O137" s="6"/>
      <x:c r="P137" s="6"/>
      <x:c r="Q137" s="6"/>
      <x:c r="R137" s="6"/>
      <x:c r="S137" s="6"/>
      <x:c r="T137" s="6" t="str">
        <x:f>IF(C137="","",COUNTIF($C$2:$C$601,C137))</x:f>
      </x:c>
    </x:row>
    <x:row r="138">
      <x:c r="A138" s="6"/>
      <x:c r="B138" s="6"/>
      <x:c r="C138" s="6"/>
      <x:c r="D138" s="6"/>
      <x:c r="E138" s="6"/>
      <x:c r="F138" s="6"/>
      <x:c r="G138" s="6"/>
      <x:c r="H138" s="6"/>
      <x:c r="I138" s="6"/>
      <x:c r="J138" s="6"/>
      <x:c r="K138" s="6"/>
      <x:c r="L138" s="6"/>
      <x:c r="M138" s="6"/>
      <x:c r="N138" s="6"/>
      <x:c r="O138" s="6"/>
      <x:c r="P138" s="6"/>
      <x:c r="Q138" s="6"/>
      <x:c r="R138" s="6"/>
      <x:c r="S138" s="6"/>
      <x:c r="T138" s="6" t="str">
        <x:f>IF(C138="","",COUNTIF($C$2:$C$601,C138))</x:f>
      </x:c>
    </x:row>
    <x:row r="139">
      <x:c r="A139" s="6"/>
      <x:c r="B139" s="6"/>
      <x:c r="C139" s="6"/>
      <x:c r="D139" s="6"/>
      <x:c r="E139" s="6"/>
      <x:c r="F139" s="6"/>
      <x:c r="G139" s="6"/>
      <x:c r="H139" s="6"/>
      <x:c r="I139" s="6"/>
      <x:c r="J139" s="6"/>
      <x:c r="K139" s="6"/>
      <x:c r="L139" s="6"/>
      <x:c r="M139" s="6"/>
      <x:c r="N139" s="6"/>
      <x:c r="O139" s="6"/>
      <x:c r="P139" s="6"/>
      <x:c r="Q139" s="6"/>
      <x:c r="R139" s="6"/>
      <x:c r="S139" s="6"/>
      <x:c r="T139" s="6" t="str">
        <x:f>IF(C139="","",COUNTIF($C$2:$C$601,C139))</x:f>
      </x:c>
    </x:row>
    <x:row r="140">
      <x:c r="A140" s="6"/>
      <x:c r="B140" s="6"/>
      <x:c r="C140" s="6"/>
      <x:c r="D140" s="6"/>
      <x:c r="E140" s="6"/>
      <x:c r="F140" s="6"/>
      <x:c r="G140" s="6"/>
      <x:c r="H140" s="6"/>
      <x:c r="I140" s="6"/>
      <x:c r="J140" s="6"/>
      <x:c r="K140" s="6"/>
      <x:c r="L140" s="6"/>
      <x:c r="M140" s="6"/>
      <x:c r="N140" s="6"/>
      <x:c r="O140" s="6"/>
      <x:c r="P140" s="6"/>
      <x:c r="Q140" s="6"/>
      <x:c r="R140" s="6"/>
      <x:c r="S140" s="6"/>
      <x:c r="T140" s="6" t="str">
        <x:f>IF(C140="","",COUNTIF($C$2:$C$601,C140))</x:f>
      </x:c>
    </x:row>
    <x:row r="141">
      <x:c r="A141" s="6"/>
      <x:c r="B141" s="6"/>
      <x:c r="C141" s="6"/>
      <x:c r="D141" s="6"/>
      <x:c r="E141" s="6"/>
      <x:c r="F141" s="6"/>
      <x:c r="G141" s="6"/>
      <x:c r="H141" s="6"/>
      <x:c r="I141" s="6"/>
      <x:c r="J141" s="6"/>
      <x:c r="K141" s="6"/>
      <x:c r="L141" s="6"/>
      <x:c r="M141" s="6"/>
      <x:c r="N141" s="6"/>
      <x:c r="O141" s="6"/>
      <x:c r="P141" s="6"/>
      <x:c r="Q141" s="6"/>
      <x:c r="R141" s="6"/>
      <x:c r="S141" s="6"/>
      <x:c r="T141" s="6" t="str">
        <x:f>IF(C141="","",COUNTIF($C$2:$C$601,C141))</x:f>
      </x:c>
    </x:row>
    <x:row r="142">
      <x:c r="A142" s="6"/>
      <x:c r="B142" s="6"/>
      <x:c r="C142" s="6"/>
      <x:c r="D142" s="6"/>
      <x:c r="E142" s="6"/>
      <x:c r="F142" s="6"/>
      <x:c r="G142" s="6"/>
      <x:c r="H142" s="6"/>
      <x:c r="I142" s="6"/>
      <x:c r="J142" s="6"/>
      <x:c r="K142" s="6"/>
      <x:c r="L142" s="6"/>
      <x:c r="M142" s="6"/>
      <x:c r="N142" s="6"/>
      <x:c r="O142" s="6"/>
      <x:c r="P142" s="6"/>
      <x:c r="Q142" s="6"/>
      <x:c r="R142" s="6"/>
      <x:c r="S142" s="6"/>
      <x:c r="T142" s="6" t="str">
        <x:f>IF(C142="","",COUNTIF($C$2:$C$601,C142))</x:f>
      </x:c>
    </x:row>
    <x:row r="143">
      <x:c r="A143" s="6"/>
      <x:c r="B143" s="6"/>
      <x:c r="C143" s="6"/>
      <x:c r="D143" s="6"/>
      <x:c r="E143" s="6"/>
      <x:c r="F143" s="6"/>
      <x:c r="G143" s="6"/>
      <x:c r="H143" s="6"/>
      <x:c r="I143" s="6"/>
      <x:c r="J143" s="6"/>
      <x:c r="K143" s="6"/>
      <x:c r="L143" s="6"/>
      <x:c r="M143" s="6"/>
      <x:c r="N143" s="6"/>
      <x:c r="O143" s="6"/>
      <x:c r="P143" s="6"/>
      <x:c r="Q143" s="6"/>
      <x:c r="R143" s="6"/>
      <x:c r="S143" s="6"/>
      <x:c r="T143" s="6" t="str">
        <x:f>IF(C143="","",COUNTIF($C$2:$C$601,C143))</x:f>
      </x:c>
    </x:row>
    <x:row r="144">
      <x:c r="A144" s="6"/>
      <x:c r="B144" s="6"/>
      <x:c r="C144" s="6"/>
      <x:c r="D144" s="6"/>
      <x:c r="E144" s="6"/>
      <x:c r="F144" s="6"/>
      <x:c r="G144" s="6"/>
      <x:c r="H144" s="6"/>
      <x:c r="I144" s="6"/>
      <x:c r="J144" s="6"/>
      <x:c r="K144" s="6"/>
      <x:c r="L144" s="6"/>
      <x:c r="M144" s="6"/>
      <x:c r="N144" s="6"/>
      <x:c r="O144" s="6"/>
      <x:c r="P144" s="6"/>
      <x:c r="Q144" s="6"/>
      <x:c r="R144" s="6"/>
      <x:c r="S144" s="6"/>
      <x:c r="T144" s="6" t="str">
        <x:f>IF(C144="","",COUNTIF($C$2:$C$601,C144))</x:f>
      </x:c>
    </x:row>
    <x:row r="145">
      <x:c r="A145" s="6"/>
      <x:c r="B145" s="6"/>
      <x:c r="C145" s="6"/>
      <x:c r="D145" s="6"/>
      <x:c r="E145" s="6"/>
      <x:c r="F145" s="6"/>
      <x:c r="G145" s="6"/>
      <x:c r="H145" s="6"/>
      <x:c r="I145" s="6"/>
      <x:c r="J145" s="6"/>
      <x:c r="K145" s="6"/>
      <x:c r="L145" s="6"/>
      <x:c r="M145" s="6"/>
      <x:c r="N145" s="6"/>
      <x:c r="O145" s="6"/>
      <x:c r="P145" s="6"/>
      <x:c r="Q145" s="6"/>
      <x:c r="R145" s="6"/>
      <x:c r="S145" s="6"/>
      <x:c r="T145" s="6" t="str">
        <x:f>IF(C145="","",COUNTIF($C$2:$C$601,C145))</x:f>
      </x:c>
    </x:row>
    <x:row r="146">
      <x:c r="A146" s="6"/>
      <x:c r="B146" s="6"/>
      <x:c r="C146" s="6"/>
      <x:c r="D146" s="6"/>
      <x:c r="E146" s="6"/>
      <x:c r="F146" s="6"/>
      <x:c r="G146" s="6"/>
      <x:c r="H146" s="6"/>
      <x:c r="I146" s="6"/>
      <x:c r="J146" s="6"/>
      <x:c r="K146" s="6"/>
      <x:c r="L146" s="6"/>
      <x:c r="M146" s="6"/>
      <x:c r="N146" s="6"/>
      <x:c r="O146" s="6"/>
      <x:c r="P146" s="6"/>
      <x:c r="Q146" s="6"/>
      <x:c r="R146" s="6"/>
      <x:c r="S146" s="6"/>
      <x:c r="T146" s="6" t="str">
        <x:f>IF(C146="","",COUNTIF($C$2:$C$601,C146))</x:f>
      </x:c>
    </x:row>
    <x:row r="147">
      <x:c r="A147" s="6"/>
      <x:c r="B147" s="6"/>
      <x:c r="C147" s="6"/>
      <x:c r="D147" s="6"/>
      <x:c r="E147" s="6"/>
      <x:c r="F147" s="6"/>
      <x:c r="G147" s="6"/>
      <x:c r="H147" s="6"/>
      <x:c r="I147" s="6"/>
      <x:c r="J147" s="6"/>
      <x:c r="K147" s="6"/>
      <x:c r="L147" s="6"/>
      <x:c r="M147" s="6"/>
      <x:c r="N147" s="6"/>
      <x:c r="O147" s="6"/>
      <x:c r="P147" s="6"/>
      <x:c r="Q147" s="6"/>
      <x:c r="R147" s="6"/>
      <x:c r="S147" s="6"/>
      <x:c r="T147" s="6" t="str">
        <x:f>IF(C147="","",COUNTIF($C$2:$C$601,C147))</x:f>
      </x:c>
    </x:row>
    <x:row r="148">
      <x:c r="A148" s="6"/>
      <x:c r="B148" s="6"/>
      <x:c r="C148" s="6"/>
      <x:c r="D148" s="6"/>
      <x:c r="E148" s="6"/>
      <x:c r="F148" s="6"/>
      <x:c r="G148" s="6"/>
      <x:c r="H148" s="6"/>
      <x:c r="I148" s="6"/>
      <x:c r="J148" s="6"/>
      <x:c r="K148" s="6"/>
      <x:c r="L148" s="6"/>
      <x:c r="M148" s="6"/>
      <x:c r="N148" s="6"/>
      <x:c r="O148" s="6"/>
      <x:c r="P148" s="6"/>
      <x:c r="Q148" s="6"/>
      <x:c r="R148" s="6"/>
      <x:c r="S148" s="6"/>
      <x:c r="T148" s="6" t="str">
        <x:f>IF(C148="","",COUNTIF($C$2:$C$601,C148))</x:f>
      </x:c>
    </x:row>
    <x:row r="149">
      <x:c r="A149" s="6"/>
      <x:c r="B149" s="6"/>
      <x:c r="C149" s="6"/>
      <x:c r="D149" s="6"/>
      <x:c r="E149" s="6"/>
      <x:c r="F149" s="6"/>
      <x:c r="G149" s="6"/>
      <x:c r="H149" s="6"/>
      <x:c r="I149" s="6"/>
      <x:c r="J149" s="6"/>
      <x:c r="K149" s="6"/>
      <x:c r="L149" s="6"/>
      <x:c r="M149" s="6"/>
      <x:c r="N149" s="6"/>
      <x:c r="O149" s="6"/>
      <x:c r="P149" s="6"/>
      <x:c r="Q149" s="6"/>
      <x:c r="R149" s="6"/>
      <x:c r="S149" s="6"/>
      <x:c r="T149" s="6" t="str">
        <x:f>IF(C149="","",COUNTIF($C$2:$C$601,C149))</x:f>
      </x:c>
    </x:row>
    <x:row r="150">
      <x:c r="A150" s="6"/>
      <x:c r="B150" s="6"/>
      <x:c r="C150" s="6"/>
      <x:c r="D150" s="6"/>
      <x:c r="E150" s="6"/>
      <x:c r="F150" s="6"/>
      <x:c r="G150" s="6"/>
      <x:c r="H150" s="6"/>
      <x:c r="I150" s="6"/>
      <x:c r="J150" s="6"/>
      <x:c r="K150" s="6"/>
      <x:c r="L150" s="6"/>
      <x:c r="M150" s="6"/>
      <x:c r="N150" s="6"/>
      <x:c r="O150" s="6"/>
      <x:c r="P150" s="6"/>
      <x:c r="Q150" s="6"/>
      <x:c r="R150" s="6"/>
      <x:c r="S150" s="6"/>
      <x:c r="T150" s="6" t="str">
        <x:f>IF(C150="","",COUNTIF($C$2:$C$601,C150))</x:f>
      </x:c>
    </x:row>
    <x:row r="151">
      <x:c r="A151" s="6"/>
      <x:c r="B151" s="6"/>
      <x:c r="C151" s="6"/>
      <x:c r="D151" s="6"/>
      <x:c r="E151" s="6"/>
      <x:c r="F151" s="6"/>
      <x:c r="G151" s="6"/>
      <x:c r="H151" s="6"/>
      <x:c r="I151" s="6"/>
      <x:c r="J151" s="6"/>
      <x:c r="K151" s="6"/>
      <x:c r="L151" s="6"/>
      <x:c r="M151" s="6"/>
      <x:c r="N151" s="6"/>
      <x:c r="O151" s="6"/>
      <x:c r="P151" s="6"/>
      <x:c r="Q151" s="6"/>
      <x:c r="R151" s="6"/>
      <x:c r="S151" s="6"/>
      <x:c r="T151" s="6" t="str">
        <x:f>IF(C151="","",COUNTIF($C$2:$C$601,C151))</x:f>
      </x:c>
    </x:row>
    <x:row r="152">
      <x:c r="A152" s="6"/>
      <x:c r="B152" s="6"/>
      <x:c r="C152" s="6"/>
      <x:c r="D152" s="6"/>
      <x:c r="E152" s="6"/>
      <x:c r="F152" s="6"/>
      <x:c r="G152" s="6"/>
      <x:c r="H152" s="6"/>
      <x:c r="I152" s="6"/>
      <x:c r="J152" s="6"/>
      <x:c r="K152" s="6"/>
      <x:c r="L152" s="6"/>
      <x:c r="M152" s="6"/>
      <x:c r="N152" s="6"/>
      <x:c r="O152" s="6"/>
      <x:c r="P152" s="6"/>
      <x:c r="Q152" s="6"/>
      <x:c r="R152" s="6"/>
      <x:c r="S152" s="6"/>
      <x:c r="T152" s="6" t="str">
        <x:f>IF(C152="","",COUNTIF($C$2:$C$601,C152))</x:f>
      </x:c>
    </x:row>
    <x:row r="153">
      <x:c r="A153" s="6"/>
      <x:c r="B153" s="6"/>
      <x:c r="C153" s="6"/>
      <x:c r="D153" s="6"/>
      <x:c r="E153" s="6"/>
      <x:c r="F153" s="6"/>
      <x:c r="G153" s="6"/>
      <x:c r="H153" s="6"/>
      <x:c r="I153" s="6"/>
      <x:c r="J153" s="6"/>
      <x:c r="K153" s="6"/>
      <x:c r="L153" s="6"/>
      <x:c r="M153" s="6"/>
      <x:c r="N153" s="6"/>
      <x:c r="O153" s="6"/>
      <x:c r="P153" s="6"/>
      <x:c r="Q153" s="6"/>
      <x:c r="R153" s="6"/>
      <x:c r="S153" s="6"/>
      <x:c r="T153" s="6" t="str">
        <x:f>IF(C153="","",COUNTIF($C$2:$C$601,C153))</x:f>
      </x:c>
    </x:row>
    <x:row r="154">
      <x:c r="A154" s="6"/>
      <x:c r="B154" s="6"/>
      <x:c r="C154" s="6"/>
      <x:c r="D154" s="6"/>
      <x:c r="E154" s="6"/>
      <x:c r="F154" s="6"/>
      <x:c r="G154" s="6"/>
      <x:c r="H154" s="6"/>
      <x:c r="I154" s="6"/>
      <x:c r="J154" s="6"/>
      <x:c r="K154" s="6"/>
      <x:c r="L154" s="6"/>
      <x:c r="M154" s="6"/>
      <x:c r="N154" s="6"/>
      <x:c r="O154" s="6"/>
      <x:c r="P154" s="6"/>
      <x:c r="Q154" s="6"/>
      <x:c r="R154" s="6"/>
      <x:c r="S154" s="6"/>
      <x:c r="T154" s="6" t="str">
        <x:f>IF(C154="","",COUNTIF($C$2:$C$601,C154))</x:f>
      </x:c>
    </x:row>
    <x:row r="155">
      <x:c r="A155" s="6"/>
      <x:c r="B155" s="6"/>
      <x:c r="C155" s="6"/>
      <x:c r="D155" s="6"/>
      <x:c r="E155" s="6"/>
      <x:c r="F155" s="6"/>
      <x:c r="G155" s="6"/>
      <x:c r="H155" s="6"/>
      <x:c r="I155" s="6"/>
      <x:c r="J155" s="6"/>
      <x:c r="K155" s="6"/>
      <x:c r="L155" s="6"/>
      <x:c r="M155" s="6"/>
      <x:c r="N155" s="6"/>
      <x:c r="O155" s="6"/>
      <x:c r="P155" s="6"/>
      <x:c r="Q155" s="6"/>
      <x:c r="R155" s="6"/>
      <x:c r="S155" s="6"/>
      <x:c r="T155" s="6" t="str">
        <x:f>IF(C155="","",COUNTIF($C$2:$C$601,C155))</x:f>
      </x:c>
    </x:row>
    <x:row r="156">
      <x:c r="A156" s="6"/>
      <x:c r="B156" s="6"/>
      <x:c r="C156" s="6"/>
      <x:c r="D156" s="6"/>
      <x:c r="E156" s="6"/>
      <x:c r="F156" s="6"/>
      <x:c r="G156" s="6"/>
      <x:c r="H156" s="6"/>
      <x:c r="I156" s="6"/>
      <x:c r="J156" s="6"/>
      <x:c r="K156" s="6"/>
      <x:c r="L156" s="6"/>
      <x:c r="M156" s="6"/>
      <x:c r="N156" s="6"/>
      <x:c r="O156" s="6"/>
      <x:c r="P156" s="6"/>
      <x:c r="Q156" s="6"/>
      <x:c r="R156" s="6"/>
      <x:c r="S156" s="6"/>
      <x:c r="T156" s="6" t="str">
        <x:f>IF(C156="","",COUNTIF($C$2:$C$601,C156))</x:f>
      </x:c>
    </x:row>
    <x:row r="157">
      <x:c r="A157" s="6"/>
      <x:c r="B157" s="6"/>
      <x:c r="C157" s="6"/>
      <x:c r="D157" s="6"/>
      <x:c r="E157" s="6"/>
      <x:c r="F157" s="6"/>
      <x:c r="G157" s="6"/>
      <x:c r="H157" s="6"/>
      <x:c r="I157" s="6"/>
      <x:c r="J157" s="6"/>
      <x:c r="K157" s="6"/>
      <x:c r="L157" s="6"/>
      <x:c r="M157" s="6"/>
      <x:c r="N157" s="6"/>
      <x:c r="O157" s="6"/>
      <x:c r="P157" s="6"/>
      <x:c r="Q157" s="6"/>
      <x:c r="R157" s="6"/>
      <x:c r="S157" s="6"/>
      <x:c r="T157" s="6" t="str">
        <x:f>IF(C157="","",COUNTIF($C$2:$C$601,C157))</x:f>
      </x:c>
    </x:row>
    <x:row r="158">
      <x:c r="A158" s="6"/>
      <x:c r="B158" s="6"/>
      <x:c r="C158" s="6"/>
      <x:c r="D158" s="6"/>
      <x:c r="E158" s="6"/>
      <x:c r="F158" s="6"/>
      <x:c r="G158" s="6"/>
      <x:c r="H158" s="6"/>
      <x:c r="I158" s="6"/>
      <x:c r="J158" s="6"/>
      <x:c r="K158" s="6"/>
      <x:c r="L158" s="6"/>
      <x:c r="M158" s="6"/>
      <x:c r="N158" s="6"/>
      <x:c r="O158" s="6"/>
      <x:c r="P158" s="6"/>
      <x:c r="Q158" s="6"/>
      <x:c r="R158" s="6"/>
      <x:c r="S158" s="6"/>
      <x:c r="T158" s="6" t="str">
        <x:f>IF(C158="","",COUNTIF($C$2:$C$601,C158))</x:f>
      </x:c>
    </x:row>
    <x:row r="159">
      <x:c r="A159" s="6"/>
      <x:c r="B159" s="6"/>
      <x:c r="C159" s="6"/>
      <x:c r="D159" s="6"/>
      <x:c r="E159" s="6"/>
      <x:c r="F159" s="6"/>
      <x:c r="G159" s="6"/>
      <x:c r="H159" s="6"/>
      <x:c r="I159" s="6"/>
      <x:c r="J159" s="6"/>
      <x:c r="K159" s="6"/>
      <x:c r="L159" s="6"/>
      <x:c r="M159" s="6"/>
      <x:c r="N159" s="6"/>
      <x:c r="O159" s="6"/>
      <x:c r="P159" s="6"/>
      <x:c r="Q159" s="6"/>
      <x:c r="R159" s="6"/>
      <x:c r="S159" s="6"/>
      <x:c r="T159" s="6" t="str">
        <x:f>IF(C159="","",COUNTIF($C$2:$C$601,C159))</x:f>
      </x:c>
    </x:row>
    <x:row r="160">
      <x:c r="A160" s="6"/>
      <x:c r="B160" s="6"/>
      <x:c r="C160" s="6"/>
      <x:c r="D160" s="6"/>
      <x:c r="E160" s="6"/>
      <x:c r="F160" s="6"/>
      <x:c r="G160" s="6"/>
      <x:c r="H160" s="6"/>
      <x:c r="I160" s="6"/>
      <x:c r="J160" s="6"/>
      <x:c r="K160" s="6"/>
      <x:c r="L160" s="6"/>
      <x:c r="M160" s="6"/>
      <x:c r="N160" s="6"/>
      <x:c r="O160" s="6"/>
      <x:c r="P160" s="6"/>
      <x:c r="Q160" s="6"/>
      <x:c r="R160" s="6"/>
      <x:c r="S160" s="6"/>
      <x:c r="T160" s="6" t="str">
        <x:f>IF(C160="","",COUNTIF($C$2:$C$601,C160))</x:f>
      </x:c>
    </x:row>
    <x:row r="161">
      <x:c r="A161" s="6"/>
      <x:c r="B161" s="6"/>
      <x:c r="C161" s="6"/>
      <x:c r="D161" s="6"/>
      <x:c r="E161" s="6"/>
      <x:c r="F161" s="6"/>
      <x:c r="G161" s="6"/>
      <x:c r="H161" s="6"/>
      <x:c r="I161" s="6"/>
      <x:c r="J161" s="6"/>
      <x:c r="K161" s="6"/>
      <x:c r="L161" s="6"/>
      <x:c r="M161" s="6"/>
      <x:c r="N161" s="6"/>
      <x:c r="O161" s="6"/>
      <x:c r="P161" s="6"/>
      <x:c r="Q161" s="6"/>
      <x:c r="R161" s="6"/>
      <x:c r="S161" s="6"/>
      <x:c r="T161" s="6" t="str">
        <x:f>IF(C161="","",COUNTIF($C$2:$C$601,C161))</x:f>
      </x:c>
    </x:row>
    <x:row r="162">
      <x:c r="A162" s="6"/>
      <x:c r="B162" s="6"/>
      <x:c r="C162" s="6"/>
      <x:c r="D162" s="6"/>
      <x:c r="E162" s="6"/>
      <x:c r="F162" s="6"/>
      <x:c r="G162" s="6"/>
      <x:c r="H162" s="6"/>
      <x:c r="I162" s="6"/>
      <x:c r="J162" s="6"/>
      <x:c r="K162" s="6"/>
      <x:c r="L162" s="6"/>
      <x:c r="M162" s="6"/>
      <x:c r="N162" s="6"/>
      <x:c r="O162" s="6"/>
      <x:c r="P162" s="6"/>
      <x:c r="Q162" s="6"/>
      <x:c r="R162" s="6"/>
      <x:c r="S162" s="6"/>
      <x:c r="T162" s="6" t="str">
        <x:f>IF(C162="","",COUNTIF($C$2:$C$601,C162))</x:f>
      </x:c>
    </x:row>
    <x:row r="163">
      <x:c r="A163" s="6"/>
      <x:c r="B163" s="6"/>
      <x:c r="C163" s="6"/>
      <x:c r="D163" s="6"/>
      <x:c r="E163" s="6"/>
      <x:c r="F163" s="6"/>
      <x:c r="G163" s="6"/>
      <x:c r="H163" s="6"/>
      <x:c r="I163" s="6"/>
      <x:c r="J163" s="6"/>
      <x:c r="K163" s="6"/>
      <x:c r="L163" s="6"/>
      <x:c r="M163" s="6"/>
      <x:c r="N163" s="6"/>
      <x:c r="O163" s="6"/>
      <x:c r="P163" s="6"/>
      <x:c r="Q163" s="6"/>
      <x:c r="R163" s="6"/>
      <x:c r="S163" s="6"/>
      <x:c r="T163" s="6" t="str">
        <x:f>IF(C163="","",COUNTIF($C$2:$C$601,C163))</x:f>
      </x:c>
    </x:row>
    <x:row r="164">
      <x:c r="A164" s="6"/>
      <x:c r="B164" s="6"/>
      <x:c r="C164" s="6"/>
      <x:c r="D164" s="6"/>
      <x:c r="E164" s="6"/>
      <x:c r="F164" s="6"/>
      <x:c r="G164" s="6"/>
      <x:c r="H164" s="6"/>
      <x:c r="I164" s="6"/>
      <x:c r="J164" s="6"/>
      <x:c r="K164" s="6"/>
      <x:c r="L164" s="6"/>
      <x:c r="M164" s="6"/>
      <x:c r="N164" s="6"/>
      <x:c r="O164" s="6"/>
      <x:c r="P164" s="6"/>
      <x:c r="Q164" s="6"/>
      <x:c r="R164" s="6"/>
      <x:c r="S164" s="6"/>
      <x:c r="T164" s="6" t="str">
        <x:f>IF(C164="","",COUNTIF($C$2:$C$601,C164))</x:f>
      </x:c>
    </x:row>
    <x:row r="165">
      <x:c r="A165" s="6"/>
      <x:c r="B165" s="6"/>
      <x:c r="C165" s="6"/>
      <x:c r="D165" s="6"/>
      <x:c r="E165" s="6"/>
      <x:c r="F165" s="6"/>
      <x:c r="G165" s="6"/>
      <x:c r="H165" s="6"/>
      <x:c r="I165" s="6"/>
      <x:c r="J165" s="6"/>
      <x:c r="K165" s="6"/>
      <x:c r="L165" s="6"/>
      <x:c r="M165" s="6"/>
      <x:c r="N165" s="6"/>
      <x:c r="O165" s="6"/>
      <x:c r="P165" s="6"/>
      <x:c r="Q165" s="6"/>
      <x:c r="R165" s="6"/>
      <x:c r="S165" s="6"/>
      <x:c r="T165" s="6" t="str">
        <x:f>IF(C165="","",COUNTIF($C$2:$C$601,C165))</x:f>
      </x:c>
    </x:row>
    <x:row r="166">
      <x:c r="A166" s="6"/>
      <x:c r="B166" s="6"/>
      <x:c r="C166" s="6"/>
      <x:c r="D166" s="6"/>
      <x:c r="E166" s="6"/>
      <x:c r="F166" s="6"/>
      <x:c r="G166" s="6"/>
      <x:c r="H166" s="6"/>
      <x:c r="I166" s="6"/>
      <x:c r="J166" s="6"/>
      <x:c r="K166" s="6"/>
      <x:c r="L166" s="6"/>
      <x:c r="M166" s="6"/>
      <x:c r="N166" s="6"/>
      <x:c r="O166" s="6"/>
      <x:c r="P166" s="6"/>
      <x:c r="Q166" s="6"/>
      <x:c r="R166" s="6"/>
      <x:c r="S166" s="6"/>
      <x:c r="T166" s="6" t="str">
        <x:f>IF(C166="","",COUNTIF($C$2:$C$601,C166))</x:f>
      </x:c>
    </x:row>
    <x:row r="167">
      <x:c r="A167" s="6"/>
      <x:c r="B167" s="6"/>
      <x:c r="C167" s="6"/>
      <x:c r="D167" s="6"/>
      <x:c r="E167" s="6"/>
      <x:c r="F167" s="6"/>
      <x:c r="G167" s="6"/>
      <x:c r="H167" s="6"/>
      <x:c r="I167" s="6"/>
      <x:c r="J167" s="6"/>
      <x:c r="K167" s="6"/>
      <x:c r="L167" s="6"/>
      <x:c r="M167" s="6"/>
      <x:c r="N167" s="6"/>
      <x:c r="O167" s="6"/>
      <x:c r="P167" s="6"/>
      <x:c r="Q167" s="6"/>
      <x:c r="R167" s="6"/>
      <x:c r="S167" s="6"/>
      <x:c r="T167" s="6" t="str">
        <x:f>IF(C167="","",COUNTIF($C$2:$C$601,C167))</x:f>
      </x:c>
    </x:row>
    <x:row r="168">
      <x:c r="A168" s="6"/>
      <x:c r="B168" s="6"/>
      <x:c r="C168" s="6"/>
      <x:c r="D168" s="6"/>
      <x:c r="E168" s="6"/>
      <x:c r="F168" s="6"/>
      <x:c r="G168" s="6"/>
      <x:c r="H168" s="6"/>
      <x:c r="I168" s="6"/>
      <x:c r="J168" s="6"/>
      <x:c r="K168" s="6"/>
      <x:c r="L168" s="6"/>
      <x:c r="M168" s="6"/>
      <x:c r="N168" s="6"/>
      <x:c r="O168" s="6"/>
      <x:c r="P168" s="6"/>
      <x:c r="Q168" s="6"/>
      <x:c r="R168" s="6"/>
      <x:c r="S168" s="6"/>
      <x:c r="T168" s="6" t="str">
        <x:f>IF(C168="","",COUNTIF($C$2:$C$601,C168))</x:f>
      </x:c>
    </x:row>
    <x:row r="169">
      <x:c r="A169" s="6"/>
      <x:c r="B169" s="6"/>
      <x:c r="C169" s="6"/>
      <x:c r="D169" s="6"/>
      <x:c r="E169" s="6"/>
      <x:c r="F169" s="6"/>
      <x:c r="G169" s="6"/>
      <x:c r="H169" s="6"/>
      <x:c r="I169" s="6"/>
      <x:c r="J169" s="6"/>
      <x:c r="K169" s="6"/>
      <x:c r="L169" s="6"/>
      <x:c r="M169" s="6"/>
      <x:c r="N169" s="6"/>
      <x:c r="O169" s="6"/>
      <x:c r="P169" s="6"/>
      <x:c r="Q169" s="6"/>
      <x:c r="R169" s="6"/>
      <x:c r="S169" s="6"/>
      <x:c r="T169" s="6" t="str">
        <x:f>IF(C169="","",COUNTIF($C$2:$C$601,C169))</x:f>
      </x:c>
    </x:row>
    <x:row r="170">
      <x:c r="A170" s="6"/>
      <x:c r="B170" s="6"/>
      <x:c r="C170" s="6"/>
      <x:c r="D170" s="6"/>
      <x:c r="E170" s="6"/>
      <x:c r="F170" s="6"/>
      <x:c r="G170" s="6"/>
      <x:c r="H170" s="6"/>
      <x:c r="I170" s="6"/>
      <x:c r="J170" s="6"/>
      <x:c r="K170" s="6"/>
      <x:c r="L170" s="6"/>
      <x:c r="M170" s="6"/>
      <x:c r="N170" s="6"/>
      <x:c r="O170" s="6"/>
      <x:c r="P170" s="6"/>
      <x:c r="Q170" s="6"/>
      <x:c r="R170" s="6"/>
      <x:c r="S170" s="6"/>
      <x:c r="T170" s="6" t="str">
        <x:f>IF(C170="","",COUNTIF($C$2:$C$601,C170))</x:f>
      </x:c>
    </x:row>
    <x:row r="171">
      <x:c r="A171" s="6"/>
      <x:c r="B171" s="6"/>
      <x:c r="C171" s="6"/>
      <x:c r="D171" s="6"/>
      <x:c r="E171" s="6"/>
      <x:c r="F171" s="6"/>
      <x:c r="G171" s="6"/>
      <x:c r="H171" s="6"/>
      <x:c r="I171" s="6"/>
      <x:c r="J171" s="6"/>
      <x:c r="K171" s="6"/>
      <x:c r="L171" s="6"/>
      <x:c r="M171" s="6"/>
      <x:c r="N171" s="6"/>
      <x:c r="O171" s="6"/>
      <x:c r="P171" s="6"/>
      <x:c r="Q171" s="6"/>
      <x:c r="R171" s="6"/>
      <x:c r="S171" s="6"/>
      <x:c r="T171" s="6" t="str">
        <x:f>IF(C171="","",COUNTIF($C$2:$C$601,C171))</x:f>
      </x:c>
    </x:row>
    <x:row r="172">
      <x:c r="A172" s="6"/>
      <x:c r="B172" s="6"/>
      <x:c r="C172" s="6"/>
      <x:c r="D172" s="6"/>
      <x:c r="E172" s="6"/>
      <x:c r="F172" s="6"/>
      <x:c r="G172" s="6"/>
      <x:c r="H172" s="6"/>
      <x:c r="I172" s="6"/>
      <x:c r="J172" s="6"/>
      <x:c r="K172" s="6"/>
      <x:c r="L172" s="6"/>
      <x:c r="M172" s="6"/>
      <x:c r="N172" s="6"/>
      <x:c r="O172" s="6"/>
      <x:c r="P172" s="6"/>
      <x:c r="Q172" s="6"/>
      <x:c r="R172" s="6"/>
      <x:c r="S172" s="6"/>
      <x:c r="T172" s="6" t="str">
        <x:f>IF(C172="","",COUNTIF($C$2:$C$601,C172))</x:f>
      </x:c>
    </x:row>
    <x:row r="173">
      <x:c r="A173" s="6"/>
      <x:c r="B173" s="6"/>
      <x:c r="C173" s="6"/>
      <x:c r="D173" s="6"/>
      <x:c r="E173" s="6"/>
      <x:c r="F173" s="6"/>
      <x:c r="G173" s="6"/>
      <x:c r="H173" s="6"/>
      <x:c r="I173" s="6"/>
      <x:c r="J173" s="6"/>
      <x:c r="K173" s="6"/>
      <x:c r="L173" s="6"/>
      <x:c r="M173" s="6"/>
      <x:c r="N173" s="6"/>
      <x:c r="O173" s="6"/>
      <x:c r="P173" s="6"/>
      <x:c r="Q173" s="6"/>
      <x:c r="R173" s="6"/>
      <x:c r="S173" s="6"/>
      <x:c r="T173" s="6" t="str">
        <x:f>IF(C173="","",COUNTIF($C$2:$C$601,C173))</x:f>
      </x:c>
    </x:row>
    <x:row r="174">
      <x:c r="A174" s="6"/>
      <x:c r="B174" s="6"/>
      <x:c r="C174" s="6"/>
      <x:c r="D174" s="6"/>
      <x:c r="E174" s="6"/>
      <x:c r="F174" s="6"/>
      <x:c r="G174" s="6"/>
      <x:c r="H174" s="6"/>
      <x:c r="I174" s="6"/>
      <x:c r="J174" s="6"/>
      <x:c r="K174" s="6"/>
      <x:c r="L174" s="6"/>
      <x:c r="M174" s="6"/>
      <x:c r="N174" s="6"/>
      <x:c r="O174" s="6"/>
      <x:c r="P174" s="6"/>
      <x:c r="Q174" s="6"/>
      <x:c r="R174" s="6"/>
      <x:c r="S174" s="6"/>
      <x:c r="T174" s="6" t="str">
        <x:f>IF(C174="","",COUNTIF($C$2:$C$601,C174))</x:f>
      </x:c>
    </x:row>
    <x:row r="175">
      <x:c r="A175" s="6"/>
      <x:c r="B175" s="6"/>
      <x:c r="C175" s="6"/>
      <x:c r="D175" s="6"/>
      <x:c r="E175" s="6"/>
      <x:c r="F175" s="6"/>
      <x:c r="G175" s="6"/>
      <x:c r="H175" s="6"/>
      <x:c r="I175" s="6"/>
      <x:c r="J175" s="6"/>
      <x:c r="K175" s="6"/>
      <x:c r="L175" s="6"/>
      <x:c r="M175" s="6"/>
      <x:c r="N175" s="6"/>
      <x:c r="O175" s="6"/>
      <x:c r="P175" s="6"/>
      <x:c r="Q175" s="6"/>
      <x:c r="R175" s="6"/>
      <x:c r="S175" s="6"/>
      <x:c r="T175" s="6" t="str">
        <x:f>IF(C175="","",COUNTIF($C$2:$C$601,C175))</x:f>
      </x:c>
    </x:row>
    <x:row r="176">
      <x:c r="A176" s="6"/>
      <x:c r="B176" s="6"/>
      <x:c r="C176" s="6"/>
      <x:c r="D176" s="6"/>
      <x:c r="E176" s="6"/>
      <x:c r="F176" s="6"/>
      <x:c r="G176" s="6"/>
      <x:c r="H176" s="6"/>
      <x:c r="I176" s="6"/>
      <x:c r="J176" s="6"/>
      <x:c r="K176" s="6"/>
      <x:c r="L176" s="6"/>
      <x:c r="M176" s="6"/>
      <x:c r="N176" s="6"/>
      <x:c r="O176" s="6"/>
      <x:c r="P176" s="6"/>
      <x:c r="Q176" s="6"/>
      <x:c r="R176" s="6"/>
      <x:c r="S176" s="6"/>
      <x:c r="T176" s="6" t="str">
        <x:f>IF(C176="","",COUNTIF($C$2:$C$601,C176))</x:f>
      </x:c>
    </x:row>
    <x:row r="177">
      <x:c r="A177" s="6"/>
      <x:c r="B177" s="6"/>
      <x:c r="C177" s="6"/>
      <x:c r="D177" s="6"/>
      <x:c r="E177" s="6"/>
      <x:c r="F177" s="6"/>
      <x:c r="G177" s="6"/>
      <x:c r="H177" s="6"/>
      <x:c r="I177" s="6"/>
      <x:c r="J177" s="6"/>
      <x:c r="K177" s="6"/>
      <x:c r="L177" s="6"/>
      <x:c r="M177" s="6"/>
      <x:c r="N177" s="6"/>
      <x:c r="O177" s="6"/>
      <x:c r="P177" s="6"/>
      <x:c r="Q177" s="6"/>
      <x:c r="R177" s="6"/>
      <x:c r="S177" s="6"/>
      <x:c r="T177" s="6" t="str">
        <x:f>IF(C177="","",COUNTIF($C$2:$C$601,C177))</x:f>
      </x:c>
    </x:row>
    <x:row r="178">
      <x:c r="A178" s="6"/>
      <x:c r="B178" s="6"/>
      <x:c r="C178" s="6"/>
      <x:c r="D178" s="6"/>
      <x:c r="E178" s="6"/>
      <x:c r="F178" s="6"/>
      <x:c r="G178" s="6"/>
      <x:c r="H178" s="6"/>
      <x:c r="I178" s="6"/>
      <x:c r="J178" s="6"/>
      <x:c r="K178" s="6"/>
      <x:c r="L178" s="6"/>
      <x:c r="M178" s="6"/>
      <x:c r="N178" s="6"/>
      <x:c r="O178" s="6"/>
      <x:c r="P178" s="6"/>
      <x:c r="Q178" s="6"/>
      <x:c r="R178" s="6"/>
      <x:c r="S178" s="6"/>
      <x:c r="T178" s="6" t="str">
        <x:f>IF(C178="","",COUNTIF($C$2:$C$601,C178))</x:f>
      </x:c>
    </x:row>
    <x:row r="179">
      <x:c r="A179" s="6"/>
      <x:c r="B179" s="6"/>
      <x:c r="C179" s="6"/>
      <x:c r="D179" s="6"/>
      <x:c r="E179" s="6"/>
      <x:c r="F179" s="6"/>
      <x:c r="G179" s="6"/>
      <x:c r="H179" s="6"/>
      <x:c r="I179" s="6"/>
      <x:c r="J179" s="6"/>
      <x:c r="K179" s="6"/>
      <x:c r="L179" s="6"/>
      <x:c r="M179" s="6"/>
      <x:c r="N179" s="6"/>
      <x:c r="O179" s="6"/>
      <x:c r="P179" s="6"/>
      <x:c r="Q179" s="6"/>
      <x:c r="R179" s="6"/>
      <x:c r="S179" s="6"/>
      <x:c r="T179" s="6" t="str">
        <x:f>IF(C179="","",COUNTIF($C$2:$C$601,C179))</x:f>
      </x:c>
    </x:row>
    <x:row r="180">
      <x:c r="A180" s="6"/>
      <x:c r="B180" s="6"/>
      <x:c r="C180" s="6"/>
      <x:c r="D180" s="6"/>
      <x:c r="E180" s="6"/>
      <x:c r="F180" s="6"/>
      <x:c r="G180" s="6"/>
      <x:c r="H180" s="6"/>
      <x:c r="I180" s="6"/>
      <x:c r="J180" s="6"/>
      <x:c r="K180" s="6"/>
      <x:c r="L180" s="6"/>
      <x:c r="M180" s="6"/>
      <x:c r="N180" s="6"/>
      <x:c r="O180" s="6"/>
      <x:c r="P180" s="6"/>
      <x:c r="Q180" s="6"/>
      <x:c r="R180" s="6"/>
      <x:c r="S180" s="6"/>
      <x:c r="T180" s="6" t="str">
        <x:f>IF(C180="","",COUNTIF($C$2:$C$601,C180))</x:f>
      </x:c>
    </x:row>
    <x:row r="181">
      <x:c r="A181" s="6"/>
      <x:c r="B181" s="6"/>
      <x:c r="C181" s="6"/>
      <x:c r="D181" s="6"/>
      <x:c r="E181" s="6"/>
      <x:c r="F181" s="6"/>
      <x:c r="G181" s="6"/>
      <x:c r="H181" s="6"/>
      <x:c r="I181" s="6"/>
      <x:c r="J181" s="6"/>
      <x:c r="K181" s="6"/>
      <x:c r="L181" s="6"/>
      <x:c r="M181" s="6"/>
      <x:c r="N181" s="6"/>
      <x:c r="O181" s="6"/>
      <x:c r="P181" s="6"/>
      <x:c r="Q181" s="6"/>
      <x:c r="R181" s="6"/>
      <x:c r="S181" s="6"/>
      <x:c r="T181" s="6" t="str">
        <x:f>IF(C181="","",COUNTIF($C$2:$C$601,C181))</x:f>
      </x:c>
    </x:row>
    <x:row r="182">
      <x:c r="A182" s="6"/>
      <x:c r="B182" s="6"/>
      <x:c r="C182" s="6"/>
      <x:c r="D182" s="6"/>
      <x:c r="E182" s="6"/>
      <x:c r="F182" s="6"/>
      <x:c r="G182" s="6"/>
      <x:c r="H182" s="6"/>
      <x:c r="I182" s="6"/>
      <x:c r="J182" s="6"/>
      <x:c r="K182" s="6"/>
      <x:c r="L182" s="6"/>
      <x:c r="M182" s="6"/>
      <x:c r="N182" s="6"/>
      <x:c r="O182" s="6"/>
      <x:c r="P182" s="6"/>
      <x:c r="Q182" s="6"/>
      <x:c r="R182" s="6"/>
      <x:c r="S182" s="6"/>
      <x:c r="T182" s="6" t="str">
        <x:f>IF(C182="","",COUNTIF($C$2:$C$601,C182))</x:f>
      </x:c>
    </x:row>
    <x:row r="183">
      <x:c r="A183" s="6"/>
      <x:c r="B183" s="6"/>
      <x:c r="C183" s="6"/>
      <x:c r="D183" s="6"/>
      <x:c r="E183" s="6"/>
      <x:c r="F183" s="6"/>
      <x:c r="G183" s="6"/>
      <x:c r="H183" s="6"/>
      <x:c r="I183" s="6"/>
      <x:c r="J183" s="6"/>
      <x:c r="K183" s="6"/>
      <x:c r="L183" s="6"/>
      <x:c r="M183" s="6"/>
      <x:c r="N183" s="6"/>
      <x:c r="O183" s="6"/>
      <x:c r="P183" s="6"/>
      <x:c r="Q183" s="6"/>
      <x:c r="R183" s="6"/>
      <x:c r="S183" s="6"/>
      <x:c r="T183" s="6" t="str">
        <x:f>IF(C183="","",COUNTIF($C$2:$C$601,C183))</x:f>
      </x:c>
    </x:row>
    <x:row r="184">
      <x:c r="A184" s="6"/>
      <x:c r="B184" s="6"/>
      <x:c r="C184" s="6"/>
      <x:c r="D184" s="6"/>
      <x:c r="E184" s="6"/>
      <x:c r="F184" s="6"/>
      <x:c r="G184" s="6"/>
      <x:c r="H184" s="6"/>
      <x:c r="I184" s="6"/>
      <x:c r="J184" s="6"/>
      <x:c r="K184" s="6"/>
      <x:c r="L184" s="6"/>
      <x:c r="M184" s="6"/>
      <x:c r="N184" s="6"/>
      <x:c r="O184" s="6"/>
      <x:c r="P184" s="6"/>
      <x:c r="Q184" s="6"/>
      <x:c r="R184" s="6"/>
      <x:c r="S184" s="6"/>
      <x:c r="T184" s="6" t="str">
        <x:f>IF(C184="","",COUNTIF($C$2:$C$601,C184))</x:f>
      </x:c>
    </x:row>
    <x:row r="185">
      <x:c r="A185" s="6"/>
      <x:c r="B185" s="6"/>
      <x:c r="C185" s="6"/>
      <x:c r="D185" s="6"/>
      <x:c r="E185" s="6"/>
      <x:c r="F185" s="6"/>
      <x:c r="G185" s="6"/>
      <x:c r="H185" s="6"/>
      <x:c r="I185" s="6"/>
      <x:c r="J185" s="6"/>
      <x:c r="K185" s="6"/>
      <x:c r="L185" s="6"/>
      <x:c r="M185" s="6"/>
      <x:c r="N185" s="6"/>
      <x:c r="O185" s="6"/>
      <x:c r="P185" s="6"/>
      <x:c r="Q185" s="6"/>
      <x:c r="R185" s="6"/>
      <x:c r="S185" s="6"/>
      <x:c r="T185" s="6" t="str">
        <x:f>IF(C185="","",COUNTIF($C$2:$C$601,C185))</x:f>
      </x:c>
    </x:row>
    <x:row r="186">
      <x:c r="A186" s="6"/>
      <x:c r="B186" s="6"/>
      <x:c r="C186" s="6"/>
      <x:c r="D186" s="6"/>
      <x:c r="E186" s="6"/>
      <x:c r="F186" s="6"/>
      <x:c r="G186" s="6"/>
      <x:c r="H186" s="6"/>
      <x:c r="I186" s="6"/>
      <x:c r="J186" s="6"/>
      <x:c r="K186" s="6"/>
      <x:c r="L186" s="6"/>
      <x:c r="M186" s="6"/>
      <x:c r="N186" s="6"/>
      <x:c r="O186" s="6"/>
      <x:c r="P186" s="6"/>
      <x:c r="Q186" s="6"/>
      <x:c r="R186" s="6"/>
      <x:c r="S186" s="6"/>
      <x:c r="T186" s="6" t="str">
        <x:f>IF(C186="","",COUNTIF($C$2:$C$601,C186))</x:f>
      </x:c>
    </x:row>
    <x:row r="187">
      <x:c r="A187" s="6"/>
      <x:c r="B187" s="6"/>
      <x:c r="C187" s="6"/>
      <x:c r="D187" s="6"/>
      <x:c r="E187" s="6"/>
      <x:c r="F187" s="6"/>
      <x:c r="G187" s="6"/>
      <x:c r="H187" s="6"/>
      <x:c r="I187" s="6"/>
      <x:c r="J187" s="6"/>
      <x:c r="K187" s="6"/>
      <x:c r="L187" s="6"/>
      <x:c r="M187" s="6"/>
      <x:c r="N187" s="6"/>
      <x:c r="O187" s="6"/>
      <x:c r="P187" s="6"/>
      <x:c r="Q187" s="6"/>
      <x:c r="R187" s="6"/>
      <x:c r="S187" s="6"/>
      <x:c r="T187" s="6" t="str">
        <x:f>IF(C187="","",COUNTIF($C$2:$C$601,C187))</x:f>
      </x:c>
    </x:row>
    <x:row r="188">
      <x:c r="A188" s="6"/>
      <x:c r="B188" s="6"/>
      <x:c r="C188" s="6"/>
      <x:c r="D188" s="6"/>
      <x:c r="E188" s="6"/>
      <x:c r="F188" s="6"/>
      <x:c r="G188" s="6"/>
      <x:c r="H188" s="6"/>
      <x:c r="I188" s="6"/>
      <x:c r="J188" s="6"/>
      <x:c r="K188" s="6"/>
      <x:c r="L188" s="6"/>
      <x:c r="M188" s="6"/>
      <x:c r="N188" s="6"/>
      <x:c r="O188" s="6"/>
      <x:c r="P188" s="6"/>
      <x:c r="Q188" s="6"/>
      <x:c r="R188" s="6"/>
      <x:c r="S188" s="6"/>
      <x:c r="T188" s="6" t="str">
        <x:f>IF(C188="","",COUNTIF($C$2:$C$601,C188))</x:f>
      </x:c>
    </x:row>
    <x:row r="189">
      <x:c r="A189" s="6"/>
      <x:c r="B189" s="6"/>
      <x:c r="C189" s="6"/>
      <x:c r="D189" s="6"/>
      <x:c r="E189" s="6"/>
      <x:c r="F189" s="6"/>
      <x:c r="G189" s="6"/>
      <x:c r="H189" s="6"/>
      <x:c r="I189" s="6"/>
      <x:c r="J189" s="6"/>
      <x:c r="K189" s="6"/>
      <x:c r="L189" s="6"/>
      <x:c r="M189" s="6"/>
      <x:c r="N189" s="6"/>
      <x:c r="O189" s="6"/>
      <x:c r="P189" s="6"/>
      <x:c r="Q189" s="6"/>
      <x:c r="R189" s="6"/>
      <x:c r="S189" s="6"/>
      <x:c r="T189" s="6" t="str">
        <x:f>IF(C189="","",COUNTIF($C$2:$C$601,C189))</x:f>
      </x:c>
    </x:row>
    <x:row r="190">
      <x:c r="A190" s="6"/>
      <x:c r="B190" s="6"/>
      <x:c r="C190" s="6"/>
      <x:c r="D190" s="6"/>
      <x:c r="E190" s="6"/>
      <x:c r="F190" s="6"/>
      <x:c r="G190" s="6"/>
      <x:c r="H190" s="6"/>
      <x:c r="I190" s="6"/>
      <x:c r="J190" s="6"/>
      <x:c r="K190" s="6"/>
      <x:c r="L190" s="6"/>
      <x:c r="M190" s="6"/>
      <x:c r="N190" s="6"/>
      <x:c r="O190" s="6"/>
      <x:c r="P190" s="6"/>
      <x:c r="Q190" s="6"/>
      <x:c r="R190" s="6"/>
      <x:c r="S190" s="6"/>
      <x:c r="T190" s="6" t="str">
        <x:f>IF(C190="","",COUNTIF($C$2:$C$601,C190))</x:f>
      </x:c>
    </x:row>
    <x:row r="191">
      <x:c r="A191" s="6"/>
      <x:c r="B191" s="6"/>
      <x:c r="C191" s="6"/>
      <x:c r="D191" s="6"/>
      <x:c r="E191" s="6"/>
      <x:c r="F191" s="6"/>
      <x:c r="G191" s="6"/>
      <x:c r="H191" s="6"/>
      <x:c r="I191" s="6"/>
      <x:c r="J191" s="6"/>
      <x:c r="K191" s="6"/>
      <x:c r="L191" s="6"/>
      <x:c r="M191" s="6"/>
      <x:c r="N191" s="6"/>
      <x:c r="O191" s="6"/>
      <x:c r="P191" s="6"/>
      <x:c r="Q191" s="6"/>
      <x:c r="R191" s="6"/>
      <x:c r="S191" s="6"/>
      <x:c r="T191" s="6" t="str">
        <x:f>IF(C191="","",COUNTIF($C$2:$C$601,C191))</x:f>
      </x:c>
    </x:row>
    <x:row r="192">
      <x:c r="A192" s="6"/>
      <x:c r="B192" s="6"/>
      <x:c r="C192" s="6"/>
      <x:c r="D192" s="6"/>
      <x:c r="E192" s="6"/>
      <x:c r="F192" s="6"/>
      <x:c r="G192" s="6"/>
      <x:c r="H192" s="6"/>
      <x:c r="I192" s="6"/>
      <x:c r="J192" s="6"/>
      <x:c r="K192" s="6"/>
      <x:c r="L192" s="6"/>
      <x:c r="M192" s="6"/>
      <x:c r="N192" s="6"/>
      <x:c r="O192" s="6"/>
      <x:c r="P192" s="6"/>
      <x:c r="Q192" s="6"/>
      <x:c r="R192" s="6"/>
      <x:c r="S192" s="6"/>
      <x:c r="T192" s="6" t="str">
        <x:f>IF(C192="","",COUNTIF($C$2:$C$601,C192))</x:f>
      </x:c>
    </x:row>
    <x:row r="193">
      <x:c r="A193" s="6"/>
      <x:c r="B193" s="6"/>
      <x:c r="C193" s="6"/>
      <x:c r="D193" s="6"/>
      <x:c r="E193" s="6"/>
      <x:c r="F193" s="6"/>
      <x:c r="G193" s="6"/>
      <x:c r="H193" s="6"/>
      <x:c r="I193" s="6"/>
      <x:c r="J193" s="6"/>
      <x:c r="K193" s="6"/>
      <x:c r="L193" s="6"/>
      <x:c r="M193" s="6"/>
      <x:c r="N193" s="6"/>
      <x:c r="O193" s="6"/>
      <x:c r="P193" s="6"/>
      <x:c r="Q193" s="6"/>
      <x:c r="R193" s="6"/>
      <x:c r="S193" s="6"/>
      <x:c r="T193" s="6" t="str">
        <x:f>IF(C193="","",COUNTIF($C$2:$C$601,C193))</x:f>
      </x:c>
    </x:row>
    <x:row r="194">
      <x:c r="A194" s="6"/>
      <x:c r="B194" s="6"/>
      <x:c r="C194" s="6"/>
      <x:c r="D194" s="6"/>
      <x:c r="E194" s="6"/>
      <x:c r="F194" s="6"/>
      <x:c r="G194" s="6"/>
      <x:c r="H194" s="6"/>
      <x:c r="I194" s="6"/>
      <x:c r="J194" s="6"/>
      <x:c r="K194" s="6"/>
      <x:c r="L194" s="6"/>
      <x:c r="M194" s="6"/>
      <x:c r="N194" s="6"/>
      <x:c r="O194" s="6"/>
      <x:c r="P194" s="6"/>
      <x:c r="Q194" s="6"/>
      <x:c r="R194" s="6"/>
      <x:c r="S194" s="6"/>
      <x:c r="T194" s="6" t="str">
        <x:f>IF(C194="","",COUNTIF($C$2:$C$601,C194))</x:f>
      </x:c>
    </x:row>
    <x:row r="195">
      <x:c r="A195" s="6"/>
      <x:c r="B195" s="6"/>
      <x:c r="C195" s="6"/>
      <x:c r="D195" s="6"/>
      <x:c r="E195" s="6"/>
      <x:c r="F195" s="6"/>
      <x:c r="G195" s="6"/>
      <x:c r="H195" s="6"/>
      <x:c r="I195" s="6"/>
      <x:c r="J195" s="6"/>
      <x:c r="K195" s="6"/>
      <x:c r="L195" s="6"/>
      <x:c r="M195" s="6"/>
      <x:c r="N195" s="6"/>
      <x:c r="O195" s="6"/>
      <x:c r="P195" s="6"/>
      <x:c r="Q195" s="6"/>
      <x:c r="R195" s="6"/>
      <x:c r="S195" s="6"/>
      <x:c r="T195" s="6" t="str">
        <x:f>IF(C195="","",COUNTIF($C$2:$C$601,C195))</x:f>
      </x:c>
    </x:row>
    <x:row r="196">
      <x:c r="A196" s="6"/>
      <x:c r="B196" s="6"/>
      <x:c r="C196" s="6"/>
      <x:c r="D196" s="6"/>
      <x:c r="E196" s="6"/>
      <x:c r="F196" s="6"/>
      <x:c r="G196" s="6"/>
      <x:c r="H196" s="6"/>
      <x:c r="I196" s="6"/>
      <x:c r="J196" s="6"/>
      <x:c r="K196" s="6"/>
      <x:c r="L196" s="6"/>
      <x:c r="M196" s="6"/>
      <x:c r="N196" s="6"/>
      <x:c r="O196" s="6"/>
      <x:c r="P196" s="6"/>
      <x:c r="Q196" s="6"/>
      <x:c r="R196" s="6"/>
      <x:c r="S196" s="6"/>
      <x:c r="T196" s="6" t="str">
        <x:f>IF(C196="","",COUNTIF($C$2:$C$601,C196))</x:f>
      </x:c>
    </x:row>
    <x:row r="197">
      <x:c r="A197" s="6"/>
      <x:c r="B197" s="6"/>
      <x:c r="C197" s="6"/>
      <x:c r="D197" s="6"/>
      <x:c r="E197" s="6"/>
      <x:c r="F197" s="6"/>
      <x:c r="G197" s="6"/>
      <x:c r="H197" s="6"/>
      <x:c r="I197" s="6"/>
      <x:c r="J197" s="6"/>
      <x:c r="K197" s="6"/>
      <x:c r="L197" s="6"/>
      <x:c r="M197" s="6"/>
      <x:c r="N197" s="6"/>
      <x:c r="O197" s="6"/>
      <x:c r="P197" s="6"/>
      <x:c r="Q197" s="6"/>
      <x:c r="R197" s="6"/>
      <x:c r="S197" s="6"/>
      <x:c r="T197" s="6" t="str">
        <x:f>IF(C197="","",COUNTIF($C$2:$C$601,C197))</x:f>
      </x:c>
    </x:row>
    <x:row r="198">
      <x:c r="A198" s="6"/>
      <x:c r="B198" s="6"/>
      <x:c r="C198" s="6"/>
      <x:c r="D198" s="6"/>
      <x:c r="E198" s="6"/>
      <x:c r="F198" s="6"/>
      <x:c r="G198" s="6"/>
      <x:c r="H198" s="6"/>
      <x:c r="I198" s="6"/>
      <x:c r="J198" s="6"/>
      <x:c r="K198" s="6"/>
      <x:c r="L198" s="6"/>
      <x:c r="M198" s="6"/>
      <x:c r="N198" s="6"/>
      <x:c r="O198" s="6"/>
      <x:c r="P198" s="6"/>
      <x:c r="Q198" s="6"/>
      <x:c r="R198" s="6"/>
      <x:c r="S198" s="6"/>
      <x:c r="T198" s="6" t="str">
        <x:f>IF(C198="","",COUNTIF($C$2:$C$601,C198))</x:f>
      </x:c>
    </x:row>
    <x:row r="199">
      <x:c r="A199" s="6"/>
      <x:c r="B199" s="6"/>
      <x:c r="C199" s="6"/>
      <x:c r="D199" s="6"/>
      <x:c r="E199" s="6"/>
      <x:c r="F199" s="6"/>
      <x:c r="G199" s="6"/>
      <x:c r="H199" s="6"/>
      <x:c r="I199" s="6"/>
      <x:c r="J199" s="6"/>
      <x:c r="K199" s="6"/>
      <x:c r="L199" s="6"/>
      <x:c r="M199" s="6"/>
      <x:c r="N199" s="6"/>
      <x:c r="O199" s="6"/>
      <x:c r="P199" s="6"/>
      <x:c r="Q199" s="6"/>
      <x:c r="R199" s="6"/>
      <x:c r="S199" s="6"/>
      <x:c r="T199" s="6" t="str">
        <x:f>IF(C199="","",COUNTIF($C$2:$C$601,C199))</x:f>
      </x:c>
    </x:row>
    <x:row r="200">
      <x:c r="A200" s="6"/>
      <x:c r="B200" s="6"/>
      <x:c r="C200" s="6"/>
      <x:c r="D200" s="6"/>
      <x:c r="E200" s="6"/>
      <x:c r="F200" s="6"/>
      <x:c r="G200" s="6"/>
      <x:c r="H200" s="6"/>
      <x:c r="I200" s="6"/>
      <x:c r="J200" s="6"/>
      <x:c r="K200" s="6"/>
      <x:c r="L200" s="6"/>
      <x:c r="M200" s="6"/>
      <x:c r="N200" s="6"/>
      <x:c r="O200" s="6"/>
      <x:c r="P200" s="6"/>
      <x:c r="Q200" s="6"/>
      <x:c r="R200" s="6"/>
      <x:c r="S200" s="6"/>
      <x:c r="T200" s="6" t="str">
        <x:f>IF(C200="","",COUNTIF($C$2:$C$601,C200))</x:f>
      </x:c>
    </x:row>
    <x:row r="201">
      <x:c r="A201" s="6"/>
      <x:c r="B201" s="6"/>
      <x:c r="C201" s="6"/>
      <x:c r="D201" s="6"/>
      <x:c r="E201" s="6"/>
      <x:c r="F201" s="6"/>
      <x:c r="G201" s="6"/>
      <x:c r="H201" s="6"/>
      <x:c r="I201" s="6"/>
      <x:c r="J201" s="6"/>
      <x:c r="K201" s="6"/>
      <x:c r="L201" s="6"/>
      <x:c r="M201" s="6"/>
      <x:c r="N201" s="6"/>
      <x:c r="O201" s="6"/>
      <x:c r="P201" s="6"/>
      <x:c r="Q201" s="6"/>
      <x:c r="R201" s="6"/>
      <x:c r="S201" s="6"/>
      <x:c r="T201" s="6" t="str">
        <x:f>IF(C201="","",COUNTIF($C$2:$C$601,C201))</x:f>
      </x:c>
    </x:row>
    <x:row r="202">
      <x:c r="A202" s="6"/>
      <x:c r="B202" s="6"/>
      <x:c r="C202" s="6"/>
      <x:c r="D202" s="6"/>
      <x:c r="E202" s="6"/>
      <x:c r="F202" s="6"/>
      <x:c r="G202" s="6"/>
      <x:c r="H202" s="6"/>
      <x:c r="I202" s="6"/>
      <x:c r="J202" s="6"/>
      <x:c r="K202" s="6"/>
      <x:c r="L202" s="6"/>
      <x:c r="M202" s="6"/>
      <x:c r="N202" s="6"/>
      <x:c r="O202" s="6"/>
      <x:c r="P202" s="6"/>
      <x:c r="Q202" s="6"/>
      <x:c r="R202" s="6"/>
      <x:c r="S202" s="6"/>
      <x:c r="T202" s="6" t="str">
        <x:f>IF(C202="","",COUNTIF($C$2:$C$601,C202))</x:f>
      </x:c>
    </x:row>
    <x:row r="203">
      <x:c r="A203" s="6"/>
      <x:c r="B203" s="6"/>
      <x:c r="C203" s="6"/>
      <x:c r="D203" s="6"/>
      <x:c r="E203" s="6"/>
      <x:c r="F203" s="6"/>
      <x:c r="G203" s="6"/>
      <x:c r="H203" s="6"/>
      <x:c r="I203" s="6"/>
      <x:c r="J203" s="6"/>
      <x:c r="K203" s="6"/>
      <x:c r="L203" s="6"/>
      <x:c r="M203" s="6"/>
      <x:c r="N203" s="6"/>
      <x:c r="O203" s="6"/>
      <x:c r="P203" s="6"/>
      <x:c r="Q203" s="6"/>
      <x:c r="R203" s="6"/>
      <x:c r="S203" s="6"/>
      <x:c r="T203" s="6" t="str">
        <x:f>IF(C203="","",COUNTIF($C$2:$C$601,C203))</x:f>
      </x:c>
    </x:row>
    <x:row r="204">
      <x:c r="A204" s="6"/>
      <x:c r="B204" s="6"/>
      <x:c r="C204" s="6"/>
      <x:c r="D204" s="6"/>
      <x:c r="E204" s="6"/>
      <x:c r="F204" s="6"/>
      <x:c r="G204" s="6"/>
      <x:c r="H204" s="6"/>
      <x:c r="I204" s="6"/>
      <x:c r="J204" s="6"/>
      <x:c r="K204" s="6"/>
      <x:c r="L204" s="6"/>
      <x:c r="M204" s="6"/>
      <x:c r="N204" s="6"/>
      <x:c r="O204" s="6"/>
      <x:c r="P204" s="6"/>
      <x:c r="Q204" s="6"/>
      <x:c r="R204" s="6"/>
      <x:c r="S204" s="6"/>
      <x:c r="T204" s="6" t="str">
        <x:f>IF(C204="","",COUNTIF($C$2:$C$601,C204))</x:f>
      </x:c>
    </x:row>
    <x:row r="205">
      <x:c r="A205" s="6"/>
      <x:c r="B205" s="6"/>
      <x:c r="C205" s="6"/>
      <x:c r="D205" s="6"/>
      <x:c r="E205" s="6"/>
      <x:c r="F205" s="6"/>
      <x:c r="G205" s="6"/>
      <x:c r="H205" s="6"/>
      <x:c r="I205" s="6"/>
      <x:c r="J205" s="6"/>
      <x:c r="K205" s="6"/>
      <x:c r="L205" s="6"/>
      <x:c r="M205" s="6"/>
      <x:c r="N205" s="6"/>
      <x:c r="O205" s="6"/>
      <x:c r="P205" s="6"/>
      <x:c r="Q205" s="6"/>
      <x:c r="R205" s="6"/>
      <x:c r="S205" s="6"/>
      <x:c r="T205" s="6" t="str">
        <x:f>IF(C205="","",COUNTIF($C$2:$C$601,C205))</x:f>
      </x:c>
    </x:row>
    <x:row r="206">
      <x:c r="A206" s="6"/>
      <x:c r="B206" s="6"/>
      <x:c r="C206" s="6"/>
      <x:c r="D206" s="6"/>
      <x:c r="E206" s="6"/>
      <x:c r="F206" s="6"/>
      <x:c r="G206" s="6"/>
      <x:c r="H206" s="6"/>
      <x:c r="I206" s="6"/>
      <x:c r="J206" s="6"/>
      <x:c r="K206" s="6"/>
      <x:c r="L206" s="6"/>
      <x:c r="M206" s="6"/>
      <x:c r="N206" s="6"/>
      <x:c r="O206" s="6"/>
      <x:c r="P206" s="6"/>
      <x:c r="Q206" s="6"/>
      <x:c r="R206" s="6"/>
      <x:c r="S206" s="6"/>
      <x:c r="T206" s="6" t="str">
        <x:f>IF(C206="","",COUNTIF($C$2:$C$601,C206))</x:f>
      </x:c>
    </x:row>
    <x:row r="207">
      <x:c r="A207" s="6"/>
      <x:c r="B207" s="6"/>
      <x:c r="C207" s="6"/>
      <x:c r="D207" s="6"/>
      <x:c r="E207" s="6"/>
      <x:c r="F207" s="6"/>
      <x:c r="G207" s="6"/>
      <x:c r="H207" s="6"/>
      <x:c r="I207" s="6"/>
      <x:c r="J207" s="6"/>
      <x:c r="K207" s="6"/>
      <x:c r="L207" s="6"/>
      <x:c r="M207" s="6"/>
      <x:c r="N207" s="6"/>
      <x:c r="O207" s="6"/>
      <x:c r="P207" s="6"/>
      <x:c r="Q207" s="6"/>
      <x:c r="R207" s="6"/>
      <x:c r="S207" s="6"/>
      <x:c r="T207" s="6" t="str">
        <x:f>IF(C207="","",COUNTIF($C$2:$C$601,C207))</x:f>
      </x:c>
    </x:row>
    <x:row r="208">
      <x:c r="A208" s="6"/>
      <x:c r="B208" s="6"/>
      <x:c r="C208" s="6"/>
      <x:c r="D208" s="6"/>
      <x:c r="E208" s="6"/>
      <x:c r="F208" s="6"/>
      <x:c r="G208" s="6"/>
      <x:c r="H208" s="6"/>
      <x:c r="I208" s="6"/>
      <x:c r="J208" s="6"/>
      <x:c r="K208" s="6"/>
      <x:c r="L208" s="6"/>
      <x:c r="M208" s="6"/>
      <x:c r="N208" s="6"/>
      <x:c r="O208" s="6"/>
      <x:c r="P208" s="6"/>
      <x:c r="Q208" s="6"/>
      <x:c r="R208" s="6"/>
      <x:c r="S208" s="6"/>
      <x:c r="T208" s="6" t="str">
        <x:f>IF(C208="","",COUNTIF($C$2:$C$601,C208))</x:f>
      </x:c>
    </x:row>
    <x:row r="209">
      <x:c r="A209" s="6"/>
      <x:c r="B209" s="6"/>
      <x:c r="C209" s="6"/>
      <x:c r="D209" s="6"/>
      <x:c r="E209" s="6"/>
      <x:c r="F209" s="6"/>
      <x:c r="G209" s="6"/>
      <x:c r="H209" s="6"/>
      <x:c r="I209" s="6"/>
      <x:c r="J209" s="6"/>
      <x:c r="K209" s="6"/>
      <x:c r="L209" s="6"/>
      <x:c r="M209" s="6"/>
      <x:c r="N209" s="6"/>
      <x:c r="O209" s="6"/>
      <x:c r="P209" s="6"/>
      <x:c r="Q209" s="6"/>
      <x:c r="R209" s="6"/>
      <x:c r="S209" s="6"/>
      <x:c r="T209" s="6" t="str">
        <x:f>IF(C209="","",COUNTIF($C$2:$C$601,C209))</x:f>
      </x:c>
    </x:row>
    <x:row r="210">
      <x:c r="A210" s="6"/>
      <x:c r="B210" s="6"/>
      <x:c r="C210" s="6"/>
      <x:c r="D210" s="6"/>
      <x:c r="E210" s="6"/>
      <x:c r="F210" s="6"/>
      <x:c r="G210" s="6"/>
      <x:c r="H210" s="6"/>
      <x:c r="I210" s="6"/>
      <x:c r="J210" s="6"/>
      <x:c r="K210" s="6"/>
      <x:c r="L210" s="6"/>
      <x:c r="M210" s="6"/>
      <x:c r="N210" s="6"/>
      <x:c r="O210" s="6"/>
      <x:c r="P210" s="6"/>
      <x:c r="Q210" s="6"/>
      <x:c r="R210" s="6"/>
      <x:c r="S210" s="6"/>
      <x:c r="T210" s="6" t="str">
        <x:f>IF(C210="","",COUNTIF($C$2:$C$601,C210))</x:f>
      </x:c>
    </x:row>
    <x:row r="211">
      <x:c r="A211" s="6"/>
      <x:c r="B211" s="6"/>
      <x:c r="C211" s="6"/>
      <x:c r="D211" s="6"/>
      <x:c r="E211" s="6"/>
      <x:c r="F211" s="6"/>
      <x:c r="G211" s="6"/>
      <x:c r="H211" s="6"/>
      <x:c r="I211" s="6"/>
      <x:c r="J211" s="6"/>
      <x:c r="K211" s="6"/>
      <x:c r="L211" s="6"/>
      <x:c r="M211" s="6"/>
      <x:c r="N211" s="6"/>
      <x:c r="O211" s="6"/>
      <x:c r="P211" s="6"/>
      <x:c r="Q211" s="6"/>
      <x:c r="R211" s="6"/>
      <x:c r="S211" s="6"/>
      <x:c r="T211" s="6" t="str">
        <x:f>IF(C211="","",COUNTIF($C$2:$C$601,C211))</x:f>
      </x:c>
    </x:row>
    <x:row r="212">
      <x:c r="A212" s="6"/>
      <x:c r="B212" s="6"/>
      <x:c r="C212" s="6"/>
      <x:c r="D212" s="6"/>
      <x:c r="E212" s="6"/>
      <x:c r="F212" s="6"/>
      <x:c r="G212" s="6"/>
      <x:c r="H212" s="6"/>
      <x:c r="I212" s="6"/>
      <x:c r="J212" s="6"/>
      <x:c r="K212" s="6"/>
      <x:c r="L212" s="6"/>
      <x:c r="M212" s="6"/>
      <x:c r="N212" s="6"/>
      <x:c r="O212" s="6"/>
      <x:c r="P212" s="6"/>
      <x:c r="Q212" s="6"/>
      <x:c r="R212" s="6"/>
      <x:c r="S212" s="6"/>
      <x:c r="T212" s="6" t="str">
        <x:f>IF(C212="","",COUNTIF($C$2:$C$601,C212))</x:f>
      </x:c>
    </x:row>
    <x:row r="213">
      <x:c r="A213" s="6"/>
      <x:c r="B213" s="6"/>
      <x:c r="C213" s="6"/>
      <x:c r="D213" s="6"/>
      <x:c r="E213" s="6"/>
      <x:c r="F213" s="6"/>
      <x:c r="G213" s="6"/>
      <x:c r="H213" s="6"/>
      <x:c r="I213" s="6"/>
      <x:c r="J213" s="6"/>
      <x:c r="K213" s="6"/>
      <x:c r="L213" s="6"/>
      <x:c r="M213" s="6"/>
      <x:c r="N213" s="6"/>
      <x:c r="O213" s="6"/>
      <x:c r="P213" s="6"/>
      <x:c r="Q213" s="6"/>
      <x:c r="R213" s="6"/>
      <x:c r="S213" s="6"/>
      <x:c r="T213" s="6" t="str">
        <x:f>IF(C213="","",COUNTIF($C$2:$C$601,C213))</x:f>
      </x:c>
    </x:row>
    <x:row r="214">
      <x:c r="A214" s="6"/>
      <x:c r="B214" s="6"/>
      <x:c r="C214" s="6"/>
      <x:c r="D214" s="6"/>
      <x:c r="E214" s="6"/>
      <x:c r="F214" s="6"/>
      <x:c r="G214" s="6"/>
      <x:c r="H214" s="6"/>
      <x:c r="I214" s="6"/>
      <x:c r="J214" s="6"/>
      <x:c r="K214" s="6"/>
      <x:c r="L214" s="6"/>
      <x:c r="M214" s="6"/>
      <x:c r="N214" s="6"/>
      <x:c r="O214" s="6"/>
      <x:c r="P214" s="6"/>
      <x:c r="Q214" s="6"/>
      <x:c r="R214" s="6"/>
      <x:c r="S214" s="6"/>
      <x:c r="T214" s="6" t="str">
        <x:f>IF(C214="","",COUNTIF($C$2:$C$601,C214))</x:f>
      </x:c>
    </x:row>
    <x:row r="215">
      <x:c r="A215" s="6"/>
      <x:c r="B215" s="6"/>
      <x:c r="C215" s="6"/>
      <x:c r="D215" s="6"/>
      <x:c r="E215" s="6"/>
      <x:c r="F215" s="6"/>
      <x:c r="G215" s="6"/>
      <x:c r="H215" s="6"/>
      <x:c r="I215" s="6"/>
      <x:c r="J215" s="6"/>
      <x:c r="K215" s="6"/>
      <x:c r="L215" s="6"/>
      <x:c r="M215" s="6"/>
      <x:c r="N215" s="6"/>
      <x:c r="O215" s="6"/>
      <x:c r="P215" s="6"/>
      <x:c r="Q215" s="6"/>
      <x:c r="R215" s="6"/>
      <x:c r="S215" s="6"/>
      <x:c r="T215" s="6" t="str">
        <x:f>IF(C215="","",COUNTIF($C$2:$C$601,C215))</x:f>
      </x:c>
    </x:row>
    <x:row r="216">
      <x:c r="A216" s="6"/>
      <x:c r="B216" s="6"/>
      <x:c r="C216" s="6"/>
      <x:c r="D216" s="6"/>
      <x:c r="E216" s="6"/>
      <x:c r="F216" s="6"/>
      <x:c r="G216" s="6"/>
      <x:c r="H216" s="6"/>
      <x:c r="I216" s="6"/>
      <x:c r="J216" s="6"/>
      <x:c r="K216" s="6"/>
      <x:c r="L216" s="6"/>
      <x:c r="M216" s="6"/>
      <x:c r="N216" s="6"/>
      <x:c r="O216" s="6"/>
      <x:c r="P216" s="6"/>
      <x:c r="Q216" s="6"/>
      <x:c r="R216" s="6"/>
      <x:c r="S216" s="6"/>
      <x:c r="T216" s="6" t="str">
        <x:f>IF(C216="","",COUNTIF($C$2:$C$601,C216))</x:f>
      </x:c>
    </x:row>
    <x:row r="217">
      <x:c r="A217" s="6"/>
      <x:c r="B217" s="6"/>
      <x:c r="C217" s="6"/>
      <x:c r="D217" s="6"/>
      <x:c r="E217" s="6"/>
      <x:c r="F217" s="6"/>
      <x:c r="G217" s="6"/>
      <x:c r="H217" s="6"/>
      <x:c r="I217" s="6"/>
      <x:c r="J217" s="6"/>
      <x:c r="K217" s="6"/>
      <x:c r="L217" s="6"/>
      <x:c r="M217" s="6"/>
      <x:c r="N217" s="6"/>
      <x:c r="O217" s="6"/>
      <x:c r="P217" s="6"/>
      <x:c r="Q217" s="6"/>
      <x:c r="R217" s="6"/>
      <x:c r="S217" s="6"/>
      <x:c r="T217" s="6" t="str">
        <x:f>IF(C217="","",COUNTIF($C$2:$C$601,C217))</x:f>
      </x:c>
    </x:row>
    <x:row r="218">
      <x:c r="A218" s="6"/>
      <x:c r="B218" s="6"/>
      <x:c r="C218" s="6"/>
      <x:c r="D218" s="6"/>
      <x:c r="E218" s="6"/>
      <x:c r="F218" s="6"/>
      <x:c r="G218" s="6"/>
      <x:c r="H218" s="6"/>
      <x:c r="I218" s="6"/>
      <x:c r="J218" s="6"/>
      <x:c r="K218" s="6"/>
      <x:c r="L218" s="6"/>
      <x:c r="M218" s="6"/>
      <x:c r="N218" s="6"/>
      <x:c r="O218" s="6"/>
      <x:c r="P218" s="6"/>
      <x:c r="Q218" s="6"/>
      <x:c r="R218" s="6"/>
      <x:c r="S218" s="6"/>
      <x:c r="T218" s="6" t="str">
        <x:f>IF(C218="","",COUNTIF($C$2:$C$601,C218))</x:f>
      </x:c>
    </x:row>
    <x:row r="219">
      <x:c r="A219" s="6"/>
      <x:c r="B219" s="6"/>
      <x:c r="C219" s="6"/>
      <x:c r="D219" s="6"/>
      <x:c r="E219" s="6"/>
      <x:c r="F219" s="6"/>
      <x:c r="G219" s="6"/>
      <x:c r="H219" s="6"/>
      <x:c r="I219" s="6"/>
      <x:c r="J219" s="6"/>
      <x:c r="K219" s="6"/>
      <x:c r="L219" s="6"/>
      <x:c r="M219" s="6"/>
      <x:c r="N219" s="6"/>
      <x:c r="O219" s="6"/>
      <x:c r="P219" s="6"/>
      <x:c r="Q219" s="6"/>
      <x:c r="R219" s="6"/>
      <x:c r="S219" s="6"/>
      <x:c r="T219" s="6" t="str">
        <x:f>IF(C219="","",COUNTIF($C$2:$C$601,C219))</x:f>
      </x:c>
    </x:row>
    <x:row r="220">
      <x:c r="A220" s="6"/>
      <x:c r="B220" s="6"/>
      <x:c r="C220" s="6"/>
      <x:c r="D220" s="6"/>
      <x:c r="E220" s="6"/>
      <x:c r="F220" s="6"/>
      <x:c r="G220" s="6"/>
      <x:c r="H220" s="6"/>
      <x:c r="I220" s="6"/>
      <x:c r="J220" s="6"/>
      <x:c r="K220" s="6"/>
      <x:c r="L220" s="6"/>
      <x:c r="M220" s="6"/>
      <x:c r="N220" s="6"/>
      <x:c r="O220" s="6"/>
      <x:c r="P220" s="6"/>
      <x:c r="Q220" s="6"/>
      <x:c r="R220" s="6"/>
      <x:c r="S220" s="6"/>
      <x:c r="T220" s="6" t="str">
        <x:f>IF(C220="","",COUNTIF($C$2:$C$601,C220))</x:f>
      </x:c>
    </x:row>
    <x:row r="221">
      <x:c r="A221" s="6"/>
      <x:c r="B221" s="6"/>
      <x:c r="C221" s="6"/>
      <x:c r="D221" s="6"/>
      <x:c r="E221" s="6"/>
      <x:c r="F221" s="6"/>
      <x:c r="G221" s="6"/>
      <x:c r="H221" s="6"/>
      <x:c r="I221" s="6"/>
      <x:c r="J221" s="6"/>
      <x:c r="K221" s="6"/>
      <x:c r="L221" s="6"/>
      <x:c r="M221" s="6"/>
      <x:c r="N221" s="6"/>
      <x:c r="O221" s="6"/>
      <x:c r="P221" s="6"/>
      <x:c r="Q221" s="6"/>
      <x:c r="R221" s="6"/>
      <x:c r="S221" s="6"/>
      <x:c r="T221" s="6" t="str">
        <x:f>IF(C221="","",COUNTIF($C$2:$C$601,C221))</x:f>
      </x:c>
    </x:row>
    <x:row r="222">
      <x:c r="A222" s="6"/>
      <x:c r="B222" s="6"/>
      <x:c r="C222" s="6"/>
      <x:c r="D222" s="6"/>
      <x:c r="E222" s="6"/>
      <x:c r="F222" s="6"/>
      <x:c r="G222" s="6"/>
      <x:c r="H222" s="6"/>
      <x:c r="I222" s="6"/>
      <x:c r="J222" s="6"/>
      <x:c r="K222" s="6"/>
      <x:c r="L222" s="6"/>
      <x:c r="M222" s="6"/>
      <x:c r="N222" s="6"/>
      <x:c r="O222" s="6"/>
      <x:c r="P222" s="6"/>
      <x:c r="Q222" s="6"/>
      <x:c r="R222" s="6"/>
      <x:c r="S222" s="6"/>
      <x:c r="T222" s="6" t="str">
        <x:f>IF(C222="","",COUNTIF($C$2:$C$601,C222))</x:f>
      </x:c>
    </x:row>
    <x:row r="223">
      <x:c r="A223" s="6"/>
      <x:c r="B223" s="6"/>
      <x:c r="C223" s="6"/>
      <x:c r="D223" s="6"/>
      <x:c r="E223" s="6"/>
      <x:c r="F223" s="6"/>
      <x:c r="G223" s="6"/>
      <x:c r="H223" s="6"/>
      <x:c r="I223" s="6"/>
      <x:c r="J223" s="6"/>
      <x:c r="K223" s="6"/>
      <x:c r="L223" s="6"/>
      <x:c r="M223" s="6"/>
      <x:c r="N223" s="6"/>
      <x:c r="O223" s="6"/>
      <x:c r="P223" s="6"/>
      <x:c r="Q223" s="6"/>
      <x:c r="R223" s="6"/>
      <x:c r="S223" s="6"/>
      <x:c r="T223" s="6" t="str">
        <x:f>IF(C223="","",COUNTIF($C$2:$C$601,C223))</x:f>
      </x:c>
    </x:row>
    <x:row r="224">
      <x:c r="A224" s="6"/>
      <x:c r="B224" s="6"/>
      <x:c r="C224" s="6"/>
      <x:c r="D224" s="6"/>
      <x:c r="E224" s="6"/>
      <x:c r="F224" s="6"/>
      <x:c r="G224" s="6"/>
      <x:c r="H224" s="6"/>
      <x:c r="I224" s="6"/>
      <x:c r="J224" s="6"/>
      <x:c r="K224" s="6"/>
      <x:c r="L224" s="6"/>
      <x:c r="M224" s="6"/>
      <x:c r="N224" s="6"/>
      <x:c r="O224" s="6"/>
      <x:c r="P224" s="6"/>
      <x:c r="Q224" s="6"/>
      <x:c r="R224" s="6"/>
      <x:c r="S224" s="6"/>
      <x:c r="T224" s="6" t="str">
        <x:f>IF(C224="","",COUNTIF($C$2:$C$601,C224))</x:f>
      </x:c>
    </x:row>
    <x:row r="225">
      <x:c r="A225" s="6"/>
      <x:c r="B225" s="6"/>
      <x:c r="C225" s="6"/>
      <x:c r="D225" s="6"/>
      <x:c r="E225" s="6"/>
      <x:c r="F225" s="6"/>
      <x:c r="G225" s="6"/>
      <x:c r="H225" s="6"/>
      <x:c r="I225" s="6"/>
      <x:c r="J225" s="6"/>
      <x:c r="K225" s="6"/>
      <x:c r="L225" s="6"/>
      <x:c r="M225" s="6"/>
      <x:c r="N225" s="6"/>
      <x:c r="O225" s="6"/>
      <x:c r="P225" s="6"/>
      <x:c r="Q225" s="6"/>
      <x:c r="R225" s="6"/>
      <x:c r="S225" s="6"/>
      <x:c r="T225" s="6" t="str">
        <x:f>IF(C225="","",COUNTIF($C$2:$C$601,C225))</x:f>
      </x:c>
    </x:row>
    <x:row r="226">
      <x:c r="A226" s="6"/>
      <x:c r="B226" s="6"/>
      <x:c r="C226" s="6"/>
      <x:c r="D226" s="6"/>
      <x:c r="E226" s="6"/>
      <x:c r="F226" s="6"/>
      <x:c r="G226" s="6"/>
      <x:c r="H226" s="6"/>
      <x:c r="I226" s="6"/>
      <x:c r="J226" s="6"/>
      <x:c r="K226" s="6"/>
      <x:c r="L226" s="6"/>
      <x:c r="M226" s="6"/>
      <x:c r="N226" s="6"/>
      <x:c r="O226" s="6"/>
      <x:c r="P226" s="6"/>
      <x:c r="Q226" s="6"/>
      <x:c r="R226" s="6"/>
      <x:c r="S226" s="6"/>
      <x:c r="T226" s="6" t="str">
        <x:f>IF(C226="","",COUNTIF($C$2:$C$601,C226))</x:f>
      </x:c>
    </x:row>
    <x:row r="227">
      <x:c r="A227" s="6"/>
      <x:c r="B227" s="6"/>
      <x:c r="C227" s="6"/>
      <x:c r="D227" s="6"/>
      <x:c r="E227" s="6"/>
      <x:c r="F227" s="6"/>
      <x:c r="G227" s="6"/>
      <x:c r="H227" s="6"/>
      <x:c r="I227" s="6"/>
      <x:c r="J227" s="6"/>
      <x:c r="K227" s="6"/>
      <x:c r="L227" s="6"/>
      <x:c r="M227" s="6"/>
      <x:c r="N227" s="6"/>
      <x:c r="O227" s="6"/>
      <x:c r="P227" s="6"/>
      <x:c r="Q227" s="6"/>
      <x:c r="R227" s="6"/>
      <x:c r="S227" s="6"/>
      <x:c r="T227" s="6" t="str">
        <x:f>IF(C227="","",COUNTIF($C$2:$C$601,C227))</x:f>
      </x:c>
    </x:row>
    <x:row r="228">
      <x:c r="A228" s="6"/>
      <x:c r="B228" s="6"/>
      <x:c r="C228" s="6"/>
      <x:c r="D228" s="6"/>
      <x:c r="E228" s="6"/>
      <x:c r="F228" s="6"/>
      <x:c r="G228" s="6"/>
      <x:c r="H228" s="6"/>
      <x:c r="I228" s="6"/>
      <x:c r="J228" s="6"/>
      <x:c r="K228" s="6"/>
      <x:c r="L228" s="6"/>
      <x:c r="M228" s="6"/>
      <x:c r="N228" s="6"/>
      <x:c r="O228" s="6"/>
      <x:c r="P228" s="6"/>
      <x:c r="Q228" s="6"/>
      <x:c r="R228" s="6"/>
      <x:c r="S228" s="6"/>
      <x:c r="T228" s="6" t="str">
        <x:f>IF(C228="","",COUNTIF($C$2:$C$601,C228))</x:f>
      </x:c>
    </x:row>
    <x:row r="229">
      <x:c r="A229" s="6"/>
      <x:c r="B229" s="6"/>
      <x:c r="C229" s="6"/>
      <x:c r="D229" s="6"/>
      <x:c r="E229" s="6"/>
      <x:c r="F229" s="6"/>
      <x:c r="G229" s="6"/>
      <x:c r="H229" s="6"/>
      <x:c r="I229" s="6"/>
      <x:c r="J229" s="6"/>
      <x:c r="K229" s="6"/>
      <x:c r="L229" s="6"/>
      <x:c r="M229" s="6"/>
      <x:c r="N229" s="6"/>
      <x:c r="O229" s="6"/>
      <x:c r="P229" s="6"/>
      <x:c r="Q229" s="6"/>
      <x:c r="R229" s="6"/>
      <x:c r="S229" s="6"/>
      <x:c r="T229" s="6" t="str">
        <x:f>IF(C229="","",COUNTIF($C$2:$C$601,C229))</x:f>
      </x:c>
    </x:row>
    <x:row r="230">
      <x:c r="A230" s="6"/>
      <x:c r="B230" s="6"/>
      <x:c r="C230" s="6"/>
      <x:c r="D230" s="6"/>
      <x:c r="E230" s="6"/>
      <x:c r="F230" s="6"/>
      <x:c r="G230" s="6"/>
      <x:c r="H230" s="6"/>
      <x:c r="I230" s="6"/>
      <x:c r="J230" s="6"/>
      <x:c r="K230" s="6"/>
      <x:c r="L230" s="6"/>
      <x:c r="M230" s="6"/>
      <x:c r="N230" s="6"/>
      <x:c r="O230" s="6"/>
      <x:c r="P230" s="6"/>
      <x:c r="Q230" s="6"/>
      <x:c r="R230" s="6"/>
      <x:c r="S230" s="6"/>
      <x:c r="T230" s="6" t="str">
        <x:f>IF(C230="","",COUNTIF($C$2:$C$601,C230))</x:f>
      </x:c>
    </x:row>
    <x:row r="231">
      <x:c r="A231" s="6"/>
      <x:c r="B231" s="6"/>
      <x:c r="C231" s="6"/>
      <x:c r="D231" s="6"/>
      <x:c r="E231" s="6"/>
      <x:c r="F231" s="6"/>
      <x:c r="G231" s="6"/>
      <x:c r="H231" s="6"/>
      <x:c r="I231" s="6"/>
      <x:c r="J231" s="6"/>
      <x:c r="K231" s="6"/>
      <x:c r="L231" s="6"/>
      <x:c r="M231" s="6"/>
      <x:c r="N231" s="6"/>
      <x:c r="O231" s="6"/>
      <x:c r="P231" s="6"/>
      <x:c r="Q231" s="6"/>
      <x:c r="R231" s="6"/>
      <x:c r="S231" s="6"/>
      <x:c r="T231" s="6" t="str">
        <x:f>IF(C231="","",COUNTIF($C$2:$C$601,C231))</x:f>
      </x:c>
    </x:row>
    <x:row r="232">
      <x:c r="A232" s="6"/>
      <x:c r="B232" s="6"/>
      <x:c r="C232" s="6"/>
      <x:c r="D232" s="6"/>
      <x:c r="E232" s="6"/>
      <x:c r="F232" s="6"/>
      <x:c r="G232" s="6"/>
      <x:c r="H232" s="6"/>
      <x:c r="I232" s="6"/>
      <x:c r="J232" s="6"/>
      <x:c r="K232" s="6"/>
      <x:c r="L232" s="6"/>
      <x:c r="M232" s="6"/>
      <x:c r="N232" s="6"/>
      <x:c r="O232" s="6"/>
      <x:c r="P232" s="6"/>
      <x:c r="Q232" s="6"/>
      <x:c r="R232" s="6"/>
      <x:c r="S232" s="6"/>
      <x:c r="T232" s="6" t="str">
        <x:f>IF(C232="","",COUNTIF($C$2:$C$601,C232))</x:f>
      </x:c>
    </x:row>
    <x:row r="233">
      <x:c r="A233" s="6"/>
      <x:c r="B233" s="6"/>
      <x:c r="C233" s="6"/>
      <x:c r="D233" s="6"/>
      <x:c r="E233" s="6"/>
      <x:c r="F233" s="6"/>
      <x:c r="G233" s="6"/>
      <x:c r="H233" s="6"/>
      <x:c r="I233" s="6"/>
      <x:c r="J233" s="6"/>
      <x:c r="K233" s="6"/>
      <x:c r="L233" s="6"/>
      <x:c r="M233" s="6"/>
      <x:c r="N233" s="6"/>
      <x:c r="O233" s="6"/>
      <x:c r="P233" s="6"/>
      <x:c r="Q233" s="6"/>
      <x:c r="R233" s="6"/>
      <x:c r="S233" s="6"/>
      <x:c r="T233" s="6" t="str">
        <x:f>IF(C233="","",COUNTIF($C$2:$C$601,C233))</x:f>
      </x:c>
    </x:row>
    <x:row r="234">
      <x:c r="A234" s="6"/>
      <x:c r="B234" s="6"/>
      <x:c r="C234" s="6"/>
      <x:c r="D234" s="6"/>
      <x:c r="E234" s="6"/>
      <x:c r="F234" s="6"/>
      <x:c r="G234" s="6"/>
      <x:c r="H234" s="6"/>
      <x:c r="I234" s="6"/>
      <x:c r="J234" s="6"/>
      <x:c r="K234" s="6"/>
      <x:c r="L234" s="6"/>
      <x:c r="M234" s="6"/>
      <x:c r="N234" s="6"/>
      <x:c r="O234" s="6"/>
      <x:c r="P234" s="6"/>
      <x:c r="Q234" s="6"/>
      <x:c r="R234" s="6"/>
      <x:c r="S234" s="6"/>
      <x:c r="T234" s="6" t="str">
        <x:f>IF(C234="","",COUNTIF($C$2:$C$601,C234))</x:f>
      </x:c>
    </x:row>
    <x:row r="235">
      <x:c r="A235" s="6"/>
      <x:c r="B235" s="6"/>
      <x:c r="C235" s="6"/>
      <x:c r="D235" s="6"/>
      <x:c r="E235" s="6"/>
      <x:c r="F235" s="6"/>
      <x:c r="G235" s="6"/>
      <x:c r="H235" s="6"/>
      <x:c r="I235" s="6"/>
      <x:c r="J235" s="6"/>
      <x:c r="K235" s="6"/>
      <x:c r="L235" s="6"/>
      <x:c r="M235" s="6"/>
      <x:c r="N235" s="6"/>
      <x:c r="O235" s="6"/>
      <x:c r="P235" s="6"/>
      <x:c r="Q235" s="6"/>
      <x:c r="R235" s="6"/>
      <x:c r="S235" s="6"/>
      <x:c r="T235" s="6" t="str">
        <x:f>IF(C235="","",COUNTIF($C$2:$C$601,C235))</x:f>
      </x:c>
    </x:row>
    <x:row r="236">
      <x:c r="A236" s="6"/>
      <x:c r="B236" s="6"/>
      <x:c r="C236" s="6"/>
      <x:c r="D236" s="6"/>
      <x:c r="E236" s="6"/>
      <x:c r="F236" s="6"/>
      <x:c r="G236" s="6"/>
      <x:c r="H236" s="6"/>
      <x:c r="I236" s="6"/>
      <x:c r="J236" s="6"/>
      <x:c r="K236" s="6"/>
      <x:c r="L236" s="6"/>
      <x:c r="M236" s="6"/>
      <x:c r="N236" s="6"/>
      <x:c r="O236" s="6"/>
      <x:c r="P236" s="6"/>
      <x:c r="Q236" s="6"/>
      <x:c r="R236" s="6"/>
      <x:c r="S236" s="6"/>
      <x:c r="T236" s="6" t="str">
        <x:f>IF(C236="","",COUNTIF($C$2:$C$601,C236))</x:f>
      </x:c>
    </x:row>
    <x:row r="237">
      <x:c r="A237" s="6"/>
      <x:c r="B237" s="6"/>
      <x:c r="C237" s="6"/>
      <x:c r="D237" s="6"/>
      <x:c r="E237" s="6"/>
      <x:c r="F237" s="6"/>
      <x:c r="G237" s="6"/>
      <x:c r="H237" s="6"/>
      <x:c r="I237" s="6"/>
      <x:c r="J237" s="6"/>
      <x:c r="K237" s="6"/>
      <x:c r="L237" s="6"/>
      <x:c r="M237" s="6"/>
      <x:c r="N237" s="6"/>
      <x:c r="O237" s="6"/>
      <x:c r="P237" s="6"/>
      <x:c r="Q237" s="6"/>
      <x:c r="R237" s="6"/>
      <x:c r="S237" s="6"/>
      <x:c r="T237" s="6" t="str">
        <x:f>IF(C237="","",COUNTIF($C$2:$C$601,C237))</x:f>
      </x:c>
    </x:row>
    <x:row r="238">
      <x:c r="A238" s="6"/>
      <x:c r="B238" s="6"/>
      <x:c r="C238" s="6"/>
      <x:c r="D238" s="6"/>
      <x:c r="E238" s="6"/>
      <x:c r="F238" s="6"/>
      <x:c r="G238" s="6"/>
      <x:c r="H238" s="6"/>
      <x:c r="I238" s="6"/>
      <x:c r="J238" s="6"/>
      <x:c r="K238" s="6"/>
      <x:c r="L238" s="6"/>
      <x:c r="M238" s="6"/>
      <x:c r="N238" s="6"/>
      <x:c r="O238" s="6"/>
      <x:c r="P238" s="6"/>
      <x:c r="Q238" s="6"/>
      <x:c r="R238" s="6"/>
      <x:c r="S238" s="6"/>
      <x:c r="T238" s="6" t="str">
        <x:f>IF(C238="","",COUNTIF($C$2:$C$601,C238))</x:f>
      </x:c>
    </x:row>
    <x:row r="239">
      <x:c r="A239" s="6"/>
      <x:c r="B239" s="6"/>
      <x:c r="C239" s="6"/>
      <x:c r="D239" s="6"/>
      <x:c r="E239" s="6"/>
      <x:c r="F239" s="6"/>
      <x:c r="G239" s="6"/>
      <x:c r="H239" s="6"/>
      <x:c r="I239" s="6"/>
      <x:c r="J239" s="6"/>
      <x:c r="K239" s="6"/>
      <x:c r="L239" s="6"/>
      <x:c r="M239" s="6"/>
      <x:c r="N239" s="6"/>
      <x:c r="O239" s="6"/>
      <x:c r="P239" s="6"/>
      <x:c r="Q239" s="6"/>
      <x:c r="R239" s="6"/>
      <x:c r="S239" s="6"/>
      <x:c r="T239" s="6" t="str">
        <x:f>IF(C239="","",COUNTIF($C$2:$C$601,C239))</x:f>
      </x:c>
    </x:row>
    <x:row r="240">
      <x:c r="A240" s="6"/>
      <x:c r="B240" s="6"/>
      <x:c r="C240" s="6"/>
      <x:c r="D240" s="6"/>
      <x:c r="E240" s="6"/>
      <x:c r="F240" s="6"/>
      <x:c r="G240" s="6"/>
      <x:c r="H240" s="6"/>
      <x:c r="I240" s="6"/>
      <x:c r="J240" s="6"/>
      <x:c r="K240" s="6"/>
      <x:c r="L240" s="6"/>
      <x:c r="M240" s="6"/>
      <x:c r="N240" s="6"/>
      <x:c r="O240" s="6"/>
      <x:c r="P240" s="6"/>
      <x:c r="Q240" s="6"/>
      <x:c r="R240" s="6"/>
      <x:c r="S240" s="6"/>
      <x:c r="T240" s="6" t="str">
        <x:f>IF(C240="","",COUNTIF($C$2:$C$601,C240))</x:f>
      </x:c>
    </x:row>
    <x:row r="241">
      <x:c r="A241" s="6"/>
      <x:c r="B241" s="6"/>
      <x:c r="C241" s="6"/>
      <x:c r="D241" s="6"/>
      <x:c r="E241" s="6"/>
      <x:c r="F241" s="6"/>
      <x:c r="G241" s="6"/>
      <x:c r="H241" s="6"/>
      <x:c r="I241" s="6"/>
      <x:c r="J241" s="6"/>
      <x:c r="K241" s="6"/>
      <x:c r="L241" s="6"/>
      <x:c r="M241" s="6"/>
      <x:c r="N241" s="6"/>
      <x:c r="O241" s="6"/>
      <x:c r="P241" s="6"/>
      <x:c r="Q241" s="6"/>
      <x:c r="R241" s="6"/>
      <x:c r="S241" s="6"/>
      <x:c r="T241" s="6" t="str">
        <x:f>IF(C241="","",COUNTIF($C$2:$C$601,C241))</x:f>
      </x:c>
    </x:row>
    <x:row r="242">
      <x:c r="A242" s="6"/>
      <x:c r="B242" s="6"/>
      <x:c r="C242" s="6"/>
      <x:c r="D242" s="6"/>
      <x:c r="E242" s="6"/>
      <x:c r="F242" s="6"/>
      <x:c r="G242" s="6"/>
      <x:c r="H242" s="6"/>
      <x:c r="I242" s="6"/>
      <x:c r="J242" s="6"/>
      <x:c r="K242" s="6"/>
      <x:c r="L242" s="6"/>
      <x:c r="M242" s="6"/>
      <x:c r="N242" s="6"/>
      <x:c r="O242" s="6"/>
      <x:c r="P242" s="6"/>
      <x:c r="Q242" s="6"/>
      <x:c r="R242" s="6"/>
      <x:c r="S242" s="6"/>
      <x:c r="T242" s="6" t="str">
        <x:f>IF(C242="","",COUNTIF($C$2:$C$601,C242))</x:f>
      </x:c>
    </x:row>
    <x:row r="243">
      <x:c r="A243" s="6"/>
      <x:c r="B243" s="6"/>
      <x:c r="C243" s="6"/>
      <x:c r="D243" s="6"/>
      <x:c r="E243" s="6"/>
      <x:c r="F243" s="6"/>
      <x:c r="G243" s="6"/>
      <x:c r="H243" s="6"/>
      <x:c r="I243" s="6"/>
      <x:c r="J243" s="6"/>
      <x:c r="K243" s="6"/>
      <x:c r="L243" s="6"/>
      <x:c r="M243" s="6"/>
      <x:c r="N243" s="6"/>
      <x:c r="O243" s="6"/>
      <x:c r="P243" s="6"/>
      <x:c r="Q243" s="6"/>
      <x:c r="R243" s="6"/>
      <x:c r="S243" s="6"/>
      <x:c r="T243" s="6" t="str">
        <x:f>IF(C243="","",COUNTIF($C$2:$C$601,C243))</x:f>
      </x:c>
    </x:row>
    <x:row r="244">
      <x:c r="A244" s="6"/>
      <x:c r="B244" s="6"/>
      <x:c r="C244" s="6"/>
      <x:c r="D244" s="6"/>
      <x:c r="E244" s="6"/>
      <x:c r="F244" s="6"/>
      <x:c r="G244" s="6"/>
      <x:c r="H244" s="6"/>
      <x:c r="I244" s="6"/>
      <x:c r="J244" s="6"/>
      <x:c r="K244" s="6"/>
      <x:c r="L244" s="6"/>
      <x:c r="M244" s="6"/>
      <x:c r="N244" s="6"/>
      <x:c r="O244" s="6"/>
      <x:c r="P244" s="6"/>
      <x:c r="Q244" s="6"/>
      <x:c r="R244" s="6"/>
      <x:c r="S244" s="6"/>
      <x:c r="T244" s="6" t="str">
        <x:f>IF(C244="","",COUNTIF($C$2:$C$601,C244))</x:f>
      </x:c>
    </x:row>
    <x:row r="245">
      <x:c r="A245" s="6"/>
      <x:c r="B245" s="6"/>
      <x:c r="C245" s="6"/>
      <x:c r="D245" s="6"/>
      <x:c r="E245" s="6"/>
      <x:c r="F245" s="6"/>
      <x:c r="G245" s="6"/>
      <x:c r="H245" s="6"/>
      <x:c r="I245" s="6"/>
      <x:c r="J245" s="6"/>
      <x:c r="K245" s="6"/>
      <x:c r="L245" s="6"/>
      <x:c r="M245" s="6"/>
      <x:c r="N245" s="6"/>
      <x:c r="O245" s="6"/>
      <x:c r="P245" s="6"/>
      <x:c r="Q245" s="6"/>
      <x:c r="R245" s="6"/>
      <x:c r="S245" s="6"/>
      <x:c r="T245" s="6" t="str">
        <x:f>IF(C245="","",COUNTIF($C$2:$C$601,C245))</x:f>
      </x:c>
    </x:row>
    <x:row r="246">
      <x:c r="A246" s="6"/>
      <x:c r="B246" s="6"/>
      <x:c r="C246" s="6"/>
      <x:c r="D246" s="6"/>
      <x:c r="E246" s="6"/>
      <x:c r="F246" s="6"/>
      <x:c r="G246" s="6"/>
      <x:c r="H246" s="6"/>
      <x:c r="I246" s="6"/>
      <x:c r="J246" s="6"/>
      <x:c r="K246" s="6"/>
      <x:c r="L246" s="6"/>
      <x:c r="M246" s="6"/>
      <x:c r="N246" s="6"/>
      <x:c r="O246" s="6"/>
      <x:c r="P246" s="6"/>
      <x:c r="Q246" s="6"/>
      <x:c r="R246" s="6"/>
      <x:c r="S246" s="6"/>
      <x:c r="T246" s="6" t="str">
        <x:f>IF(C246="","",COUNTIF($C$2:$C$601,C246))</x:f>
      </x:c>
    </x:row>
    <x:row r="247">
      <x:c r="A247" s="6"/>
      <x:c r="B247" s="6"/>
      <x:c r="C247" s="6"/>
      <x:c r="D247" s="6"/>
      <x:c r="E247" s="6"/>
      <x:c r="F247" s="6"/>
      <x:c r="G247" s="6"/>
      <x:c r="H247" s="6"/>
      <x:c r="I247" s="6"/>
      <x:c r="J247" s="6"/>
      <x:c r="K247" s="6"/>
      <x:c r="L247" s="6"/>
      <x:c r="M247" s="6"/>
      <x:c r="N247" s="6"/>
      <x:c r="O247" s="6"/>
      <x:c r="P247" s="6"/>
      <x:c r="Q247" s="6"/>
      <x:c r="R247" s="6"/>
      <x:c r="S247" s="6"/>
      <x:c r="T247" s="6" t="str">
        <x:f>IF(C247="","",COUNTIF($C$2:$C$601,C247))</x:f>
      </x:c>
    </x:row>
    <x:row r="248">
      <x:c r="A248" s="6"/>
      <x:c r="B248" s="6"/>
      <x:c r="C248" s="6"/>
      <x:c r="D248" s="6"/>
      <x:c r="E248" s="6"/>
      <x:c r="F248" s="6"/>
      <x:c r="G248" s="6"/>
      <x:c r="H248" s="6"/>
      <x:c r="I248" s="6"/>
      <x:c r="J248" s="6"/>
      <x:c r="K248" s="6"/>
      <x:c r="L248" s="6"/>
      <x:c r="M248" s="6"/>
      <x:c r="N248" s="6"/>
      <x:c r="O248" s="6"/>
      <x:c r="P248" s="6"/>
      <x:c r="Q248" s="6"/>
      <x:c r="R248" s="6"/>
      <x:c r="S248" s="6"/>
      <x:c r="T248" s="6" t="str">
        <x:f>IF(C248="","",COUNTIF($C$2:$C$601,C248))</x:f>
      </x:c>
    </x:row>
    <x:row r="249">
      <x:c r="A249" s="6"/>
      <x:c r="B249" s="6"/>
      <x:c r="C249" s="6"/>
      <x:c r="D249" s="6"/>
      <x:c r="E249" s="6"/>
      <x:c r="F249" s="6"/>
      <x:c r="G249" s="6"/>
      <x:c r="H249" s="6"/>
      <x:c r="I249" s="6"/>
      <x:c r="J249" s="6"/>
      <x:c r="K249" s="6"/>
      <x:c r="L249" s="6"/>
      <x:c r="M249" s="6"/>
      <x:c r="N249" s="6"/>
      <x:c r="O249" s="6"/>
      <x:c r="P249" s="6"/>
      <x:c r="Q249" s="6"/>
      <x:c r="R249" s="6"/>
      <x:c r="S249" s="6"/>
      <x:c r="T249" s="6" t="str">
        <x:f>IF(C249="","",COUNTIF($C$2:$C$601,C249))</x:f>
      </x:c>
    </x:row>
    <x:row r="250">
      <x:c r="A250" s="6"/>
      <x:c r="B250" s="6"/>
      <x:c r="C250" s="6"/>
      <x:c r="D250" s="6"/>
      <x:c r="E250" s="6"/>
      <x:c r="F250" s="6"/>
      <x:c r="G250" s="6"/>
      <x:c r="H250" s="6"/>
      <x:c r="I250" s="6"/>
      <x:c r="J250" s="6"/>
      <x:c r="K250" s="6"/>
      <x:c r="L250" s="6"/>
      <x:c r="M250" s="6"/>
      <x:c r="N250" s="6"/>
      <x:c r="O250" s="6"/>
      <x:c r="P250" s="6"/>
      <x:c r="Q250" s="6"/>
      <x:c r="R250" s="6"/>
      <x:c r="S250" s="6"/>
      <x:c r="T250" s="6" t="str">
        <x:f>IF(C250="","",COUNTIF($C$2:$C$601,C250))</x:f>
      </x:c>
    </x:row>
    <x:row r="251">
      <x:c r="A251" s="6"/>
      <x:c r="B251" s="6"/>
      <x:c r="C251" s="6"/>
      <x:c r="D251" s="6"/>
      <x:c r="E251" s="6"/>
      <x:c r="F251" s="6"/>
      <x:c r="G251" s="6"/>
      <x:c r="H251" s="6"/>
      <x:c r="I251" s="6"/>
      <x:c r="J251" s="6"/>
      <x:c r="K251" s="6"/>
      <x:c r="L251" s="6"/>
      <x:c r="M251" s="6"/>
      <x:c r="N251" s="6"/>
      <x:c r="O251" s="6"/>
      <x:c r="P251" s="6"/>
      <x:c r="Q251" s="6"/>
      <x:c r="R251" s="6"/>
      <x:c r="S251" s="6"/>
      <x:c r="T251" s="6" t="str">
        <x:f>IF(C251="","",COUNTIF($C$2:$C$601,C251))</x:f>
      </x:c>
    </x:row>
    <x:row r="252">
      <x:c r="A252" s="6"/>
      <x:c r="B252" s="6"/>
      <x:c r="C252" s="6"/>
      <x:c r="D252" s="6"/>
      <x:c r="E252" s="6"/>
      <x:c r="F252" s="6"/>
      <x:c r="G252" s="6"/>
      <x:c r="H252" s="6"/>
      <x:c r="I252" s="6"/>
      <x:c r="J252" s="6"/>
      <x:c r="K252" s="6"/>
      <x:c r="L252" s="6"/>
      <x:c r="M252" s="6"/>
      <x:c r="N252" s="6"/>
      <x:c r="O252" s="6"/>
      <x:c r="P252" s="6"/>
      <x:c r="Q252" s="6"/>
      <x:c r="R252" s="6"/>
      <x:c r="S252" s="6"/>
      <x:c r="T252" s="6" t="str">
        <x:f>IF(C252="","",COUNTIF($C$2:$C$601,C252))</x:f>
      </x:c>
    </x:row>
    <x:row r="253">
      <x:c r="A253" s="6"/>
      <x:c r="B253" s="6"/>
      <x:c r="C253" s="6"/>
      <x:c r="D253" s="6"/>
      <x:c r="E253" s="6"/>
      <x:c r="F253" s="6"/>
      <x:c r="G253" s="6"/>
      <x:c r="H253" s="6"/>
      <x:c r="I253" s="6"/>
      <x:c r="J253" s="6"/>
      <x:c r="K253" s="6"/>
      <x:c r="L253" s="6"/>
      <x:c r="M253" s="6"/>
      <x:c r="N253" s="6"/>
      <x:c r="O253" s="6"/>
      <x:c r="P253" s="6"/>
      <x:c r="Q253" s="6"/>
      <x:c r="R253" s="6"/>
      <x:c r="S253" s="6"/>
      <x:c r="T253" s="6" t="str">
        <x:f>IF(C253="","",COUNTIF($C$2:$C$601,C253))</x:f>
      </x:c>
    </x:row>
    <x:row r="254">
      <x:c r="A254" s="6"/>
      <x:c r="B254" s="6"/>
      <x:c r="C254" s="6"/>
      <x:c r="D254" s="6"/>
      <x:c r="E254" s="6"/>
      <x:c r="F254" s="6"/>
      <x:c r="G254" s="6"/>
      <x:c r="H254" s="6"/>
      <x:c r="I254" s="6"/>
      <x:c r="J254" s="6"/>
      <x:c r="K254" s="6"/>
      <x:c r="L254" s="6"/>
      <x:c r="M254" s="6"/>
      <x:c r="N254" s="6"/>
      <x:c r="O254" s="6"/>
      <x:c r="P254" s="6"/>
      <x:c r="Q254" s="6"/>
      <x:c r="R254" s="6"/>
      <x:c r="S254" s="6"/>
      <x:c r="T254" s="6" t="str">
        <x:f>IF(C254="","",COUNTIF($C$2:$C$601,C254))</x:f>
      </x:c>
    </x:row>
    <x:row r="255">
      <x:c r="A255" s="6"/>
      <x:c r="B255" s="6"/>
      <x:c r="C255" s="6"/>
      <x:c r="D255" s="6"/>
      <x:c r="E255" s="6"/>
      <x:c r="F255" s="6"/>
      <x:c r="G255" s="6"/>
      <x:c r="H255" s="6"/>
      <x:c r="I255" s="6"/>
      <x:c r="J255" s="6"/>
      <x:c r="K255" s="6"/>
      <x:c r="L255" s="6"/>
      <x:c r="M255" s="6"/>
      <x:c r="N255" s="6"/>
      <x:c r="O255" s="6"/>
      <x:c r="P255" s="6"/>
      <x:c r="Q255" s="6"/>
      <x:c r="R255" s="6"/>
      <x:c r="S255" s="6"/>
      <x:c r="T255" s="6" t="str">
        <x:f>IF(C255="","",COUNTIF($C$2:$C$601,C255))</x:f>
      </x:c>
    </x:row>
    <x:row r="256">
      <x:c r="A256" s="6"/>
      <x:c r="B256" s="6"/>
      <x:c r="C256" s="6"/>
      <x:c r="D256" s="6"/>
      <x:c r="E256" s="6"/>
      <x:c r="F256" s="6"/>
      <x:c r="G256" s="6"/>
      <x:c r="H256" s="6"/>
      <x:c r="I256" s="6"/>
      <x:c r="J256" s="6"/>
      <x:c r="K256" s="6"/>
      <x:c r="L256" s="6"/>
      <x:c r="M256" s="6"/>
      <x:c r="N256" s="6"/>
      <x:c r="O256" s="6"/>
      <x:c r="P256" s="6"/>
      <x:c r="Q256" s="6"/>
      <x:c r="R256" s="6"/>
      <x:c r="S256" s="6"/>
      <x:c r="T256" s="6" t="str">
        <x:f>IF(C256="","",COUNTIF($C$2:$C$601,C256))</x:f>
      </x:c>
    </x:row>
    <x:row r="257">
      <x:c r="A257" s="6"/>
      <x:c r="B257" s="6"/>
      <x:c r="C257" s="6"/>
      <x:c r="D257" s="6"/>
      <x:c r="E257" s="6"/>
      <x:c r="F257" s="6"/>
      <x:c r="G257" s="6"/>
      <x:c r="H257" s="6"/>
      <x:c r="I257" s="6"/>
      <x:c r="J257" s="6"/>
      <x:c r="K257" s="6"/>
      <x:c r="L257" s="6"/>
      <x:c r="M257" s="6"/>
      <x:c r="N257" s="6"/>
      <x:c r="O257" s="6"/>
      <x:c r="P257" s="6"/>
      <x:c r="Q257" s="6"/>
      <x:c r="R257" s="6"/>
      <x:c r="S257" s="6"/>
      <x:c r="T257" s="6" t="str">
        <x:f>IF(C257="","",COUNTIF($C$2:$C$601,C257))</x:f>
      </x:c>
    </x:row>
    <x:row r="258">
      <x:c r="A258" s="6"/>
      <x:c r="B258" s="6"/>
      <x:c r="C258" s="6"/>
      <x:c r="D258" s="6"/>
      <x:c r="E258" s="6"/>
      <x:c r="F258" s="6"/>
      <x:c r="G258" s="6"/>
      <x:c r="H258" s="6"/>
      <x:c r="I258" s="6"/>
      <x:c r="J258" s="6"/>
      <x:c r="K258" s="6"/>
      <x:c r="L258" s="6"/>
      <x:c r="M258" s="6"/>
      <x:c r="N258" s="6"/>
      <x:c r="O258" s="6"/>
      <x:c r="P258" s="6"/>
      <x:c r="Q258" s="6"/>
      <x:c r="R258" s="6"/>
      <x:c r="S258" s="6"/>
      <x:c r="T258" s="6" t="str">
        <x:f>IF(C258="","",COUNTIF($C$2:$C$601,C258))</x:f>
      </x:c>
    </x:row>
    <x:row r="259">
      <x:c r="A259" s="6"/>
      <x:c r="B259" s="6"/>
      <x:c r="C259" s="6"/>
      <x:c r="D259" s="6"/>
      <x:c r="E259" s="6"/>
      <x:c r="F259" s="6"/>
      <x:c r="G259" s="6"/>
      <x:c r="H259" s="6"/>
      <x:c r="I259" s="6"/>
      <x:c r="J259" s="6"/>
      <x:c r="K259" s="6"/>
      <x:c r="L259" s="6"/>
      <x:c r="M259" s="6"/>
      <x:c r="N259" s="6"/>
      <x:c r="O259" s="6"/>
      <x:c r="P259" s="6"/>
      <x:c r="Q259" s="6"/>
      <x:c r="R259" s="6"/>
      <x:c r="S259" s="6"/>
      <x:c r="T259" s="6" t="str">
        <x:f>IF(C259="","",COUNTIF($C$2:$C$601,C259))</x:f>
      </x:c>
    </x:row>
    <x:row r="260">
      <x:c r="A260" s="6"/>
      <x:c r="B260" s="6"/>
      <x:c r="C260" s="6"/>
      <x:c r="D260" s="6"/>
      <x:c r="E260" s="6"/>
      <x:c r="F260" s="6"/>
      <x:c r="G260" s="6"/>
      <x:c r="H260" s="6"/>
      <x:c r="I260" s="6"/>
      <x:c r="J260" s="6"/>
      <x:c r="K260" s="6"/>
      <x:c r="L260" s="6"/>
      <x:c r="M260" s="6"/>
      <x:c r="N260" s="6"/>
      <x:c r="O260" s="6"/>
      <x:c r="P260" s="6"/>
      <x:c r="Q260" s="6"/>
      <x:c r="R260" s="6"/>
      <x:c r="S260" s="6"/>
      <x:c r="T260" s="6" t="str">
        <x:f>IF(C260="","",COUNTIF($C$2:$C$601,C260))</x:f>
      </x:c>
    </x:row>
    <x:row r="261">
      <x:c r="A261" s="6"/>
      <x:c r="B261" s="6"/>
      <x:c r="C261" s="6"/>
      <x:c r="D261" s="6"/>
      <x:c r="E261" s="6"/>
      <x:c r="F261" s="6"/>
      <x:c r="G261" s="6"/>
      <x:c r="H261" s="6"/>
      <x:c r="I261" s="6"/>
      <x:c r="J261" s="6"/>
      <x:c r="K261" s="6"/>
      <x:c r="L261" s="6"/>
      <x:c r="M261" s="6"/>
      <x:c r="N261" s="6"/>
      <x:c r="O261" s="6"/>
      <x:c r="P261" s="6"/>
      <x:c r="Q261" s="6"/>
      <x:c r="R261" s="6"/>
      <x:c r="S261" s="6"/>
      <x:c r="T261" s="6" t="str">
        <x:f>IF(C261="","",COUNTIF($C$2:$C$601,C261))</x:f>
      </x:c>
    </x:row>
    <x:row r="262">
      <x:c r="A262" s="6"/>
      <x:c r="B262" s="6"/>
      <x:c r="C262" s="6"/>
      <x:c r="D262" s="6"/>
      <x:c r="E262" s="6"/>
      <x:c r="F262" s="6"/>
      <x:c r="G262" s="6"/>
      <x:c r="H262" s="6"/>
      <x:c r="I262" s="6"/>
      <x:c r="J262" s="6"/>
      <x:c r="K262" s="6"/>
      <x:c r="L262" s="6"/>
      <x:c r="M262" s="6"/>
      <x:c r="N262" s="6"/>
      <x:c r="O262" s="6"/>
      <x:c r="P262" s="6"/>
      <x:c r="Q262" s="6"/>
      <x:c r="R262" s="6"/>
      <x:c r="S262" s="6"/>
      <x:c r="T262" s="6" t="str">
        <x:f>IF(C262="","",COUNTIF($C$2:$C$601,C262))</x:f>
      </x:c>
    </x:row>
    <x:row r="263">
      <x:c r="A263" s="6"/>
      <x:c r="B263" s="6"/>
      <x:c r="C263" s="6"/>
      <x:c r="D263" s="6"/>
      <x:c r="E263" s="6"/>
      <x:c r="F263" s="6"/>
      <x:c r="G263" s="6"/>
      <x:c r="H263" s="6"/>
      <x:c r="I263" s="6"/>
      <x:c r="J263" s="6"/>
      <x:c r="K263" s="6"/>
      <x:c r="L263" s="6"/>
      <x:c r="M263" s="6"/>
      <x:c r="N263" s="6"/>
      <x:c r="O263" s="6"/>
      <x:c r="P263" s="6"/>
      <x:c r="Q263" s="6"/>
      <x:c r="R263" s="6"/>
      <x:c r="S263" s="6"/>
      <x:c r="T263" s="6" t="str">
        <x:f>IF(C263="","",COUNTIF($C$2:$C$601,C263))</x:f>
      </x:c>
    </x:row>
    <x:row r="264">
      <x:c r="A264" s="6"/>
      <x:c r="B264" s="6"/>
      <x:c r="C264" s="6"/>
      <x:c r="D264" s="6"/>
      <x:c r="E264" s="6"/>
      <x:c r="F264" s="6"/>
      <x:c r="G264" s="6"/>
      <x:c r="H264" s="6"/>
      <x:c r="I264" s="6"/>
      <x:c r="J264" s="6"/>
      <x:c r="K264" s="6"/>
      <x:c r="L264" s="6"/>
      <x:c r="M264" s="6"/>
      <x:c r="N264" s="6"/>
      <x:c r="O264" s="6"/>
      <x:c r="P264" s="6"/>
      <x:c r="Q264" s="6"/>
      <x:c r="R264" s="6"/>
      <x:c r="S264" s="6"/>
      <x:c r="T264" s="6" t="str">
        <x:f>IF(C264="","",COUNTIF($C$2:$C$601,C264))</x:f>
      </x:c>
    </x:row>
    <x:row r="265">
      <x:c r="A265" s="6"/>
      <x:c r="B265" s="6"/>
      <x:c r="C265" s="6"/>
      <x:c r="D265" s="6"/>
      <x:c r="E265" s="6"/>
      <x:c r="F265" s="6"/>
      <x:c r="G265" s="6"/>
      <x:c r="H265" s="6"/>
      <x:c r="I265" s="6"/>
      <x:c r="J265" s="6"/>
      <x:c r="K265" s="6"/>
      <x:c r="L265" s="6"/>
      <x:c r="M265" s="6"/>
      <x:c r="N265" s="6"/>
      <x:c r="O265" s="6"/>
      <x:c r="P265" s="6"/>
      <x:c r="Q265" s="6"/>
      <x:c r="R265" s="6"/>
      <x:c r="S265" s="6"/>
      <x:c r="T265" s="6" t="str">
        <x:f>IF(C265="","",COUNTIF($C$2:$C$601,C265))</x:f>
      </x:c>
    </x:row>
    <x:row r="266">
      <x:c r="A266" s="6"/>
      <x:c r="B266" s="6"/>
      <x:c r="C266" s="6"/>
      <x:c r="D266" s="6"/>
      <x:c r="E266" s="6"/>
      <x:c r="F266" s="6"/>
      <x:c r="G266" s="6"/>
      <x:c r="H266" s="6"/>
      <x:c r="I266" s="6"/>
      <x:c r="J266" s="6"/>
      <x:c r="K266" s="6"/>
      <x:c r="L266" s="6"/>
      <x:c r="M266" s="6"/>
      <x:c r="N266" s="6"/>
      <x:c r="O266" s="6"/>
      <x:c r="P266" s="6"/>
      <x:c r="Q266" s="6"/>
      <x:c r="R266" s="6"/>
      <x:c r="S266" s="6"/>
      <x:c r="T266" s="6" t="str">
        <x:f>IF(C266="","",COUNTIF($C$2:$C$601,C266))</x:f>
      </x:c>
    </x:row>
    <x:row r="267">
      <x:c r="A267" s="6"/>
      <x:c r="B267" s="6"/>
      <x:c r="C267" s="6"/>
      <x:c r="D267" s="6"/>
      <x:c r="E267" s="6"/>
      <x:c r="F267" s="6"/>
      <x:c r="G267" s="6"/>
      <x:c r="H267" s="6"/>
      <x:c r="I267" s="6"/>
      <x:c r="J267" s="6"/>
      <x:c r="K267" s="6"/>
      <x:c r="L267" s="6"/>
      <x:c r="M267" s="6"/>
      <x:c r="N267" s="6"/>
      <x:c r="O267" s="6"/>
      <x:c r="P267" s="6"/>
      <x:c r="Q267" s="6"/>
      <x:c r="R267" s="6"/>
      <x:c r="S267" s="6"/>
      <x:c r="T267" s="6" t="str">
        <x:f>IF(C267="","",COUNTIF($C$2:$C$601,C267))</x:f>
      </x:c>
    </x:row>
    <x:row r="268">
      <x:c r="A268" s="6"/>
      <x:c r="B268" s="6"/>
      <x:c r="C268" s="6"/>
      <x:c r="D268" s="6"/>
      <x:c r="E268" s="6"/>
      <x:c r="F268" s="6"/>
      <x:c r="G268" s="6"/>
      <x:c r="H268" s="6"/>
      <x:c r="I268" s="6"/>
      <x:c r="J268" s="6"/>
      <x:c r="K268" s="6"/>
      <x:c r="L268" s="6"/>
      <x:c r="M268" s="6"/>
      <x:c r="N268" s="6"/>
      <x:c r="O268" s="6"/>
      <x:c r="P268" s="6"/>
      <x:c r="Q268" s="6"/>
      <x:c r="R268" s="6"/>
      <x:c r="S268" s="6"/>
      <x:c r="T268" s="6" t="str">
        <x:f>IF(C268="","",COUNTIF($C$2:$C$601,C268))</x:f>
      </x:c>
    </x:row>
    <x:row r="269">
      <x:c r="A269" s="6"/>
      <x:c r="B269" s="6"/>
      <x:c r="C269" s="6"/>
      <x:c r="D269" s="6"/>
      <x:c r="E269" s="6"/>
      <x:c r="F269" s="6"/>
      <x:c r="G269" s="6"/>
      <x:c r="H269" s="6"/>
      <x:c r="I269" s="6"/>
      <x:c r="J269" s="6"/>
      <x:c r="K269" s="6"/>
      <x:c r="L269" s="6"/>
      <x:c r="M269" s="6"/>
      <x:c r="N269" s="6"/>
      <x:c r="O269" s="6"/>
      <x:c r="P269" s="6"/>
      <x:c r="Q269" s="6"/>
      <x:c r="R269" s="6"/>
      <x:c r="S269" s="6"/>
      <x:c r="T269" s="6" t="str">
        <x:f>IF(C269="","",COUNTIF($C$2:$C$601,C269))</x:f>
      </x:c>
    </x:row>
    <x:row r="270">
      <x:c r="A270" s="6"/>
      <x:c r="B270" s="6"/>
      <x:c r="C270" s="6"/>
      <x:c r="D270" s="6"/>
      <x:c r="E270" s="6"/>
      <x:c r="F270" s="6"/>
      <x:c r="G270" s="6"/>
      <x:c r="H270" s="6"/>
      <x:c r="I270" s="6"/>
      <x:c r="J270" s="6"/>
      <x:c r="K270" s="6"/>
      <x:c r="L270" s="6"/>
      <x:c r="M270" s="6"/>
      <x:c r="N270" s="6"/>
      <x:c r="O270" s="6"/>
      <x:c r="P270" s="6"/>
      <x:c r="Q270" s="6"/>
      <x:c r="R270" s="6"/>
      <x:c r="S270" s="6"/>
      <x:c r="T270" s="6" t="str">
        <x:f>IF(C270="","",COUNTIF($C$2:$C$601,C270))</x:f>
      </x:c>
    </x:row>
    <x:row r="271">
      <x:c r="A271" s="6"/>
      <x:c r="B271" s="6"/>
      <x:c r="C271" s="6"/>
      <x:c r="D271" s="6"/>
      <x:c r="E271" s="6"/>
      <x:c r="F271" s="6"/>
      <x:c r="G271" s="6"/>
      <x:c r="H271" s="6"/>
      <x:c r="I271" s="6"/>
      <x:c r="J271" s="6"/>
      <x:c r="K271" s="6"/>
      <x:c r="L271" s="6"/>
      <x:c r="M271" s="6"/>
      <x:c r="N271" s="6"/>
      <x:c r="O271" s="6"/>
      <x:c r="P271" s="6"/>
      <x:c r="Q271" s="6"/>
      <x:c r="R271" s="6"/>
      <x:c r="S271" s="6"/>
      <x:c r="T271" s="6" t="str">
        <x:f>IF(C271="","",COUNTIF($C$2:$C$601,C271))</x:f>
      </x:c>
    </x:row>
    <x:row r="272">
      <x:c r="A272" s="6"/>
      <x:c r="B272" s="6"/>
      <x:c r="C272" s="6"/>
      <x:c r="D272" s="6"/>
      <x:c r="E272" s="6"/>
      <x:c r="F272" s="6"/>
      <x:c r="G272" s="6"/>
      <x:c r="H272" s="6"/>
      <x:c r="I272" s="6"/>
      <x:c r="J272" s="6"/>
      <x:c r="K272" s="6"/>
      <x:c r="L272" s="6"/>
      <x:c r="M272" s="6"/>
      <x:c r="N272" s="6"/>
      <x:c r="O272" s="6"/>
      <x:c r="P272" s="6"/>
      <x:c r="Q272" s="6"/>
      <x:c r="R272" s="6"/>
      <x:c r="S272" s="6"/>
      <x:c r="T272" s="6" t="str">
        <x:f>IF(C272="","",COUNTIF($C$2:$C$601,C272))</x:f>
      </x:c>
    </x:row>
    <x:row r="273">
      <x:c r="A273" s="6"/>
      <x:c r="B273" s="6"/>
      <x:c r="C273" s="6"/>
      <x:c r="D273" s="6"/>
      <x:c r="E273" s="6"/>
      <x:c r="F273" s="6"/>
      <x:c r="G273" s="6"/>
      <x:c r="H273" s="6"/>
      <x:c r="I273" s="6"/>
      <x:c r="J273" s="6"/>
      <x:c r="K273" s="6"/>
      <x:c r="L273" s="6"/>
      <x:c r="M273" s="6"/>
      <x:c r="N273" s="6"/>
      <x:c r="O273" s="6"/>
      <x:c r="P273" s="6"/>
      <x:c r="Q273" s="6"/>
      <x:c r="R273" s="6"/>
      <x:c r="S273" s="6"/>
      <x:c r="T273" s="6" t="str">
        <x:f>IF(C273="","",COUNTIF($C$2:$C$601,C273))</x:f>
      </x:c>
    </x:row>
    <x:row r="274">
      <x:c r="A274" s="6"/>
      <x:c r="B274" s="6"/>
      <x:c r="C274" s="6"/>
      <x:c r="D274" s="6"/>
      <x:c r="E274" s="6"/>
      <x:c r="F274" s="6"/>
      <x:c r="G274" s="6"/>
      <x:c r="H274" s="6"/>
      <x:c r="I274" s="6"/>
      <x:c r="J274" s="6"/>
      <x:c r="K274" s="6"/>
      <x:c r="L274" s="6"/>
      <x:c r="M274" s="6"/>
      <x:c r="N274" s="6"/>
      <x:c r="O274" s="6"/>
      <x:c r="P274" s="6"/>
      <x:c r="Q274" s="6"/>
      <x:c r="R274" s="6"/>
      <x:c r="S274" s="6"/>
      <x:c r="T274" s="6" t="str">
        <x:f>IF(C274="","",COUNTIF($C$2:$C$601,C274))</x:f>
      </x:c>
    </x:row>
    <x:row r="275">
      <x:c r="A275" s="6"/>
      <x:c r="B275" s="6"/>
      <x:c r="C275" s="6"/>
      <x:c r="D275" s="6"/>
      <x:c r="E275" s="6"/>
      <x:c r="F275" s="6"/>
      <x:c r="G275" s="6"/>
      <x:c r="H275" s="6"/>
      <x:c r="I275" s="6"/>
      <x:c r="J275" s="6"/>
      <x:c r="K275" s="6"/>
      <x:c r="L275" s="6"/>
      <x:c r="M275" s="6"/>
      <x:c r="N275" s="6"/>
      <x:c r="O275" s="6"/>
      <x:c r="P275" s="6"/>
      <x:c r="Q275" s="6"/>
      <x:c r="R275" s="6"/>
      <x:c r="S275" s="6"/>
      <x:c r="T275" s="6" t="str">
        <x:f>IF(C275="","",COUNTIF($C$2:$C$601,C275))</x:f>
      </x:c>
    </x:row>
    <x:row r="276">
      <x:c r="A276" s="6"/>
      <x:c r="B276" s="6"/>
      <x:c r="C276" s="6"/>
      <x:c r="D276" s="6"/>
      <x:c r="E276" s="6"/>
      <x:c r="F276" s="6"/>
      <x:c r="G276" s="6"/>
      <x:c r="H276" s="6"/>
      <x:c r="I276" s="6"/>
      <x:c r="J276" s="6"/>
      <x:c r="K276" s="6"/>
      <x:c r="L276" s="6"/>
      <x:c r="M276" s="6"/>
      <x:c r="N276" s="6"/>
      <x:c r="O276" s="6"/>
      <x:c r="P276" s="6"/>
      <x:c r="Q276" s="6"/>
      <x:c r="R276" s="6"/>
      <x:c r="S276" s="6"/>
      <x:c r="T276" s="6" t="str">
        <x:f>IF(C276="","",COUNTIF($C$2:$C$601,C276))</x:f>
      </x:c>
    </x:row>
    <x:row r="277">
      <x:c r="A277" s="6"/>
      <x:c r="B277" s="6"/>
      <x:c r="C277" s="6"/>
      <x:c r="D277" s="6"/>
      <x:c r="E277" s="6"/>
      <x:c r="F277" s="6"/>
      <x:c r="G277" s="6"/>
      <x:c r="H277" s="6"/>
      <x:c r="I277" s="6"/>
      <x:c r="J277" s="6"/>
      <x:c r="K277" s="6"/>
      <x:c r="L277" s="6"/>
      <x:c r="M277" s="6"/>
      <x:c r="N277" s="6"/>
      <x:c r="O277" s="6"/>
      <x:c r="P277" s="6"/>
      <x:c r="Q277" s="6"/>
      <x:c r="R277" s="6"/>
      <x:c r="S277" s="6"/>
      <x:c r="T277" s="6" t="str">
        <x:f>IF(C277="","",COUNTIF($C$2:$C$601,C277))</x:f>
      </x:c>
    </x:row>
    <x:row r="278">
      <x:c r="A278" s="6"/>
      <x:c r="B278" s="6"/>
      <x:c r="C278" s="6"/>
      <x:c r="D278" s="6"/>
      <x:c r="E278" s="6"/>
      <x:c r="F278" s="6"/>
      <x:c r="G278" s="6"/>
      <x:c r="H278" s="6"/>
      <x:c r="I278" s="6"/>
      <x:c r="J278" s="6"/>
      <x:c r="K278" s="6"/>
      <x:c r="L278" s="6"/>
      <x:c r="M278" s="6"/>
      <x:c r="N278" s="6"/>
      <x:c r="O278" s="6"/>
      <x:c r="P278" s="6"/>
      <x:c r="Q278" s="6"/>
      <x:c r="R278" s="6"/>
      <x:c r="S278" s="6"/>
      <x:c r="T278" s="6" t="str">
        <x:f>IF(C278="","",COUNTIF($C$2:$C$601,C278))</x:f>
      </x:c>
    </x:row>
    <x:row r="279">
      <x:c r="A279" s="6"/>
      <x:c r="B279" s="6"/>
      <x:c r="C279" s="6"/>
      <x:c r="D279" s="6"/>
      <x:c r="E279" s="6"/>
      <x:c r="F279" s="6"/>
      <x:c r="G279" s="6"/>
      <x:c r="H279" s="6"/>
      <x:c r="I279" s="6"/>
      <x:c r="J279" s="6"/>
      <x:c r="K279" s="6"/>
      <x:c r="L279" s="6"/>
      <x:c r="M279" s="6"/>
      <x:c r="N279" s="6"/>
      <x:c r="O279" s="6"/>
      <x:c r="P279" s="6"/>
      <x:c r="Q279" s="6"/>
      <x:c r="R279" s="6"/>
      <x:c r="S279" s="6"/>
      <x:c r="T279" s="6" t="str">
        <x:f>IF(C279="","",COUNTIF($C$2:$C$601,C279))</x:f>
      </x:c>
    </x:row>
    <x:row r="280">
      <x:c r="A280" s="6"/>
      <x:c r="B280" s="6"/>
      <x:c r="C280" s="6"/>
      <x:c r="D280" s="6"/>
      <x:c r="E280" s="6"/>
      <x:c r="F280" s="6"/>
      <x:c r="G280" s="6"/>
      <x:c r="H280" s="6"/>
      <x:c r="I280" s="6"/>
      <x:c r="J280" s="6"/>
      <x:c r="K280" s="6"/>
      <x:c r="L280" s="6"/>
      <x:c r="M280" s="6"/>
      <x:c r="N280" s="6"/>
      <x:c r="O280" s="6"/>
      <x:c r="P280" s="6"/>
      <x:c r="Q280" s="6"/>
      <x:c r="R280" s="6"/>
      <x:c r="S280" s="6"/>
      <x:c r="T280" s="6" t="str">
        <x:f>IF(C280="","",COUNTIF($C$2:$C$601,C280))</x:f>
      </x:c>
    </x:row>
    <x:row r="281">
      <x:c r="A281" s="6"/>
      <x:c r="B281" s="6"/>
      <x:c r="C281" s="6"/>
      <x:c r="D281" s="6"/>
      <x:c r="E281" s="6"/>
      <x:c r="F281" s="6"/>
      <x:c r="G281" s="6"/>
      <x:c r="H281" s="6"/>
      <x:c r="I281" s="6"/>
      <x:c r="J281" s="6"/>
      <x:c r="K281" s="6"/>
      <x:c r="L281" s="6"/>
      <x:c r="M281" s="6"/>
      <x:c r="N281" s="6"/>
      <x:c r="O281" s="6"/>
      <x:c r="P281" s="6"/>
      <x:c r="Q281" s="6"/>
      <x:c r="R281" s="6"/>
      <x:c r="S281" s="6"/>
      <x:c r="T281" s="6" t="str">
        <x:f>IF(C281="","",COUNTIF($C$2:$C$601,C281))</x:f>
      </x:c>
    </x:row>
    <x:row r="282">
      <x:c r="A282" s="6"/>
      <x:c r="B282" s="6"/>
      <x:c r="C282" s="6"/>
      <x:c r="D282" s="6"/>
      <x:c r="E282" s="6"/>
      <x:c r="F282" s="6"/>
      <x:c r="G282" s="6"/>
      <x:c r="H282" s="6"/>
      <x:c r="I282" s="6"/>
      <x:c r="J282" s="6"/>
      <x:c r="K282" s="6"/>
      <x:c r="L282" s="6"/>
      <x:c r="M282" s="6"/>
      <x:c r="N282" s="6"/>
      <x:c r="O282" s="6"/>
      <x:c r="P282" s="6"/>
      <x:c r="Q282" s="6"/>
      <x:c r="R282" s="6"/>
      <x:c r="S282" s="6"/>
      <x:c r="T282" s="6" t="str">
        <x:f>IF(C282="","",COUNTIF($C$2:$C$601,C282))</x:f>
      </x:c>
    </x:row>
    <x:row r="283">
      <x:c r="A283" s="6"/>
      <x:c r="B283" s="6"/>
      <x:c r="C283" s="6"/>
      <x:c r="D283" s="6"/>
      <x:c r="E283" s="6"/>
      <x:c r="F283" s="6"/>
      <x:c r="G283" s="6"/>
      <x:c r="H283" s="6"/>
      <x:c r="I283" s="6"/>
      <x:c r="J283" s="6"/>
      <x:c r="K283" s="6"/>
      <x:c r="L283" s="6"/>
      <x:c r="M283" s="6"/>
      <x:c r="N283" s="6"/>
      <x:c r="O283" s="6"/>
      <x:c r="P283" s="6"/>
      <x:c r="Q283" s="6"/>
      <x:c r="R283" s="6"/>
      <x:c r="S283" s="6"/>
      <x:c r="T283" s="6" t="str">
        <x:f>IF(C283="","",COUNTIF($C$2:$C$601,C283))</x:f>
      </x:c>
    </x:row>
    <x:row r="284">
      <x:c r="A284" s="6"/>
      <x:c r="B284" s="6"/>
      <x:c r="C284" s="6"/>
      <x:c r="D284" s="6"/>
      <x:c r="E284" s="6"/>
      <x:c r="F284" s="6"/>
      <x:c r="G284" s="6"/>
      <x:c r="H284" s="6"/>
      <x:c r="I284" s="6"/>
      <x:c r="J284" s="6"/>
      <x:c r="K284" s="6"/>
      <x:c r="L284" s="6"/>
      <x:c r="M284" s="6"/>
      <x:c r="N284" s="6"/>
      <x:c r="O284" s="6"/>
      <x:c r="P284" s="6"/>
      <x:c r="Q284" s="6"/>
      <x:c r="R284" s="6"/>
      <x:c r="S284" s="6"/>
      <x:c r="T284" s="6" t="str">
        <x:f>IF(C284="","",COUNTIF($C$2:$C$601,C284))</x:f>
      </x:c>
    </x:row>
    <x:row r="285">
      <x:c r="A285" s="6"/>
      <x:c r="B285" s="6"/>
      <x:c r="C285" s="6"/>
      <x:c r="D285" s="6"/>
      <x:c r="E285" s="6"/>
      <x:c r="F285" s="6"/>
      <x:c r="G285" s="6"/>
      <x:c r="H285" s="6"/>
      <x:c r="I285" s="6"/>
      <x:c r="J285" s="6"/>
      <x:c r="K285" s="6"/>
      <x:c r="L285" s="6"/>
      <x:c r="M285" s="6"/>
      <x:c r="N285" s="6"/>
      <x:c r="O285" s="6"/>
      <x:c r="P285" s="6"/>
      <x:c r="Q285" s="6"/>
      <x:c r="R285" s="6"/>
      <x:c r="S285" s="6"/>
      <x:c r="T285" s="6" t="str">
        <x:f>IF(C285="","",COUNTIF($C$2:$C$601,C285))</x:f>
      </x:c>
    </x:row>
    <x:row r="286">
      <x:c r="A286" s="6"/>
      <x:c r="B286" s="6"/>
      <x:c r="C286" s="6"/>
      <x:c r="D286" s="6"/>
      <x:c r="E286" s="6"/>
      <x:c r="F286" s="6"/>
      <x:c r="G286" s="6"/>
      <x:c r="H286" s="6"/>
      <x:c r="I286" s="6"/>
      <x:c r="J286" s="6"/>
      <x:c r="K286" s="6"/>
      <x:c r="L286" s="6"/>
      <x:c r="M286" s="6"/>
      <x:c r="N286" s="6"/>
      <x:c r="O286" s="6"/>
      <x:c r="P286" s="6"/>
      <x:c r="Q286" s="6"/>
      <x:c r="R286" s="6"/>
      <x:c r="S286" s="6"/>
      <x:c r="T286" s="6" t="str">
        <x:f>IF(C286="","",COUNTIF($C$2:$C$601,C286))</x:f>
      </x:c>
    </x:row>
    <x:row r="287">
      <x:c r="A287" s="6"/>
      <x:c r="B287" s="6"/>
      <x:c r="C287" s="6"/>
      <x:c r="D287" s="6"/>
      <x:c r="E287" s="6"/>
      <x:c r="F287" s="6"/>
      <x:c r="G287" s="6"/>
      <x:c r="H287" s="6"/>
      <x:c r="I287" s="6"/>
      <x:c r="J287" s="6"/>
      <x:c r="K287" s="6"/>
      <x:c r="L287" s="6"/>
      <x:c r="M287" s="6"/>
      <x:c r="N287" s="6"/>
      <x:c r="O287" s="6"/>
      <x:c r="P287" s="6"/>
      <x:c r="Q287" s="6"/>
      <x:c r="R287" s="6"/>
      <x:c r="S287" s="6"/>
      <x:c r="T287" s="6" t="str">
        <x:f>IF(C287="","",COUNTIF($C$2:$C$601,C287))</x:f>
      </x:c>
    </x:row>
    <x:row r="288">
      <x:c r="A288" s="6"/>
      <x:c r="B288" s="6"/>
      <x:c r="C288" s="6"/>
      <x:c r="D288" s="6"/>
      <x:c r="E288" s="6"/>
      <x:c r="F288" s="6"/>
      <x:c r="G288" s="6"/>
      <x:c r="H288" s="6"/>
      <x:c r="I288" s="6"/>
      <x:c r="J288" s="6"/>
      <x:c r="K288" s="6"/>
      <x:c r="L288" s="6"/>
      <x:c r="M288" s="6"/>
      <x:c r="N288" s="6"/>
      <x:c r="O288" s="6"/>
      <x:c r="P288" s="6"/>
      <x:c r="Q288" s="6"/>
      <x:c r="R288" s="6"/>
      <x:c r="S288" s="6"/>
      <x:c r="T288" s="6" t="str">
        <x:f>IF(C288="","",COUNTIF($C$2:$C$601,C288))</x:f>
      </x:c>
    </x:row>
    <x:row r="289">
      <x:c r="A289" s="6"/>
      <x:c r="B289" s="6"/>
      <x:c r="C289" s="6"/>
      <x:c r="D289" s="6"/>
      <x:c r="E289" s="6"/>
      <x:c r="F289" s="6"/>
      <x:c r="G289" s="6"/>
      <x:c r="H289" s="6"/>
      <x:c r="I289" s="6"/>
      <x:c r="J289" s="6"/>
      <x:c r="K289" s="6"/>
      <x:c r="L289" s="6"/>
      <x:c r="M289" s="6"/>
      <x:c r="N289" s="6"/>
      <x:c r="O289" s="6"/>
      <x:c r="P289" s="6"/>
      <x:c r="Q289" s="6"/>
      <x:c r="R289" s="6"/>
      <x:c r="S289" s="6"/>
      <x:c r="T289" s="6" t="str">
        <x:f>IF(C289="","",COUNTIF($C$2:$C$601,C289))</x:f>
      </x:c>
    </x:row>
    <x:row r="290">
      <x:c r="A290" s="6"/>
      <x:c r="B290" s="6"/>
      <x:c r="C290" s="6"/>
      <x:c r="D290" s="6"/>
      <x:c r="E290" s="6"/>
      <x:c r="F290" s="6"/>
      <x:c r="G290" s="6"/>
      <x:c r="H290" s="6"/>
      <x:c r="I290" s="6"/>
      <x:c r="J290" s="6"/>
      <x:c r="K290" s="6"/>
      <x:c r="L290" s="6"/>
      <x:c r="M290" s="6"/>
      <x:c r="N290" s="6"/>
      <x:c r="O290" s="6"/>
      <x:c r="P290" s="6"/>
      <x:c r="Q290" s="6"/>
      <x:c r="R290" s="6"/>
      <x:c r="S290" s="6"/>
      <x:c r="T290" s="6" t="str">
        <x:f>IF(C290="","",COUNTIF($C$2:$C$601,C290))</x:f>
      </x:c>
    </x:row>
    <x:row r="291">
      <x:c r="A291" s="6"/>
      <x:c r="B291" s="6"/>
      <x:c r="C291" s="6"/>
      <x:c r="D291" s="6"/>
      <x:c r="E291" s="6"/>
      <x:c r="F291" s="6"/>
      <x:c r="G291" s="6"/>
      <x:c r="H291" s="6"/>
      <x:c r="I291" s="6"/>
      <x:c r="J291" s="6"/>
      <x:c r="K291" s="6"/>
      <x:c r="L291" s="6"/>
      <x:c r="M291" s="6"/>
      <x:c r="N291" s="6"/>
      <x:c r="O291" s="6"/>
      <x:c r="P291" s="6"/>
      <x:c r="Q291" s="6"/>
      <x:c r="R291" s="6"/>
      <x:c r="S291" s="6"/>
      <x:c r="T291" s="6" t="str">
        <x:f>IF(C291="","",COUNTIF($C$2:$C$601,C291))</x:f>
      </x:c>
    </x:row>
    <x:row r="292">
      <x:c r="A292" s="6"/>
      <x:c r="B292" s="6"/>
      <x:c r="C292" s="6"/>
      <x:c r="D292" s="6"/>
      <x:c r="E292" s="6"/>
      <x:c r="F292" s="6"/>
      <x:c r="G292" s="6"/>
      <x:c r="H292" s="6"/>
      <x:c r="I292" s="6"/>
      <x:c r="J292" s="6"/>
      <x:c r="K292" s="6"/>
      <x:c r="L292" s="6"/>
      <x:c r="M292" s="6"/>
      <x:c r="N292" s="6"/>
      <x:c r="O292" s="6"/>
      <x:c r="P292" s="6"/>
      <x:c r="Q292" s="6"/>
      <x:c r="R292" s="6"/>
      <x:c r="S292" s="6"/>
      <x:c r="T292" s="6" t="str">
        <x:f>IF(C292="","",COUNTIF($C$2:$C$601,C292))</x:f>
      </x:c>
    </x:row>
    <x:row r="293">
      <x:c r="A293" s="6"/>
      <x:c r="B293" s="6"/>
      <x:c r="C293" s="6"/>
      <x:c r="D293" s="6"/>
      <x:c r="E293" s="6"/>
      <x:c r="F293" s="6"/>
      <x:c r="G293" s="6"/>
      <x:c r="H293" s="6"/>
      <x:c r="I293" s="6"/>
      <x:c r="J293" s="6"/>
      <x:c r="K293" s="6"/>
      <x:c r="L293" s="6"/>
      <x:c r="M293" s="6"/>
      <x:c r="N293" s="6"/>
      <x:c r="O293" s="6"/>
      <x:c r="P293" s="6"/>
      <x:c r="Q293" s="6"/>
      <x:c r="R293" s="6"/>
      <x:c r="S293" s="6"/>
      <x:c r="T293" s="6" t="str">
        <x:f>IF(C293="","",COUNTIF($C$2:$C$601,C293))</x:f>
      </x:c>
    </x:row>
    <x:row r="294">
      <x:c r="A294" s="6"/>
      <x:c r="B294" s="6"/>
      <x:c r="C294" s="6"/>
      <x:c r="D294" s="6"/>
      <x:c r="E294" s="6"/>
      <x:c r="F294" s="6"/>
      <x:c r="G294" s="6"/>
      <x:c r="H294" s="6"/>
      <x:c r="I294" s="6"/>
      <x:c r="J294" s="6"/>
      <x:c r="K294" s="6"/>
      <x:c r="L294" s="6"/>
      <x:c r="M294" s="6"/>
      <x:c r="N294" s="6"/>
      <x:c r="O294" s="6"/>
      <x:c r="P294" s="6"/>
      <x:c r="Q294" s="6"/>
      <x:c r="R294" s="6"/>
      <x:c r="S294" s="6"/>
      <x:c r="T294" s="6" t="str">
        <x:f>IF(C294="","",COUNTIF($C$2:$C$601,C294))</x:f>
      </x:c>
    </x:row>
    <x:row r="295">
      <x:c r="A295" s="6"/>
      <x:c r="B295" s="6"/>
      <x:c r="C295" s="6"/>
      <x:c r="D295" s="6"/>
      <x:c r="E295" s="6"/>
      <x:c r="F295" s="6"/>
      <x:c r="G295" s="6"/>
      <x:c r="H295" s="6"/>
      <x:c r="I295" s="6"/>
      <x:c r="J295" s="6"/>
      <x:c r="K295" s="6"/>
      <x:c r="L295" s="6"/>
      <x:c r="M295" s="6"/>
      <x:c r="N295" s="6"/>
      <x:c r="O295" s="6"/>
      <x:c r="P295" s="6"/>
      <x:c r="Q295" s="6"/>
      <x:c r="R295" s="6"/>
      <x:c r="S295" s="6"/>
      <x:c r="T295" s="6" t="str">
        <x:f>IF(C295="","",COUNTIF($C$2:$C$601,C295))</x:f>
      </x:c>
    </x:row>
    <x:row r="296">
      <x:c r="A296" s="6"/>
      <x:c r="B296" s="6"/>
      <x:c r="C296" s="6"/>
      <x:c r="D296" s="6"/>
      <x:c r="E296" s="6"/>
      <x:c r="F296" s="6"/>
      <x:c r="G296" s="6"/>
      <x:c r="H296" s="6"/>
      <x:c r="I296" s="6"/>
      <x:c r="J296" s="6"/>
      <x:c r="K296" s="6"/>
      <x:c r="L296" s="6"/>
      <x:c r="M296" s="6"/>
      <x:c r="N296" s="6"/>
      <x:c r="O296" s="6"/>
      <x:c r="P296" s="6"/>
      <x:c r="Q296" s="6"/>
      <x:c r="R296" s="6"/>
      <x:c r="S296" s="6"/>
      <x:c r="T296" s="6" t="str">
        <x:f>IF(C296="","",COUNTIF($C$2:$C$601,C296))</x:f>
      </x:c>
    </x:row>
    <x:row r="297">
      <x:c r="A297" s="6"/>
      <x:c r="B297" s="6"/>
      <x:c r="C297" s="6"/>
      <x:c r="D297" s="6"/>
      <x:c r="E297" s="6"/>
      <x:c r="F297" s="6"/>
      <x:c r="G297" s="6"/>
      <x:c r="H297" s="6"/>
      <x:c r="I297" s="6"/>
      <x:c r="J297" s="6"/>
      <x:c r="K297" s="6"/>
      <x:c r="L297" s="6"/>
      <x:c r="M297" s="6"/>
      <x:c r="N297" s="6"/>
      <x:c r="O297" s="6"/>
      <x:c r="P297" s="6"/>
      <x:c r="Q297" s="6"/>
      <x:c r="R297" s="6"/>
      <x:c r="S297" s="6"/>
      <x:c r="T297" s="6" t="str">
        <x:f>IF(C297="","",COUNTIF($C$2:$C$601,C297))</x:f>
      </x:c>
    </x:row>
    <x:row r="298">
      <x:c r="A298" s="6"/>
      <x:c r="B298" s="6"/>
      <x:c r="C298" s="6"/>
      <x:c r="D298" s="6"/>
      <x:c r="E298" s="6"/>
      <x:c r="F298" s="6"/>
      <x:c r="G298" s="6"/>
      <x:c r="H298" s="6"/>
      <x:c r="I298" s="6"/>
      <x:c r="J298" s="6"/>
      <x:c r="K298" s="6"/>
      <x:c r="L298" s="6"/>
      <x:c r="M298" s="6"/>
      <x:c r="N298" s="6"/>
      <x:c r="O298" s="6"/>
      <x:c r="P298" s="6"/>
      <x:c r="Q298" s="6"/>
      <x:c r="R298" s="6"/>
      <x:c r="S298" s="6"/>
      <x:c r="T298" s="6" t="str">
        <x:f>IF(C298="","",COUNTIF($C$2:$C$601,C298))</x:f>
      </x:c>
    </x:row>
    <x:row r="299">
      <x:c r="A299" s="6"/>
      <x:c r="B299" s="6"/>
      <x:c r="C299" s="6"/>
      <x:c r="D299" s="6"/>
      <x:c r="E299" s="6"/>
      <x:c r="F299" s="6"/>
      <x:c r="G299" s="6"/>
      <x:c r="H299" s="6"/>
      <x:c r="I299" s="6"/>
      <x:c r="J299" s="6"/>
      <x:c r="K299" s="6"/>
      <x:c r="L299" s="6"/>
      <x:c r="M299" s="6"/>
      <x:c r="N299" s="6"/>
      <x:c r="O299" s="6"/>
      <x:c r="P299" s="6"/>
      <x:c r="Q299" s="6"/>
      <x:c r="R299" s="6"/>
      <x:c r="S299" s="6"/>
      <x:c r="T299" s="6" t="str">
        <x:f>IF(C299="","",COUNTIF($C$2:$C$601,C299))</x:f>
      </x:c>
    </x:row>
    <x:row r="300">
      <x:c r="A300" s="6"/>
      <x:c r="B300" s="6"/>
      <x:c r="C300" s="6"/>
      <x:c r="D300" s="6"/>
      <x:c r="E300" s="6"/>
      <x:c r="F300" s="6"/>
      <x:c r="G300" s="6"/>
      <x:c r="H300" s="6"/>
      <x:c r="I300" s="6"/>
      <x:c r="J300" s="6"/>
      <x:c r="K300" s="6"/>
      <x:c r="L300" s="6"/>
      <x:c r="M300" s="6"/>
      <x:c r="N300" s="6"/>
      <x:c r="O300" s="6"/>
      <x:c r="P300" s="6"/>
      <x:c r="Q300" s="6"/>
      <x:c r="R300" s="6"/>
      <x:c r="S300" s="6"/>
      <x:c r="T300" s="6" t="str">
        <x:f>IF(C300="","",COUNTIF($C$2:$C$601,C300))</x:f>
      </x:c>
    </x:row>
    <x:row r="301">
      <x:c r="A301" s="6"/>
      <x:c r="B301" s="6"/>
      <x:c r="C301" s="6"/>
      <x:c r="D301" s="6"/>
      <x:c r="E301" s="6"/>
      <x:c r="F301" s="6"/>
      <x:c r="G301" s="6"/>
      <x:c r="H301" s="6"/>
      <x:c r="I301" s="6"/>
      <x:c r="J301" s="6"/>
      <x:c r="K301" s="6"/>
      <x:c r="L301" s="6"/>
      <x:c r="M301" s="6"/>
      <x:c r="N301" s="6"/>
      <x:c r="O301" s="6"/>
      <x:c r="P301" s="6"/>
      <x:c r="Q301" s="6"/>
      <x:c r="R301" s="6"/>
      <x:c r="S301" s="6"/>
      <x:c r="T301" s="6" t="str">
        <x:f>IF(C301="","",COUNTIF($C$2:$C$601,C301))</x:f>
      </x:c>
    </x:row>
    <x:row r="302">
      <x:c r="A302" s="6"/>
      <x:c r="B302" s="6"/>
      <x:c r="C302" s="6"/>
      <x:c r="D302" s="6"/>
      <x:c r="E302" s="6"/>
      <x:c r="F302" s="6"/>
      <x:c r="G302" s="6"/>
      <x:c r="H302" s="6"/>
      <x:c r="I302" s="6"/>
      <x:c r="J302" s="6"/>
      <x:c r="K302" s="6"/>
      <x:c r="L302" s="6"/>
      <x:c r="M302" s="6"/>
      <x:c r="N302" s="6"/>
      <x:c r="O302" s="6"/>
      <x:c r="P302" s="6"/>
      <x:c r="Q302" s="6"/>
      <x:c r="R302" s="6"/>
      <x:c r="S302" s="6"/>
      <x:c r="T302" s="6" t="str">
        <x:f>IF(C302="","",COUNTIF($C$2:$C$601,C302))</x:f>
      </x:c>
    </x:row>
    <x:row r="303">
      <x:c r="A303" s="6"/>
      <x:c r="B303" s="6"/>
      <x:c r="C303" s="6"/>
      <x:c r="D303" s="6"/>
      <x:c r="E303" s="6"/>
      <x:c r="F303" s="6"/>
      <x:c r="G303" s="6"/>
      <x:c r="H303" s="6"/>
      <x:c r="I303" s="6"/>
      <x:c r="J303" s="6"/>
      <x:c r="K303" s="6"/>
      <x:c r="L303" s="6"/>
      <x:c r="M303" s="6"/>
      <x:c r="N303" s="6"/>
      <x:c r="O303" s="6"/>
      <x:c r="P303" s="6"/>
      <x:c r="Q303" s="6"/>
      <x:c r="R303" s="6"/>
      <x:c r="S303" s="6"/>
      <x:c r="T303" s="6" t="str">
        <x:f>IF(C303="","",COUNTIF($C$2:$C$601,C303))</x:f>
      </x:c>
    </x:row>
    <x:row r="304">
      <x:c r="A304" s="6"/>
      <x:c r="B304" s="6"/>
      <x:c r="C304" s="6"/>
      <x:c r="D304" s="6"/>
      <x:c r="E304" s="6"/>
      <x:c r="F304" s="6"/>
      <x:c r="G304" s="6"/>
      <x:c r="H304" s="6"/>
      <x:c r="I304" s="6"/>
      <x:c r="J304" s="6"/>
      <x:c r="K304" s="6"/>
      <x:c r="L304" s="6"/>
      <x:c r="M304" s="6"/>
      <x:c r="N304" s="6"/>
      <x:c r="O304" s="6"/>
      <x:c r="P304" s="6"/>
      <x:c r="Q304" s="6"/>
      <x:c r="R304" s="6"/>
      <x:c r="S304" s="6"/>
      <x:c r="T304" s="6" t="str">
        <x:f>IF(C304="","",COUNTIF($C$2:$C$601,C304))</x:f>
      </x:c>
    </x:row>
    <x:row r="305">
      <x:c r="A305" s="6"/>
      <x:c r="B305" s="6"/>
      <x:c r="C305" s="6"/>
      <x:c r="D305" s="6"/>
      <x:c r="E305" s="6"/>
      <x:c r="F305" s="6"/>
      <x:c r="G305" s="6"/>
      <x:c r="H305" s="6"/>
      <x:c r="I305" s="6"/>
      <x:c r="J305" s="6"/>
      <x:c r="K305" s="6"/>
      <x:c r="L305" s="6"/>
      <x:c r="M305" s="6"/>
      <x:c r="N305" s="6"/>
      <x:c r="O305" s="6"/>
      <x:c r="P305" s="6"/>
      <x:c r="Q305" s="6"/>
      <x:c r="R305" s="6"/>
      <x:c r="S305" s="6"/>
      <x:c r="T305" s="6" t="str">
        <x:f>IF(C305="","",COUNTIF($C$2:$C$601,C305))</x:f>
      </x:c>
    </x:row>
    <x:row r="306">
      <x:c r="A306" s="6"/>
      <x:c r="B306" s="6"/>
      <x:c r="C306" s="6"/>
      <x:c r="D306" s="6"/>
      <x:c r="E306" s="6"/>
      <x:c r="F306" s="6"/>
      <x:c r="G306" s="6"/>
      <x:c r="H306" s="6"/>
      <x:c r="I306" s="6"/>
      <x:c r="J306" s="6"/>
      <x:c r="K306" s="6"/>
      <x:c r="L306" s="6"/>
      <x:c r="M306" s="6"/>
      <x:c r="N306" s="6"/>
      <x:c r="O306" s="6"/>
      <x:c r="P306" s="6"/>
      <x:c r="Q306" s="6"/>
      <x:c r="R306" s="6"/>
      <x:c r="S306" s="6"/>
      <x:c r="T306" s="6" t="str">
        <x:f>IF(C306="","",COUNTIF($C$2:$C$601,C306))</x:f>
      </x:c>
    </x:row>
    <x:row r="307">
      <x:c r="A307" s="6"/>
      <x:c r="B307" s="6"/>
      <x:c r="C307" s="6"/>
      <x:c r="D307" s="6"/>
      <x:c r="E307" s="6"/>
      <x:c r="F307" s="6"/>
      <x:c r="G307" s="6"/>
      <x:c r="H307" s="6"/>
      <x:c r="I307" s="6"/>
      <x:c r="J307" s="6"/>
      <x:c r="K307" s="6"/>
      <x:c r="L307" s="6"/>
      <x:c r="M307" s="6"/>
      <x:c r="N307" s="6"/>
      <x:c r="O307" s="6"/>
      <x:c r="P307" s="6"/>
      <x:c r="Q307" s="6"/>
      <x:c r="R307" s="6"/>
      <x:c r="S307" s="6"/>
      <x:c r="T307" s="6" t="str">
        <x:f>IF(C307="","",COUNTIF($C$2:$C$601,C307))</x:f>
      </x:c>
    </x:row>
    <x:row r="308">
      <x:c r="A308" s="6"/>
      <x:c r="B308" s="6"/>
      <x:c r="C308" s="6"/>
      <x:c r="D308" s="6"/>
      <x:c r="E308" s="6"/>
      <x:c r="F308" s="6"/>
      <x:c r="G308" s="6"/>
      <x:c r="H308" s="6"/>
      <x:c r="I308" s="6"/>
      <x:c r="J308" s="6"/>
      <x:c r="K308" s="6"/>
      <x:c r="L308" s="6"/>
      <x:c r="M308" s="6"/>
      <x:c r="N308" s="6"/>
      <x:c r="O308" s="6"/>
      <x:c r="P308" s="6"/>
      <x:c r="Q308" s="6"/>
      <x:c r="R308" s="6"/>
      <x:c r="S308" s="6"/>
      <x:c r="T308" s="6" t="str">
        <x:f>IF(C308="","",COUNTIF($C$2:$C$601,C308))</x:f>
      </x:c>
    </x:row>
    <x:row r="309">
      <x:c r="A309" s="6"/>
      <x:c r="B309" s="6"/>
      <x:c r="C309" s="6"/>
      <x:c r="D309" s="6"/>
      <x:c r="E309" s="6"/>
      <x:c r="F309" s="6"/>
      <x:c r="G309" s="6"/>
      <x:c r="H309" s="6"/>
      <x:c r="I309" s="6"/>
      <x:c r="J309" s="6"/>
      <x:c r="K309" s="6"/>
      <x:c r="L309" s="6"/>
      <x:c r="M309" s="6"/>
      <x:c r="N309" s="6"/>
      <x:c r="O309" s="6"/>
      <x:c r="P309" s="6"/>
      <x:c r="Q309" s="6"/>
      <x:c r="R309" s="6"/>
      <x:c r="S309" s="6"/>
      <x:c r="T309" s="6" t="str">
        <x:f>IF(C309="","",COUNTIF($C$2:$C$601,C309))</x:f>
      </x:c>
    </x:row>
    <x:row r="310">
      <x:c r="A310" s="6"/>
      <x:c r="B310" s="6"/>
      <x:c r="C310" s="6"/>
      <x:c r="D310" s="6"/>
      <x:c r="E310" s="6"/>
      <x:c r="F310" s="6"/>
      <x:c r="G310" s="6"/>
      <x:c r="H310" s="6"/>
      <x:c r="I310" s="6"/>
      <x:c r="J310" s="6"/>
      <x:c r="K310" s="6"/>
      <x:c r="L310" s="6"/>
      <x:c r="M310" s="6"/>
      <x:c r="N310" s="6"/>
      <x:c r="O310" s="6"/>
      <x:c r="P310" s="6"/>
      <x:c r="Q310" s="6"/>
      <x:c r="R310" s="6"/>
      <x:c r="S310" s="6"/>
      <x:c r="T310" s="6" t="str">
        <x:f>IF(C310="","",COUNTIF($C$2:$C$601,C310))</x:f>
      </x:c>
    </x:row>
    <x:row r="311">
      <x:c r="A311" s="6"/>
      <x:c r="B311" s="6"/>
      <x:c r="C311" s="6"/>
      <x:c r="D311" s="6"/>
      <x:c r="E311" s="6"/>
      <x:c r="F311" s="6"/>
      <x:c r="G311" s="6"/>
      <x:c r="H311" s="6"/>
      <x:c r="I311" s="6"/>
      <x:c r="J311" s="6"/>
      <x:c r="K311" s="6"/>
      <x:c r="L311" s="6"/>
      <x:c r="M311" s="6"/>
      <x:c r="N311" s="6"/>
      <x:c r="O311" s="6"/>
      <x:c r="P311" s="6"/>
      <x:c r="Q311" s="6"/>
      <x:c r="R311" s="6"/>
      <x:c r="S311" s="6"/>
      <x:c r="T311" s="6" t="str">
        <x:f>IF(C311="","",COUNTIF($C$2:$C$601,C311))</x:f>
      </x:c>
    </x:row>
    <x:row r="312">
      <x:c r="A312" s="6"/>
      <x:c r="B312" s="6"/>
      <x:c r="C312" s="6"/>
      <x:c r="D312" s="6"/>
      <x:c r="E312" s="6"/>
      <x:c r="F312" s="6"/>
      <x:c r="G312" s="6"/>
      <x:c r="H312" s="6"/>
      <x:c r="I312" s="6"/>
      <x:c r="J312" s="6"/>
      <x:c r="K312" s="6"/>
      <x:c r="L312" s="6"/>
      <x:c r="M312" s="6"/>
      <x:c r="N312" s="6"/>
      <x:c r="O312" s="6"/>
      <x:c r="P312" s="6"/>
      <x:c r="Q312" s="6"/>
      <x:c r="R312" s="6"/>
      <x:c r="S312" s="6"/>
      <x:c r="T312" s="6" t="str">
        <x:f>IF(C312="","",COUNTIF($C$2:$C$601,C312))</x:f>
      </x:c>
    </x:row>
    <x:row r="313">
      <x:c r="A313" s="6"/>
      <x:c r="B313" s="6"/>
      <x:c r="C313" s="6"/>
      <x:c r="D313" s="6"/>
      <x:c r="E313" s="6"/>
      <x:c r="F313" s="6"/>
      <x:c r="G313" s="6"/>
      <x:c r="H313" s="6"/>
      <x:c r="I313" s="6"/>
      <x:c r="J313" s="6"/>
      <x:c r="K313" s="6"/>
      <x:c r="L313" s="6"/>
      <x:c r="M313" s="6"/>
      <x:c r="N313" s="6"/>
      <x:c r="O313" s="6"/>
      <x:c r="P313" s="6"/>
      <x:c r="Q313" s="6"/>
      <x:c r="R313" s="6"/>
      <x:c r="S313" s="6"/>
      <x:c r="T313" s="6" t="str">
        <x:f>IF(C313="","",COUNTIF($C$2:$C$601,C313))</x:f>
      </x:c>
    </x:row>
    <x:row r="314">
      <x:c r="A314" s="6"/>
      <x:c r="B314" s="6"/>
      <x:c r="C314" s="6"/>
      <x:c r="D314" s="6"/>
      <x:c r="E314" s="6"/>
      <x:c r="F314" s="6"/>
      <x:c r="G314" s="6"/>
      <x:c r="H314" s="6"/>
      <x:c r="I314" s="6"/>
      <x:c r="J314" s="6"/>
      <x:c r="K314" s="6"/>
      <x:c r="L314" s="6"/>
      <x:c r="M314" s="6"/>
      <x:c r="N314" s="6"/>
      <x:c r="O314" s="6"/>
      <x:c r="P314" s="6"/>
      <x:c r="Q314" s="6"/>
      <x:c r="R314" s="6"/>
      <x:c r="S314" s="6"/>
      <x:c r="T314" s="6" t="str">
        <x:f>IF(C314="","",COUNTIF($C$2:$C$601,C314))</x:f>
      </x:c>
    </x:row>
    <x:row r="315">
      <x:c r="A315" s="6"/>
      <x:c r="B315" s="6"/>
      <x:c r="C315" s="6"/>
      <x:c r="D315" s="6"/>
      <x:c r="E315" s="6"/>
      <x:c r="F315" s="6"/>
      <x:c r="G315" s="6"/>
      <x:c r="H315" s="6"/>
      <x:c r="I315" s="6"/>
      <x:c r="J315" s="6"/>
      <x:c r="K315" s="6"/>
      <x:c r="L315" s="6"/>
      <x:c r="M315" s="6"/>
      <x:c r="N315" s="6"/>
      <x:c r="O315" s="6"/>
      <x:c r="P315" s="6"/>
      <x:c r="Q315" s="6"/>
      <x:c r="R315" s="6"/>
      <x:c r="S315" s="6"/>
      <x:c r="T315" s="6" t="str">
        <x:f>IF(C315="","",COUNTIF($C$2:$C$601,C315))</x:f>
      </x:c>
    </x:row>
    <x:row r="316">
      <x:c r="A316" s="6"/>
      <x:c r="B316" s="6"/>
      <x:c r="C316" s="6"/>
      <x:c r="D316" s="6"/>
      <x:c r="E316" s="6"/>
      <x:c r="F316" s="6"/>
      <x:c r="G316" s="6"/>
      <x:c r="H316" s="6"/>
      <x:c r="I316" s="6"/>
      <x:c r="J316" s="6"/>
      <x:c r="K316" s="6"/>
      <x:c r="L316" s="6"/>
      <x:c r="M316" s="6"/>
      <x:c r="N316" s="6"/>
      <x:c r="O316" s="6"/>
      <x:c r="P316" s="6"/>
      <x:c r="Q316" s="6"/>
      <x:c r="R316" s="6"/>
      <x:c r="S316" s="6"/>
      <x:c r="T316" s="6" t="str">
        <x:f>IF(C316="","",COUNTIF($C$2:$C$601,C316))</x:f>
      </x:c>
    </x:row>
    <x:row r="317">
      <x:c r="A317" s="6"/>
      <x:c r="B317" s="6"/>
      <x:c r="C317" s="6"/>
      <x:c r="D317" s="6"/>
      <x:c r="E317" s="6"/>
      <x:c r="F317" s="6"/>
      <x:c r="G317" s="6"/>
      <x:c r="H317" s="6"/>
      <x:c r="I317" s="6"/>
      <x:c r="J317" s="6"/>
      <x:c r="K317" s="6"/>
      <x:c r="L317" s="6"/>
      <x:c r="M317" s="6"/>
      <x:c r="N317" s="6"/>
      <x:c r="O317" s="6"/>
      <x:c r="P317" s="6"/>
      <x:c r="Q317" s="6"/>
      <x:c r="R317" s="6"/>
      <x:c r="S317" s="6"/>
      <x:c r="T317" s="6" t="str">
        <x:f>IF(C317="","",COUNTIF($C$2:$C$601,C317))</x:f>
      </x:c>
    </x:row>
    <x:row r="318">
      <x:c r="A318" s="6"/>
      <x:c r="B318" s="6"/>
      <x:c r="C318" s="6"/>
      <x:c r="D318" s="6"/>
      <x:c r="E318" s="6"/>
      <x:c r="F318" s="6"/>
      <x:c r="G318" s="6"/>
      <x:c r="H318" s="6"/>
      <x:c r="I318" s="6"/>
      <x:c r="J318" s="6"/>
      <x:c r="K318" s="6"/>
      <x:c r="L318" s="6"/>
      <x:c r="M318" s="6"/>
      <x:c r="N318" s="6"/>
      <x:c r="O318" s="6"/>
      <x:c r="P318" s="6"/>
      <x:c r="Q318" s="6"/>
      <x:c r="R318" s="6"/>
      <x:c r="S318" s="6"/>
      <x:c r="T318" s="6" t="str">
        <x:f>IF(C318="","",COUNTIF($C$2:$C$601,C318))</x:f>
      </x:c>
    </x:row>
    <x:row r="319">
      <x:c r="A319" s="6"/>
      <x:c r="B319" s="6"/>
      <x:c r="C319" s="6"/>
      <x:c r="D319" s="6"/>
      <x:c r="E319" s="6"/>
      <x:c r="F319" s="6"/>
      <x:c r="G319" s="6"/>
      <x:c r="H319" s="6"/>
      <x:c r="I319" s="6"/>
      <x:c r="J319" s="6"/>
      <x:c r="K319" s="6"/>
      <x:c r="L319" s="6"/>
      <x:c r="M319" s="6"/>
      <x:c r="N319" s="6"/>
      <x:c r="O319" s="6"/>
      <x:c r="P319" s="6"/>
      <x:c r="Q319" s="6"/>
      <x:c r="R319" s="6"/>
      <x:c r="S319" s="6"/>
      <x:c r="T319" s="6" t="str">
        <x:f>IF(C319="","",COUNTIF($C$2:$C$601,C319))</x:f>
      </x:c>
    </x:row>
    <x:row r="320">
      <x:c r="A320" s="6"/>
      <x:c r="B320" s="6"/>
      <x:c r="C320" s="6"/>
      <x:c r="D320" s="6"/>
      <x:c r="E320" s="6"/>
      <x:c r="F320" s="6"/>
      <x:c r="G320" s="6"/>
      <x:c r="H320" s="6"/>
      <x:c r="I320" s="6"/>
      <x:c r="J320" s="6"/>
      <x:c r="K320" s="6"/>
      <x:c r="L320" s="6"/>
      <x:c r="M320" s="6"/>
      <x:c r="N320" s="6"/>
      <x:c r="O320" s="6"/>
      <x:c r="P320" s="6"/>
      <x:c r="Q320" s="6"/>
      <x:c r="R320" s="6"/>
      <x:c r="S320" s="6"/>
      <x:c r="T320" s="6" t="str">
        <x:f>IF(C320="","",COUNTIF($C$2:$C$601,C320))</x:f>
      </x:c>
    </x:row>
    <x:row r="321">
      <x:c r="A321" s="6"/>
      <x:c r="B321" s="6"/>
      <x:c r="C321" s="6"/>
      <x:c r="D321" s="6"/>
      <x:c r="E321" s="6"/>
      <x:c r="F321" s="6"/>
      <x:c r="G321" s="6"/>
      <x:c r="H321" s="6"/>
      <x:c r="I321" s="6"/>
      <x:c r="J321" s="6"/>
      <x:c r="K321" s="6"/>
      <x:c r="L321" s="6"/>
      <x:c r="M321" s="6"/>
      <x:c r="N321" s="6"/>
      <x:c r="O321" s="6"/>
      <x:c r="P321" s="6"/>
      <x:c r="Q321" s="6"/>
      <x:c r="R321" s="6"/>
      <x:c r="S321" s="6"/>
      <x:c r="T321" s="6" t="str">
        <x:f>IF(C321="","",COUNTIF($C$2:$C$601,C321))</x:f>
      </x:c>
    </x:row>
    <x:row r="322">
      <x:c r="A322" s="6"/>
      <x:c r="B322" s="6"/>
      <x:c r="C322" s="6"/>
      <x:c r="D322" s="6"/>
      <x:c r="E322" s="6"/>
      <x:c r="F322" s="6"/>
      <x:c r="G322" s="6"/>
      <x:c r="H322" s="6"/>
      <x:c r="I322" s="6"/>
      <x:c r="J322" s="6"/>
      <x:c r="K322" s="6"/>
      <x:c r="L322" s="6"/>
      <x:c r="M322" s="6"/>
      <x:c r="N322" s="6"/>
      <x:c r="O322" s="6"/>
      <x:c r="P322" s="6"/>
      <x:c r="Q322" s="6"/>
      <x:c r="R322" s="6"/>
      <x:c r="S322" s="6"/>
      <x:c r="T322" s="6" t="str">
        <x:f>IF(C322="","",COUNTIF($C$2:$C$601,C322))</x:f>
      </x:c>
    </x:row>
    <x:row r="323">
      <x:c r="A323" s="6"/>
      <x:c r="B323" s="6"/>
      <x:c r="C323" s="6"/>
      <x:c r="D323" s="6"/>
      <x:c r="E323" s="6"/>
      <x:c r="F323" s="6"/>
      <x:c r="G323" s="6"/>
      <x:c r="H323" s="6"/>
      <x:c r="I323" s="6"/>
      <x:c r="J323" s="6"/>
      <x:c r="K323" s="6"/>
      <x:c r="L323" s="6"/>
      <x:c r="M323" s="6"/>
      <x:c r="N323" s="6"/>
      <x:c r="O323" s="6"/>
      <x:c r="P323" s="6"/>
      <x:c r="Q323" s="6"/>
      <x:c r="R323" s="6"/>
      <x:c r="S323" s="6"/>
      <x:c r="T323" s="6" t="str">
        <x:f>IF(C323="","",COUNTIF($C$2:$C$601,C323))</x:f>
      </x:c>
    </x:row>
    <x:row r="324">
      <x:c r="A324" s="6"/>
      <x:c r="B324" s="6"/>
      <x:c r="C324" s="6"/>
      <x:c r="D324" s="6"/>
      <x:c r="E324" s="6"/>
      <x:c r="F324" s="6"/>
      <x:c r="G324" s="6"/>
      <x:c r="H324" s="6"/>
      <x:c r="I324" s="6"/>
      <x:c r="J324" s="6"/>
      <x:c r="K324" s="6"/>
      <x:c r="L324" s="6"/>
      <x:c r="M324" s="6"/>
      <x:c r="N324" s="6"/>
      <x:c r="O324" s="6"/>
      <x:c r="P324" s="6"/>
      <x:c r="Q324" s="6"/>
      <x:c r="R324" s="6"/>
      <x:c r="S324" s="6"/>
      <x:c r="T324" s="6" t="str">
        <x:f>IF(C324="","",COUNTIF($C$2:$C$601,C324))</x:f>
      </x:c>
    </x:row>
    <x:row r="325">
      <x:c r="A325" s="6"/>
      <x:c r="B325" s="6"/>
      <x:c r="C325" s="6"/>
      <x:c r="D325" s="6"/>
      <x:c r="E325" s="6"/>
      <x:c r="F325" s="6"/>
      <x:c r="G325" s="6"/>
      <x:c r="H325" s="6"/>
      <x:c r="I325" s="6"/>
      <x:c r="J325" s="6"/>
      <x:c r="K325" s="6"/>
      <x:c r="L325" s="6"/>
      <x:c r="M325" s="6"/>
      <x:c r="N325" s="6"/>
      <x:c r="O325" s="6"/>
      <x:c r="P325" s="6"/>
      <x:c r="Q325" s="6"/>
      <x:c r="R325" s="6"/>
      <x:c r="S325" s="6"/>
      <x:c r="T325" s="6" t="str">
        <x:f>IF(C325="","",COUNTIF($C$2:$C$601,C325))</x:f>
      </x:c>
    </x:row>
    <x:row r="326">
      <x:c r="A326" s="6"/>
      <x:c r="B326" s="6"/>
      <x:c r="C326" s="6"/>
      <x:c r="D326" s="6"/>
      <x:c r="E326" s="6"/>
      <x:c r="F326" s="6"/>
      <x:c r="G326" s="6"/>
      <x:c r="H326" s="6"/>
      <x:c r="I326" s="6"/>
      <x:c r="J326" s="6"/>
      <x:c r="K326" s="6"/>
      <x:c r="L326" s="6"/>
      <x:c r="M326" s="6"/>
      <x:c r="N326" s="6"/>
      <x:c r="O326" s="6"/>
      <x:c r="P326" s="6"/>
      <x:c r="Q326" s="6"/>
      <x:c r="R326" s="6"/>
      <x:c r="S326" s="6"/>
      <x:c r="T326" s="6" t="str">
        <x:f>IF(C326="","",COUNTIF($C$2:$C$601,C326))</x:f>
      </x:c>
    </x:row>
    <x:row r="327">
      <x:c r="A327" s="6"/>
      <x:c r="B327" s="6"/>
      <x:c r="C327" s="6"/>
      <x:c r="D327" s="6"/>
      <x:c r="E327" s="6"/>
      <x:c r="F327" s="6"/>
      <x:c r="G327" s="6"/>
      <x:c r="H327" s="6"/>
      <x:c r="I327" s="6"/>
      <x:c r="J327" s="6"/>
      <x:c r="K327" s="6"/>
      <x:c r="L327" s="6"/>
      <x:c r="M327" s="6"/>
      <x:c r="N327" s="6"/>
      <x:c r="O327" s="6"/>
      <x:c r="P327" s="6"/>
      <x:c r="Q327" s="6"/>
      <x:c r="R327" s="6"/>
      <x:c r="S327" s="6"/>
      <x:c r="T327" s="6" t="str">
        <x:f>IF(C327="","",COUNTIF($C$2:$C$601,C327))</x:f>
      </x:c>
    </x:row>
    <x:row r="328">
      <x:c r="A328" s="6"/>
      <x:c r="B328" s="6"/>
      <x:c r="C328" s="6"/>
      <x:c r="D328" s="6"/>
      <x:c r="E328" s="6"/>
      <x:c r="F328" s="6"/>
      <x:c r="G328" s="6"/>
      <x:c r="H328" s="6"/>
      <x:c r="I328" s="6"/>
      <x:c r="J328" s="6"/>
      <x:c r="K328" s="6"/>
      <x:c r="L328" s="6"/>
      <x:c r="M328" s="6"/>
      <x:c r="N328" s="6"/>
      <x:c r="O328" s="6"/>
      <x:c r="P328" s="6"/>
      <x:c r="Q328" s="6"/>
      <x:c r="R328" s="6"/>
      <x:c r="S328" s="6"/>
      <x:c r="T328" s="6" t="str">
        <x:f>IF(C328="","",COUNTIF($C$2:$C$601,C328))</x:f>
      </x:c>
    </x:row>
    <x:row r="329">
      <x:c r="A329" s="6"/>
      <x:c r="B329" s="6"/>
      <x:c r="C329" s="6"/>
      <x:c r="D329" s="6"/>
      <x:c r="E329" s="6"/>
      <x:c r="F329" s="6"/>
      <x:c r="G329" s="6"/>
      <x:c r="H329" s="6"/>
      <x:c r="I329" s="6"/>
      <x:c r="J329" s="6"/>
      <x:c r="K329" s="6"/>
      <x:c r="L329" s="6"/>
      <x:c r="M329" s="6"/>
      <x:c r="N329" s="6"/>
      <x:c r="O329" s="6"/>
      <x:c r="P329" s="6"/>
      <x:c r="Q329" s="6"/>
      <x:c r="R329" s="6"/>
      <x:c r="S329" s="6"/>
      <x:c r="T329" s="6" t="str">
        <x:f>IF(C329="","",COUNTIF($C$2:$C$601,C329))</x:f>
      </x:c>
    </x:row>
    <x:row r="330">
      <x:c r="A330" s="6"/>
      <x:c r="B330" s="6"/>
      <x:c r="C330" s="6"/>
      <x:c r="D330" s="6"/>
      <x:c r="E330" s="6"/>
      <x:c r="F330" s="6"/>
      <x:c r="G330" s="6"/>
      <x:c r="H330" s="6"/>
      <x:c r="I330" s="6"/>
      <x:c r="J330" s="6"/>
      <x:c r="K330" s="6"/>
      <x:c r="L330" s="6"/>
      <x:c r="M330" s="6"/>
      <x:c r="N330" s="6"/>
      <x:c r="O330" s="6"/>
      <x:c r="P330" s="6"/>
      <x:c r="Q330" s="6"/>
      <x:c r="R330" s="6"/>
      <x:c r="S330" s="6"/>
      <x:c r="T330" s="6" t="str">
        <x:f>IF(C330="","",COUNTIF($C$2:$C$601,C330))</x:f>
      </x:c>
    </x:row>
    <x:row r="331">
      <x:c r="A331" s="6"/>
      <x:c r="B331" s="6"/>
      <x:c r="C331" s="6"/>
      <x:c r="D331" s="6"/>
      <x:c r="E331" s="6"/>
      <x:c r="F331" s="6"/>
      <x:c r="G331" s="6"/>
      <x:c r="H331" s="6"/>
      <x:c r="I331" s="6"/>
      <x:c r="J331" s="6"/>
      <x:c r="K331" s="6"/>
      <x:c r="L331" s="6"/>
      <x:c r="M331" s="6"/>
      <x:c r="N331" s="6"/>
      <x:c r="O331" s="6"/>
      <x:c r="P331" s="6"/>
      <x:c r="Q331" s="6"/>
      <x:c r="R331" s="6"/>
      <x:c r="S331" s="6"/>
      <x:c r="T331" s="6" t="str">
        <x:f>IF(C331="","",COUNTIF($C$2:$C$601,C331))</x:f>
      </x:c>
    </x:row>
    <x:row r="332">
      <x:c r="A332" s="6"/>
      <x:c r="B332" s="6"/>
      <x:c r="C332" s="6"/>
      <x:c r="D332" s="6"/>
      <x:c r="E332" s="6"/>
      <x:c r="F332" s="6"/>
      <x:c r="G332" s="6"/>
      <x:c r="H332" s="6"/>
      <x:c r="I332" s="6"/>
      <x:c r="J332" s="6"/>
      <x:c r="K332" s="6"/>
      <x:c r="L332" s="6"/>
      <x:c r="M332" s="6"/>
      <x:c r="N332" s="6"/>
      <x:c r="O332" s="6"/>
      <x:c r="P332" s="6"/>
      <x:c r="Q332" s="6"/>
      <x:c r="R332" s="6"/>
      <x:c r="S332" s="6"/>
      <x:c r="T332" s="6" t="str">
        <x:f>IF(C332="","",COUNTIF($C$2:$C$601,C332))</x:f>
      </x:c>
    </x:row>
    <x:row r="333">
      <x:c r="A333" s="6"/>
      <x:c r="B333" s="6"/>
      <x:c r="C333" s="6"/>
      <x:c r="D333" s="6"/>
      <x:c r="E333" s="6"/>
      <x:c r="F333" s="6"/>
      <x:c r="G333" s="6"/>
      <x:c r="H333" s="6"/>
      <x:c r="I333" s="6"/>
      <x:c r="J333" s="6"/>
      <x:c r="K333" s="6"/>
      <x:c r="L333" s="6"/>
      <x:c r="M333" s="6"/>
      <x:c r="N333" s="6"/>
      <x:c r="O333" s="6"/>
      <x:c r="P333" s="6"/>
      <x:c r="Q333" s="6"/>
      <x:c r="R333" s="6"/>
      <x:c r="S333" s="6"/>
      <x:c r="T333" s="6" t="str">
        <x:f>IF(C333="","",COUNTIF($C$2:$C$601,C333))</x:f>
      </x:c>
    </x:row>
    <x:row r="334">
      <x:c r="A334" s="6"/>
      <x:c r="B334" s="6"/>
      <x:c r="C334" s="6"/>
      <x:c r="D334" s="6"/>
      <x:c r="E334" s="6"/>
      <x:c r="F334" s="6"/>
      <x:c r="G334" s="6"/>
      <x:c r="H334" s="6"/>
      <x:c r="I334" s="6"/>
      <x:c r="J334" s="6"/>
      <x:c r="K334" s="6"/>
      <x:c r="L334" s="6"/>
      <x:c r="M334" s="6"/>
      <x:c r="N334" s="6"/>
      <x:c r="O334" s="6"/>
      <x:c r="P334" s="6"/>
      <x:c r="Q334" s="6"/>
      <x:c r="R334" s="6"/>
      <x:c r="S334" s="6"/>
      <x:c r="T334" s="6" t="str">
        <x:f>IF(C334="","",COUNTIF($C$2:$C$601,C334))</x:f>
      </x:c>
    </x:row>
    <x:row r="335">
      <x:c r="A335" s="6"/>
      <x:c r="B335" s="6"/>
      <x:c r="C335" s="6"/>
      <x:c r="D335" s="6"/>
      <x:c r="E335" s="6"/>
      <x:c r="F335" s="6"/>
      <x:c r="G335" s="6"/>
      <x:c r="H335" s="6"/>
      <x:c r="I335" s="6"/>
      <x:c r="J335" s="6"/>
      <x:c r="K335" s="6"/>
      <x:c r="L335" s="6"/>
      <x:c r="M335" s="6"/>
      <x:c r="N335" s="6"/>
      <x:c r="O335" s="6"/>
      <x:c r="P335" s="6"/>
      <x:c r="Q335" s="6"/>
      <x:c r="R335" s="6"/>
      <x:c r="S335" s="6"/>
      <x:c r="T335" s="6" t="str">
        <x:f>IF(C335="","",COUNTIF($C$2:$C$601,C335))</x:f>
      </x:c>
    </x:row>
    <x:row r="336">
      <x:c r="A336" s="6"/>
      <x:c r="B336" s="6"/>
      <x:c r="C336" s="6"/>
      <x:c r="D336" s="6"/>
      <x:c r="E336" s="6"/>
      <x:c r="F336" s="6"/>
      <x:c r="G336" s="6"/>
      <x:c r="H336" s="6"/>
      <x:c r="I336" s="6"/>
      <x:c r="J336" s="6"/>
      <x:c r="K336" s="6"/>
      <x:c r="L336" s="6"/>
      <x:c r="M336" s="6"/>
      <x:c r="N336" s="6"/>
      <x:c r="O336" s="6"/>
      <x:c r="P336" s="6"/>
      <x:c r="Q336" s="6"/>
      <x:c r="R336" s="6"/>
      <x:c r="S336" s="6"/>
      <x:c r="T336" s="6" t="str">
        <x:f>IF(C336="","",COUNTIF($C$2:$C$601,C336))</x:f>
      </x:c>
    </x:row>
    <x:row r="337">
      <x:c r="A337" s="6"/>
      <x:c r="B337" s="6"/>
      <x:c r="C337" s="6"/>
      <x:c r="D337" s="6"/>
      <x:c r="E337" s="6"/>
      <x:c r="F337" s="6"/>
      <x:c r="G337" s="6"/>
      <x:c r="H337" s="6"/>
      <x:c r="I337" s="6"/>
      <x:c r="J337" s="6"/>
      <x:c r="K337" s="6"/>
      <x:c r="L337" s="6"/>
      <x:c r="M337" s="6"/>
      <x:c r="N337" s="6"/>
      <x:c r="O337" s="6"/>
      <x:c r="P337" s="6"/>
      <x:c r="Q337" s="6"/>
      <x:c r="R337" s="6"/>
      <x:c r="S337" s="6"/>
      <x:c r="T337" s="6" t="str">
        <x:f>IF(C337="","",COUNTIF($C$2:$C$601,C337))</x:f>
      </x:c>
    </x:row>
    <x:row r="338">
      <x:c r="A338" s="6"/>
      <x:c r="B338" s="6"/>
      <x:c r="C338" s="6"/>
      <x:c r="D338" s="6"/>
      <x:c r="E338" s="6"/>
      <x:c r="F338" s="6"/>
      <x:c r="G338" s="6"/>
      <x:c r="H338" s="6"/>
      <x:c r="I338" s="6"/>
      <x:c r="J338" s="6"/>
      <x:c r="K338" s="6"/>
      <x:c r="L338" s="6"/>
      <x:c r="M338" s="6"/>
      <x:c r="N338" s="6"/>
      <x:c r="O338" s="6"/>
      <x:c r="P338" s="6"/>
      <x:c r="Q338" s="6"/>
      <x:c r="R338" s="6"/>
      <x:c r="S338" s="6"/>
      <x:c r="T338" s="6" t="str">
        <x:f>IF(C338="","",COUNTIF($C$2:$C$601,C338))</x:f>
      </x:c>
    </x:row>
    <x:row r="339">
      <x:c r="A339" s="6"/>
      <x:c r="B339" s="6"/>
      <x:c r="C339" s="6"/>
      <x:c r="D339" s="6"/>
      <x:c r="E339" s="6"/>
      <x:c r="F339" s="6"/>
      <x:c r="G339" s="6"/>
      <x:c r="H339" s="6"/>
      <x:c r="I339" s="6"/>
      <x:c r="J339" s="6"/>
      <x:c r="K339" s="6"/>
      <x:c r="L339" s="6"/>
      <x:c r="M339" s="6"/>
      <x:c r="N339" s="6"/>
      <x:c r="O339" s="6"/>
      <x:c r="P339" s="6"/>
      <x:c r="Q339" s="6"/>
      <x:c r="R339" s="6"/>
      <x:c r="S339" s="6"/>
      <x:c r="T339" s="6" t="str">
        <x:f>IF(C339="","",COUNTIF($C$2:$C$601,C339))</x:f>
      </x:c>
    </x:row>
    <x:row r="340">
      <x:c r="A340" s="6"/>
      <x:c r="B340" s="6"/>
      <x:c r="C340" s="6"/>
      <x:c r="D340" s="6"/>
      <x:c r="E340" s="6"/>
      <x:c r="F340" s="6"/>
      <x:c r="G340" s="6"/>
      <x:c r="H340" s="6"/>
      <x:c r="I340" s="6"/>
      <x:c r="J340" s="6"/>
      <x:c r="K340" s="6"/>
      <x:c r="L340" s="6"/>
      <x:c r="M340" s="6"/>
      <x:c r="N340" s="6"/>
      <x:c r="O340" s="6"/>
      <x:c r="P340" s="6"/>
      <x:c r="Q340" s="6"/>
      <x:c r="R340" s="6"/>
      <x:c r="S340" s="6"/>
      <x:c r="T340" s="6" t="str">
        <x:f>IF(C340="","",COUNTIF($C$2:$C$601,C340))</x:f>
      </x:c>
    </x:row>
    <x:row r="341">
      <x:c r="A341" s="6"/>
      <x:c r="B341" s="6"/>
      <x:c r="C341" s="6"/>
      <x:c r="D341" s="6"/>
      <x:c r="E341" s="6"/>
      <x:c r="F341" s="6"/>
      <x:c r="G341" s="6"/>
      <x:c r="H341" s="6"/>
      <x:c r="I341" s="6"/>
      <x:c r="J341" s="6"/>
      <x:c r="K341" s="6"/>
      <x:c r="L341" s="6"/>
      <x:c r="M341" s="6"/>
      <x:c r="N341" s="6"/>
      <x:c r="O341" s="6"/>
      <x:c r="P341" s="6"/>
      <x:c r="Q341" s="6"/>
      <x:c r="R341" s="6"/>
      <x:c r="S341" s="6"/>
      <x:c r="T341" s="6" t="str">
        <x:f>IF(C341="","",COUNTIF($C$2:$C$601,C341))</x:f>
      </x:c>
    </x:row>
    <x:row r="342">
      <x:c r="A342" s="6"/>
      <x:c r="B342" s="6"/>
      <x:c r="C342" s="6"/>
      <x:c r="D342" s="6"/>
      <x:c r="E342" s="6"/>
      <x:c r="F342" s="6"/>
      <x:c r="G342" s="6"/>
      <x:c r="H342" s="6"/>
      <x:c r="I342" s="6"/>
      <x:c r="J342" s="6"/>
      <x:c r="K342" s="6"/>
      <x:c r="L342" s="6"/>
      <x:c r="M342" s="6"/>
      <x:c r="N342" s="6"/>
      <x:c r="O342" s="6"/>
      <x:c r="P342" s="6"/>
      <x:c r="Q342" s="6"/>
      <x:c r="R342" s="6"/>
      <x:c r="S342" s="6"/>
      <x:c r="T342" s="6" t="str">
        <x:f>IF(C342="","",COUNTIF($C$2:$C$601,C342))</x:f>
      </x:c>
    </x:row>
    <x:row r="343">
      <x:c r="A343" s="6"/>
      <x:c r="B343" s="6"/>
      <x:c r="C343" s="6"/>
      <x:c r="D343" s="6"/>
      <x:c r="E343" s="6"/>
      <x:c r="F343" s="6"/>
      <x:c r="G343" s="6"/>
      <x:c r="H343" s="6"/>
      <x:c r="I343" s="6"/>
      <x:c r="J343" s="6"/>
      <x:c r="K343" s="6"/>
      <x:c r="L343" s="6"/>
      <x:c r="M343" s="6"/>
      <x:c r="N343" s="6"/>
      <x:c r="O343" s="6"/>
      <x:c r="P343" s="6"/>
      <x:c r="Q343" s="6"/>
      <x:c r="R343" s="6"/>
      <x:c r="S343" s="6"/>
      <x:c r="T343" s="6" t="str">
        <x:f>IF(C343="","",COUNTIF($C$2:$C$601,C343))</x:f>
      </x:c>
    </x:row>
    <x:row r="344">
      <x:c r="A344" s="6"/>
      <x:c r="B344" s="6"/>
      <x:c r="C344" s="6"/>
      <x:c r="D344" s="6"/>
      <x:c r="E344" s="6"/>
      <x:c r="F344" s="6"/>
      <x:c r="G344" s="6"/>
      <x:c r="H344" s="6"/>
      <x:c r="I344" s="6"/>
      <x:c r="J344" s="6"/>
      <x:c r="K344" s="6"/>
      <x:c r="L344" s="6"/>
      <x:c r="M344" s="6"/>
      <x:c r="N344" s="6"/>
      <x:c r="O344" s="6"/>
      <x:c r="P344" s="6"/>
      <x:c r="Q344" s="6"/>
      <x:c r="R344" s="6"/>
      <x:c r="S344" s="6"/>
      <x:c r="T344" s="6" t="str">
        <x:f>IF(C344="","",COUNTIF($C$2:$C$601,C344))</x:f>
      </x:c>
    </x:row>
    <x:row r="345">
      <x:c r="A345" s="6"/>
      <x:c r="B345" s="6"/>
      <x:c r="C345" s="6"/>
      <x:c r="D345" s="6"/>
      <x:c r="E345" s="6"/>
      <x:c r="F345" s="6"/>
      <x:c r="G345" s="6"/>
      <x:c r="H345" s="6"/>
      <x:c r="I345" s="6"/>
      <x:c r="J345" s="6"/>
      <x:c r="K345" s="6"/>
      <x:c r="L345" s="6"/>
      <x:c r="M345" s="6"/>
      <x:c r="N345" s="6"/>
      <x:c r="O345" s="6"/>
      <x:c r="P345" s="6"/>
      <x:c r="Q345" s="6"/>
      <x:c r="R345" s="6"/>
      <x:c r="S345" s="6"/>
      <x:c r="T345" s="6" t="str">
        <x:f>IF(C345="","",COUNTIF($C$2:$C$601,C345))</x:f>
      </x:c>
    </x:row>
    <x:row r="346">
      <x:c r="A346" s="6"/>
      <x:c r="B346" s="6"/>
      <x:c r="C346" s="6"/>
      <x:c r="D346" s="6"/>
      <x:c r="E346" s="6"/>
      <x:c r="F346" s="6"/>
      <x:c r="G346" s="6"/>
      <x:c r="H346" s="6"/>
      <x:c r="I346" s="6"/>
      <x:c r="J346" s="6"/>
      <x:c r="K346" s="6"/>
      <x:c r="L346" s="6"/>
      <x:c r="M346" s="6"/>
      <x:c r="N346" s="6"/>
      <x:c r="O346" s="6"/>
      <x:c r="P346" s="6"/>
      <x:c r="Q346" s="6"/>
      <x:c r="R346" s="6"/>
      <x:c r="S346" s="6"/>
      <x:c r="T346" s="6" t="str">
        <x:f>IF(C346="","",COUNTIF($C$2:$C$601,C346))</x:f>
      </x:c>
    </x:row>
    <x:row r="347">
      <x:c r="A347" s="6"/>
      <x:c r="B347" s="6"/>
      <x:c r="C347" s="6"/>
      <x:c r="D347" s="6"/>
      <x:c r="E347" s="6"/>
      <x:c r="F347" s="6"/>
      <x:c r="G347" s="6"/>
      <x:c r="H347" s="6"/>
      <x:c r="I347" s="6"/>
      <x:c r="J347" s="6"/>
      <x:c r="K347" s="6"/>
      <x:c r="L347" s="6"/>
      <x:c r="M347" s="6"/>
      <x:c r="N347" s="6"/>
      <x:c r="O347" s="6"/>
      <x:c r="P347" s="6"/>
      <x:c r="Q347" s="6"/>
      <x:c r="R347" s="6"/>
      <x:c r="S347" s="6"/>
      <x:c r="T347" s="6" t="str">
        <x:f>IF(C347="","",COUNTIF($C$2:$C$601,C347))</x:f>
      </x:c>
    </x:row>
    <x:row r="348">
      <x:c r="A348" s="6"/>
      <x:c r="B348" s="6"/>
      <x:c r="C348" s="6"/>
      <x:c r="D348" s="6"/>
      <x:c r="E348" s="6"/>
      <x:c r="F348" s="6"/>
      <x:c r="G348" s="6"/>
      <x:c r="H348" s="6"/>
      <x:c r="I348" s="6"/>
      <x:c r="J348" s="6"/>
      <x:c r="K348" s="6"/>
      <x:c r="L348" s="6"/>
      <x:c r="M348" s="6"/>
      <x:c r="N348" s="6"/>
      <x:c r="O348" s="6"/>
      <x:c r="P348" s="6"/>
      <x:c r="Q348" s="6"/>
      <x:c r="R348" s="6"/>
      <x:c r="S348" s="6"/>
      <x:c r="T348" s="6" t="str">
        <x:f>IF(C348="","",COUNTIF($C$2:$C$601,C348))</x:f>
      </x:c>
    </x:row>
    <x:row r="349">
      <x:c r="A349" s="6"/>
      <x:c r="B349" s="6"/>
      <x:c r="C349" s="6"/>
      <x:c r="D349" s="6"/>
      <x:c r="E349" s="6"/>
      <x:c r="F349" s="6"/>
      <x:c r="G349" s="6"/>
      <x:c r="H349" s="6"/>
      <x:c r="I349" s="6"/>
      <x:c r="J349" s="6"/>
      <x:c r="K349" s="6"/>
      <x:c r="L349" s="6"/>
      <x:c r="M349" s="6"/>
      <x:c r="N349" s="6"/>
      <x:c r="O349" s="6"/>
      <x:c r="P349" s="6"/>
      <x:c r="Q349" s="6"/>
      <x:c r="R349" s="6"/>
      <x:c r="S349" s="6"/>
      <x:c r="T349" s="6" t="str">
        <x:f>IF(C349="","",COUNTIF($C$2:$C$601,C349))</x:f>
      </x:c>
    </x:row>
    <x:row r="350">
      <x:c r="A350" s="6"/>
      <x:c r="B350" s="6"/>
      <x:c r="C350" s="6"/>
      <x:c r="D350" s="6"/>
      <x:c r="E350" s="6"/>
      <x:c r="F350" s="6"/>
      <x:c r="G350" s="6"/>
      <x:c r="H350" s="6"/>
      <x:c r="I350" s="6"/>
      <x:c r="J350" s="6"/>
      <x:c r="K350" s="6"/>
      <x:c r="L350" s="6"/>
      <x:c r="M350" s="6"/>
      <x:c r="N350" s="6"/>
      <x:c r="O350" s="6"/>
      <x:c r="P350" s="6"/>
      <x:c r="Q350" s="6"/>
      <x:c r="R350" s="6"/>
      <x:c r="S350" s="6"/>
      <x:c r="T350" s="6" t="str">
        <x:f>IF(C350="","",COUNTIF($C$2:$C$601,C350))</x:f>
      </x:c>
    </x:row>
    <x:row r="351">
      <x:c r="A351" s="6"/>
      <x:c r="B351" s="6"/>
      <x:c r="C351" s="6"/>
      <x:c r="D351" s="6"/>
      <x:c r="E351" s="6"/>
      <x:c r="F351" s="6"/>
      <x:c r="G351" s="6"/>
      <x:c r="H351" s="6"/>
      <x:c r="I351" s="6"/>
      <x:c r="J351" s="6"/>
      <x:c r="K351" s="6"/>
      <x:c r="L351" s="6"/>
      <x:c r="M351" s="6"/>
      <x:c r="N351" s="6"/>
      <x:c r="O351" s="6"/>
      <x:c r="P351" s="6"/>
      <x:c r="Q351" s="6"/>
      <x:c r="R351" s="6"/>
      <x:c r="S351" s="6"/>
      <x:c r="T351" s="6" t="str">
        <x:f>IF(C351="","",COUNTIF($C$2:$C$601,C351))</x:f>
      </x:c>
    </x:row>
    <x:row r="352">
      <x:c r="A352" s="6"/>
      <x:c r="B352" s="6"/>
      <x:c r="C352" s="6"/>
      <x:c r="D352" s="6"/>
      <x:c r="E352" s="6"/>
      <x:c r="F352" s="6"/>
      <x:c r="G352" s="6"/>
      <x:c r="H352" s="6"/>
      <x:c r="I352" s="6"/>
      <x:c r="J352" s="6"/>
      <x:c r="K352" s="6"/>
      <x:c r="L352" s="6"/>
      <x:c r="M352" s="6"/>
      <x:c r="N352" s="6"/>
      <x:c r="O352" s="6"/>
      <x:c r="P352" s="6"/>
      <x:c r="Q352" s="6"/>
      <x:c r="R352" s="6"/>
      <x:c r="S352" s="6"/>
      <x:c r="T352" s="6" t="str">
        <x:f>IF(C352="","",COUNTIF($C$2:$C$601,C352))</x:f>
      </x:c>
    </x:row>
    <x:row r="353">
      <x:c r="A353" s="6"/>
      <x:c r="B353" s="6"/>
      <x:c r="C353" s="6"/>
      <x:c r="D353" s="6"/>
      <x:c r="E353" s="6"/>
      <x:c r="F353" s="6"/>
      <x:c r="G353" s="6"/>
      <x:c r="H353" s="6"/>
      <x:c r="I353" s="6"/>
      <x:c r="J353" s="6"/>
      <x:c r="K353" s="6"/>
      <x:c r="L353" s="6"/>
      <x:c r="M353" s="6"/>
      <x:c r="N353" s="6"/>
      <x:c r="O353" s="6"/>
      <x:c r="P353" s="6"/>
      <x:c r="Q353" s="6"/>
      <x:c r="R353" s="6"/>
      <x:c r="S353" s="6"/>
      <x:c r="T353" s="6" t="str">
        <x:f>IF(C353="","",COUNTIF($C$2:$C$601,C353))</x:f>
      </x:c>
    </x:row>
    <x:row r="354">
      <x:c r="A354" s="6"/>
      <x:c r="B354" s="6"/>
      <x:c r="C354" s="6"/>
      <x:c r="D354" s="6"/>
      <x:c r="E354" s="6"/>
      <x:c r="F354" s="6"/>
      <x:c r="G354" s="6"/>
      <x:c r="H354" s="6"/>
      <x:c r="I354" s="6"/>
      <x:c r="J354" s="6"/>
      <x:c r="K354" s="6"/>
      <x:c r="L354" s="6"/>
      <x:c r="M354" s="6"/>
      <x:c r="N354" s="6"/>
      <x:c r="O354" s="6"/>
      <x:c r="P354" s="6"/>
      <x:c r="Q354" s="6"/>
      <x:c r="R354" s="6"/>
      <x:c r="S354" s="6"/>
      <x:c r="T354" s="6" t="str">
        <x:f>IF(C354="","",COUNTIF($C$2:$C$601,C354))</x:f>
      </x:c>
    </x:row>
    <x:row r="355">
      <x:c r="A355" s="6"/>
      <x:c r="B355" s="6"/>
      <x:c r="C355" s="6"/>
      <x:c r="D355" s="6"/>
      <x:c r="E355" s="6"/>
      <x:c r="F355" s="6"/>
      <x:c r="G355" s="6"/>
      <x:c r="H355" s="6"/>
      <x:c r="I355" s="6"/>
      <x:c r="J355" s="6"/>
      <x:c r="K355" s="6"/>
      <x:c r="L355" s="6"/>
      <x:c r="M355" s="6"/>
      <x:c r="N355" s="6"/>
      <x:c r="O355" s="6"/>
      <x:c r="P355" s="6"/>
      <x:c r="Q355" s="6"/>
      <x:c r="R355" s="6"/>
      <x:c r="S355" s="6"/>
      <x:c r="T355" s="6" t="str">
        <x:f>IF(C355="","",COUNTIF($C$2:$C$601,C355))</x:f>
      </x:c>
    </x:row>
    <x:row r="356">
      <x:c r="A356" s="6"/>
      <x:c r="B356" s="6"/>
      <x:c r="C356" s="6"/>
      <x:c r="D356" s="6"/>
      <x:c r="E356" s="6"/>
      <x:c r="F356" s="6"/>
      <x:c r="G356" s="6"/>
      <x:c r="H356" s="6"/>
      <x:c r="I356" s="6"/>
      <x:c r="J356" s="6"/>
      <x:c r="K356" s="6"/>
      <x:c r="L356" s="6"/>
      <x:c r="M356" s="6"/>
      <x:c r="N356" s="6"/>
      <x:c r="O356" s="6"/>
      <x:c r="P356" s="6"/>
      <x:c r="Q356" s="6"/>
      <x:c r="R356" s="6"/>
      <x:c r="S356" s="6"/>
      <x:c r="T356" s="6" t="str">
        <x:f>IF(C356="","",COUNTIF($C$2:$C$601,C356))</x:f>
      </x:c>
    </x:row>
    <x:row r="357">
      <x:c r="A357" s="6"/>
      <x:c r="B357" s="6"/>
      <x:c r="C357" s="6"/>
      <x:c r="D357" s="6"/>
      <x:c r="E357" s="6"/>
      <x:c r="F357" s="6"/>
      <x:c r="G357" s="6"/>
      <x:c r="H357" s="6"/>
      <x:c r="I357" s="6"/>
      <x:c r="J357" s="6"/>
      <x:c r="K357" s="6"/>
      <x:c r="L357" s="6"/>
      <x:c r="M357" s="6"/>
      <x:c r="N357" s="6"/>
      <x:c r="O357" s="6"/>
      <x:c r="P357" s="6"/>
      <x:c r="Q357" s="6"/>
      <x:c r="R357" s="6"/>
      <x:c r="S357" s="6"/>
      <x:c r="T357" s="6" t="str">
        <x:f>IF(C357="","",COUNTIF($C$2:$C$601,C357))</x:f>
      </x:c>
    </x:row>
    <x:row r="358">
      <x:c r="A358" s="6"/>
      <x:c r="B358" s="6"/>
      <x:c r="C358" s="6"/>
      <x:c r="D358" s="6"/>
      <x:c r="E358" s="6"/>
      <x:c r="F358" s="6"/>
      <x:c r="G358" s="6"/>
      <x:c r="H358" s="6"/>
      <x:c r="I358" s="6"/>
      <x:c r="J358" s="6"/>
      <x:c r="K358" s="6"/>
      <x:c r="L358" s="6"/>
      <x:c r="M358" s="6"/>
      <x:c r="N358" s="6"/>
      <x:c r="O358" s="6"/>
      <x:c r="P358" s="6"/>
      <x:c r="Q358" s="6"/>
      <x:c r="R358" s="6"/>
      <x:c r="S358" s="6"/>
      <x:c r="T358" s="6" t="str">
        <x:f>IF(C358="","",COUNTIF($C$2:$C$601,C358))</x:f>
      </x:c>
    </x:row>
    <x:row r="359">
      <x:c r="A359" s="6"/>
      <x:c r="B359" s="6"/>
      <x:c r="C359" s="6"/>
      <x:c r="D359" s="6"/>
      <x:c r="E359" s="6"/>
      <x:c r="F359" s="6"/>
      <x:c r="G359" s="6"/>
      <x:c r="H359" s="6"/>
      <x:c r="I359" s="6"/>
      <x:c r="J359" s="6"/>
      <x:c r="K359" s="6"/>
      <x:c r="L359" s="6"/>
      <x:c r="M359" s="6"/>
      <x:c r="N359" s="6"/>
      <x:c r="O359" s="6"/>
      <x:c r="P359" s="6"/>
      <x:c r="Q359" s="6"/>
      <x:c r="R359" s="6"/>
      <x:c r="S359" s="6"/>
      <x:c r="T359" s="6" t="str">
        <x:f>IF(C359="","",COUNTIF($C$2:$C$601,C359))</x:f>
      </x:c>
    </x:row>
    <x:row r="360">
      <x:c r="A360" s="6"/>
      <x:c r="B360" s="6"/>
      <x:c r="C360" s="6"/>
      <x:c r="D360" s="6"/>
      <x:c r="E360" s="6"/>
      <x:c r="F360" s="6"/>
      <x:c r="G360" s="6"/>
      <x:c r="H360" s="6"/>
      <x:c r="I360" s="6"/>
      <x:c r="J360" s="6"/>
      <x:c r="K360" s="6"/>
      <x:c r="L360" s="6"/>
      <x:c r="M360" s="6"/>
      <x:c r="N360" s="6"/>
      <x:c r="O360" s="6"/>
      <x:c r="P360" s="6"/>
      <x:c r="Q360" s="6"/>
      <x:c r="R360" s="6"/>
      <x:c r="S360" s="6"/>
      <x:c r="T360" s="6" t="str">
        <x:f>IF(C360="","",COUNTIF($C$2:$C$601,C360))</x:f>
      </x:c>
    </x:row>
    <x:row r="361">
      <x:c r="A361" s="6"/>
      <x:c r="B361" s="6"/>
      <x:c r="C361" s="6"/>
      <x:c r="D361" s="6"/>
      <x:c r="E361" s="6"/>
      <x:c r="F361" s="6"/>
      <x:c r="G361" s="6"/>
      <x:c r="H361" s="6"/>
      <x:c r="I361" s="6"/>
      <x:c r="J361" s="6"/>
      <x:c r="K361" s="6"/>
      <x:c r="L361" s="6"/>
      <x:c r="M361" s="6"/>
      <x:c r="N361" s="6"/>
      <x:c r="O361" s="6"/>
      <x:c r="P361" s="6"/>
      <x:c r="Q361" s="6"/>
      <x:c r="R361" s="6"/>
      <x:c r="S361" s="6"/>
      <x:c r="T361" s="6" t="str">
        <x:f>IF(C361="","",COUNTIF($C$2:$C$601,C361))</x:f>
      </x:c>
    </x:row>
    <x:row r="362">
      <x:c r="A362" s="6"/>
      <x:c r="B362" s="6"/>
      <x:c r="C362" s="6"/>
      <x:c r="D362" s="6"/>
      <x:c r="E362" s="6"/>
      <x:c r="F362" s="6"/>
      <x:c r="G362" s="6"/>
      <x:c r="H362" s="6"/>
      <x:c r="I362" s="6"/>
      <x:c r="J362" s="6"/>
      <x:c r="K362" s="6"/>
      <x:c r="L362" s="6"/>
      <x:c r="M362" s="6"/>
      <x:c r="N362" s="6"/>
      <x:c r="O362" s="6"/>
      <x:c r="P362" s="6"/>
      <x:c r="Q362" s="6"/>
      <x:c r="R362" s="6"/>
      <x:c r="S362" s="6"/>
      <x:c r="T362" s="6" t="str">
        <x:f>IF(C362="","",COUNTIF($C$2:$C$601,C362))</x:f>
      </x:c>
    </x:row>
    <x:row r="363">
      <x:c r="A363" s="6"/>
      <x:c r="B363" s="6"/>
      <x:c r="C363" s="6"/>
      <x:c r="D363" s="6"/>
      <x:c r="E363" s="6"/>
      <x:c r="F363" s="6"/>
      <x:c r="G363" s="6"/>
      <x:c r="H363" s="6"/>
      <x:c r="I363" s="6"/>
      <x:c r="J363" s="6"/>
      <x:c r="K363" s="6"/>
      <x:c r="L363" s="6"/>
      <x:c r="M363" s="6"/>
      <x:c r="N363" s="6"/>
      <x:c r="O363" s="6"/>
      <x:c r="P363" s="6"/>
      <x:c r="Q363" s="6"/>
      <x:c r="R363" s="6"/>
      <x:c r="S363" s="6"/>
      <x:c r="T363" s="6" t="str">
        <x:f>IF(C363="","",COUNTIF($C$2:$C$601,C363))</x:f>
      </x:c>
    </x:row>
    <x:row r="364">
      <x:c r="A364" s="6"/>
      <x:c r="B364" s="6"/>
      <x:c r="C364" s="6"/>
      <x:c r="D364" s="6"/>
      <x:c r="E364" s="6"/>
      <x:c r="F364" s="6"/>
      <x:c r="G364" s="6"/>
      <x:c r="H364" s="6"/>
      <x:c r="I364" s="6"/>
      <x:c r="J364" s="6"/>
      <x:c r="K364" s="6"/>
      <x:c r="L364" s="6"/>
      <x:c r="M364" s="6"/>
      <x:c r="N364" s="6"/>
      <x:c r="O364" s="6"/>
      <x:c r="P364" s="6"/>
      <x:c r="Q364" s="6"/>
      <x:c r="R364" s="6"/>
      <x:c r="S364" s="6"/>
      <x:c r="T364" s="6" t="str">
        <x:f>IF(C364="","",COUNTIF($C$2:$C$601,C364))</x:f>
      </x:c>
    </x:row>
    <x:row r="365">
      <x:c r="A365" s="6"/>
      <x:c r="B365" s="6"/>
      <x:c r="C365" s="6"/>
      <x:c r="D365" s="6"/>
      <x:c r="E365" s="6"/>
      <x:c r="F365" s="6"/>
      <x:c r="G365" s="6"/>
      <x:c r="H365" s="6"/>
      <x:c r="I365" s="6"/>
      <x:c r="J365" s="6"/>
      <x:c r="K365" s="6"/>
      <x:c r="L365" s="6"/>
      <x:c r="M365" s="6"/>
      <x:c r="N365" s="6"/>
      <x:c r="O365" s="6"/>
      <x:c r="P365" s="6"/>
      <x:c r="Q365" s="6"/>
      <x:c r="R365" s="6"/>
      <x:c r="S365" s="6"/>
      <x:c r="T365" s="6" t="str">
        <x:f>IF(C365="","",COUNTIF($C$2:$C$601,C365))</x:f>
      </x:c>
    </x:row>
    <x:row r="366">
      <x:c r="A366" s="6"/>
      <x:c r="B366" s="6"/>
      <x:c r="C366" s="6"/>
      <x:c r="D366" s="6"/>
      <x:c r="E366" s="6"/>
      <x:c r="F366" s="6"/>
      <x:c r="G366" s="6"/>
      <x:c r="H366" s="6"/>
      <x:c r="I366" s="6"/>
      <x:c r="J366" s="6"/>
      <x:c r="K366" s="6"/>
      <x:c r="L366" s="6"/>
      <x:c r="M366" s="6"/>
      <x:c r="N366" s="6"/>
      <x:c r="O366" s="6"/>
      <x:c r="P366" s="6"/>
      <x:c r="Q366" s="6"/>
      <x:c r="R366" s="6"/>
      <x:c r="S366" s="6"/>
      <x:c r="T366" s="6" t="str">
        <x:f>IF(C366="","",COUNTIF($C$2:$C$601,C366))</x:f>
      </x:c>
    </x:row>
    <x:row r="367">
      <x:c r="A367" s="6"/>
      <x:c r="B367" s="6"/>
      <x:c r="C367" s="6"/>
      <x:c r="D367" s="6"/>
      <x:c r="E367" s="6"/>
      <x:c r="F367" s="6"/>
      <x:c r="G367" s="6"/>
      <x:c r="H367" s="6"/>
      <x:c r="I367" s="6"/>
      <x:c r="J367" s="6"/>
      <x:c r="K367" s="6"/>
      <x:c r="L367" s="6"/>
      <x:c r="M367" s="6"/>
      <x:c r="N367" s="6"/>
      <x:c r="O367" s="6"/>
      <x:c r="P367" s="6"/>
      <x:c r="Q367" s="6"/>
      <x:c r="R367" s="6"/>
      <x:c r="S367" s="6"/>
      <x:c r="T367" s="6" t="str">
        <x:f>IF(C367="","",COUNTIF($C$2:$C$601,C367))</x:f>
      </x:c>
    </x:row>
    <x:row r="368">
      <x:c r="A368" s="6"/>
      <x:c r="B368" s="6"/>
      <x:c r="C368" s="6"/>
      <x:c r="D368" s="6"/>
      <x:c r="E368" s="6"/>
      <x:c r="F368" s="6"/>
      <x:c r="G368" s="6"/>
      <x:c r="H368" s="6"/>
      <x:c r="I368" s="6"/>
      <x:c r="J368" s="6"/>
      <x:c r="K368" s="6"/>
      <x:c r="L368" s="6"/>
      <x:c r="M368" s="6"/>
      <x:c r="N368" s="6"/>
      <x:c r="O368" s="6"/>
      <x:c r="P368" s="6"/>
      <x:c r="Q368" s="6"/>
      <x:c r="R368" s="6"/>
      <x:c r="S368" s="6"/>
      <x:c r="T368" s="6" t="str">
        <x:f>IF(C368="","",COUNTIF($C$2:$C$601,C368))</x:f>
      </x:c>
    </x:row>
    <x:row r="369">
      <x:c r="A369" s="6"/>
      <x:c r="B369" s="6"/>
      <x:c r="C369" s="6"/>
      <x:c r="D369" s="6"/>
      <x:c r="E369" s="6"/>
      <x:c r="F369" s="6"/>
      <x:c r="G369" s="6"/>
      <x:c r="H369" s="6"/>
      <x:c r="I369" s="6"/>
      <x:c r="J369" s="6"/>
      <x:c r="K369" s="6"/>
      <x:c r="L369" s="6"/>
      <x:c r="M369" s="6"/>
      <x:c r="N369" s="6"/>
      <x:c r="O369" s="6"/>
      <x:c r="P369" s="6"/>
      <x:c r="Q369" s="6"/>
      <x:c r="R369" s="6"/>
      <x:c r="S369" s="6"/>
      <x:c r="T369" s="6" t="str">
        <x:f>IF(C369="","",COUNTIF($C$2:$C$601,C369))</x:f>
      </x:c>
    </x:row>
    <x:row r="370">
      <x:c r="A370" s="6"/>
      <x:c r="B370" s="6"/>
      <x:c r="C370" s="6"/>
      <x:c r="D370" s="6"/>
      <x:c r="E370" s="6"/>
      <x:c r="F370" s="6"/>
      <x:c r="G370" s="6"/>
      <x:c r="H370" s="6"/>
      <x:c r="I370" s="6"/>
      <x:c r="J370" s="6"/>
      <x:c r="K370" s="6"/>
      <x:c r="L370" s="6"/>
      <x:c r="M370" s="6"/>
      <x:c r="N370" s="6"/>
      <x:c r="O370" s="6"/>
      <x:c r="P370" s="6"/>
      <x:c r="Q370" s="6"/>
      <x:c r="R370" s="6"/>
      <x:c r="S370" s="6"/>
      <x:c r="T370" s="6" t="str">
        <x:f>IF(C370="","",COUNTIF($C$2:$C$601,C370))</x:f>
      </x:c>
    </x:row>
    <x:row r="371">
      <x:c r="A371" s="6"/>
      <x:c r="B371" s="6"/>
      <x:c r="C371" s="6"/>
      <x:c r="D371" s="6"/>
      <x:c r="E371" s="6"/>
      <x:c r="F371" s="6"/>
      <x:c r="G371" s="6"/>
      <x:c r="H371" s="6"/>
      <x:c r="I371" s="6"/>
      <x:c r="J371" s="6"/>
      <x:c r="K371" s="6"/>
      <x:c r="L371" s="6"/>
      <x:c r="M371" s="6"/>
      <x:c r="N371" s="6"/>
      <x:c r="O371" s="6"/>
      <x:c r="P371" s="6"/>
      <x:c r="Q371" s="6"/>
      <x:c r="R371" s="6"/>
      <x:c r="S371" s="6"/>
      <x:c r="T371" s="6" t="str">
        <x:f>IF(C371="","",COUNTIF($C$2:$C$601,C371))</x:f>
      </x:c>
    </x:row>
    <x:row r="372">
      <x:c r="A372" s="6"/>
      <x:c r="B372" s="6"/>
      <x:c r="C372" s="6"/>
      <x:c r="D372" s="6"/>
      <x:c r="E372" s="6"/>
      <x:c r="F372" s="6"/>
      <x:c r="G372" s="6"/>
      <x:c r="H372" s="6"/>
      <x:c r="I372" s="6"/>
      <x:c r="J372" s="6"/>
      <x:c r="K372" s="6"/>
      <x:c r="L372" s="6"/>
      <x:c r="M372" s="6"/>
      <x:c r="N372" s="6"/>
      <x:c r="O372" s="6"/>
      <x:c r="P372" s="6"/>
      <x:c r="Q372" s="6"/>
      <x:c r="R372" s="6"/>
      <x:c r="S372" s="6"/>
      <x:c r="T372" s="6" t="str">
        <x:f>IF(C372="","",COUNTIF($C$2:$C$601,C372))</x:f>
      </x:c>
    </x:row>
    <x:row r="373">
      <x:c r="A373" s="6"/>
      <x:c r="B373" s="6"/>
      <x:c r="C373" s="6"/>
      <x:c r="D373" s="6"/>
      <x:c r="E373" s="6"/>
      <x:c r="F373" s="6"/>
      <x:c r="G373" s="6"/>
      <x:c r="H373" s="6"/>
      <x:c r="I373" s="6"/>
      <x:c r="J373" s="6"/>
      <x:c r="K373" s="6"/>
      <x:c r="L373" s="6"/>
      <x:c r="M373" s="6"/>
      <x:c r="N373" s="6"/>
      <x:c r="O373" s="6"/>
      <x:c r="P373" s="6"/>
      <x:c r="Q373" s="6"/>
      <x:c r="R373" s="6"/>
      <x:c r="S373" s="6"/>
      <x:c r="T373" s="6" t="str">
        <x:f>IF(C373="","",COUNTIF($C$2:$C$601,C373))</x:f>
      </x:c>
    </x:row>
    <x:row r="374">
      <x:c r="A374" s="6"/>
      <x:c r="B374" s="6"/>
      <x:c r="C374" s="6"/>
      <x:c r="D374" s="6"/>
      <x:c r="E374" s="6"/>
      <x:c r="F374" s="6"/>
      <x:c r="G374" s="6"/>
      <x:c r="H374" s="6"/>
      <x:c r="I374" s="6"/>
      <x:c r="J374" s="6"/>
      <x:c r="K374" s="6"/>
      <x:c r="L374" s="6"/>
      <x:c r="M374" s="6"/>
      <x:c r="N374" s="6"/>
      <x:c r="O374" s="6"/>
      <x:c r="P374" s="6"/>
      <x:c r="Q374" s="6"/>
      <x:c r="R374" s="6"/>
      <x:c r="S374" s="6"/>
      <x:c r="T374" s="6" t="str">
        <x:f>IF(C374="","",COUNTIF($C$2:$C$601,C374))</x:f>
      </x:c>
    </x:row>
    <x:row r="375">
      <x:c r="A375" s="6"/>
      <x:c r="B375" s="6"/>
      <x:c r="C375" s="6"/>
      <x:c r="D375" s="6"/>
      <x:c r="E375" s="6"/>
      <x:c r="F375" s="6"/>
      <x:c r="G375" s="6"/>
      <x:c r="H375" s="6"/>
      <x:c r="I375" s="6"/>
      <x:c r="J375" s="6"/>
      <x:c r="K375" s="6"/>
      <x:c r="L375" s="6"/>
      <x:c r="M375" s="6"/>
      <x:c r="N375" s="6"/>
      <x:c r="O375" s="6"/>
      <x:c r="P375" s="6"/>
      <x:c r="Q375" s="6"/>
      <x:c r="R375" s="6"/>
      <x:c r="S375" s="6"/>
      <x:c r="T375" s="6" t="str">
        <x:f>IF(C375="","",COUNTIF($C$2:$C$601,C375))</x:f>
      </x:c>
    </x:row>
    <x:row r="376">
      <x:c r="A376" s="6"/>
      <x:c r="B376" s="6"/>
      <x:c r="C376" s="6"/>
      <x:c r="D376" s="6"/>
      <x:c r="E376" s="6"/>
      <x:c r="F376" s="6"/>
      <x:c r="G376" s="6"/>
      <x:c r="H376" s="6"/>
      <x:c r="I376" s="6"/>
      <x:c r="J376" s="6"/>
      <x:c r="K376" s="6"/>
      <x:c r="L376" s="6"/>
      <x:c r="M376" s="6"/>
      <x:c r="N376" s="6"/>
      <x:c r="O376" s="6"/>
      <x:c r="P376" s="6"/>
      <x:c r="Q376" s="6"/>
      <x:c r="R376" s="6"/>
      <x:c r="S376" s="6"/>
      <x:c r="T376" s="6" t="str">
        <x:f>IF(C376="","",COUNTIF($C$2:$C$601,C376))</x:f>
      </x:c>
    </x:row>
    <x:row r="377">
      <x:c r="A377" s="6"/>
      <x:c r="B377" s="6"/>
      <x:c r="C377" s="6"/>
      <x:c r="D377" s="6"/>
      <x:c r="E377" s="6"/>
      <x:c r="F377" s="6"/>
      <x:c r="G377" s="6"/>
      <x:c r="H377" s="6"/>
      <x:c r="I377" s="6"/>
      <x:c r="J377" s="6"/>
      <x:c r="K377" s="6"/>
      <x:c r="L377" s="6"/>
      <x:c r="M377" s="6"/>
      <x:c r="N377" s="6"/>
      <x:c r="O377" s="6"/>
      <x:c r="P377" s="6"/>
      <x:c r="Q377" s="6"/>
      <x:c r="R377" s="6"/>
      <x:c r="S377" s="6"/>
      <x:c r="T377" s="6" t="str">
        <x:f>IF(C377="","",COUNTIF($C$2:$C$601,C377))</x:f>
      </x:c>
    </x:row>
    <x:row r="378">
      <x:c r="A378" s="6"/>
      <x:c r="B378" s="6"/>
      <x:c r="C378" s="6"/>
      <x:c r="D378" s="6"/>
      <x:c r="E378" s="6"/>
      <x:c r="F378" s="6"/>
      <x:c r="G378" s="6"/>
      <x:c r="H378" s="6"/>
      <x:c r="I378" s="6"/>
      <x:c r="J378" s="6"/>
      <x:c r="K378" s="6"/>
      <x:c r="L378" s="6"/>
      <x:c r="M378" s="6"/>
      <x:c r="N378" s="6"/>
      <x:c r="O378" s="6"/>
      <x:c r="P378" s="6"/>
      <x:c r="Q378" s="6"/>
      <x:c r="R378" s="6"/>
      <x:c r="S378" s="6"/>
      <x:c r="T378" s="6" t="str">
        <x:f>IF(C378="","",COUNTIF($C$2:$C$601,C378))</x:f>
      </x:c>
    </x:row>
    <x:row r="379">
      <x:c r="A379" s="6"/>
      <x:c r="B379" s="6"/>
      <x:c r="C379" s="6"/>
      <x:c r="D379" s="6"/>
      <x:c r="E379" s="6"/>
      <x:c r="F379" s="6"/>
      <x:c r="G379" s="6"/>
      <x:c r="H379" s="6"/>
      <x:c r="I379" s="6"/>
      <x:c r="J379" s="6"/>
      <x:c r="K379" s="6"/>
      <x:c r="L379" s="6"/>
      <x:c r="M379" s="6"/>
      <x:c r="N379" s="6"/>
      <x:c r="O379" s="6"/>
      <x:c r="P379" s="6"/>
      <x:c r="Q379" s="6"/>
      <x:c r="R379" s="6"/>
      <x:c r="S379" s="6"/>
      <x:c r="T379" s="6" t="str">
        <x:f>IF(C379="","",COUNTIF($C$2:$C$601,C379))</x:f>
      </x:c>
    </x:row>
    <x:row r="380">
      <x:c r="A380" s="6"/>
      <x:c r="B380" s="6"/>
      <x:c r="C380" s="6"/>
      <x:c r="D380" s="6"/>
      <x:c r="E380" s="6"/>
      <x:c r="F380" s="6"/>
      <x:c r="G380" s="6"/>
      <x:c r="H380" s="6"/>
      <x:c r="I380" s="6"/>
      <x:c r="J380" s="6"/>
      <x:c r="K380" s="6"/>
      <x:c r="L380" s="6"/>
      <x:c r="M380" s="6"/>
      <x:c r="N380" s="6"/>
      <x:c r="O380" s="6"/>
      <x:c r="P380" s="6"/>
      <x:c r="Q380" s="6"/>
      <x:c r="R380" s="6"/>
      <x:c r="S380" s="6"/>
      <x:c r="T380" s="6" t="str">
        <x:f>IF(C380="","",COUNTIF($C$2:$C$601,C380))</x:f>
      </x:c>
    </x:row>
    <x:row r="381">
      <x:c r="A381" s="6"/>
      <x:c r="B381" s="6"/>
      <x:c r="C381" s="6"/>
      <x:c r="D381" s="6"/>
      <x:c r="E381" s="6"/>
      <x:c r="F381" s="6"/>
      <x:c r="G381" s="6"/>
      <x:c r="H381" s="6"/>
      <x:c r="I381" s="6"/>
      <x:c r="J381" s="6"/>
      <x:c r="K381" s="6"/>
      <x:c r="L381" s="6"/>
      <x:c r="M381" s="6"/>
      <x:c r="N381" s="6"/>
      <x:c r="O381" s="6"/>
      <x:c r="P381" s="6"/>
      <x:c r="Q381" s="6"/>
      <x:c r="R381" s="6"/>
      <x:c r="S381" s="6"/>
      <x:c r="T381" s="6" t="str">
        <x:f>IF(C381="","",COUNTIF($C$2:$C$601,C381))</x:f>
      </x:c>
    </x:row>
    <x:row r="382">
      <x:c r="A382" s="6"/>
      <x:c r="B382" s="6"/>
      <x:c r="C382" s="6"/>
      <x:c r="D382" s="6"/>
      <x:c r="E382" s="6"/>
      <x:c r="F382" s="6"/>
      <x:c r="G382" s="6"/>
      <x:c r="H382" s="6"/>
      <x:c r="I382" s="6"/>
      <x:c r="J382" s="6"/>
      <x:c r="K382" s="6"/>
      <x:c r="L382" s="6"/>
      <x:c r="M382" s="6"/>
      <x:c r="N382" s="6"/>
      <x:c r="O382" s="6"/>
      <x:c r="P382" s="6"/>
      <x:c r="Q382" s="6"/>
      <x:c r="R382" s="6"/>
      <x:c r="S382" s="6"/>
      <x:c r="T382" s="6" t="str">
        <x:f>IF(C382="","",COUNTIF($C$2:$C$601,C382))</x:f>
      </x:c>
    </x:row>
    <x:row r="383">
      <x:c r="A383" s="6"/>
      <x:c r="B383" s="6"/>
      <x:c r="C383" s="6"/>
      <x:c r="D383" s="6"/>
      <x:c r="E383" s="6"/>
      <x:c r="F383" s="6"/>
      <x:c r="G383" s="6"/>
      <x:c r="H383" s="6"/>
      <x:c r="I383" s="6"/>
      <x:c r="J383" s="6"/>
      <x:c r="K383" s="6"/>
      <x:c r="L383" s="6"/>
      <x:c r="M383" s="6"/>
      <x:c r="N383" s="6"/>
      <x:c r="O383" s="6"/>
      <x:c r="P383" s="6"/>
      <x:c r="Q383" s="6"/>
      <x:c r="R383" s="6"/>
      <x:c r="S383" s="6"/>
      <x:c r="T383" s="6" t="str">
        <x:f>IF(C383="","",COUNTIF($C$2:$C$601,C383))</x:f>
      </x:c>
    </x:row>
    <x:row r="384">
      <x:c r="A384" s="6"/>
      <x:c r="B384" s="6"/>
      <x:c r="C384" s="6"/>
      <x:c r="D384" s="6"/>
      <x:c r="E384" s="6"/>
      <x:c r="F384" s="6"/>
      <x:c r="G384" s="6"/>
      <x:c r="H384" s="6"/>
      <x:c r="I384" s="6"/>
      <x:c r="J384" s="6"/>
      <x:c r="K384" s="6"/>
      <x:c r="L384" s="6"/>
      <x:c r="M384" s="6"/>
      <x:c r="N384" s="6"/>
      <x:c r="O384" s="6"/>
      <x:c r="P384" s="6"/>
      <x:c r="Q384" s="6"/>
      <x:c r="R384" s="6"/>
      <x:c r="S384" s="6"/>
      <x:c r="T384" s="6" t="str">
        <x:f>IF(C384="","",COUNTIF($C$2:$C$601,C384))</x:f>
      </x:c>
    </x:row>
    <x:row r="385">
      <x:c r="A385" s="6"/>
      <x:c r="B385" s="6"/>
      <x:c r="C385" s="6"/>
      <x:c r="D385" s="6"/>
      <x:c r="E385" s="6"/>
      <x:c r="F385" s="6"/>
      <x:c r="G385" s="6"/>
      <x:c r="H385" s="6"/>
      <x:c r="I385" s="6"/>
      <x:c r="J385" s="6"/>
      <x:c r="K385" s="6"/>
      <x:c r="L385" s="6"/>
      <x:c r="M385" s="6"/>
      <x:c r="N385" s="6"/>
      <x:c r="O385" s="6"/>
      <x:c r="P385" s="6"/>
      <x:c r="Q385" s="6"/>
      <x:c r="R385" s="6"/>
      <x:c r="S385" s="6"/>
      <x:c r="T385" s="6" t="str">
        <x:f>IF(C385="","",COUNTIF($C$2:$C$601,C385))</x:f>
      </x:c>
    </x:row>
    <x:row r="386">
      <x:c r="A386" s="6"/>
      <x:c r="B386" s="6"/>
      <x:c r="C386" s="6"/>
      <x:c r="D386" s="6"/>
      <x:c r="E386" s="6"/>
      <x:c r="F386" s="6"/>
      <x:c r="G386" s="6"/>
      <x:c r="H386" s="6"/>
      <x:c r="I386" s="6"/>
      <x:c r="J386" s="6"/>
      <x:c r="K386" s="6"/>
      <x:c r="L386" s="6"/>
      <x:c r="M386" s="6"/>
      <x:c r="N386" s="6"/>
      <x:c r="O386" s="6"/>
      <x:c r="P386" s="6"/>
      <x:c r="Q386" s="6"/>
      <x:c r="R386" s="6"/>
      <x:c r="S386" s="6"/>
      <x:c r="T386" s="6" t="str">
        <x:f>IF(C386="","",COUNTIF($C$2:$C$601,C386))</x:f>
      </x:c>
    </x:row>
    <x:row r="387">
      <x:c r="A387" s="6"/>
      <x:c r="B387" s="6"/>
      <x:c r="C387" s="6"/>
      <x:c r="D387" s="6"/>
      <x:c r="E387" s="6"/>
      <x:c r="F387" s="6"/>
      <x:c r="G387" s="6"/>
      <x:c r="H387" s="6"/>
      <x:c r="I387" s="6"/>
      <x:c r="J387" s="6"/>
      <x:c r="K387" s="6"/>
      <x:c r="L387" s="6"/>
      <x:c r="M387" s="6"/>
      <x:c r="N387" s="6"/>
      <x:c r="O387" s="6"/>
      <x:c r="P387" s="6"/>
      <x:c r="Q387" s="6"/>
      <x:c r="R387" s="6"/>
      <x:c r="S387" s="6"/>
      <x:c r="T387" s="6" t="str">
        <x:f>IF(C387="","",COUNTIF($C$2:$C$601,C387))</x:f>
      </x:c>
    </x:row>
    <x:row r="388">
      <x:c r="A388" s="6"/>
      <x:c r="B388" s="6"/>
      <x:c r="C388" s="6"/>
      <x:c r="D388" s="6"/>
      <x:c r="E388" s="6"/>
      <x:c r="F388" s="6"/>
      <x:c r="G388" s="6"/>
      <x:c r="H388" s="6"/>
      <x:c r="I388" s="6"/>
      <x:c r="J388" s="6"/>
      <x:c r="K388" s="6"/>
      <x:c r="L388" s="6"/>
      <x:c r="M388" s="6"/>
      <x:c r="N388" s="6"/>
      <x:c r="O388" s="6"/>
      <x:c r="P388" s="6"/>
      <x:c r="Q388" s="6"/>
      <x:c r="R388" s="6"/>
      <x:c r="S388" s="6"/>
      <x:c r="T388" s="6" t="str">
        <x:f>IF(C388="","",COUNTIF($C$2:$C$601,C388))</x:f>
      </x:c>
    </x:row>
    <x:row r="389">
      <x:c r="A389" s="6"/>
      <x:c r="B389" s="6"/>
      <x:c r="C389" s="6"/>
      <x:c r="D389" s="6"/>
      <x:c r="E389" s="6"/>
      <x:c r="F389" s="6"/>
      <x:c r="G389" s="6"/>
      <x:c r="H389" s="6"/>
      <x:c r="I389" s="6"/>
      <x:c r="J389" s="6"/>
      <x:c r="K389" s="6"/>
      <x:c r="L389" s="6"/>
      <x:c r="M389" s="6"/>
      <x:c r="N389" s="6"/>
      <x:c r="O389" s="6"/>
      <x:c r="P389" s="6"/>
      <x:c r="Q389" s="6"/>
      <x:c r="R389" s="6"/>
      <x:c r="S389" s="6"/>
      <x:c r="T389" s="6" t="str">
        <x:f>IF(C389="","",COUNTIF($C$2:$C$601,C389))</x:f>
      </x:c>
    </x:row>
    <x:row r="390">
      <x:c r="A390" s="6"/>
      <x:c r="B390" s="6"/>
      <x:c r="C390" s="6"/>
      <x:c r="D390" s="6"/>
      <x:c r="E390" s="6"/>
      <x:c r="F390" s="6"/>
      <x:c r="G390" s="6"/>
      <x:c r="H390" s="6"/>
      <x:c r="I390" s="6"/>
      <x:c r="J390" s="6"/>
      <x:c r="K390" s="6"/>
      <x:c r="L390" s="6"/>
      <x:c r="M390" s="6"/>
      <x:c r="N390" s="6"/>
      <x:c r="O390" s="6"/>
      <x:c r="P390" s="6"/>
      <x:c r="Q390" s="6"/>
      <x:c r="R390" s="6"/>
      <x:c r="S390" s="6"/>
      <x:c r="T390" s="6" t="str">
        <x:f>IF(C390="","",COUNTIF($C$2:$C$601,C390))</x:f>
      </x:c>
    </x:row>
    <x:row r="391">
      <x:c r="A391" s="6"/>
      <x:c r="B391" s="6"/>
      <x:c r="C391" s="6"/>
      <x:c r="D391" s="6"/>
      <x:c r="E391" s="6"/>
      <x:c r="F391" s="6"/>
      <x:c r="G391" s="6"/>
      <x:c r="H391" s="6"/>
      <x:c r="I391" s="6"/>
      <x:c r="J391" s="6"/>
      <x:c r="K391" s="6"/>
      <x:c r="L391" s="6"/>
      <x:c r="M391" s="6"/>
      <x:c r="N391" s="6"/>
      <x:c r="O391" s="6"/>
      <x:c r="P391" s="6"/>
      <x:c r="Q391" s="6"/>
      <x:c r="R391" s="6"/>
      <x:c r="S391" s="6"/>
      <x:c r="T391" s="6" t="str">
        <x:f>IF(C391="","",COUNTIF($C$2:$C$601,C391))</x:f>
      </x:c>
    </x:row>
    <x:row r="392">
      <x:c r="A392" s="6"/>
      <x:c r="B392" s="6"/>
      <x:c r="C392" s="6"/>
      <x:c r="D392" s="6"/>
      <x:c r="E392" s="6"/>
      <x:c r="F392" s="6"/>
      <x:c r="G392" s="6"/>
      <x:c r="H392" s="6"/>
      <x:c r="I392" s="6"/>
      <x:c r="J392" s="6"/>
      <x:c r="K392" s="6"/>
      <x:c r="L392" s="6"/>
      <x:c r="M392" s="6"/>
      <x:c r="N392" s="6"/>
      <x:c r="O392" s="6"/>
      <x:c r="P392" s="6"/>
      <x:c r="Q392" s="6"/>
      <x:c r="R392" s="6"/>
      <x:c r="S392" s="6"/>
      <x:c r="T392" s="6" t="str">
        <x:f>IF(C392="","",COUNTIF($C$2:$C$601,C392))</x:f>
      </x:c>
    </x:row>
    <x:row r="393">
      <x:c r="A393" s="6"/>
      <x:c r="B393" s="6"/>
      <x:c r="C393" s="6"/>
      <x:c r="D393" s="6"/>
      <x:c r="E393" s="6"/>
      <x:c r="F393" s="6"/>
      <x:c r="G393" s="6"/>
      <x:c r="H393" s="6"/>
      <x:c r="I393" s="6"/>
      <x:c r="J393" s="6"/>
      <x:c r="K393" s="6"/>
      <x:c r="L393" s="6"/>
      <x:c r="M393" s="6"/>
      <x:c r="N393" s="6"/>
      <x:c r="O393" s="6"/>
      <x:c r="P393" s="6"/>
      <x:c r="Q393" s="6"/>
      <x:c r="R393" s="6"/>
      <x:c r="S393" s="6"/>
      <x:c r="T393" s="6" t="str">
        <x:f>IF(C393="","",COUNTIF($C$2:$C$601,C393))</x:f>
      </x:c>
    </x:row>
    <x:row r="394">
      <x:c r="A394" s="6"/>
      <x:c r="B394" s="6"/>
      <x:c r="C394" s="6"/>
      <x:c r="D394" s="6"/>
      <x:c r="E394" s="6"/>
      <x:c r="F394" s="6"/>
      <x:c r="G394" s="6"/>
      <x:c r="H394" s="6"/>
      <x:c r="I394" s="6"/>
      <x:c r="J394" s="6"/>
      <x:c r="K394" s="6"/>
      <x:c r="L394" s="6"/>
      <x:c r="M394" s="6"/>
      <x:c r="N394" s="6"/>
      <x:c r="O394" s="6"/>
      <x:c r="P394" s="6"/>
      <x:c r="Q394" s="6"/>
      <x:c r="R394" s="6"/>
      <x:c r="S394" s="6"/>
      <x:c r="T394" s="6" t="str">
        <x:f>IF(C394="","",COUNTIF($C$2:$C$601,C394))</x:f>
      </x:c>
    </x:row>
    <x:row r="395">
      <x:c r="A395" s="6"/>
      <x:c r="B395" s="6"/>
      <x:c r="C395" s="6"/>
      <x:c r="D395" s="6"/>
      <x:c r="E395" s="6"/>
      <x:c r="F395" s="6"/>
      <x:c r="G395" s="6"/>
      <x:c r="H395" s="6"/>
      <x:c r="I395" s="6"/>
      <x:c r="J395" s="6"/>
      <x:c r="K395" s="6"/>
      <x:c r="L395" s="6"/>
      <x:c r="M395" s="6"/>
      <x:c r="N395" s="6"/>
      <x:c r="O395" s="6"/>
      <x:c r="P395" s="6"/>
      <x:c r="Q395" s="6"/>
      <x:c r="R395" s="6"/>
      <x:c r="S395" s="6"/>
      <x:c r="T395" s="6" t="str">
        <x:f>IF(C395="","",COUNTIF($C$2:$C$601,C395))</x:f>
      </x:c>
    </x:row>
    <x:row r="396">
      <x:c r="A396" s="6"/>
      <x:c r="B396" s="6"/>
      <x:c r="C396" s="6"/>
      <x:c r="D396" s="6"/>
      <x:c r="E396" s="6"/>
      <x:c r="F396" s="6"/>
      <x:c r="G396" s="6"/>
      <x:c r="H396" s="6"/>
      <x:c r="I396" s="6"/>
      <x:c r="J396" s="6"/>
      <x:c r="K396" s="6"/>
      <x:c r="L396" s="6"/>
      <x:c r="M396" s="6"/>
      <x:c r="N396" s="6"/>
      <x:c r="O396" s="6"/>
      <x:c r="P396" s="6"/>
      <x:c r="Q396" s="6"/>
      <x:c r="R396" s="6"/>
      <x:c r="S396" s="6"/>
      <x:c r="T396" s="6" t="str">
        <x:f>IF(C396="","",COUNTIF($C$2:$C$601,C396))</x:f>
      </x:c>
    </x:row>
    <x:row r="397">
      <x:c r="A397" s="6"/>
      <x:c r="B397" s="6"/>
      <x:c r="C397" s="6"/>
      <x:c r="D397" s="6"/>
      <x:c r="E397" s="6"/>
      <x:c r="F397" s="6"/>
      <x:c r="G397" s="6"/>
      <x:c r="H397" s="6"/>
      <x:c r="I397" s="6"/>
      <x:c r="J397" s="6"/>
      <x:c r="K397" s="6"/>
      <x:c r="L397" s="6"/>
      <x:c r="M397" s="6"/>
      <x:c r="N397" s="6"/>
      <x:c r="O397" s="6"/>
      <x:c r="P397" s="6"/>
      <x:c r="Q397" s="6"/>
      <x:c r="R397" s="6"/>
      <x:c r="S397" s="6"/>
      <x:c r="T397" s="6" t="str">
        <x:f>IF(C397="","",COUNTIF($C$2:$C$601,C397))</x:f>
      </x:c>
    </x:row>
    <x:row r="398">
      <x:c r="A398" s="6"/>
      <x:c r="B398" s="6"/>
      <x:c r="C398" s="6"/>
      <x:c r="D398" s="6"/>
      <x:c r="E398" s="6"/>
      <x:c r="F398" s="6"/>
      <x:c r="G398" s="6"/>
      <x:c r="H398" s="6"/>
      <x:c r="I398" s="6"/>
      <x:c r="J398" s="6"/>
      <x:c r="K398" s="6"/>
      <x:c r="L398" s="6"/>
      <x:c r="M398" s="6"/>
      <x:c r="N398" s="6"/>
      <x:c r="O398" s="6"/>
      <x:c r="P398" s="6"/>
      <x:c r="Q398" s="6"/>
      <x:c r="R398" s="6"/>
      <x:c r="S398" s="6"/>
      <x:c r="T398" s="6" t="str">
        <x:f>IF(C398="","",COUNTIF($C$2:$C$601,C398))</x:f>
      </x:c>
    </x:row>
    <x:row r="399">
      <x:c r="A399" s="6"/>
      <x:c r="B399" s="6"/>
      <x:c r="C399" s="6"/>
      <x:c r="D399" s="6"/>
      <x:c r="E399" s="6"/>
      <x:c r="F399" s="6"/>
      <x:c r="G399" s="6"/>
      <x:c r="H399" s="6"/>
      <x:c r="I399" s="6"/>
      <x:c r="J399" s="6"/>
      <x:c r="K399" s="6"/>
      <x:c r="L399" s="6"/>
      <x:c r="M399" s="6"/>
      <x:c r="N399" s="6"/>
      <x:c r="O399" s="6"/>
      <x:c r="P399" s="6"/>
      <x:c r="Q399" s="6"/>
      <x:c r="R399" s="6"/>
      <x:c r="S399" s="6"/>
      <x:c r="T399" s="6" t="str">
        <x:f>IF(C399="","",COUNTIF($C$2:$C$601,C399))</x:f>
      </x:c>
    </x:row>
    <x:row r="400">
      <x:c r="A400" s="6"/>
      <x:c r="B400" s="6"/>
      <x:c r="C400" s="6"/>
      <x:c r="D400" s="6"/>
      <x:c r="E400" s="6"/>
      <x:c r="F400" s="6"/>
      <x:c r="G400" s="6"/>
      <x:c r="H400" s="6"/>
      <x:c r="I400" s="6"/>
      <x:c r="J400" s="6"/>
      <x:c r="K400" s="6"/>
      <x:c r="L400" s="6"/>
      <x:c r="M400" s="6"/>
      <x:c r="N400" s="6"/>
      <x:c r="O400" s="6"/>
      <x:c r="P400" s="6"/>
      <x:c r="Q400" s="6"/>
      <x:c r="R400" s="6"/>
      <x:c r="S400" s="6"/>
      <x:c r="T400" s="6" t="str">
        <x:f>IF(C400="","",COUNTIF($C$2:$C$601,C400))</x:f>
      </x:c>
    </x:row>
    <x:row r="401">
      <x:c r="A401" s="6"/>
      <x:c r="B401" s="6"/>
      <x:c r="C401" s="6"/>
      <x:c r="D401" s="6"/>
      <x:c r="E401" s="6"/>
      <x:c r="F401" s="6"/>
      <x:c r="G401" s="6"/>
      <x:c r="H401" s="6"/>
      <x:c r="I401" s="6"/>
      <x:c r="J401" s="6"/>
      <x:c r="K401" s="6"/>
      <x:c r="L401" s="6"/>
      <x:c r="M401" s="6"/>
      <x:c r="N401" s="6"/>
      <x:c r="O401" s="6"/>
      <x:c r="P401" s="6"/>
      <x:c r="Q401" s="6"/>
      <x:c r="R401" s="6"/>
      <x:c r="S401" s="6"/>
      <x:c r="T401" s="6" t="str">
        <x:f>IF(C401="","",COUNTIF($C$2:$C$601,C401))</x:f>
      </x:c>
    </x:row>
    <x:row r="402">
      <x:c r="A402" s="6"/>
      <x:c r="B402" s="6"/>
      <x:c r="C402" s="6"/>
      <x:c r="D402" s="6"/>
      <x:c r="E402" s="6"/>
      <x:c r="F402" s="6"/>
      <x:c r="G402" s="6"/>
      <x:c r="H402" s="6"/>
      <x:c r="I402" s="6"/>
      <x:c r="J402" s="6"/>
      <x:c r="K402" s="6"/>
      <x:c r="L402" s="6"/>
      <x:c r="M402" s="6"/>
      <x:c r="N402" s="6"/>
      <x:c r="O402" s="6"/>
      <x:c r="P402" s="6"/>
      <x:c r="Q402" s="6"/>
      <x:c r="R402" s="6"/>
      <x:c r="S402" s="6"/>
      <x:c r="T402" s="6" t="str">
        <x:f>IF(C402="","",COUNTIF($C$2:$C$601,C402))</x:f>
      </x:c>
    </x:row>
    <x:row r="403">
      <x:c r="A403" s="6"/>
      <x:c r="B403" s="6"/>
      <x:c r="C403" s="6"/>
      <x:c r="D403" s="6"/>
      <x:c r="E403" s="6"/>
      <x:c r="F403" s="6"/>
      <x:c r="G403" s="6"/>
      <x:c r="H403" s="6"/>
      <x:c r="I403" s="6"/>
      <x:c r="J403" s="6"/>
      <x:c r="K403" s="6"/>
      <x:c r="L403" s="6"/>
      <x:c r="M403" s="6"/>
      <x:c r="N403" s="6"/>
      <x:c r="O403" s="6"/>
      <x:c r="P403" s="6"/>
      <x:c r="Q403" s="6"/>
      <x:c r="R403" s="6"/>
      <x:c r="S403" s="6"/>
      <x:c r="T403" s="6" t="str">
        <x:f>IF(C403="","",COUNTIF($C$2:$C$601,C403))</x:f>
      </x:c>
    </x:row>
    <x:row r="404">
      <x:c r="A404" s="6"/>
      <x:c r="B404" s="6"/>
      <x:c r="C404" s="6"/>
      <x:c r="D404" s="6"/>
      <x:c r="E404" s="6"/>
      <x:c r="F404" s="6"/>
      <x:c r="G404" s="6"/>
      <x:c r="H404" s="6"/>
      <x:c r="I404" s="6"/>
      <x:c r="J404" s="6"/>
      <x:c r="K404" s="6"/>
      <x:c r="L404" s="6"/>
      <x:c r="M404" s="6"/>
      <x:c r="N404" s="6"/>
      <x:c r="O404" s="6"/>
      <x:c r="P404" s="6"/>
      <x:c r="Q404" s="6"/>
      <x:c r="R404" s="6"/>
      <x:c r="S404" s="6"/>
      <x:c r="T404" s="6" t="str">
        <x:f>IF(C404="","",COUNTIF($C$2:$C$601,C404))</x:f>
      </x:c>
    </x:row>
    <x:row r="405">
      <x:c r="A405" s="6"/>
      <x:c r="B405" s="6"/>
      <x:c r="C405" s="6"/>
      <x:c r="D405" s="6"/>
      <x:c r="E405" s="6"/>
      <x:c r="F405" s="6"/>
      <x:c r="G405" s="6"/>
      <x:c r="H405" s="6"/>
      <x:c r="I405" s="6"/>
      <x:c r="J405" s="6"/>
      <x:c r="K405" s="6"/>
      <x:c r="L405" s="6"/>
      <x:c r="M405" s="6"/>
      <x:c r="N405" s="6"/>
      <x:c r="O405" s="6"/>
      <x:c r="P405" s="6"/>
      <x:c r="Q405" s="6"/>
      <x:c r="R405" s="6"/>
      <x:c r="S405" s="6"/>
      <x:c r="T405" s="6" t="str">
        <x:f>IF(C405="","",COUNTIF($C$2:$C$601,C405))</x:f>
      </x:c>
    </x:row>
    <x:row r="406">
      <x:c r="A406" s="6"/>
      <x:c r="B406" s="6"/>
      <x:c r="C406" s="6"/>
      <x:c r="D406" s="6"/>
      <x:c r="E406" s="6"/>
      <x:c r="F406" s="6"/>
      <x:c r="G406" s="6"/>
      <x:c r="H406" s="6"/>
      <x:c r="I406" s="6"/>
      <x:c r="J406" s="6"/>
      <x:c r="K406" s="6"/>
      <x:c r="L406" s="6"/>
      <x:c r="M406" s="6"/>
      <x:c r="N406" s="6"/>
      <x:c r="O406" s="6"/>
      <x:c r="P406" s="6"/>
      <x:c r="Q406" s="6"/>
      <x:c r="R406" s="6"/>
      <x:c r="S406" s="6"/>
      <x:c r="T406" s="6" t="str">
        <x:f>IF(C406="","",COUNTIF($C$2:$C$601,C406))</x:f>
      </x:c>
    </x:row>
    <x:row r="407">
      <x:c r="A407" s="6"/>
      <x:c r="B407" s="6"/>
      <x:c r="C407" s="6"/>
      <x:c r="D407" s="6"/>
      <x:c r="E407" s="6"/>
      <x:c r="F407" s="6"/>
      <x:c r="G407" s="6"/>
      <x:c r="H407" s="6"/>
      <x:c r="I407" s="6"/>
      <x:c r="J407" s="6"/>
      <x:c r="K407" s="6"/>
      <x:c r="L407" s="6"/>
      <x:c r="M407" s="6"/>
      <x:c r="N407" s="6"/>
      <x:c r="O407" s="6"/>
      <x:c r="P407" s="6"/>
      <x:c r="Q407" s="6"/>
      <x:c r="R407" s="6"/>
      <x:c r="S407" s="6"/>
      <x:c r="T407" s="6" t="str">
        <x:f>IF(C407="","",COUNTIF($C$2:$C$601,C407))</x:f>
      </x:c>
    </x:row>
    <x:row r="408">
      <x:c r="A408" s="6"/>
      <x:c r="B408" s="6"/>
      <x:c r="C408" s="6"/>
      <x:c r="D408" s="6"/>
      <x:c r="E408" s="6"/>
      <x:c r="F408" s="6"/>
      <x:c r="G408" s="6"/>
      <x:c r="H408" s="6"/>
      <x:c r="I408" s="6"/>
      <x:c r="J408" s="6"/>
      <x:c r="K408" s="6"/>
      <x:c r="L408" s="6"/>
      <x:c r="M408" s="6"/>
      <x:c r="N408" s="6"/>
      <x:c r="O408" s="6"/>
      <x:c r="P408" s="6"/>
      <x:c r="Q408" s="6"/>
      <x:c r="R408" s="6"/>
      <x:c r="S408" s="6"/>
      <x:c r="T408" s="6" t="str">
        <x:f>IF(C408="","",COUNTIF($C$2:$C$601,C408))</x:f>
      </x:c>
    </x:row>
    <x:row r="409">
      <x:c r="A409" s="6"/>
      <x:c r="B409" s="6"/>
      <x:c r="C409" s="6"/>
      <x:c r="D409" s="6"/>
      <x:c r="E409" s="6"/>
      <x:c r="F409" s="6"/>
      <x:c r="G409" s="6"/>
      <x:c r="H409" s="6"/>
      <x:c r="I409" s="6"/>
      <x:c r="J409" s="6"/>
      <x:c r="K409" s="6"/>
      <x:c r="L409" s="6"/>
      <x:c r="M409" s="6"/>
      <x:c r="N409" s="6"/>
      <x:c r="O409" s="6"/>
      <x:c r="P409" s="6"/>
      <x:c r="Q409" s="6"/>
      <x:c r="R409" s="6"/>
      <x:c r="S409" s="6"/>
      <x:c r="T409" s="6" t="str">
        <x:f>IF(C409="","",COUNTIF($C$2:$C$601,C409))</x:f>
      </x:c>
    </x:row>
    <x:row r="410">
      <x:c r="A410" s="6"/>
      <x:c r="B410" s="6"/>
      <x:c r="C410" s="6"/>
      <x:c r="D410" s="6"/>
      <x:c r="E410" s="6"/>
      <x:c r="F410" s="6"/>
      <x:c r="G410" s="6"/>
      <x:c r="H410" s="6"/>
      <x:c r="I410" s="6"/>
      <x:c r="J410" s="6"/>
      <x:c r="K410" s="6"/>
      <x:c r="L410" s="6"/>
      <x:c r="M410" s="6"/>
      <x:c r="N410" s="6"/>
      <x:c r="O410" s="6"/>
      <x:c r="P410" s="6"/>
      <x:c r="Q410" s="6"/>
      <x:c r="R410" s="6"/>
      <x:c r="S410" s="6"/>
      <x:c r="T410" s="6" t="str">
        <x:f>IF(C410="","",COUNTIF($C$2:$C$601,C410))</x:f>
      </x:c>
    </x:row>
    <x:row r="411">
      <x:c r="A411" s="6"/>
      <x:c r="B411" s="6"/>
      <x:c r="C411" s="6"/>
      <x:c r="D411" s="6"/>
      <x:c r="E411" s="6"/>
      <x:c r="F411" s="6"/>
      <x:c r="G411" s="6"/>
      <x:c r="H411" s="6"/>
      <x:c r="I411" s="6"/>
      <x:c r="J411" s="6"/>
      <x:c r="K411" s="6"/>
      <x:c r="L411" s="6"/>
      <x:c r="M411" s="6"/>
      <x:c r="N411" s="6"/>
      <x:c r="O411" s="6"/>
      <x:c r="P411" s="6"/>
      <x:c r="Q411" s="6"/>
      <x:c r="R411" s="6"/>
      <x:c r="S411" s="6"/>
      <x:c r="T411" s="6" t="str">
        <x:f>IF(C411="","",COUNTIF($C$2:$C$601,C411))</x:f>
      </x:c>
    </x:row>
    <x:row r="412">
      <x:c r="A412" s="6"/>
      <x:c r="B412" s="6"/>
      <x:c r="C412" s="6"/>
      <x:c r="D412" s="6"/>
      <x:c r="E412" s="6"/>
      <x:c r="F412" s="6"/>
      <x:c r="G412" s="6"/>
      <x:c r="H412" s="6"/>
      <x:c r="I412" s="6"/>
      <x:c r="J412" s="6"/>
      <x:c r="K412" s="6"/>
      <x:c r="L412" s="6"/>
      <x:c r="M412" s="6"/>
      <x:c r="N412" s="6"/>
      <x:c r="O412" s="6"/>
      <x:c r="P412" s="6"/>
      <x:c r="Q412" s="6"/>
      <x:c r="R412" s="6"/>
      <x:c r="S412" s="6"/>
      <x:c r="T412" s="6" t="str">
        <x:f>IF(C412="","",COUNTIF($C$2:$C$601,C412))</x:f>
      </x:c>
    </x:row>
    <x:row r="413">
      <x:c r="A413" s="6"/>
      <x:c r="B413" s="6"/>
      <x:c r="C413" s="6"/>
      <x:c r="D413" s="6"/>
      <x:c r="E413" s="6"/>
      <x:c r="F413" s="6"/>
      <x:c r="G413" s="6"/>
      <x:c r="H413" s="6"/>
      <x:c r="I413" s="6"/>
      <x:c r="J413" s="6"/>
      <x:c r="K413" s="6"/>
      <x:c r="L413" s="6"/>
      <x:c r="M413" s="6"/>
      <x:c r="N413" s="6"/>
      <x:c r="O413" s="6"/>
      <x:c r="P413" s="6"/>
      <x:c r="Q413" s="6"/>
      <x:c r="R413" s="6"/>
      <x:c r="S413" s="6"/>
      <x:c r="T413" s="6" t="str">
        <x:f>IF(C413="","",COUNTIF($C$2:$C$601,C413))</x:f>
      </x:c>
    </x:row>
    <x:row r="414">
      <x:c r="A414" s="6"/>
      <x:c r="B414" s="6"/>
      <x:c r="C414" s="6"/>
      <x:c r="D414" s="6"/>
      <x:c r="E414" s="6"/>
      <x:c r="F414" s="6"/>
      <x:c r="G414" s="6"/>
      <x:c r="H414" s="6"/>
      <x:c r="I414" s="6"/>
      <x:c r="J414" s="6"/>
      <x:c r="K414" s="6"/>
      <x:c r="L414" s="6"/>
      <x:c r="M414" s="6"/>
      <x:c r="N414" s="6"/>
      <x:c r="O414" s="6"/>
      <x:c r="P414" s="6"/>
      <x:c r="Q414" s="6"/>
      <x:c r="R414" s="6"/>
      <x:c r="S414" s="6"/>
      <x:c r="T414" s="6" t="str">
        <x:f>IF(C414="","",COUNTIF($C$2:$C$601,C414))</x:f>
      </x:c>
    </x:row>
    <x:row r="415">
      <x:c r="A415" s="6"/>
      <x:c r="B415" s="6"/>
      <x:c r="C415" s="6"/>
      <x:c r="D415" s="6"/>
      <x:c r="E415" s="6"/>
      <x:c r="F415" s="6"/>
      <x:c r="G415" s="6"/>
      <x:c r="H415" s="6"/>
      <x:c r="I415" s="6"/>
      <x:c r="J415" s="6"/>
      <x:c r="K415" s="6"/>
      <x:c r="L415" s="6"/>
      <x:c r="M415" s="6"/>
      <x:c r="N415" s="6"/>
      <x:c r="O415" s="6"/>
      <x:c r="P415" s="6"/>
      <x:c r="Q415" s="6"/>
      <x:c r="R415" s="6"/>
      <x:c r="S415" s="6"/>
      <x:c r="T415" s="6" t="str">
        <x:f>IF(C415="","",COUNTIF($C$2:$C$601,C415))</x:f>
      </x:c>
    </x:row>
    <x:row r="416">
      <x:c r="A416" s="6"/>
      <x:c r="B416" s="6"/>
      <x:c r="C416" s="6"/>
      <x:c r="D416" s="6"/>
      <x:c r="E416" s="6"/>
      <x:c r="F416" s="6"/>
      <x:c r="G416" s="6"/>
      <x:c r="H416" s="6"/>
      <x:c r="I416" s="6"/>
      <x:c r="J416" s="6"/>
      <x:c r="K416" s="6"/>
      <x:c r="L416" s="6"/>
      <x:c r="M416" s="6"/>
      <x:c r="N416" s="6"/>
      <x:c r="O416" s="6"/>
      <x:c r="P416" s="6"/>
      <x:c r="Q416" s="6"/>
      <x:c r="R416" s="6"/>
      <x:c r="S416" s="6"/>
      <x:c r="T416" s="6" t="str">
        <x:f>IF(C416="","",COUNTIF($C$2:$C$601,C416))</x:f>
      </x:c>
    </x:row>
    <x:row r="417">
      <x:c r="A417" s="6"/>
      <x:c r="B417" s="6"/>
      <x:c r="C417" s="6"/>
      <x:c r="D417" s="6"/>
      <x:c r="E417" s="6"/>
      <x:c r="F417" s="6"/>
      <x:c r="G417" s="6"/>
      <x:c r="H417" s="6"/>
      <x:c r="I417" s="6"/>
      <x:c r="J417" s="6"/>
      <x:c r="K417" s="6"/>
      <x:c r="L417" s="6"/>
      <x:c r="M417" s="6"/>
      <x:c r="N417" s="6"/>
      <x:c r="O417" s="6"/>
      <x:c r="P417" s="6"/>
      <x:c r="Q417" s="6"/>
      <x:c r="R417" s="6"/>
      <x:c r="S417" s="6"/>
      <x:c r="T417" s="6" t="str">
        <x:f>IF(C417="","",COUNTIF($C$2:$C$601,C417))</x:f>
      </x:c>
    </x:row>
    <x:row r="418">
      <x:c r="A418" s="6"/>
      <x:c r="B418" s="6"/>
      <x:c r="C418" s="6"/>
      <x:c r="D418" s="6"/>
      <x:c r="E418" s="6"/>
      <x:c r="F418" s="6"/>
      <x:c r="G418" s="6"/>
      <x:c r="H418" s="6"/>
      <x:c r="I418" s="6"/>
      <x:c r="J418" s="6"/>
      <x:c r="K418" s="6"/>
      <x:c r="L418" s="6"/>
      <x:c r="M418" s="6"/>
      <x:c r="N418" s="6"/>
      <x:c r="O418" s="6"/>
      <x:c r="P418" s="6"/>
      <x:c r="Q418" s="6"/>
      <x:c r="R418" s="6"/>
      <x:c r="S418" s="6"/>
      <x:c r="T418" s="6" t="str">
        <x:f>IF(C418="","",COUNTIF($C$2:$C$601,C418))</x:f>
      </x:c>
    </x:row>
    <x:row r="419">
      <x:c r="A419" s="6"/>
      <x:c r="B419" s="6"/>
      <x:c r="C419" s="6"/>
      <x:c r="D419" s="6"/>
      <x:c r="E419" s="6"/>
      <x:c r="F419" s="6"/>
      <x:c r="G419" s="6"/>
      <x:c r="H419" s="6"/>
      <x:c r="I419" s="6"/>
      <x:c r="J419" s="6"/>
      <x:c r="K419" s="6"/>
      <x:c r="L419" s="6"/>
      <x:c r="M419" s="6"/>
      <x:c r="N419" s="6"/>
      <x:c r="O419" s="6"/>
      <x:c r="P419" s="6"/>
      <x:c r="Q419" s="6"/>
      <x:c r="R419" s="6"/>
      <x:c r="S419" s="6"/>
      <x:c r="T419" s="6" t="str">
        <x:f>IF(C419="","",COUNTIF($C$2:$C$601,C419))</x:f>
      </x:c>
    </x:row>
    <x:row r="420">
      <x:c r="A420" s="6"/>
      <x:c r="B420" s="6"/>
      <x:c r="C420" s="6"/>
      <x:c r="D420" s="6"/>
      <x:c r="E420" s="6"/>
      <x:c r="F420" s="6"/>
      <x:c r="G420" s="6"/>
      <x:c r="H420" s="6"/>
      <x:c r="I420" s="6"/>
      <x:c r="J420" s="6"/>
      <x:c r="K420" s="6"/>
      <x:c r="L420" s="6"/>
      <x:c r="M420" s="6"/>
      <x:c r="N420" s="6"/>
      <x:c r="O420" s="6"/>
      <x:c r="P420" s="6"/>
      <x:c r="Q420" s="6"/>
      <x:c r="R420" s="6"/>
      <x:c r="S420" s="6"/>
      <x:c r="T420" s="6" t="str">
        <x:f>IF(C420="","",COUNTIF($C$2:$C$601,C420))</x:f>
      </x:c>
    </x:row>
    <x:row r="421">
      <x:c r="A421" s="6"/>
      <x:c r="B421" s="6"/>
      <x:c r="C421" s="6"/>
      <x:c r="D421" s="6"/>
      <x:c r="E421" s="6"/>
      <x:c r="F421" s="6"/>
      <x:c r="G421" s="6"/>
      <x:c r="H421" s="6"/>
      <x:c r="I421" s="6"/>
      <x:c r="J421" s="6"/>
      <x:c r="K421" s="6"/>
      <x:c r="L421" s="6"/>
      <x:c r="M421" s="6"/>
      <x:c r="N421" s="6"/>
      <x:c r="O421" s="6"/>
      <x:c r="P421" s="6"/>
      <x:c r="Q421" s="6"/>
      <x:c r="R421" s="6"/>
      <x:c r="S421" s="6"/>
      <x:c r="T421" s="6" t="str">
        <x:f>IF(C421="","",COUNTIF($C$2:$C$601,C421))</x:f>
      </x:c>
    </x:row>
    <x:row r="422">
      <x:c r="A422" s="6"/>
      <x:c r="B422" s="6"/>
      <x:c r="C422" s="6"/>
      <x:c r="D422" s="6"/>
      <x:c r="E422" s="6"/>
      <x:c r="F422" s="6"/>
      <x:c r="G422" s="6"/>
      <x:c r="H422" s="6"/>
      <x:c r="I422" s="6"/>
      <x:c r="J422" s="6"/>
      <x:c r="K422" s="6"/>
      <x:c r="L422" s="6"/>
      <x:c r="M422" s="6"/>
      <x:c r="N422" s="6"/>
      <x:c r="O422" s="6"/>
      <x:c r="P422" s="6"/>
      <x:c r="Q422" s="6"/>
      <x:c r="R422" s="6"/>
      <x:c r="S422" s="6"/>
      <x:c r="T422" s="6" t="str">
        <x:f>IF(C422="","",COUNTIF($C$2:$C$601,C422))</x:f>
      </x:c>
    </x:row>
    <x:row r="423">
      <x:c r="A423" s="6"/>
      <x:c r="B423" s="6"/>
      <x:c r="C423" s="6"/>
      <x:c r="D423" s="6"/>
      <x:c r="E423" s="6"/>
      <x:c r="F423" s="6"/>
      <x:c r="G423" s="6"/>
      <x:c r="H423" s="6"/>
      <x:c r="I423" s="6"/>
      <x:c r="J423" s="6"/>
      <x:c r="K423" s="6"/>
      <x:c r="L423" s="6"/>
      <x:c r="M423" s="6"/>
      <x:c r="N423" s="6"/>
      <x:c r="O423" s="6"/>
      <x:c r="P423" s="6"/>
      <x:c r="Q423" s="6"/>
      <x:c r="R423" s="6"/>
      <x:c r="S423" s="6"/>
      <x:c r="T423" s="6" t="str">
        <x:f>IF(C423="","",COUNTIF($C$2:$C$601,C423))</x:f>
      </x:c>
    </x:row>
    <x:row r="424">
      <x:c r="A424" s="6"/>
      <x:c r="B424" s="6"/>
      <x:c r="C424" s="6"/>
      <x:c r="D424" s="6"/>
      <x:c r="E424" s="6"/>
      <x:c r="F424" s="6"/>
      <x:c r="G424" s="6"/>
      <x:c r="H424" s="6"/>
      <x:c r="I424" s="6"/>
      <x:c r="J424" s="6"/>
      <x:c r="K424" s="6"/>
      <x:c r="L424" s="6"/>
      <x:c r="M424" s="6"/>
      <x:c r="N424" s="6"/>
      <x:c r="O424" s="6"/>
      <x:c r="P424" s="6"/>
      <x:c r="Q424" s="6"/>
      <x:c r="R424" s="6"/>
      <x:c r="S424" s="6"/>
      <x:c r="T424" s="6" t="str">
        <x:f>IF(C424="","",COUNTIF($C$2:$C$601,C424))</x:f>
      </x:c>
    </x:row>
    <x:row r="425">
      <x:c r="A425" s="6"/>
      <x:c r="B425" s="6"/>
      <x:c r="C425" s="6"/>
      <x:c r="D425" s="6"/>
      <x:c r="E425" s="6"/>
      <x:c r="F425" s="6"/>
      <x:c r="G425" s="6"/>
      <x:c r="H425" s="6"/>
      <x:c r="I425" s="6"/>
      <x:c r="J425" s="6"/>
      <x:c r="K425" s="6"/>
      <x:c r="L425" s="6"/>
      <x:c r="M425" s="6"/>
      <x:c r="N425" s="6"/>
      <x:c r="O425" s="6"/>
      <x:c r="P425" s="6"/>
      <x:c r="Q425" s="6"/>
      <x:c r="R425" s="6"/>
      <x:c r="S425" s="6"/>
      <x:c r="T425" s="6" t="str">
        <x:f>IF(C425="","",COUNTIF($C$2:$C$601,C425))</x:f>
      </x:c>
    </x:row>
    <x:row r="426">
      <x:c r="A426" s="6"/>
      <x:c r="B426" s="6"/>
      <x:c r="C426" s="6"/>
      <x:c r="D426" s="6"/>
      <x:c r="E426" s="6"/>
      <x:c r="F426" s="6"/>
      <x:c r="G426" s="6"/>
      <x:c r="H426" s="6"/>
      <x:c r="I426" s="6"/>
      <x:c r="J426" s="6"/>
      <x:c r="K426" s="6"/>
      <x:c r="L426" s="6"/>
      <x:c r="M426" s="6"/>
      <x:c r="N426" s="6"/>
      <x:c r="O426" s="6"/>
      <x:c r="P426" s="6"/>
      <x:c r="Q426" s="6"/>
      <x:c r="R426" s="6"/>
      <x:c r="S426" s="6"/>
      <x:c r="T426" s="6" t="str">
        <x:f>IF(C426="","",COUNTIF($C$2:$C$601,C426))</x:f>
      </x:c>
    </x:row>
    <x:row r="427">
      <x:c r="A427" s="6"/>
      <x:c r="B427" s="6"/>
      <x:c r="C427" s="6"/>
      <x:c r="D427" s="6"/>
      <x:c r="E427" s="6"/>
      <x:c r="F427" s="6"/>
      <x:c r="G427" s="6"/>
      <x:c r="H427" s="6"/>
      <x:c r="I427" s="6"/>
      <x:c r="J427" s="6"/>
      <x:c r="K427" s="6"/>
      <x:c r="L427" s="6"/>
      <x:c r="M427" s="6"/>
      <x:c r="N427" s="6"/>
      <x:c r="O427" s="6"/>
      <x:c r="P427" s="6"/>
      <x:c r="Q427" s="6"/>
      <x:c r="R427" s="6"/>
      <x:c r="S427" s="6"/>
      <x:c r="T427" s="6" t="str">
        <x:f>IF(C427="","",COUNTIF($C$2:$C$601,C427))</x:f>
      </x:c>
    </x:row>
    <x:row r="428">
      <x:c r="A428" s="6"/>
      <x:c r="B428" s="6"/>
      <x:c r="C428" s="6"/>
      <x:c r="D428" s="6"/>
      <x:c r="E428" s="6"/>
      <x:c r="F428" s="6"/>
      <x:c r="G428" s="6"/>
      <x:c r="H428" s="6"/>
      <x:c r="I428" s="6"/>
      <x:c r="J428" s="6"/>
      <x:c r="K428" s="6"/>
      <x:c r="L428" s="6"/>
      <x:c r="M428" s="6"/>
      <x:c r="N428" s="6"/>
      <x:c r="O428" s="6"/>
      <x:c r="P428" s="6"/>
      <x:c r="Q428" s="6"/>
      <x:c r="R428" s="6"/>
      <x:c r="S428" s="6"/>
      <x:c r="T428" s="6" t="str">
        <x:f>IF(C428="","",COUNTIF($C$2:$C$601,C428))</x:f>
      </x:c>
    </x:row>
    <x:row r="429">
      <x:c r="A429" s="6"/>
      <x:c r="B429" s="6"/>
      <x:c r="C429" s="6"/>
      <x:c r="D429" s="6"/>
      <x:c r="E429" s="6"/>
      <x:c r="F429" s="6"/>
      <x:c r="G429" s="6"/>
      <x:c r="H429" s="6"/>
      <x:c r="I429" s="6"/>
      <x:c r="J429" s="6"/>
      <x:c r="K429" s="6"/>
      <x:c r="L429" s="6"/>
      <x:c r="M429" s="6"/>
      <x:c r="N429" s="6"/>
      <x:c r="O429" s="6"/>
      <x:c r="P429" s="6"/>
      <x:c r="Q429" s="6"/>
      <x:c r="R429" s="6"/>
      <x:c r="S429" s="6"/>
      <x:c r="T429" s="6" t="str">
        <x:f>IF(C429="","",COUNTIF($C$2:$C$601,C429))</x:f>
      </x:c>
    </x:row>
    <x:row r="430">
      <x:c r="A430" s="6"/>
      <x:c r="B430" s="6"/>
      <x:c r="C430" s="6"/>
      <x:c r="D430" s="6"/>
      <x:c r="E430" s="6"/>
      <x:c r="F430" s="6"/>
      <x:c r="G430" s="6"/>
      <x:c r="H430" s="6"/>
      <x:c r="I430" s="6"/>
      <x:c r="J430" s="6"/>
      <x:c r="K430" s="6"/>
      <x:c r="L430" s="6"/>
      <x:c r="M430" s="6"/>
      <x:c r="N430" s="6"/>
      <x:c r="O430" s="6"/>
      <x:c r="P430" s="6"/>
      <x:c r="Q430" s="6"/>
      <x:c r="R430" s="6"/>
      <x:c r="S430" s="6"/>
      <x:c r="T430" s="6" t="str">
        <x:f>IF(C430="","",COUNTIF($C$2:$C$601,C430))</x:f>
      </x:c>
    </x:row>
    <x:row r="431">
      <x:c r="A431" s="6"/>
      <x:c r="B431" s="6"/>
      <x:c r="C431" s="6"/>
      <x:c r="D431" s="6"/>
      <x:c r="E431" s="6"/>
      <x:c r="F431" s="6"/>
      <x:c r="G431" s="6"/>
      <x:c r="H431" s="6"/>
      <x:c r="I431" s="6"/>
      <x:c r="J431" s="6"/>
      <x:c r="K431" s="6"/>
      <x:c r="L431" s="6"/>
      <x:c r="M431" s="6"/>
      <x:c r="N431" s="6"/>
      <x:c r="O431" s="6"/>
      <x:c r="P431" s="6"/>
      <x:c r="Q431" s="6"/>
      <x:c r="R431" s="6"/>
      <x:c r="S431" s="6"/>
      <x:c r="T431" s="6" t="str">
        <x:f>IF(C431="","",COUNTIF($C$2:$C$601,C431))</x:f>
      </x:c>
    </x:row>
    <x:row r="432">
      <x:c r="A432" s="6"/>
      <x:c r="B432" s="6"/>
      <x:c r="C432" s="6"/>
      <x:c r="D432" s="6"/>
      <x:c r="E432" s="6"/>
      <x:c r="F432" s="6"/>
      <x:c r="G432" s="6"/>
      <x:c r="H432" s="6"/>
      <x:c r="I432" s="6"/>
      <x:c r="J432" s="6"/>
      <x:c r="K432" s="6"/>
      <x:c r="L432" s="6"/>
      <x:c r="M432" s="6"/>
      <x:c r="N432" s="6"/>
      <x:c r="O432" s="6"/>
      <x:c r="P432" s="6"/>
      <x:c r="Q432" s="6"/>
      <x:c r="R432" s="6"/>
      <x:c r="S432" s="6"/>
      <x:c r="T432" s="6" t="str">
        <x:f>IF(C432="","",COUNTIF($C$2:$C$601,C432))</x:f>
      </x:c>
    </x:row>
    <x:row r="433">
      <x:c r="A433" s="6"/>
      <x:c r="B433" s="6"/>
      <x:c r="C433" s="6"/>
      <x:c r="D433" s="6"/>
      <x:c r="E433" s="6"/>
      <x:c r="F433" s="6"/>
      <x:c r="G433" s="6"/>
      <x:c r="H433" s="6"/>
      <x:c r="I433" s="6"/>
      <x:c r="J433" s="6"/>
      <x:c r="K433" s="6"/>
      <x:c r="L433" s="6"/>
      <x:c r="M433" s="6"/>
      <x:c r="N433" s="6"/>
      <x:c r="O433" s="6"/>
      <x:c r="P433" s="6"/>
      <x:c r="Q433" s="6"/>
      <x:c r="R433" s="6"/>
      <x:c r="S433" s="6"/>
      <x:c r="T433" s="6" t="str">
        <x:f>IF(C433="","",COUNTIF($C$2:$C$601,C433))</x:f>
      </x:c>
    </x:row>
    <x:row r="434">
      <x:c r="A434" s="6"/>
      <x:c r="B434" s="6"/>
      <x:c r="C434" s="6"/>
      <x:c r="D434" s="6"/>
      <x:c r="E434" s="6"/>
      <x:c r="F434" s="6"/>
      <x:c r="G434" s="6"/>
      <x:c r="H434" s="6"/>
      <x:c r="I434" s="6"/>
      <x:c r="J434" s="6"/>
      <x:c r="K434" s="6"/>
      <x:c r="L434" s="6"/>
      <x:c r="M434" s="6"/>
      <x:c r="N434" s="6"/>
      <x:c r="O434" s="6"/>
      <x:c r="P434" s="6"/>
      <x:c r="Q434" s="6"/>
      <x:c r="R434" s="6"/>
      <x:c r="S434" s="6"/>
      <x:c r="T434" s="6" t="str">
        <x:f>IF(C434="","",COUNTIF($C$2:$C$601,C434))</x:f>
      </x:c>
    </x:row>
    <x:row r="435">
      <x:c r="A435" s="6"/>
      <x:c r="B435" s="6"/>
      <x:c r="C435" s="6"/>
      <x:c r="D435" s="6"/>
      <x:c r="E435" s="6"/>
      <x:c r="F435" s="6"/>
      <x:c r="G435" s="6"/>
      <x:c r="H435" s="6"/>
      <x:c r="I435" s="6"/>
      <x:c r="J435" s="6"/>
      <x:c r="K435" s="6"/>
      <x:c r="L435" s="6"/>
      <x:c r="M435" s="6"/>
      <x:c r="N435" s="6"/>
      <x:c r="O435" s="6"/>
      <x:c r="P435" s="6"/>
      <x:c r="Q435" s="6"/>
      <x:c r="R435" s="6"/>
      <x:c r="S435" s="6"/>
      <x:c r="T435" s="6" t="str">
        <x:f>IF(C435="","",COUNTIF($C$2:$C$601,C435))</x:f>
      </x:c>
    </x:row>
    <x:row r="436">
      <x:c r="A436" s="6"/>
      <x:c r="B436" s="6"/>
      <x:c r="C436" s="6"/>
      <x:c r="D436" s="6"/>
      <x:c r="E436" s="6"/>
      <x:c r="F436" s="6"/>
      <x:c r="G436" s="6"/>
      <x:c r="H436" s="6"/>
      <x:c r="I436" s="6"/>
      <x:c r="J436" s="6"/>
      <x:c r="K436" s="6"/>
      <x:c r="L436" s="6"/>
      <x:c r="M436" s="6"/>
      <x:c r="N436" s="6"/>
      <x:c r="O436" s="6"/>
      <x:c r="P436" s="6"/>
      <x:c r="Q436" s="6"/>
      <x:c r="R436" s="6"/>
      <x:c r="S436" s="6"/>
      <x:c r="T436" s="6" t="str">
        <x:f>IF(C436="","",COUNTIF($C$2:$C$601,C436))</x:f>
      </x:c>
    </x:row>
    <x:row r="437">
      <x:c r="A437" s="6"/>
      <x:c r="B437" s="6"/>
      <x:c r="C437" s="6"/>
      <x:c r="D437" s="6"/>
      <x:c r="E437" s="6"/>
      <x:c r="F437" s="6"/>
      <x:c r="G437" s="6"/>
      <x:c r="H437" s="6"/>
      <x:c r="I437" s="6"/>
      <x:c r="J437" s="6"/>
      <x:c r="K437" s="6"/>
      <x:c r="L437" s="6"/>
      <x:c r="M437" s="6"/>
      <x:c r="N437" s="6"/>
      <x:c r="O437" s="6"/>
      <x:c r="P437" s="6"/>
      <x:c r="Q437" s="6"/>
      <x:c r="R437" s="6"/>
      <x:c r="S437" s="6"/>
      <x:c r="T437" s="6" t="str">
        <x:f>IF(C437="","",COUNTIF($C$2:$C$601,C437))</x:f>
      </x:c>
    </x:row>
    <x:row r="438">
      <x:c r="A438" s="6"/>
      <x:c r="B438" s="6"/>
      <x:c r="C438" s="6"/>
      <x:c r="D438" s="6"/>
      <x:c r="E438" s="6"/>
      <x:c r="F438" s="6"/>
      <x:c r="G438" s="6"/>
      <x:c r="H438" s="6"/>
      <x:c r="I438" s="6"/>
      <x:c r="J438" s="6"/>
      <x:c r="K438" s="6"/>
      <x:c r="L438" s="6"/>
      <x:c r="M438" s="6"/>
      <x:c r="N438" s="6"/>
      <x:c r="O438" s="6"/>
      <x:c r="P438" s="6"/>
      <x:c r="Q438" s="6"/>
      <x:c r="R438" s="6"/>
      <x:c r="S438" s="6"/>
      <x:c r="T438" s="6" t="str">
        <x:f>IF(C438="","",COUNTIF($C$2:$C$601,C438))</x:f>
      </x:c>
    </x:row>
    <x:row r="439">
      <x:c r="A439" s="6"/>
      <x:c r="B439" s="6"/>
      <x:c r="C439" s="6"/>
      <x:c r="D439" s="6"/>
      <x:c r="E439" s="6"/>
      <x:c r="F439" s="6"/>
      <x:c r="G439" s="6"/>
      <x:c r="H439" s="6"/>
      <x:c r="I439" s="6"/>
      <x:c r="J439" s="6"/>
      <x:c r="K439" s="6"/>
      <x:c r="L439" s="6"/>
      <x:c r="M439" s="6"/>
      <x:c r="N439" s="6"/>
      <x:c r="O439" s="6"/>
      <x:c r="P439" s="6"/>
      <x:c r="Q439" s="6"/>
      <x:c r="R439" s="6"/>
      <x:c r="S439" s="6"/>
      <x:c r="T439" s="6" t="str">
        <x:f>IF(C439="","",COUNTIF($C$2:$C$601,C439))</x:f>
      </x:c>
    </x:row>
    <x:row r="440">
      <x:c r="A440" s="6"/>
      <x:c r="B440" s="6"/>
      <x:c r="C440" s="6"/>
      <x:c r="D440" s="6"/>
      <x:c r="E440" s="6"/>
      <x:c r="F440" s="6"/>
      <x:c r="G440" s="6"/>
      <x:c r="H440" s="6"/>
      <x:c r="I440" s="6"/>
      <x:c r="J440" s="6"/>
      <x:c r="K440" s="6"/>
      <x:c r="L440" s="6"/>
      <x:c r="M440" s="6"/>
      <x:c r="N440" s="6"/>
      <x:c r="O440" s="6"/>
      <x:c r="P440" s="6"/>
      <x:c r="Q440" s="6"/>
      <x:c r="R440" s="6"/>
      <x:c r="S440" s="6"/>
      <x:c r="T440" s="6" t="str">
        <x:f>IF(C440="","",COUNTIF($C$2:$C$601,C440))</x:f>
      </x:c>
    </x:row>
    <x:row r="441">
      <x:c r="A441" s="6"/>
      <x:c r="B441" s="6"/>
      <x:c r="C441" s="6"/>
      <x:c r="D441" s="6"/>
      <x:c r="E441" s="6"/>
      <x:c r="F441" s="6"/>
      <x:c r="G441" s="6"/>
      <x:c r="H441" s="6"/>
      <x:c r="I441" s="6"/>
      <x:c r="J441" s="6"/>
      <x:c r="K441" s="6"/>
      <x:c r="L441" s="6"/>
      <x:c r="M441" s="6"/>
      <x:c r="N441" s="6"/>
      <x:c r="O441" s="6"/>
      <x:c r="P441" s="6"/>
      <x:c r="Q441" s="6"/>
      <x:c r="R441" s="6"/>
      <x:c r="S441" s="6"/>
      <x:c r="T441" s="6" t="str">
        <x:f>IF(C441="","",COUNTIF($C$2:$C$601,C441))</x:f>
      </x:c>
    </x:row>
    <x:row r="442">
      <x:c r="A442" s="6"/>
      <x:c r="B442" s="6"/>
      <x:c r="C442" s="6"/>
      <x:c r="D442" s="6"/>
      <x:c r="E442" s="6"/>
      <x:c r="F442" s="6"/>
      <x:c r="G442" s="6"/>
      <x:c r="H442" s="6"/>
      <x:c r="I442" s="6"/>
      <x:c r="J442" s="6"/>
      <x:c r="K442" s="6"/>
      <x:c r="L442" s="6"/>
      <x:c r="M442" s="6"/>
      <x:c r="N442" s="6"/>
      <x:c r="O442" s="6"/>
      <x:c r="P442" s="6"/>
      <x:c r="Q442" s="6"/>
      <x:c r="R442" s="6"/>
      <x:c r="S442" s="6"/>
      <x:c r="T442" s="6" t="str">
        <x:f>IF(C442="","",COUNTIF($C$2:$C$601,C442))</x:f>
      </x:c>
    </x:row>
    <x:row r="443">
      <x:c r="A443" s="6"/>
      <x:c r="B443" s="6"/>
      <x:c r="C443" s="6"/>
      <x:c r="D443" s="6"/>
      <x:c r="E443" s="6"/>
      <x:c r="F443" s="6"/>
      <x:c r="G443" s="6"/>
      <x:c r="H443" s="6"/>
      <x:c r="I443" s="6"/>
      <x:c r="J443" s="6"/>
      <x:c r="K443" s="6"/>
      <x:c r="L443" s="6"/>
      <x:c r="M443" s="6"/>
      <x:c r="N443" s="6"/>
      <x:c r="O443" s="6"/>
      <x:c r="P443" s="6"/>
      <x:c r="Q443" s="6"/>
      <x:c r="R443" s="6"/>
      <x:c r="S443" s="6"/>
      <x:c r="T443" s="6" t="str">
        <x:f>IF(C443="","",COUNTIF($C$2:$C$601,C443))</x:f>
      </x:c>
    </x:row>
    <x:row r="444">
      <x:c r="A444" s="6"/>
      <x:c r="B444" s="6"/>
      <x:c r="C444" s="6"/>
      <x:c r="D444" s="6"/>
      <x:c r="E444" s="6"/>
      <x:c r="F444" s="6"/>
      <x:c r="G444" s="6"/>
      <x:c r="H444" s="6"/>
      <x:c r="I444" s="6"/>
      <x:c r="J444" s="6"/>
      <x:c r="K444" s="6"/>
      <x:c r="L444" s="6"/>
      <x:c r="M444" s="6"/>
      <x:c r="N444" s="6"/>
      <x:c r="O444" s="6"/>
      <x:c r="P444" s="6"/>
      <x:c r="Q444" s="6"/>
      <x:c r="R444" s="6"/>
      <x:c r="S444" s="6"/>
      <x:c r="T444" s="6" t="str">
        <x:f>IF(C444="","",COUNTIF($C$2:$C$601,C444))</x:f>
      </x:c>
    </x:row>
    <x:row r="445">
      <x:c r="A445" s="6"/>
      <x:c r="B445" s="6"/>
      <x:c r="C445" s="6"/>
      <x:c r="D445" s="6"/>
      <x:c r="E445" s="6"/>
      <x:c r="F445" s="6"/>
      <x:c r="G445" s="6"/>
      <x:c r="H445" s="6"/>
      <x:c r="I445" s="6"/>
      <x:c r="J445" s="6"/>
      <x:c r="K445" s="6"/>
      <x:c r="L445" s="6"/>
      <x:c r="M445" s="6"/>
      <x:c r="N445" s="6"/>
      <x:c r="O445" s="6"/>
      <x:c r="P445" s="6"/>
      <x:c r="Q445" s="6"/>
      <x:c r="R445" s="6"/>
      <x:c r="S445" s="6"/>
      <x:c r="T445" s="6" t="str">
        <x:f>IF(C445="","",COUNTIF($C$2:$C$601,C445))</x:f>
      </x:c>
    </x:row>
    <x:row r="446">
      <x:c r="A446" s="6"/>
      <x:c r="B446" s="6"/>
      <x:c r="C446" s="6"/>
      <x:c r="D446" s="6"/>
      <x:c r="E446" s="6"/>
      <x:c r="F446" s="6"/>
      <x:c r="G446" s="6"/>
      <x:c r="H446" s="6"/>
      <x:c r="I446" s="6"/>
      <x:c r="J446" s="6"/>
      <x:c r="K446" s="6"/>
      <x:c r="L446" s="6"/>
      <x:c r="M446" s="6"/>
      <x:c r="N446" s="6"/>
      <x:c r="O446" s="6"/>
      <x:c r="P446" s="6"/>
      <x:c r="Q446" s="6"/>
      <x:c r="R446" s="6"/>
      <x:c r="S446" s="6"/>
      <x:c r="T446" s="6" t="str">
        <x:f>IF(C446="","",COUNTIF($C$2:$C$601,C446))</x:f>
      </x:c>
    </x:row>
    <x:row r="447">
      <x:c r="A447" s="6"/>
      <x:c r="B447" s="6"/>
      <x:c r="C447" s="6"/>
      <x:c r="D447" s="6"/>
      <x:c r="E447" s="6"/>
      <x:c r="F447" s="6"/>
      <x:c r="G447" s="6"/>
      <x:c r="H447" s="6"/>
      <x:c r="I447" s="6"/>
      <x:c r="J447" s="6"/>
      <x:c r="K447" s="6"/>
      <x:c r="L447" s="6"/>
      <x:c r="M447" s="6"/>
      <x:c r="N447" s="6"/>
      <x:c r="O447" s="6"/>
      <x:c r="P447" s="6"/>
      <x:c r="Q447" s="6"/>
      <x:c r="R447" s="6"/>
      <x:c r="S447" s="6"/>
      <x:c r="T447" s="6" t="str">
        <x:f>IF(C447="","",COUNTIF($C$2:$C$601,C447))</x:f>
      </x:c>
    </x:row>
    <x:row r="448">
      <x:c r="A448" s="6"/>
      <x:c r="B448" s="6"/>
      <x:c r="C448" s="6"/>
      <x:c r="D448" s="6"/>
      <x:c r="E448" s="6"/>
      <x:c r="F448" s="6"/>
      <x:c r="G448" s="6"/>
      <x:c r="H448" s="6"/>
      <x:c r="I448" s="6"/>
      <x:c r="J448" s="6"/>
      <x:c r="K448" s="6"/>
      <x:c r="L448" s="6"/>
      <x:c r="M448" s="6"/>
      <x:c r="N448" s="6"/>
      <x:c r="O448" s="6"/>
      <x:c r="P448" s="6"/>
      <x:c r="Q448" s="6"/>
      <x:c r="R448" s="6"/>
      <x:c r="S448" s="6"/>
      <x:c r="T448" s="6" t="str">
        <x:f>IF(C448="","",COUNTIF($C$2:$C$601,C448))</x:f>
      </x:c>
    </x:row>
    <x:row r="449">
      <x:c r="A449" s="6"/>
      <x:c r="B449" s="6"/>
      <x:c r="C449" s="6"/>
      <x:c r="D449" s="6"/>
      <x:c r="E449" s="6"/>
      <x:c r="F449" s="6"/>
      <x:c r="G449" s="6"/>
      <x:c r="H449" s="6"/>
      <x:c r="I449" s="6"/>
      <x:c r="J449" s="6"/>
      <x:c r="K449" s="6"/>
      <x:c r="L449" s="6"/>
      <x:c r="M449" s="6"/>
      <x:c r="N449" s="6"/>
      <x:c r="O449" s="6"/>
      <x:c r="P449" s="6"/>
      <x:c r="Q449" s="6"/>
      <x:c r="R449" s="6"/>
      <x:c r="S449" s="6"/>
      <x:c r="T449" s="6" t="str">
        <x:f>IF(C449="","",COUNTIF($C$2:$C$601,C449))</x:f>
      </x:c>
    </x:row>
    <x:row r="450">
      <x:c r="A450" s="6"/>
      <x:c r="B450" s="6"/>
      <x:c r="C450" s="6"/>
      <x:c r="D450" s="6"/>
      <x:c r="E450" s="6"/>
      <x:c r="F450" s="6"/>
      <x:c r="G450" s="6"/>
      <x:c r="H450" s="6"/>
      <x:c r="I450" s="6"/>
      <x:c r="J450" s="6"/>
      <x:c r="K450" s="6"/>
      <x:c r="L450" s="6"/>
      <x:c r="M450" s="6"/>
      <x:c r="N450" s="6"/>
      <x:c r="O450" s="6"/>
      <x:c r="P450" s="6"/>
      <x:c r="Q450" s="6"/>
      <x:c r="R450" s="6"/>
      <x:c r="S450" s="6"/>
      <x:c r="T450" s="6" t="str">
        <x:f>IF(C450="","",COUNTIF($C$2:$C$601,C450))</x:f>
      </x:c>
    </x:row>
    <x:row r="451">
      <x:c r="A451" s="6"/>
      <x:c r="B451" s="6"/>
      <x:c r="C451" s="6"/>
      <x:c r="D451" s="6"/>
      <x:c r="E451" s="6"/>
      <x:c r="F451" s="6"/>
      <x:c r="G451" s="6"/>
      <x:c r="H451" s="6"/>
      <x:c r="I451" s="6"/>
      <x:c r="J451" s="6"/>
      <x:c r="K451" s="6"/>
      <x:c r="L451" s="6"/>
      <x:c r="M451" s="6"/>
      <x:c r="N451" s="6"/>
      <x:c r="O451" s="6"/>
      <x:c r="P451" s="6"/>
      <x:c r="Q451" s="6"/>
      <x:c r="R451" s="6"/>
      <x:c r="S451" s="6"/>
      <x:c r="T451" s="6" t="str">
        <x:f>IF(C451="","",COUNTIF($C$2:$C$601,C451))</x:f>
      </x:c>
    </x:row>
    <x:row r="452">
      <x:c r="A452" s="6"/>
      <x:c r="B452" s="6"/>
      <x:c r="C452" s="6"/>
      <x:c r="D452" s="6"/>
      <x:c r="E452" s="6"/>
      <x:c r="F452" s="6"/>
      <x:c r="G452" s="6"/>
      <x:c r="H452" s="6"/>
      <x:c r="I452" s="6"/>
      <x:c r="J452" s="6"/>
      <x:c r="K452" s="6"/>
      <x:c r="L452" s="6"/>
      <x:c r="M452" s="6"/>
      <x:c r="N452" s="6"/>
      <x:c r="O452" s="6"/>
      <x:c r="P452" s="6"/>
      <x:c r="Q452" s="6"/>
      <x:c r="R452" s="6"/>
      <x:c r="S452" s="6"/>
      <x:c r="T452" s="6" t="str">
        <x:f>IF(C452="","",COUNTIF($C$2:$C$601,C452))</x:f>
      </x:c>
    </x:row>
    <x:row r="453">
      <x:c r="A453" s="6"/>
      <x:c r="B453" s="6"/>
      <x:c r="C453" s="6"/>
      <x:c r="D453" s="6"/>
      <x:c r="E453" s="6"/>
      <x:c r="F453" s="6"/>
      <x:c r="G453" s="6"/>
      <x:c r="H453" s="6"/>
      <x:c r="I453" s="6"/>
      <x:c r="J453" s="6"/>
      <x:c r="K453" s="6"/>
      <x:c r="L453" s="6"/>
      <x:c r="M453" s="6"/>
      <x:c r="N453" s="6"/>
      <x:c r="O453" s="6"/>
      <x:c r="P453" s="6"/>
      <x:c r="Q453" s="6"/>
      <x:c r="R453" s="6"/>
      <x:c r="S453" s="6"/>
      <x:c r="T453" s="6" t="str">
        <x:f>IF(C453="","",COUNTIF($C$2:$C$601,C453))</x:f>
      </x:c>
    </x:row>
    <x:row r="454">
      <x:c r="A454" s="6"/>
      <x:c r="B454" s="6"/>
      <x:c r="C454" s="6"/>
      <x:c r="D454" s="6"/>
      <x:c r="E454" s="6"/>
      <x:c r="F454" s="6"/>
      <x:c r="G454" s="6"/>
      <x:c r="H454" s="6"/>
      <x:c r="I454" s="6"/>
      <x:c r="J454" s="6"/>
      <x:c r="K454" s="6"/>
      <x:c r="L454" s="6"/>
      <x:c r="M454" s="6"/>
      <x:c r="N454" s="6"/>
      <x:c r="O454" s="6"/>
      <x:c r="P454" s="6"/>
      <x:c r="Q454" s="6"/>
      <x:c r="R454" s="6"/>
      <x:c r="S454" s="6"/>
      <x:c r="T454" s="6" t="str">
        <x:f>IF(C454="","",COUNTIF($C$2:$C$601,C454))</x:f>
      </x:c>
    </x:row>
    <x:row r="455">
      <x:c r="A455" s="6"/>
      <x:c r="B455" s="6"/>
      <x:c r="C455" s="6"/>
      <x:c r="D455" s="6"/>
      <x:c r="E455" s="6"/>
      <x:c r="F455" s="6"/>
      <x:c r="G455" s="6"/>
      <x:c r="H455" s="6"/>
      <x:c r="I455" s="6"/>
      <x:c r="J455" s="6"/>
      <x:c r="K455" s="6"/>
      <x:c r="L455" s="6"/>
      <x:c r="M455" s="6"/>
      <x:c r="N455" s="6"/>
      <x:c r="O455" s="6"/>
      <x:c r="P455" s="6"/>
      <x:c r="Q455" s="6"/>
      <x:c r="R455" s="6"/>
      <x:c r="S455" s="6"/>
      <x:c r="T455" s="6" t="str">
        <x:f>IF(C455="","",COUNTIF($C$2:$C$601,C455))</x:f>
      </x:c>
    </x:row>
    <x:row r="456">
      <x:c r="A456" s="6"/>
      <x:c r="B456" s="6"/>
      <x:c r="C456" s="6"/>
      <x:c r="D456" s="6"/>
      <x:c r="E456" s="6"/>
      <x:c r="F456" s="6"/>
      <x:c r="G456" s="6"/>
      <x:c r="H456" s="6"/>
      <x:c r="I456" s="6"/>
      <x:c r="J456" s="6"/>
      <x:c r="K456" s="6"/>
      <x:c r="L456" s="6"/>
      <x:c r="M456" s="6"/>
      <x:c r="N456" s="6"/>
      <x:c r="O456" s="6"/>
      <x:c r="P456" s="6"/>
      <x:c r="Q456" s="6"/>
      <x:c r="R456" s="6"/>
      <x:c r="S456" s="6"/>
      <x:c r="T456" s="6" t="str">
        <x:f>IF(C456="","",COUNTIF($C$2:$C$601,C456))</x:f>
      </x:c>
    </x:row>
    <x:row r="457">
      <x:c r="A457" s="6"/>
      <x:c r="B457" s="6"/>
      <x:c r="C457" s="6"/>
      <x:c r="D457" s="6"/>
      <x:c r="E457" s="6"/>
      <x:c r="F457" s="6"/>
      <x:c r="G457" s="6"/>
      <x:c r="H457" s="6"/>
      <x:c r="I457" s="6"/>
      <x:c r="J457" s="6"/>
      <x:c r="K457" s="6"/>
      <x:c r="L457" s="6"/>
      <x:c r="M457" s="6"/>
      <x:c r="N457" s="6"/>
      <x:c r="O457" s="6"/>
      <x:c r="P457" s="6"/>
      <x:c r="Q457" s="6"/>
      <x:c r="R457" s="6"/>
      <x:c r="S457" s="6"/>
      <x:c r="T457" s="6" t="str">
        <x:f>IF(C457="","",COUNTIF($C$2:$C$601,C457))</x:f>
      </x:c>
    </x:row>
    <x:row r="458">
      <x:c r="A458" s="6"/>
      <x:c r="B458" s="6"/>
      <x:c r="C458" s="6"/>
      <x:c r="D458" s="6"/>
      <x:c r="E458" s="6"/>
      <x:c r="F458" s="6"/>
      <x:c r="G458" s="6"/>
      <x:c r="H458" s="6"/>
      <x:c r="I458" s="6"/>
      <x:c r="J458" s="6"/>
      <x:c r="K458" s="6"/>
      <x:c r="L458" s="6"/>
      <x:c r="M458" s="6"/>
      <x:c r="N458" s="6"/>
      <x:c r="O458" s="6"/>
      <x:c r="P458" s="6"/>
      <x:c r="Q458" s="6"/>
      <x:c r="R458" s="6"/>
      <x:c r="S458" s="6"/>
      <x:c r="T458" s="6" t="str">
        <x:f>IF(C458="","",COUNTIF($C$2:$C$601,C458))</x:f>
      </x:c>
    </x:row>
    <x:row r="459">
      <x:c r="A459" s="6"/>
      <x:c r="B459" s="6"/>
      <x:c r="C459" s="6"/>
      <x:c r="D459" s="6"/>
      <x:c r="E459" s="6"/>
      <x:c r="F459" s="6"/>
      <x:c r="G459" s="6"/>
      <x:c r="H459" s="6"/>
      <x:c r="I459" s="6"/>
      <x:c r="J459" s="6"/>
      <x:c r="K459" s="6"/>
      <x:c r="L459" s="6"/>
      <x:c r="M459" s="6"/>
      <x:c r="N459" s="6"/>
      <x:c r="O459" s="6"/>
      <x:c r="P459" s="6"/>
      <x:c r="Q459" s="6"/>
      <x:c r="R459" s="6"/>
      <x:c r="S459" s="6"/>
      <x:c r="T459" s="6" t="str">
        <x:f>IF(C459="","",COUNTIF($C$2:$C$601,C459))</x:f>
      </x:c>
    </x:row>
    <x:row r="460">
      <x:c r="A460" s="6"/>
      <x:c r="B460" s="6"/>
      <x:c r="C460" s="6"/>
      <x:c r="D460" s="6"/>
      <x:c r="E460" s="6"/>
      <x:c r="F460" s="6"/>
      <x:c r="G460" s="6"/>
      <x:c r="H460" s="6"/>
      <x:c r="I460" s="6"/>
      <x:c r="J460" s="6"/>
      <x:c r="K460" s="6"/>
      <x:c r="L460" s="6"/>
      <x:c r="M460" s="6"/>
      <x:c r="N460" s="6"/>
      <x:c r="O460" s="6"/>
      <x:c r="P460" s="6"/>
      <x:c r="Q460" s="6"/>
      <x:c r="R460" s="6"/>
      <x:c r="S460" s="6"/>
      <x:c r="T460" s="6" t="str">
        <x:f>IF(C460="","",COUNTIF($C$2:$C$601,C460))</x:f>
      </x:c>
    </x:row>
    <x:row r="461">
      <x:c r="A461" s="6"/>
      <x:c r="B461" s="6"/>
      <x:c r="C461" s="6"/>
      <x:c r="D461" s="6"/>
      <x:c r="E461" s="6"/>
      <x:c r="F461" s="6"/>
      <x:c r="G461" s="6"/>
      <x:c r="H461" s="6"/>
      <x:c r="I461" s="6"/>
      <x:c r="J461" s="6"/>
      <x:c r="K461" s="6"/>
      <x:c r="L461" s="6"/>
      <x:c r="M461" s="6"/>
      <x:c r="N461" s="6"/>
      <x:c r="O461" s="6"/>
      <x:c r="P461" s="6"/>
      <x:c r="Q461" s="6"/>
      <x:c r="R461" s="6"/>
      <x:c r="S461" s="6"/>
      <x:c r="T461" s="6" t="str">
        <x:f>IF(C461="","",COUNTIF($C$2:$C$601,C461))</x:f>
      </x:c>
    </x:row>
    <x:row r="462">
      <x:c r="A462" s="6"/>
      <x:c r="B462" s="6"/>
      <x:c r="C462" s="6"/>
      <x:c r="D462" s="6"/>
      <x:c r="E462" s="6"/>
      <x:c r="F462" s="6"/>
      <x:c r="G462" s="6"/>
      <x:c r="H462" s="6"/>
      <x:c r="I462" s="6"/>
      <x:c r="J462" s="6"/>
      <x:c r="K462" s="6"/>
      <x:c r="L462" s="6"/>
      <x:c r="M462" s="6"/>
      <x:c r="N462" s="6"/>
      <x:c r="O462" s="6"/>
      <x:c r="P462" s="6"/>
      <x:c r="Q462" s="6"/>
      <x:c r="R462" s="6"/>
      <x:c r="S462" s="6"/>
      <x:c r="T462" s="6" t="str">
        <x:f>IF(C462="","",COUNTIF($C$2:$C$601,C462))</x:f>
      </x:c>
    </x:row>
    <x:row r="463">
      <x:c r="A463" s="6"/>
      <x:c r="B463" s="6"/>
      <x:c r="C463" s="6"/>
      <x:c r="D463" s="6"/>
      <x:c r="E463" s="6"/>
      <x:c r="F463" s="6"/>
      <x:c r="G463" s="6"/>
      <x:c r="H463" s="6"/>
      <x:c r="I463" s="6"/>
      <x:c r="J463" s="6"/>
      <x:c r="K463" s="6"/>
      <x:c r="L463" s="6"/>
      <x:c r="M463" s="6"/>
      <x:c r="N463" s="6"/>
      <x:c r="O463" s="6"/>
      <x:c r="P463" s="6"/>
      <x:c r="Q463" s="6"/>
      <x:c r="R463" s="6"/>
      <x:c r="S463" s="6"/>
      <x:c r="T463" s="6" t="str">
        <x:f>IF(C463="","",COUNTIF($C$2:$C$601,C463))</x:f>
      </x:c>
    </x:row>
    <x:row r="464">
      <x:c r="A464" s="6"/>
      <x:c r="B464" s="6"/>
      <x:c r="C464" s="6"/>
      <x:c r="D464" s="6"/>
      <x:c r="E464" s="6"/>
      <x:c r="F464" s="6"/>
      <x:c r="G464" s="6"/>
      <x:c r="H464" s="6"/>
      <x:c r="I464" s="6"/>
      <x:c r="J464" s="6"/>
      <x:c r="K464" s="6"/>
      <x:c r="L464" s="6"/>
      <x:c r="M464" s="6"/>
      <x:c r="N464" s="6"/>
      <x:c r="O464" s="6"/>
      <x:c r="P464" s="6"/>
      <x:c r="Q464" s="6"/>
      <x:c r="R464" s="6"/>
      <x:c r="S464" s="6"/>
      <x:c r="T464" s="6" t="str">
        <x:f>IF(C464="","",COUNTIF($C$2:$C$601,C464))</x:f>
      </x:c>
    </x:row>
    <x:row r="465">
      <x:c r="A465" s="6"/>
      <x:c r="B465" s="6"/>
      <x:c r="C465" s="6"/>
      <x:c r="D465" s="6"/>
      <x:c r="E465" s="6"/>
      <x:c r="F465" s="6"/>
      <x:c r="G465" s="6"/>
      <x:c r="H465" s="6"/>
      <x:c r="I465" s="6"/>
      <x:c r="J465" s="6"/>
      <x:c r="K465" s="6"/>
      <x:c r="L465" s="6"/>
      <x:c r="M465" s="6"/>
      <x:c r="N465" s="6"/>
      <x:c r="O465" s="6"/>
      <x:c r="P465" s="6"/>
      <x:c r="Q465" s="6"/>
      <x:c r="R465" s="6"/>
      <x:c r="S465" s="6"/>
      <x:c r="T465" s="6" t="str">
        <x:f>IF(C465="","",COUNTIF($C$2:$C$601,C465))</x:f>
      </x:c>
    </x:row>
    <x:row r="466">
      <x:c r="A466" s="6"/>
      <x:c r="B466" s="6"/>
      <x:c r="C466" s="6"/>
      <x:c r="D466" s="6"/>
      <x:c r="E466" s="6"/>
      <x:c r="F466" s="6"/>
      <x:c r="G466" s="6"/>
      <x:c r="H466" s="6"/>
      <x:c r="I466" s="6"/>
      <x:c r="J466" s="6"/>
      <x:c r="K466" s="6"/>
      <x:c r="L466" s="6"/>
      <x:c r="M466" s="6"/>
      <x:c r="N466" s="6"/>
      <x:c r="O466" s="6"/>
      <x:c r="P466" s="6"/>
      <x:c r="Q466" s="6"/>
      <x:c r="R466" s="6"/>
      <x:c r="S466" s="6"/>
      <x:c r="T466" s="6" t="str">
        <x:f>IF(C466="","",COUNTIF($C$2:$C$601,C466))</x:f>
      </x:c>
    </x:row>
    <x:row r="467">
      <x:c r="A467" s="6"/>
      <x:c r="B467" s="6"/>
      <x:c r="C467" s="6"/>
      <x:c r="D467" s="6"/>
      <x:c r="E467" s="6"/>
      <x:c r="F467" s="6"/>
      <x:c r="G467" s="6"/>
      <x:c r="H467" s="6"/>
      <x:c r="I467" s="6"/>
      <x:c r="J467" s="6"/>
      <x:c r="K467" s="6"/>
      <x:c r="L467" s="6"/>
      <x:c r="M467" s="6"/>
      <x:c r="N467" s="6"/>
      <x:c r="O467" s="6"/>
      <x:c r="P467" s="6"/>
      <x:c r="Q467" s="6"/>
      <x:c r="R467" s="6"/>
      <x:c r="S467" s="6"/>
      <x:c r="T467" s="6" t="str">
        <x:f>IF(C467="","",COUNTIF($C$2:$C$601,C467))</x:f>
      </x:c>
    </x:row>
    <x:row r="468">
      <x:c r="A468" s="6"/>
      <x:c r="B468" s="6"/>
      <x:c r="C468" s="6"/>
      <x:c r="D468" s="6"/>
      <x:c r="E468" s="6"/>
      <x:c r="F468" s="6"/>
      <x:c r="G468" s="6"/>
      <x:c r="H468" s="6"/>
      <x:c r="I468" s="6"/>
      <x:c r="J468" s="6"/>
      <x:c r="K468" s="6"/>
      <x:c r="L468" s="6"/>
      <x:c r="M468" s="6"/>
      <x:c r="N468" s="6"/>
      <x:c r="O468" s="6"/>
      <x:c r="P468" s="6"/>
      <x:c r="Q468" s="6"/>
      <x:c r="R468" s="6"/>
      <x:c r="S468" s="6"/>
      <x:c r="T468" s="6" t="str">
        <x:f>IF(C468="","",COUNTIF($C$2:$C$601,C468))</x:f>
      </x:c>
    </x:row>
    <x:row r="469">
      <x:c r="A469" s="6"/>
      <x:c r="B469" s="6"/>
      <x:c r="C469" s="6"/>
      <x:c r="D469" s="6"/>
      <x:c r="E469" s="6"/>
      <x:c r="F469" s="6"/>
      <x:c r="G469" s="6"/>
      <x:c r="H469" s="6"/>
      <x:c r="I469" s="6"/>
      <x:c r="J469" s="6"/>
      <x:c r="K469" s="6"/>
      <x:c r="L469" s="6"/>
      <x:c r="M469" s="6"/>
      <x:c r="N469" s="6"/>
      <x:c r="O469" s="6"/>
      <x:c r="P469" s="6"/>
      <x:c r="Q469" s="6"/>
      <x:c r="R469" s="6"/>
      <x:c r="S469" s="6"/>
      <x:c r="T469" s="6" t="str">
        <x:f>IF(C469="","",COUNTIF($C$2:$C$601,C469))</x:f>
      </x:c>
    </x:row>
    <x:row r="470">
      <x:c r="A470" s="6"/>
      <x:c r="B470" s="6"/>
      <x:c r="C470" s="6"/>
      <x:c r="D470" s="6"/>
      <x:c r="E470" s="6"/>
      <x:c r="F470" s="6"/>
      <x:c r="G470" s="6"/>
      <x:c r="H470" s="6"/>
      <x:c r="I470" s="6"/>
      <x:c r="J470" s="6"/>
      <x:c r="K470" s="6"/>
      <x:c r="L470" s="6"/>
      <x:c r="M470" s="6"/>
      <x:c r="N470" s="6"/>
      <x:c r="O470" s="6"/>
      <x:c r="P470" s="6"/>
      <x:c r="Q470" s="6"/>
      <x:c r="R470" s="6"/>
      <x:c r="S470" s="6"/>
      <x:c r="T470" s="6" t="str">
        <x:f>IF(C470="","",COUNTIF($C$2:$C$601,C470))</x:f>
      </x:c>
    </x:row>
    <x:row r="471">
      <x:c r="A471" s="6"/>
      <x:c r="B471" s="6"/>
      <x:c r="C471" s="6"/>
      <x:c r="D471" s="6"/>
      <x:c r="E471" s="6"/>
      <x:c r="F471" s="6"/>
      <x:c r="G471" s="6"/>
      <x:c r="H471" s="6"/>
      <x:c r="I471" s="6"/>
      <x:c r="J471" s="6"/>
      <x:c r="K471" s="6"/>
      <x:c r="L471" s="6"/>
      <x:c r="M471" s="6"/>
      <x:c r="N471" s="6"/>
      <x:c r="O471" s="6"/>
      <x:c r="P471" s="6"/>
      <x:c r="Q471" s="6"/>
      <x:c r="R471" s="6"/>
      <x:c r="S471" s="6"/>
      <x:c r="T471" s="6" t="str">
        <x:f>IF(C471="","",COUNTIF($C$2:$C$601,C471))</x:f>
      </x:c>
    </x:row>
    <x:row r="472">
      <x:c r="A472" s="6"/>
      <x:c r="B472" s="6"/>
      <x:c r="C472" s="6"/>
      <x:c r="D472" s="6"/>
      <x:c r="E472" s="6"/>
      <x:c r="F472" s="6"/>
      <x:c r="G472" s="6"/>
      <x:c r="H472" s="6"/>
      <x:c r="I472" s="6"/>
      <x:c r="J472" s="6"/>
      <x:c r="K472" s="6"/>
      <x:c r="L472" s="6"/>
      <x:c r="M472" s="6"/>
      <x:c r="N472" s="6"/>
      <x:c r="O472" s="6"/>
      <x:c r="P472" s="6"/>
      <x:c r="Q472" s="6"/>
      <x:c r="R472" s="6"/>
      <x:c r="S472" s="6"/>
      <x:c r="T472" s="6" t="str">
        <x:f>IF(C472="","",COUNTIF($C$2:$C$601,C472))</x:f>
      </x:c>
    </x:row>
    <x:row r="473">
      <x:c r="A473" s="6"/>
      <x:c r="B473" s="6"/>
      <x:c r="C473" s="6"/>
      <x:c r="D473" s="6"/>
      <x:c r="E473" s="6"/>
      <x:c r="F473" s="6"/>
      <x:c r="G473" s="6"/>
      <x:c r="H473" s="6"/>
      <x:c r="I473" s="6"/>
      <x:c r="J473" s="6"/>
      <x:c r="K473" s="6"/>
      <x:c r="L473" s="6"/>
      <x:c r="M473" s="6"/>
      <x:c r="N473" s="6"/>
      <x:c r="O473" s="6"/>
      <x:c r="P473" s="6"/>
      <x:c r="Q473" s="6"/>
      <x:c r="R473" s="6"/>
      <x:c r="S473" s="6"/>
      <x:c r="T473" s="6" t="str">
        <x:f>IF(C473="","",COUNTIF($C$2:$C$601,C473))</x:f>
      </x:c>
    </x:row>
    <x:row r="474">
      <x:c r="A474" s="6"/>
      <x:c r="B474" s="6"/>
      <x:c r="C474" s="6"/>
      <x:c r="D474" s="6"/>
      <x:c r="E474" s="6"/>
      <x:c r="F474" s="6"/>
      <x:c r="G474" s="6"/>
      <x:c r="H474" s="6"/>
      <x:c r="I474" s="6"/>
      <x:c r="J474" s="6"/>
      <x:c r="K474" s="6"/>
      <x:c r="L474" s="6"/>
      <x:c r="M474" s="6"/>
      <x:c r="N474" s="6"/>
      <x:c r="O474" s="6"/>
      <x:c r="P474" s="6"/>
      <x:c r="Q474" s="6"/>
      <x:c r="R474" s="6"/>
      <x:c r="S474" s="6"/>
      <x:c r="T474" s="6" t="str">
        <x:f>IF(C474="","",COUNTIF($C$2:$C$601,C474))</x:f>
      </x:c>
    </x:row>
    <x:row r="475">
      <x:c r="A475" s="6"/>
      <x:c r="B475" s="6"/>
      <x:c r="C475" s="6"/>
      <x:c r="D475" s="6"/>
      <x:c r="E475" s="6"/>
      <x:c r="F475" s="6"/>
      <x:c r="G475" s="6"/>
      <x:c r="H475" s="6"/>
      <x:c r="I475" s="6"/>
      <x:c r="J475" s="6"/>
      <x:c r="K475" s="6"/>
      <x:c r="L475" s="6"/>
      <x:c r="M475" s="6"/>
      <x:c r="N475" s="6"/>
      <x:c r="O475" s="6"/>
      <x:c r="P475" s="6"/>
      <x:c r="Q475" s="6"/>
      <x:c r="R475" s="6"/>
      <x:c r="S475" s="6"/>
      <x:c r="T475" s="6" t="str">
        <x:f>IF(C475="","",COUNTIF($C$2:$C$601,C475))</x:f>
      </x:c>
    </x:row>
    <x:row r="476">
      <x:c r="A476" s="6"/>
      <x:c r="B476" s="6"/>
      <x:c r="C476" s="6"/>
      <x:c r="D476" s="6"/>
      <x:c r="E476" s="6"/>
      <x:c r="F476" s="6"/>
      <x:c r="G476" s="6"/>
      <x:c r="H476" s="6"/>
      <x:c r="I476" s="6"/>
      <x:c r="J476" s="6"/>
      <x:c r="K476" s="6"/>
      <x:c r="L476" s="6"/>
      <x:c r="M476" s="6"/>
      <x:c r="N476" s="6"/>
      <x:c r="O476" s="6"/>
      <x:c r="P476" s="6"/>
      <x:c r="Q476" s="6"/>
      <x:c r="R476" s="6"/>
      <x:c r="S476" s="6"/>
      <x:c r="T476" s="6" t="str">
        <x:f>IF(C476="","",COUNTIF($C$2:$C$601,C476))</x:f>
      </x:c>
    </x:row>
    <x:row r="477">
      <x:c r="A477" s="6"/>
      <x:c r="B477" s="6"/>
      <x:c r="C477" s="6"/>
      <x:c r="D477" s="6"/>
      <x:c r="E477" s="6"/>
      <x:c r="F477" s="6"/>
      <x:c r="G477" s="6"/>
      <x:c r="H477" s="6"/>
      <x:c r="I477" s="6"/>
      <x:c r="J477" s="6"/>
      <x:c r="K477" s="6"/>
      <x:c r="L477" s="6"/>
      <x:c r="M477" s="6"/>
      <x:c r="N477" s="6"/>
      <x:c r="O477" s="6"/>
      <x:c r="P477" s="6"/>
      <x:c r="Q477" s="6"/>
      <x:c r="R477" s="6"/>
      <x:c r="S477" s="6"/>
      <x:c r="T477" s="6" t="str">
        <x:f>IF(C477="","",COUNTIF($C$2:$C$601,C477))</x:f>
      </x:c>
    </x:row>
    <x:row r="478">
      <x:c r="A478" s="6"/>
      <x:c r="B478" s="6"/>
      <x:c r="C478" s="6"/>
      <x:c r="D478" s="6"/>
      <x:c r="E478" s="6"/>
      <x:c r="F478" s="6"/>
      <x:c r="G478" s="6"/>
      <x:c r="H478" s="6"/>
      <x:c r="I478" s="6"/>
      <x:c r="J478" s="6"/>
      <x:c r="K478" s="6"/>
      <x:c r="L478" s="6"/>
      <x:c r="M478" s="6"/>
      <x:c r="N478" s="6"/>
      <x:c r="O478" s="6"/>
      <x:c r="P478" s="6"/>
      <x:c r="Q478" s="6"/>
      <x:c r="R478" s="6"/>
      <x:c r="S478" s="6"/>
      <x:c r="T478" s="6" t="str">
        <x:f>IF(C478="","",COUNTIF($C$2:$C$601,C478))</x:f>
      </x:c>
    </x:row>
    <x:row r="479">
      <x:c r="A479" s="6"/>
      <x:c r="B479" s="6"/>
      <x:c r="C479" s="6"/>
      <x:c r="D479" s="6"/>
      <x:c r="E479" s="6"/>
      <x:c r="F479" s="6"/>
      <x:c r="G479" s="6"/>
      <x:c r="H479" s="6"/>
      <x:c r="I479" s="6"/>
      <x:c r="J479" s="6"/>
      <x:c r="K479" s="6"/>
      <x:c r="L479" s="6"/>
      <x:c r="M479" s="6"/>
      <x:c r="N479" s="6"/>
      <x:c r="O479" s="6"/>
      <x:c r="P479" s="6"/>
      <x:c r="Q479" s="6"/>
      <x:c r="R479" s="6"/>
      <x:c r="S479" s="6"/>
      <x:c r="T479" s="6" t="str">
        <x:f>IF(C479="","",COUNTIF($C$2:$C$601,C479))</x:f>
      </x:c>
    </x:row>
    <x:row r="480">
      <x:c r="A480" s="6"/>
      <x:c r="B480" s="6"/>
      <x:c r="C480" s="6"/>
      <x:c r="D480" s="6"/>
      <x:c r="E480" s="6"/>
      <x:c r="F480" s="6"/>
      <x:c r="G480" s="6"/>
      <x:c r="H480" s="6"/>
      <x:c r="I480" s="6"/>
      <x:c r="J480" s="6"/>
      <x:c r="K480" s="6"/>
      <x:c r="L480" s="6"/>
      <x:c r="M480" s="6"/>
      <x:c r="N480" s="6"/>
      <x:c r="O480" s="6"/>
      <x:c r="P480" s="6"/>
      <x:c r="Q480" s="6"/>
      <x:c r="R480" s="6"/>
      <x:c r="S480" s="6"/>
      <x:c r="T480" s="6" t="str">
        <x:f>IF(C480="","",COUNTIF($C$2:$C$601,C480))</x:f>
      </x:c>
    </x:row>
    <x:row r="481">
      <x:c r="A481" s="6"/>
      <x:c r="B481" s="6"/>
      <x:c r="C481" s="6"/>
      <x:c r="D481" s="6"/>
      <x:c r="E481" s="6"/>
      <x:c r="F481" s="6"/>
      <x:c r="G481" s="6"/>
      <x:c r="H481" s="6"/>
      <x:c r="I481" s="6"/>
      <x:c r="J481" s="6"/>
      <x:c r="K481" s="6"/>
      <x:c r="L481" s="6"/>
      <x:c r="M481" s="6"/>
      <x:c r="N481" s="6"/>
      <x:c r="O481" s="6"/>
      <x:c r="P481" s="6"/>
      <x:c r="Q481" s="6"/>
      <x:c r="R481" s="6"/>
      <x:c r="S481" s="6"/>
      <x:c r="T481" s="6" t="str">
        <x:f>IF(C481="","",COUNTIF($C$2:$C$601,C481))</x:f>
      </x:c>
    </x:row>
    <x:row r="482">
      <x:c r="A482" s="6"/>
      <x:c r="B482" s="6"/>
      <x:c r="C482" s="6"/>
      <x:c r="D482" s="6"/>
      <x:c r="E482" s="6"/>
      <x:c r="F482" s="6"/>
      <x:c r="G482" s="6"/>
      <x:c r="H482" s="6"/>
      <x:c r="I482" s="6"/>
      <x:c r="J482" s="6"/>
      <x:c r="K482" s="6"/>
      <x:c r="L482" s="6"/>
      <x:c r="M482" s="6"/>
      <x:c r="N482" s="6"/>
      <x:c r="O482" s="6"/>
      <x:c r="P482" s="6"/>
      <x:c r="Q482" s="6"/>
      <x:c r="R482" s="6"/>
      <x:c r="S482" s="6"/>
      <x:c r="T482" s="6" t="str">
        <x:f>IF(C482="","",COUNTIF($C$2:$C$601,C482))</x:f>
      </x:c>
    </x:row>
    <x:row r="483">
      <x:c r="A483" s="6"/>
      <x:c r="B483" s="6"/>
      <x:c r="C483" s="6"/>
      <x:c r="D483" s="6"/>
      <x:c r="E483" s="6"/>
      <x:c r="F483" s="6"/>
      <x:c r="G483" s="6"/>
      <x:c r="H483" s="6"/>
      <x:c r="I483" s="6"/>
      <x:c r="J483" s="6"/>
      <x:c r="K483" s="6"/>
      <x:c r="L483" s="6"/>
      <x:c r="M483" s="6"/>
      <x:c r="N483" s="6"/>
      <x:c r="O483" s="6"/>
      <x:c r="P483" s="6"/>
      <x:c r="Q483" s="6"/>
      <x:c r="R483" s="6"/>
      <x:c r="S483" s="6"/>
      <x:c r="T483" s="6" t="str">
        <x:f>IF(C483="","",COUNTIF($C$2:$C$601,C483))</x:f>
      </x:c>
    </x:row>
    <x:row r="484">
      <x:c r="A484" s="6"/>
      <x:c r="B484" s="6"/>
      <x:c r="C484" s="6"/>
      <x:c r="D484" s="6"/>
      <x:c r="E484" s="6"/>
      <x:c r="F484" s="6"/>
      <x:c r="G484" s="6"/>
      <x:c r="H484" s="6"/>
      <x:c r="I484" s="6"/>
      <x:c r="J484" s="6"/>
      <x:c r="K484" s="6"/>
      <x:c r="L484" s="6"/>
      <x:c r="M484" s="6"/>
      <x:c r="N484" s="6"/>
      <x:c r="O484" s="6"/>
      <x:c r="P484" s="6"/>
      <x:c r="Q484" s="6"/>
      <x:c r="R484" s="6"/>
      <x:c r="S484" s="6"/>
      <x:c r="T484" s="6" t="str">
        <x:f>IF(C484="","",COUNTIF($C$2:$C$601,C484))</x:f>
      </x:c>
    </x:row>
    <x:row r="485">
      <x:c r="A485" s="6"/>
      <x:c r="B485" s="6"/>
      <x:c r="C485" s="6"/>
      <x:c r="D485" s="6"/>
      <x:c r="E485" s="6"/>
      <x:c r="F485" s="6"/>
      <x:c r="G485" s="6"/>
      <x:c r="H485" s="6"/>
      <x:c r="I485" s="6"/>
      <x:c r="J485" s="6"/>
      <x:c r="K485" s="6"/>
      <x:c r="L485" s="6"/>
      <x:c r="M485" s="6"/>
      <x:c r="N485" s="6"/>
      <x:c r="O485" s="6"/>
      <x:c r="P485" s="6"/>
      <x:c r="Q485" s="6"/>
      <x:c r="R485" s="6"/>
      <x:c r="S485" s="6"/>
      <x:c r="T485" s="6" t="str">
        <x:f>IF(C485="","",COUNTIF($C$2:$C$601,C485))</x:f>
      </x:c>
    </x:row>
    <x:row r="486">
      <x:c r="A486" s="6"/>
      <x:c r="B486" s="6"/>
      <x:c r="C486" s="6"/>
      <x:c r="D486" s="6"/>
      <x:c r="E486" s="6"/>
      <x:c r="F486" s="6"/>
      <x:c r="G486" s="6"/>
      <x:c r="H486" s="6"/>
      <x:c r="I486" s="6"/>
      <x:c r="J486" s="6"/>
      <x:c r="K486" s="6"/>
      <x:c r="L486" s="6"/>
      <x:c r="M486" s="6"/>
      <x:c r="N486" s="6"/>
      <x:c r="O486" s="6"/>
      <x:c r="P486" s="6"/>
      <x:c r="Q486" s="6"/>
      <x:c r="R486" s="6"/>
      <x:c r="S486" s="6"/>
      <x:c r="T486" s="6" t="str">
        <x:f>IF(C486="","",COUNTIF($C$2:$C$601,C486))</x:f>
      </x:c>
    </x:row>
    <x:row r="487">
      <x:c r="A487" s="6"/>
      <x:c r="B487" s="6"/>
      <x:c r="C487" s="6"/>
      <x:c r="D487" s="6"/>
      <x:c r="E487" s="6"/>
      <x:c r="F487" s="6"/>
      <x:c r="G487" s="6"/>
      <x:c r="H487" s="6"/>
      <x:c r="I487" s="6"/>
      <x:c r="J487" s="6"/>
      <x:c r="K487" s="6"/>
      <x:c r="L487" s="6"/>
      <x:c r="M487" s="6"/>
      <x:c r="N487" s="6"/>
      <x:c r="O487" s="6"/>
      <x:c r="P487" s="6"/>
      <x:c r="Q487" s="6"/>
      <x:c r="R487" s="6"/>
      <x:c r="S487" s="6"/>
      <x:c r="T487" s="6" t="str">
        <x:f>IF(C487="","",COUNTIF($C$2:$C$601,C487))</x:f>
      </x:c>
    </x:row>
    <x:row r="488">
      <x:c r="A488" s="6"/>
      <x:c r="B488" s="6"/>
      <x:c r="C488" s="6"/>
      <x:c r="D488" s="6"/>
      <x:c r="E488" s="6"/>
      <x:c r="F488" s="6"/>
      <x:c r="G488" s="6"/>
      <x:c r="H488" s="6"/>
      <x:c r="I488" s="6"/>
      <x:c r="J488" s="6"/>
      <x:c r="K488" s="6"/>
      <x:c r="L488" s="6"/>
      <x:c r="M488" s="6"/>
      <x:c r="N488" s="6"/>
      <x:c r="O488" s="6"/>
      <x:c r="P488" s="6"/>
      <x:c r="Q488" s="6"/>
      <x:c r="R488" s="6"/>
      <x:c r="S488" s="6"/>
      <x:c r="T488" s="6" t="str">
        <x:f>IF(C488="","",COUNTIF($C$2:$C$601,C488))</x:f>
      </x:c>
    </x:row>
    <x:row r="489">
      <x:c r="A489" s="6"/>
      <x:c r="B489" s="6"/>
      <x:c r="C489" s="6"/>
      <x:c r="D489" s="6"/>
      <x:c r="E489" s="6"/>
      <x:c r="F489" s="6"/>
      <x:c r="G489" s="6"/>
      <x:c r="H489" s="6"/>
      <x:c r="I489" s="6"/>
      <x:c r="J489" s="6"/>
      <x:c r="K489" s="6"/>
      <x:c r="L489" s="6"/>
      <x:c r="M489" s="6"/>
      <x:c r="N489" s="6"/>
      <x:c r="O489" s="6"/>
      <x:c r="P489" s="6"/>
      <x:c r="Q489" s="6"/>
      <x:c r="R489" s="6"/>
      <x:c r="S489" s="6"/>
      <x:c r="T489" s="6" t="str">
        <x:f>IF(C489="","",COUNTIF($C$2:$C$601,C489))</x:f>
      </x:c>
    </x:row>
    <x:row r="490">
      <x:c r="A490" s="6"/>
      <x:c r="B490" s="6"/>
      <x:c r="C490" s="6"/>
      <x:c r="D490" s="6"/>
      <x:c r="E490" s="6"/>
      <x:c r="F490" s="6"/>
      <x:c r="G490" s="6"/>
      <x:c r="H490" s="6"/>
      <x:c r="I490" s="6"/>
      <x:c r="J490" s="6"/>
      <x:c r="K490" s="6"/>
      <x:c r="L490" s="6"/>
      <x:c r="M490" s="6"/>
      <x:c r="N490" s="6"/>
      <x:c r="O490" s="6"/>
      <x:c r="P490" s="6"/>
      <x:c r="Q490" s="6"/>
      <x:c r="R490" s="6"/>
      <x:c r="S490" s="6"/>
      <x:c r="T490" s="6" t="str">
        <x:f>IF(C490="","",COUNTIF($C$2:$C$601,C490))</x:f>
      </x:c>
    </x:row>
    <x:row r="491">
      <x:c r="A491" s="6"/>
      <x:c r="B491" s="6"/>
      <x:c r="C491" s="6"/>
      <x:c r="D491" s="6"/>
      <x:c r="E491" s="6"/>
      <x:c r="F491" s="6"/>
      <x:c r="G491" s="6"/>
      <x:c r="H491" s="6"/>
      <x:c r="I491" s="6"/>
      <x:c r="J491" s="6"/>
      <x:c r="K491" s="6"/>
      <x:c r="L491" s="6"/>
      <x:c r="M491" s="6"/>
      <x:c r="N491" s="6"/>
      <x:c r="O491" s="6"/>
      <x:c r="P491" s="6"/>
      <x:c r="Q491" s="6"/>
      <x:c r="R491" s="6"/>
      <x:c r="S491" s="6"/>
      <x:c r="T491" s="6" t="str">
        <x:f>IF(C491="","",COUNTIF($C$2:$C$601,C491))</x:f>
      </x:c>
    </x:row>
    <x:row r="492">
      <x:c r="A492" s="6"/>
      <x:c r="B492" s="6"/>
      <x:c r="C492" s="6"/>
      <x:c r="D492" s="6"/>
      <x:c r="E492" s="6"/>
      <x:c r="F492" s="6"/>
      <x:c r="G492" s="6"/>
      <x:c r="H492" s="6"/>
      <x:c r="I492" s="6"/>
      <x:c r="J492" s="6"/>
      <x:c r="K492" s="6"/>
      <x:c r="L492" s="6"/>
      <x:c r="M492" s="6"/>
      <x:c r="N492" s="6"/>
      <x:c r="O492" s="6"/>
      <x:c r="P492" s="6"/>
      <x:c r="Q492" s="6"/>
      <x:c r="R492" s="6"/>
      <x:c r="S492" s="6"/>
      <x:c r="T492" s="6" t="str">
        <x:f>IF(C492="","",COUNTIF($C$2:$C$601,C492))</x:f>
      </x:c>
    </x:row>
    <x:row r="493">
      <x:c r="A493" s="6"/>
      <x:c r="B493" s="6"/>
      <x:c r="C493" s="6"/>
      <x:c r="D493" s="6"/>
      <x:c r="E493" s="6"/>
      <x:c r="F493" s="6"/>
      <x:c r="G493" s="6"/>
      <x:c r="H493" s="6"/>
      <x:c r="I493" s="6"/>
      <x:c r="J493" s="6"/>
      <x:c r="K493" s="6"/>
      <x:c r="L493" s="6"/>
      <x:c r="M493" s="6"/>
      <x:c r="N493" s="6"/>
      <x:c r="O493" s="6"/>
      <x:c r="P493" s="6"/>
      <x:c r="Q493" s="6"/>
      <x:c r="R493" s="6"/>
      <x:c r="S493" s="6"/>
      <x:c r="T493" s="6" t="str">
        <x:f>IF(C493="","",COUNTIF($C$2:$C$601,C493))</x:f>
      </x:c>
    </x:row>
    <x:row r="494">
      <x:c r="A494" s="6"/>
      <x:c r="B494" s="6"/>
      <x:c r="C494" s="6"/>
      <x:c r="D494" s="6"/>
      <x:c r="E494" s="6"/>
      <x:c r="F494" s="6"/>
      <x:c r="G494" s="6"/>
      <x:c r="H494" s="6"/>
      <x:c r="I494" s="6"/>
      <x:c r="J494" s="6"/>
      <x:c r="K494" s="6"/>
      <x:c r="L494" s="6"/>
      <x:c r="M494" s="6"/>
      <x:c r="N494" s="6"/>
      <x:c r="O494" s="6"/>
      <x:c r="P494" s="6"/>
      <x:c r="Q494" s="6"/>
      <x:c r="R494" s="6"/>
      <x:c r="S494" s="6"/>
      <x:c r="T494" s="6" t="str">
        <x:f>IF(C494="","",COUNTIF($C$2:$C$601,C494))</x:f>
      </x:c>
    </x:row>
    <x:row r="495">
      <x:c r="A495" s="6"/>
      <x:c r="B495" s="6"/>
      <x:c r="C495" s="6"/>
      <x:c r="D495" s="6"/>
      <x:c r="E495" s="6"/>
      <x:c r="F495" s="6"/>
      <x:c r="G495" s="6"/>
      <x:c r="H495" s="6"/>
      <x:c r="I495" s="6"/>
      <x:c r="J495" s="6"/>
      <x:c r="K495" s="6"/>
      <x:c r="L495" s="6"/>
      <x:c r="M495" s="6"/>
      <x:c r="N495" s="6"/>
      <x:c r="O495" s="6"/>
      <x:c r="P495" s="6"/>
      <x:c r="Q495" s="6"/>
      <x:c r="R495" s="6"/>
      <x:c r="S495" s="6"/>
      <x:c r="T495" s="6" t="str">
        <x:f>IF(C495="","",COUNTIF($C$2:$C$601,C495))</x:f>
      </x:c>
    </x:row>
    <x:row r="496">
      <x:c r="A496" s="6"/>
      <x:c r="B496" s="6"/>
      <x:c r="C496" s="6"/>
      <x:c r="D496" s="6"/>
      <x:c r="E496" s="6"/>
      <x:c r="F496" s="6"/>
      <x:c r="G496" s="6"/>
      <x:c r="H496" s="6"/>
      <x:c r="I496" s="6"/>
      <x:c r="J496" s="6"/>
      <x:c r="K496" s="6"/>
      <x:c r="L496" s="6"/>
      <x:c r="M496" s="6"/>
      <x:c r="N496" s="6"/>
      <x:c r="O496" s="6"/>
      <x:c r="P496" s="6"/>
      <x:c r="Q496" s="6"/>
      <x:c r="R496" s="6"/>
      <x:c r="S496" s="6"/>
      <x:c r="T496" s="6" t="str">
        <x:f>IF(C496="","",COUNTIF($C$2:$C$601,C496))</x:f>
      </x:c>
    </x:row>
    <x:row r="497">
      <x:c r="A497" s="6"/>
      <x:c r="B497" s="6"/>
      <x:c r="C497" s="6"/>
      <x:c r="D497" s="6"/>
      <x:c r="E497" s="6"/>
      <x:c r="F497" s="6"/>
      <x:c r="G497" s="6"/>
      <x:c r="H497" s="6"/>
      <x:c r="I497" s="6"/>
      <x:c r="J497" s="6"/>
      <x:c r="K497" s="6"/>
      <x:c r="L497" s="6"/>
      <x:c r="M497" s="6"/>
      <x:c r="N497" s="6"/>
      <x:c r="O497" s="6"/>
      <x:c r="P497" s="6"/>
      <x:c r="Q497" s="6"/>
      <x:c r="R497" s="6"/>
      <x:c r="S497" s="6"/>
      <x:c r="T497" s="6" t="str">
        <x:f>IF(C497="","",COUNTIF($C$2:$C$601,C497))</x:f>
      </x:c>
    </x:row>
    <x:row r="498">
      <x:c r="A498" s="6"/>
      <x:c r="B498" s="6"/>
      <x:c r="C498" s="6"/>
      <x:c r="D498" s="6"/>
      <x:c r="E498" s="6"/>
      <x:c r="F498" s="6"/>
      <x:c r="G498" s="6"/>
      <x:c r="H498" s="6"/>
      <x:c r="I498" s="6"/>
      <x:c r="J498" s="6"/>
      <x:c r="K498" s="6"/>
      <x:c r="L498" s="6"/>
      <x:c r="M498" s="6"/>
      <x:c r="N498" s="6"/>
      <x:c r="O498" s="6"/>
      <x:c r="P498" s="6"/>
      <x:c r="Q498" s="6"/>
      <x:c r="R498" s="6"/>
      <x:c r="S498" s="6"/>
      <x:c r="T498" s="6" t="str">
        <x:f>IF(C498="","",COUNTIF($C$2:$C$601,C498))</x:f>
      </x:c>
    </x:row>
    <x:row r="499">
      <x:c r="A499" s="6"/>
      <x:c r="B499" s="6"/>
      <x:c r="C499" s="6"/>
      <x:c r="D499" s="6"/>
      <x:c r="E499" s="6"/>
      <x:c r="F499" s="6"/>
      <x:c r="G499" s="6"/>
      <x:c r="H499" s="6"/>
      <x:c r="I499" s="6"/>
      <x:c r="J499" s="6"/>
      <x:c r="K499" s="6"/>
      <x:c r="L499" s="6"/>
      <x:c r="M499" s="6"/>
      <x:c r="N499" s="6"/>
      <x:c r="O499" s="6"/>
      <x:c r="P499" s="6"/>
      <x:c r="Q499" s="6"/>
      <x:c r="R499" s="6"/>
      <x:c r="S499" s="6"/>
      <x:c r="T499" s="6" t="str">
        <x:f>IF(C499="","",COUNTIF($C$2:$C$601,C499))</x:f>
      </x:c>
    </x:row>
    <x:row r="500">
      <x:c r="A500" s="6"/>
      <x:c r="B500" s="6"/>
      <x:c r="C500" s="6"/>
      <x:c r="D500" s="6"/>
      <x:c r="E500" s="6"/>
      <x:c r="F500" s="6"/>
      <x:c r="G500" s="6"/>
      <x:c r="H500" s="6"/>
      <x:c r="I500" s="6"/>
      <x:c r="J500" s="6"/>
      <x:c r="K500" s="6"/>
      <x:c r="L500" s="6"/>
      <x:c r="M500" s="6"/>
      <x:c r="N500" s="6"/>
      <x:c r="O500" s="6"/>
      <x:c r="P500" s="6"/>
      <x:c r="Q500" s="6"/>
      <x:c r="R500" s="6"/>
      <x:c r="S500" s="6"/>
      <x:c r="T500" s="6" t="str">
        <x:f>IF(C500="","",COUNTIF($C$2:$C$601,C500))</x:f>
      </x:c>
    </x:row>
    <x:row r="501">
      <x:c r="A501" s="6"/>
      <x:c r="B501" s="6"/>
      <x:c r="C501" s="6"/>
      <x:c r="D501" s="6"/>
      <x:c r="E501" s="6"/>
      <x:c r="F501" s="6"/>
      <x:c r="G501" s="6"/>
      <x:c r="H501" s="6"/>
      <x:c r="I501" s="6"/>
      <x:c r="J501" s="6"/>
      <x:c r="K501" s="6"/>
      <x:c r="L501" s="6"/>
      <x:c r="M501" s="6"/>
      <x:c r="N501" s="6"/>
      <x:c r="O501" s="6"/>
      <x:c r="P501" s="6"/>
      <x:c r="Q501" s="6"/>
      <x:c r="R501" s="6"/>
      <x:c r="S501" s="6"/>
      <x:c r="T501" s="6" t="str">
        <x:f>IF(C501="","",COUNTIF($C$2:$C$601,C501))</x:f>
      </x:c>
    </x:row>
    <x:row r="502">
      <x:c r="A502" s="6"/>
      <x:c r="B502" s="6"/>
      <x:c r="C502" s="6"/>
      <x:c r="D502" s="6"/>
      <x:c r="E502" s="6"/>
      <x:c r="F502" s="6"/>
      <x:c r="G502" s="6"/>
      <x:c r="H502" s="6"/>
      <x:c r="I502" s="6"/>
      <x:c r="J502" s="6"/>
      <x:c r="K502" s="6"/>
      <x:c r="L502" s="6"/>
      <x:c r="M502" s="6"/>
      <x:c r="N502" s="6"/>
      <x:c r="O502" s="6"/>
      <x:c r="P502" s="6"/>
      <x:c r="Q502" s="6"/>
      <x:c r="R502" s="6"/>
      <x:c r="S502" s="6"/>
      <x:c r="T502" s="6" t="str">
        <x:f>IF(C502="","",COUNTIF($C$2:$C$601,C502))</x:f>
      </x:c>
    </x:row>
    <x:row r="503">
      <x:c r="A503" s="6"/>
      <x:c r="B503" s="6"/>
      <x:c r="C503" s="6"/>
      <x:c r="D503" s="6"/>
      <x:c r="E503" s="6"/>
      <x:c r="F503" s="6"/>
      <x:c r="G503" s="6"/>
      <x:c r="H503" s="6"/>
      <x:c r="I503" s="6"/>
      <x:c r="J503" s="6"/>
      <x:c r="K503" s="6"/>
      <x:c r="L503" s="6"/>
      <x:c r="M503" s="6"/>
      <x:c r="N503" s="6"/>
      <x:c r="O503" s="6"/>
      <x:c r="P503" s="6"/>
      <x:c r="Q503" s="6"/>
      <x:c r="R503" s="6"/>
      <x:c r="S503" s="6"/>
      <x:c r="T503" s="6" t="str">
        <x:f>IF(C503="","",COUNTIF($C$2:$C$601,C503))</x:f>
      </x:c>
    </x:row>
    <x:row r="504">
      <x:c r="A504" s="6"/>
      <x:c r="B504" s="6"/>
      <x:c r="C504" s="6"/>
      <x:c r="D504" s="6"/>
      <x:c r="E504" s="6"/>
      <x:c r="F504" s="6"/>
      <x:c r="G504" s="6"/>
      <x:c r="H504" s="6"/>
      <x:c r="I504" s="6"/>
      <x:c r="J504" s="6"/>
      <x:c r="K504" s="6"/>
      <x:c r="L504" s="6"/>
      <x:c r="M504" s="6"/>
      <x:c r="N504" s="6"/>
      <x:c r="O504" s="6"/>
      <x:c r="P504" s="6"/>
      <x:c r="Q504" s="6"/>
      <x:c r="R504" s="6"/>
      <x:c r="S504" s="6"/>
      <x:c r="T504" s="6" t="str">
        <x:f>IF(C504="","",COUNTIF($C$2:$C$601,C504))</x:f>
      </x:c>
    </x:row>
    <x:row r="505">
      <x:c r="A505" s="6"/>
      <x:c r="B505" s="6"/>
      <x:c r="C505" s="6"/>
      <x:c r="D505" s="6"/>
      <x:c r="E505" s="6"/>
      <x:c r="F505" s="6"/>
      <x:c r="G505" s="6"/>
      <x:c r="H505" s="6"/>
      <x:c r="I505" s="6"/>
      <x:c r="J505" s="6"/>
      <x:c r="K505" s="6"/>
      <x:c r="L505" s="6"/>
      <x:c r="M505" s="6"/>
      <x:c r="N505" s="6"/>
      <x:c r="O505" s="6"/>
      <x:c r="P505" s="6"/>
      <x:c r="Q505" s="6"/>
      <x:c r="R505" s="6"/>
      <x:c r="S505" s="6"/>
      <x:c r="T505" s="6" t="str">
        <x:f>IF(C505="","",COUNTIF($C$2:$C$601,C505))</x:f>
      </x:c>
    </x:row>
    <x:row r="506">
      <x:c r="A506" s="6"/>
      <x:c r="B506" s="6"/>
      <x:c r="C506" s="6"/>
      <x:c r="D506" s="6"/>
      <x:c r="E506" s="6"/>
      <x:c r="F506" s="6"/>
      <x:c r="G506" s="6"/>
      <x:c r="H506" s="6"/>
      <x:c r="I506" s="6"/>
      <x:c r="J506" s="6"/>
      <x:c r="K506" s="6"/>
      <x:c r="L506" s="6"/>
      <x:c r="M506" s="6"/>
      <x:c r="N506" s="6"/>
      <x:c r="O506" s="6"/>
      <x:c r="P506" s="6"/>
      <x:c r="Q506" s="6"/>
      <x:c r="R506" s="6"/>
      <x:c r="S506" s="6"/>
      <x:c r="T506" s="6" t="str">
        <x:f>IF(C506="","",COUNTIF($C$2:$C$601,C506))</x:f>
      </x:c>
    </x:row>
    <x:row r="507">
      <x:c r="A507" s="6"/>
      <x:c r="B507" s="6"/>
      <x:c r="C507" s="6"/>
      <x:c r="D507" s="6"/>
      <x:c r="E507" s="6"/>
      <x:c r="F507" s="6"/>
      <x:c r="G507" s="6"/>
      <x:c r="H507" s="6"/>
      <x:c r="I507" s="6"/>
      <x:c r="J507" s="6"/>
      <x:c r="K507" s="6"/>
      <x:c r="L507" s="6"/>
      <x:c r="M507" s="6"/>
      <x:c r="N507" s="6"/>
      <x:c r="O507" s="6"/>
      <x:c r="P507" s="6"/>
      <x:c r="Q507" s="6"/>
      <x:c r="R507" s="6"/>
      <x:c r="S507" s="6"/>
      <x:c r="T507" s="6" t="str">
        <x:f>IF(C507="","",COUNTIF($C$2:$C$601,C507))</x:f>
      </x:c>
    </x:row>
    <x:row r="508">
      <x:c r="A508" s="6"/>
      <x:c r="B508" s="6"/>
      <x:c r="C508" s="6"/>
      <x:c r="D508" s="6"/>
      <x:c r="E508" s="6"/>
      <x:c r="F508" s="6"/>
      <x:c r="G508" s="6"/>
      <x:c r="H508" s="6"/>
      <x:c r="I508" s="6"/>
      <x:c r="J508" s="6"/>
      <x:c r="K508" s="6"/>
      <x:c r="L508" s="6"/>
      <x:c r="M508" s="6"/>
      <x:c r="N508" s="6"/>
      <x:c r="O508" s="6"/>
      <x:c r="P508" s="6"/>
      <x:c r="Q508" s="6"/>
      <x:c r="R508" s="6"/>
      <x:c r="S508" s="6"/>
      <x:c r="T508" s="6" t="str">
        <x:f>IF(C508="","",COUNTIF($C$2:$C$601,C508))</x:f>
      </x:c>
    </x:row>
    <x:row r="509">
      <x:c r="A509" s="6"/>
      <x:c r="B509" s="6"/>
      <x:c r="C509" s="6"/>
      <x:c r="D509" s="6"/>
      <x:c r="E509" s="6"/>
      <x:c r="F509" s="6"/>
      <x:c r="G509" s="6"/>
      <x:c r="H509" s="6"/>
      <x:c r="I509" s="6"/>
      <x:c r="J509" s="6"/>
      <x:c r="K509" s="6"/>
      <x:c r="L509" s="6"/>
      <x:c r="M509" s="6"/>
      <x:c r="N509" s="6"/>
      <x:c r="O509" s="6"/>
      <x:c r="P509" s="6"/>
      <x:c r="Q509" s="6"/>
      <x:c r="R509" s="6"/>
      <x:c r="S509" s="6"/>
      <x:c r="T509" s="6" t="str">
        <x:f>IF(C509="","",COUNTIF($C$2:$C$601,C509))</x:f>
      </x:c>
    </x:row>
    <x:row r="510">
      <x:c r="A510" s="6"/>
      <x:c r="B510" s="6"/>
      <x:c r="C510" s="6"/>
      <x:c r="D510" s="6"/>
      <x:c r="E510" s="6"/>
      <x:c r="F510" s="6"/>
      <x:c r="G510" s="6"/>
      <x:c r="H510" s="6"/>
      <x:c r="I510" s="6"/>
      <x:c r="J510" s="6"/>
      <x:c r="K510" s="6"/>
      <x:c r="L510" s="6"/>
      <x:c r="M510" s="6"/>
      <x:c r="N510" s="6"/>
      <x:c r="O510" s="6"/>
      <x:c r="P510" s="6"/>
      <x:c r="Q510" s="6"/>
      <x:c r="R510" s="6"/>
      <x:c r="S510" s="6"/>
      <x:c r="T510" s="6" t="str">
        <x:f>IF(C510="","",COUNTIF($C$2:$C$601,C510))</x:f>
      </x:c>
    </x:row>
    <x:row r="511">
      <x:c r="A511" s="6"/>
      <x:c r="B511" s="6"/>
      <x:c r="C511" s="6"/>
      <x:c r="D511" s="6"/>
      <x:c r="E511" s="6"/>
      <x:c r="F511" s="6"/>
      <x:c r="G511" s="6"/>
      <x:c r="H511" s="6"/>
      <x:c r="I511" s="6"/>
      <x:c r="J511" s="6"/>
      <x:c r="K511" s="6"/>
      <x:c r="L511" s="6"/>
      <x:c r="M511" s="6"/>
      <x:c r="N511" s="6"/>
      <x:c r="O511" s="6"/>
      <x:c r="P511" s="6"/>
      <x:c r="Q511" s="6"/>
      <x:c r="R511" s="6"/>
      <x:c r="S511" s="6"/>
      <x:c r="T511" s="6" t="str">
        <x:f>IF(C511="","",COUNTIF($C$2:$C$601,C511))</x:f>
      </x:c>
    </x:row>
    <x:row r="512">
      <x:c r="A512" s="6"/>
      <x:c r="B512" s="6"/>
      <x:c r="C512" s="6"/>
      <x:c r="D512" s="6"/>
      <x:c r="E512" s="6"/>
      <x:c r="F512" s="6"/>
      <x:c r="G512" s="6"/>
      <x:c r="H512" s="6"/>
      <x:c r="I512" s="6"/>
      <x:c r="J512" s="6"/>
      <x:c r="K512" s="6"/>
      <x:c r="L512" s="6"/>
      <x:c r="M512" s="6"/>
      <x:c r="N512" s="6"/>
      <x:c r="O512" s="6"/>
      <x:c r="P512" s="6"/>
      <x:c r="Q512" s="6"/>
      <x:c r="R512" s="6"/>
      <x:c r="S512" s="6"/>
      <x:c r="T512" s="6" t="str">
        <x:f>IF(C512="","",COUNTIF($C$2:$C$601,C512))</x:f>
      </x:c>
    </x:row>
    <x:row r="513">
      <x:c r="A513" s="6"/>
      <x:c r="B513" s="6"/>
      <x:c r="C513" s="6"/>
      <x:c r="D513" s="6"/>
      <x:c r="E513" s="6"/>
      <x:c r="F513" s="6"/>
      <x:c r="G513" s="6"/>
      <x:c r="H513" s="6"/>
      <x:c r="I513" s="6"/>
      <x:c r="J513" s="6"/>
      <x:c r="K513" s="6"/>
      <x:c r="L513" s="6"/>
      <x:c r="M513" s="6"/>
      <x:c r="N513" s="6"/>
      <x:c r="O513" s="6"/>
      <x:c r="P513" s="6"/>
      <x:c r="Q513" s="6"/>
      <x:c r="R513" s="6"/>
      <x:c r="S513" s="6"/>
      <x:c r="T513" s="6" t="str">
        <x:f>IF(C513="","",COUNTIF($C$2:$C$601,C513))</x:f>
      </x:c>
    </x:row>
    <x:row r="514">
      <x:c r="A514" s="6"/>
      <x:c r="B514" s="6"/>
      <x:c r="C514" s="6"/>
      <x:c r="D514" s="6"/>
      <x:c r="E514" s="6"/>
      <x:c r="F514" s="6"/>
      <x:c r="G514" s="6"/>
      <x:c r="H514" s="6"/>
      <x:c r="I514" s="6"/>
      <x:c r="J514" s="6"/>
      <x:c r="K514" s="6"/>
      <x:c r="L514" s="6"/>
      <x:c r="M514" s="6"/>
      <x:c r="N514" s="6"/>
      <x:c r="O514" s="6"/>
      <x:c r="P514" s="6"/>
      <x:c r="Q514" s="6"/>
      <x:c r="R514" s="6"/>
      <x:c r="S514" s="6"/>
      <x:c r="T514" s="6" t="str">
        <x:f>IF(C514="","",COUNTIF($C$2:$C$601,C514))</x:f>
      </x:c>
    </x:row>
    <x:row r="515">
      <x:c r="A515" s="6"/>
      <x:c r="B515" s="6"/>
      <x:c r="C515" s="6"/>
      <x:c r="D515" s="6"/>
      <x:c r="E515" s="6"/>
      <x:c r="F515" s="6"/>
      <x:c r="G515" s="6"/>
      <x:c r="H515" s="6"/>
      <x:c r="I515" s="6"/>
      <x:c r="J515" s="6"/>
      <x:c r="K515" s="6"/>
      <x:c r="L515" s="6"/>
      <x:c r="M515" s="6"/>
      <x:c r="N515" s="6"/>
      <x:c r="O515" s="6"/>
      <x:c r="P515" s="6"/>
      <x:c r="Q515" s="6"/>
      <x:c r="R515" s="6"/>
      <x:c r="S515" s="6"/>
      <x:c r="T515" s="6" t="str">
        <x:f>IF(C515="","",COUNTIF($C$2:$C$601,C515))</x:f>
      </x:c>
    </x:row>
    <x:row r="516">
      <x:c r="A516" s="6"/>
      <x:c r="B516" s="6"/>
      <x:c r="C516" s="6"/>
      <x:c r="D516" s="6"/>
      <x:c r="E516" s="6"/>
      <x:c r="F516" s="6"/>
      <x:c r="G516" s="6"/>
      <x:c r="H516" s="6"/>
      <x:c r="I516" s="6"/>
      <x:c r="J516" s="6"/>
      <x:c r="K516" s="6"/>
      <x:c r="L516" s="6"/>
      <x:c r="M516" s="6"/>
      <x:c r="N516" s="6"/>
      <x:c r="O516" s="6"/>
      <x:c r="P516" s="6"/>
      <x:c r="Q516" s="6"/>
      <x:c r="R516" s="6"/>
      <x:c r="S516" s="6"/>
      <x:c r="T516" s="6" t="str">
        <x:f>IF(C516="","",COUNTIF($C$2:$C$601,C516))</x:f>
      </x:c>
    </x:row>
    <x:row r="517">
      <x:c r="A517" s="6"/>
      <x:c r="B517" s="6"/>
      <x:c r="C517" s="6"/>
      <x:c r="D517" s="6"/>
      <x:c r="E517" s="6"/>
      <x:c r="F517" s="6"/>
      <x:c r="G517" s="6"/>
      <x:c r="H517" s="6"/>
      <x:c r="I517" s="6"/>
      <x:c r="J517" s="6"/>
      <x:c r="K517" s="6"/>
      <x:c r="L517" s="6"/>
      <x:c r="M517" s="6"/>
      <x:c r="N517" s="6"/>
      <x:c r="O517" s="6"/>
      <x:c r="P517" s="6"/>
      <x:c r="Q517" s="6"/>
      <x:c r="R517" s="6"/>
      <x:c r="S517" s="6"/>
      <x:c r="T517" s="6" t="str">
        <x:f>IF(C517="","",COUNTIF($C$2:$C$601,C517))</x:f>
      </x:c>
    </x:row>
    <x:row r="518">
      <x:c r="A518" s="6"/>
      <x:c r="B518" s="6"/>
      <x:c r="C518" s="6"/>
      <x:c r="D518" s="6"/>
      <x:c r="E518" s="6"/>
      <x:c r="F518" s="6"/>
      <x:c r="G518" s="6"/>
      <x:c r="H518" s="6"/>
      <x:c r="I518" s="6"/>
      <x:c r="J518" s="6"/>
      <x:c r="K518" s="6"/>
      <x:c r="L518" s="6"/>
      <x:c r="M518" s="6"/>
      <x:c r="N518" s="6"/>
      <x:c r="O518" s="6"/>
      <x:c r="P518" s="6"/>
      <x:c r="Q518" s="6"/>
      <x:c r="R518" s="6"/>
      <x:c r="S518" s="6"/>
      <x:c r="T518" s="6" t="str">
        <x:f>IF(C518="","",COUNTIF($C$2:$C$601,C518))</x:f>
      </x:c>
    </x:row>
    <x:row r="519">
      <x:c r="A519" s="6"/>
      <x:c r="B519" s="6"/>
      <x:c r="C519" s="6"/>
      <x:c r="D519" s="6"/>
      <x:c r="E519" s="6"/>
      <x:c r="F519" s="6"/>
      <x:c r="G519" s="6"/>
      <x:c r="H519" s="6"/>
      <x:c r="I519" s="6"/>
      <x:c r="J519" s="6"/>
      <x:c r="K519" s="6"/>
      <x:c r="L519" s="6"/>
      <x:c r="M519" s="6"/>
      <x:c r="N519" s="6"/>
      <x:c r="O519" s="6"/>
      <x:c r="P519" s="6"/>
      <x:c r="Q519" s="6"/>
      <x:c r="R519" s="6"/>
      <x:c r="S519" s="6"/>
      <x:c r="T519" s="6" t="str">
        <x:f>IF(C519="","",COUNTIF($C$2:$C$601,C519))</x:f>
      </x:c>
    </x:row>
    <x:row r="520">
      <x:c r="A520" s="6"/>
      <x:c r="B520" s="6"/>
      <x:c r="C520" s="6"/>
      <x:c r="D520" s="6"/>
      <x:c r="E520" s="6"/>
      <x:c r="F520" s="6"/>
      <x:c r="G520" s="6"/>
      <x:c r="H520" s="6"/>
      <x:c r="I520" s="6"/>
      <x:c r="J520" s="6"/>
      <x:c r="K520" s="6"/>
      <x:c r="L520" s="6"/>
      <x:c r="M520" s="6"/>
      <x:c r="N520" s="6"/>
      <x:c r="O520" s="6"/>
      <x:c r="P520" s="6"/>
      <x:c r="Q520" s="6"/>
      <x:c r="R520" s="6"/>
      <x:c r="S520" s="6"/>
      <x:c r="T520" s="6" t="str">
        <x:f>IF(C520="","",COUNTIF($C$2:$C$601,C520))</x:f>
      </x:c>
    </x:row>
    <x:row r="521">
      <x:c r="A521" s="6"/>
      <x:c r="B521" s="6"/>
      <x:c r="C521" s="6"/>
      <x:c r="D521" s="6"/>
      <x:c r="E521" s="6"/>
      <x:c r="F521" s="6"/>
      <x:c r="G521" s="6"/>
      <x:c r="H521" s="6"/>
      <x:c r="I521" s="6"/>
      <x:c r="J521" s="6"/>
      <x:c r="K521" s="6"/>
      <x:c r="L521" s="6"/>
      <x:c r="M521" s="6"/>
      <x:c r="N521" s="6"/>
      <x:c r="O521" s="6"/>
      <x:c r="P521" s="6"/>
      <x:c r="Q521" s="6"/>
      <x:c r="R521" s="6"/>
      <x:c r="S521" s="6"/>
      <x:c r="T521" s="6" t="str">
        <x:f>IF(C521="","",COUNTIF($C$2:$C$601,C521))</x:f>
      </x:c>
    </x:row>
    <x:row r="522">
      <x:c r="A522" s="6"/>
      <x:c r="B522" s="6"/>
      <x:c r="C522" s="6"/>
      <x:c r="D522" s="6"/>
      <x:c r="E522" s="6"/>
      <x:c r="F522" s="6"/>
      <x:c r="G522" s="6"/>
      <x:c r="H522" s="6"/>
      <x:c r="I522" s="6"/>
      <x:c r="J522" s="6"/>
      <x:c r="K522" s="6"/>
      <x:c r="L522" s="6"/>
      <x:c r="M522" s="6"/>
      <x:c r="N522" s="6"/>
      <x:c r="O522" s="6"/>
      <x:c r="P522" s="6"/>
      <x:c r="Q522" s="6"/>
      <x:c r="R522" s="6"/>
      <x:c r="S522" s="6"/>
      <x:c r="T522" s="6" t="str">
        <x:f>IF(C522="","",COUNTIF($C$2:$C$601,C522))</x:f>
      </x:c>
    </x:row>
    <x:row r="523">
      <x:c r="A523" s="6"/>
      <x:c r="B523" s="6"/>
      <x:c r="C523" s="6"/>
      <x:c r="D523" s="6"/>
      <x:c r="E523" s="6"/>
      <x:c r="F523" s="6"/>
      <x:c r="G523" s="6"/>
      <x:c r="H523" s="6"/>
      <x:c r="I523" s="6"/>
      <x:c r="J523" s="6"/>
      <x:c r="K523" s="6"/>
      <x:c r="L523" s="6"/>
      <x:c r="M523" s="6"/>
      <x:c r="N523" s="6"/>
      <x:c r="O523" s="6"/>
      <x:c r="P523" s="6"/>
      <x:c r="Q523" s="6"/>
      <x:c r="R523" s="6"/>
      <x:c r="S523" s="6"/>
      <x:c r="T523" s="6" t="str">
        <x:f>IF(C523="","",COUNTIF($C$2:$C$601,C523))</x:f>
      </x:c>
    </x:row>
    <x:row r="524">
      <x:c r="A524" s="6"/>
      <x:c r="B524" s="6"/>
      <x:c r="C524" s="6"/>
      <x:c r="D524" s="6"/>
      <x:c r="E524" s="6"/>
      <x:c r="F524" s="6"/>
      <x:c r="G524" s="6"/>
      <x:c r="H524" s="6"/>
      <x:c r="I524" s="6"/>
      <x:c r="J524" s="6"/>
      <x:c r="K524" s="6"/>
      <x:c r="L524" s="6"/>
      <x:c r="M524" s="6"/>
      <x:c r="N524" s="6"/>
      <x:c r="O524" s="6"/>
      <x:c r="P524" s="6"/>
      <x:c r="Q524" s="6"/>
      <x:c r="R524" s="6"/>
      <x:c r="S524" s="6"/>
      <x:c r="T524" s="6" t="str">
        <x:f>IF(C524="","",COUNTIF($C$2:$C$601,C524))</x:f>
      </x:c>
    </x:row>
    <x:row r="525">
      <x:c r="A525" s="6"/>
      <x:c r="B525" s="6"/>
      <x:c r="C525" s="6"/>
      <x:c r="D525" s="6"/>
      <x:c r="E525" s="6"/>
      <x:c r="F525" s="6"/>
      <x:c r="G525" s="6"/>
      <x:c r="H525" s="6"/>
      <x:c r="I525" s="6"/>
      <x:c r="J525" s="6"/>
      <x:c r="K525" s="6"/>
      <x:c r="L525" s="6"/>
      <x:c r="M525" s="6"/>
      <x:c r="N525" s="6"/>
      <x:c r="O525" s="6"/>
      <x:c r="P525" s="6"/>
      <x:c r="Q525" s="6"/>
      <x:c r="R525" s="6"/>
      <x:c r="S525" s="6"/>
      <x:c r="T525" s="6" t="str">
        <x:f>IF(C525="","",COUNTIF($C$2:$C$601,C525))</x:f>
      </x:c>
    </x:row>
    <x:row r="526">
      <x:c r="A526" s="6"/>
      <x:c r="B526" s="6"/>
      <x:c r="C526" s="6"/>
      <x:c r="D526" s="6"/>
      <x:c r="E526" s="6"/>
      <x:c r="F526" s="6"/>
      <x:c r="G526" s="6"/>
      <x:c r="H526" s="6"/>
      <x:c r="I526" s="6"/>
      <x:c r="J526" s="6"/>
      <x:c r="K526" s="6"/>
      <x:c r="L526" s="6"/>
      <x:c r="M526" s="6"/>
      <x:c r="N526" s="6"/>
      <x:c r="O526" s="6"/>
      <x:c r="P526" s="6"/>
      <x:c r="Q526" s="6"/>
      <x:c r="R526" s="6"/>
      <x:c r="S526" s="6"/>
      <x:c r="T526" s="6" t="str">
        <x:f>IF(C526="","",COUNTIF($C$2:$C$601,C526))</x:f>
      </x:c>
    </x:row>
    <x:row r="527">
      <x:c r="A527" s="6"/>
      <x:c r="B527" s="6"/>
      <x:c r="C527" s="6"/>
      <x:c r="D527" s="6"/>
      <x:c r="E527" s="6"/>
      <x:c r="F527" s="6"/>
      <x:c r="G527" s="6"/>
      <x:c r="H527" s="6"/>
      <x:c r="I527" s="6"/>
      <x:c r="J527" s="6"/>
      <x:c r="K527" s="6"/>
      <x:c r="L527" s="6"/>
      <x:c r="M527" s="6"/>
      <x:c r="N527" s="6"/>
      <x:c r="O527" s="6"/>
      <x:c r="P527" s="6"/>
      <x:c r="Q527" s="6"/>
      <x:c r="R527" s="6"/>
      <x:c r="S527" s="6"/>
      <x:c r="T527" s="6" t="str">
        <x:f>IF(C527="","",COUNTIF($C$2:$C$601,C527))</x:f>
      </x:c>
    </x:row>
    <x:row r="528">
      <x:c r="A528" s="6"/>
      <x:c r="B528" s="6"/>
      <x:c r="C528" s="6"/>
      <x:c r="D528" s="6"/>
      <x:c r="E528" s="6"/>
      <x:c r="F528" s="6"/>
      <x:c r="G528" s="6"/>
      <x:c r="H528" s="6"/>
      <x:c r="I528" s="6"/>
      <x:c r="J528" s="6"/>
      <x:c r="K528" s="6"/>
      <x:c r="L528" s="6"/>
      <x:c r="M528" s="6"/>
      <x:c r="N528" s="6"/>
      <x:c r="O528" s="6"/>
      <x:c r="P528" s="6"/>
      <x:c r="Q528" s="6"/>
      <x:c r="R528" s="6"/>
      <x:c r="S528" s="6"/>
      <x:c r="T528" s="6" t="str">
        <x:f>IF(C528="","",COUNTIF($C$2:$C$601,C528))</x:f>
      </x:c>
    </x:row>
    <x:row r="529">
      <x:c r="A529" s="6"/>
      <x:c r="B529" s="6"/>
      <x:c r="C529" s="6"/>
      <x:c r="D529" s="6"/>
      <x:c r="E529" s="6"/>
      <x:c r="F529" s="6"/>
      <x:c r="G529" s="6"/>
      <x:c r="H529" s="6"/>
      <x:c r="I529" s="6"/>
      <x:c r="J529" s="6"/>
      <x:c r="K529" s="6"/>
      <x:c r="L529" s="6"/>
      <x:c r="M529" s="6"/>
      <x:c r="N529" s="6"/>
      <x:c r="O529" s="6"/>
      <x:c r="P529" s="6"/>
      <x:c r="Q529" s="6"/>
      <x:c r="R529" s="6"/>
      <x:c r="S529" s="6"/>
      <x:c r="T529" s="6" t="str">
        <x:f>IF(C529="","",COUNTIF($C$2:$C$601,C529))</x:f>
      </x:c>
    </x:row>
    <x:row r="530">
      <x:c r="A530" s="6"/>
      <x:c r="B530" s="6"/>
      <x:c r="C530" s="6"/>
      <x:c r="D530" s="6"/>
      <x:c r="E530" s="6"/>
      <x:c r="F530" s="6"/>
      <x:c r="G530" s="6"/>
      <x:c r="H530" s="6"/>
      <x:c r="I530" s="6"/>
      <x:c r="J530" s="6"/>
      <x:c r="K530" s="6"/>
      <x:c r="L530" s="6"/>
      <x:c r="M530" s="6"/>
      <x:c r="N530" s="6"/>
      <x:c r="O530" s="6"/>
      <x:c r="P530" s="6"/>
      <x:c r="Q530" s="6"/>
      <x:c r="R530" s="6"/>
      <x:c r="S530" s="6"/>
      <x:c r="T530" s="6" t="str">
        <x:f>IF(C530="","",COUNTIF($C$2:$C$601,C530))</x:f>
      </x:c>
    </x:row>
    <x:row r="531">
      <x:c r="A531" s="6"/>
      <x:c r="B531" s="6"/>
      <x:c r="C531" s="6"/>
      <x:c r="D531" s="6"/>
      <x:c r="E531" s="6"/>
      <x:c r="F531" s="6"/>
      <x:c r="G531" s="6"/>
      <x:c r="H531" s="6"/>
      <x:c r="I531" s="6"/>
      <x:c r="J531" s="6"/>
      <x:c r="K531" s="6"/>
      <x:c r="L531" s="6"/>
      <x:c r="M531" s="6"/>
      <x:c r="N531" s="6"/>
      <x:c r="O531" s="6"/>
      <x:c r="P531" s="6"/>
      <x:c r="Q531" s="6"/>
      <x:c r="R531" s="6"/>
      <x:c r="S531" s="6"/>
      <x:c r="T531" s="6" t="str">
        <x:f>IF(C531="","",COUNTIF($C$2:$C$601,C531))</x:f>
      </x:c>
    </x:row>
    <x:row r="532">
      <x:c r="A532" s="6"/>
      <x:c r="B532" s="6"/>
      <x:c r="C532" s="6"/>
      <x:c r="D532" s="6"/>
      <x:c r="E532" s="6"/>
      <x:c r="F532" s="6"/>
      <x:c r="G532" s="6"/>
      <x:c r="H532" s="6"/>
      <x:c r="I532" s="6"/>
      <x:c r="J532" s="6"/>
      <x:c r="K532" s="6"/>
      <x:c r="L532" s="6"/>
      <x:c r="M532" s="6"/>
      <x:c r="N532" s="6"/>
      <x:c r="O532" s="6"/>
      <x:c r="P532" s="6"/>
      <x:c r="Q532" s="6"/>
      <x:c r="R532" s="6"/>
      <x:c r="S532" s="6"/>
      <x:c r="T532" s="6" t="str">
        <x:f>IF(C532="","",COUNTIF($C$2:$C$601,C532))</x:f>
      </x:c>
    </x:row>
    <x:row r="533">
      <x:c r="A533" s="6"/>
      <x:c r="B533" s="6"/>
      <x:c r="C533" s="6"/>
      <x:c r="D533" s="6"/>
      <x:c r="E533" s="6"/>
      <x:c r="F533" s="6"/>
      <x:c r="G533" s="6"/>
      <x:c r="H533" s="6"/>
      <x:c r="I533" s="6"/>
      <x:c r="J533" s="6"/>
      <x:c r="K533" s="6"/>
      <x:c r="L533" s="6"/>
      <x:c r="M533" s="6"/>
      <x:c r="N533" s="6"/>
      <x:c r="O533" s="6"/>
      <x:c r="P533" s="6"/>
      <x:c r="Q533" s="6"/>
      <x:c r="R533" s="6"/>
      <x:c r="S533" s="6"/>
      <x:c r="T533" s="6" t="str">
        <x:f>IF(C533="","",COUNTIF($C$2:$C$601,C533))</x:f>
      </x:c>
    </x:row>
    <x:row r="534">
      <x:c r="A534" s="6"/>
      <x:c r="B534" s="6"/>
      <x:c r="C534" s="6"/>
      <x:c r="D534" s="6"/>
      <x:c r="E534" s="6"/>
      <x:c r="F534" s="6"/>
      <x:c r="G534" s="6"/>
      <x:c r="H534" s="6"/>
      <x:c r="I534" s="6"/>
      <x:c r="J534" s="6"/>
      <x:c r="K534" s="6"/>
      <x:c r="L534" s="6"/>
      <x:c r="M534" s="6"/>
      <x:c r="N534" s="6"/>
      <x:c r="O534" s="6"/>
      <x:c r="P534" s="6"/>
      <x:c r="Q534" s="6"/>
      <x:c r="R534" s="6"/>
      <x:c r="S534" s="6"/>
      <x:c r="T534" s="6" t="str">
        <x:f>IF(C534="","",COUNTIF($C$2:$C$601,C534))</x:f>
      </x:c>
    </x:row>
    <x:row r="535">
      <x:c r="A535" s="6"/>
      <x:c r="B535" s="6"/>
      <x:c r="C535" s="6"/>
      <x:c r="D535" s="6"/>
      <x:c r="E535" s="6"/>
      <x:c r="F535" s="6"/>
      <x:c r="G535" s="6"/>
      <x:c r="H535" s="6"/>
      <x:c r="I535" s="6"/>
      <x:c r="J535" s="6"/>
      <x:c r="K535" s="6"/>
      <x:c r="L535" s="6"/>
      <x:c r="M535" s="6"/>
      <x:c r="N535" s="6"/>
      <x:c r="O535" s="6"/>
      <x:c r="P535" s="6"/>
      <x:c r="Q535" s="6"/>
      <x:c r="R535" s="6"/>
      <x:c r="S535" s="6"/>
      <x:c r="T535" s="6" t="str">
        <x:f>IF(C535="","",COUNTIF($C$2:$C$601,C535))</x:f>
      </x:c>
    </x:row>
    <x:row r="536">
      <x:c r="A536" s="6"/>
      <x:c r="B536" s="6"/>
      <x:c r="C536" s="6"/>
      <x:c r="D536" s="6"/>
      <x:c r="E536" s="6"/>
      <x:c r="F536" s="6"/>
      <x:c r="G536" s="6"/>
      <x:c r="H536" s="6"/>
      <x:c r="I536" s="6"/>
      <x:c r="J536" s="6"/>
      <x:c r="K536" s="6"/>
      <x:c r="L536" s="6"/>
      <x:c r="M536" s="6"/>
      <x:c r="N536" s="6"/>
      <x:c r="O536" s="6"/>
      <x:c r="P536" s="6"/>
      <x:c r="Q536" s="6"/>
      <x:c r="R536" s="6"/>
      <x:c r="S536" s="6"/>
      <x:c r="T536" s="6" t="str">
        <x:f>IF(C536="","",COUNTIF($C$2:$C$601,C536))</x:f>
      </x:c>
    </x:row>
    <x:row r="537">
      <x:c r="A537" s="6"/>
      <x:c r="B537" s="6"/>
      <x:c r="C537" s="6"/>
      <x:c r="D537" s="6"/>
      <x:c r="E537" s="6"/>
      <x:c r="F537" s="6"/>
      <x:c r="G537" s="6"/>
      <x:c r="H537" s="6"/>
      <x:c r="I537" s="6"/>
      <x:c r="J537" s="6"/>
      <x:c r="K537" s="6"/>
      <x:c r="L537" s="6"/>
      <x:c r="M537" s="6"/>
      <x:c r="N537" s="6"/>
      <x:c r="O537" s="6"/>
      <x:c r="P537" s="6"/>
      <x:c r="Q537" s="6"/>
      <x:c r="R537" s="6"/>
      <x:c r="S537" s="6"/>
      <x:c r="T537" s="6" t="str">
        <x:f>IF(C537="","",COUNTIF($C$2:$C$601,C537))</x:f>
      </x:c>
    </x:row>
    <x:row r="538">
      <x:c r="A538" s="6"/>
      <x:c r="B538" s="6"/>
      <x:c r="C538" s="6"/>
      <x:c r="D538" s="6"/>
      <x:c r="E538" s="6"/>
      <x:c r="F538" s="6"/>
      <x:c r="G538" s="6"/>
      <x:c r="H538" s="6"/>
      <x:c r="I538" s="6"/>
      <x:c r="J538" s="6"/>
      <x:c r="K538" s="6"/>
      <x:c r="L538" s="6"/>
      <x:c r="M538" s="6"/>
      <x:c r="N538" s="6"/>
      <x:c r="O538" s="6"/>
      <x:c r="P538" s="6"/>
      <x:c r="Q538" s="6"/>
      <x:c r="R538" s="6"/>
      <x:c r="S538" s="6"/>
      <x:c r="T538" s="6" t="str">
        <x:f>IF(C538="","",COUNTIF($C$2:$C$601,C538))</x:f>
      </x:c>
    </x:row>
    <x:row r="539">
      <x:c r="A539" s="6"/>
      <x:c r="B539" s="6"/>
      <x:c r="C539" s="6"/>
      <x:c r="D539" s="6"/>
      <x:c r="E539" s="6"/>
      <x:c r="F539" s="6"/>
      <x:c r="G539" s="6"/>
      <x:c r="H539" s="6"/>
      <x:c r="I539" s="6"/>
      <x:c r="J539" s="6"/>
      <x:c r="K539" s="6"/>
      <x:c r="L539" s="6"/>
      <x:c r="M539" s="6"/>
      <x:c r="N539" s="6"/>
      <x:c r="O539" s="6"/>
      <x:c r="P539" s="6"/>
      <x:c r="Q539" s="6"/>
      <x:c r="R539" s="6"/>
      <x:c r="S539" s="6"/>
      <x:c r="T539" s="6" t="str">
        <x:f>IF(C539="","",COUNTIF($C$2:$C$601,C539))</x:f>
      </x:c>
    </x:row>
    <x:row r="540">
      <x:c r="A540" s="6"/>
      <x:c r="B540" s="6"/>
      <x:c r="C540" s="6"/>
      <x:c r="D540" s="6"/>
      <x:c r="E540" s="6"/>
      <x:c r="F540" s="6"/>
      <x:c r="G540" s="6"/>
      <x:c r="H540" s="6"/>
      <x:c r="I540" s="6"/>
      <x:c r="J540" s="6"/>
      <x:c r="K540" s="6"/>
      <x:c r="L540" s="6"/>
      <x:c r="M540" s="6"/>
      <x:c r="N540" s="6"/>
      <x:c r="O540" s="6"/>
      <x:c r="P540" s="6"/>
      <x:c r="Q540" s="6"/>
      <x:c r="R540" s="6"/>
      <x:c r="S540" s="6"/>
      <x:c r="T540" s="6" t="str">
        <x:f>IF(C540="","",COUNTIF($C$2:$C$601,C540))</x:f>
      </x:c>
    </x:row>
    <x:row r="541">
      <x:c r="A541" s="6"/>
      <x:c r="B541" s="6"/>
      <x:c r="C541" s="6"/>
      <x:c r="D541" s="6"/>
      <x:c r="E541" s="6"/>
      <x:c r="F541" s="6"/>
      <x:c r="G541" s="6"/>
      <x:c r="H541" s="6"/>
      <x:c r="I541" s="6"/>
      <x:c r="J541" s="6"/>
      <x:c r="K541" s="6"/>
      <x:c r="L541" s="6"/>
      <x:c r="M541" s="6"/>
      <x:c r="N541" s="6"/>
      <x:c r="O541" s="6"/>
      <x:c r="P541" s="6"/>
      <x:c r="Q541" s="6"/>
      <x:c r="R541" s="6"/>
      <x:c r="S541" s="6"/>
      <x:c r="T541" s="6" t="str">
        <x:f>IF(C541="","",COUNTIF($C$2:$C$601,C541))</x:f>
      </x:c>
    </x:row>
    <x:row r="542">
      <x:c r="A542" s="6"/>
      <x:c r="B542" s="6"/>
      <x:c r="C542" s="6"/>
      <x:c r="D542" s="6"/>
      <x:c r="E542" s="6"/>
      <x:c r="F542" s="6"/>
      <x:c r="G542" s="6"/>
      <x:c r="H542" s="6"/>
      <x:c r="I542" s="6"/>
      <x:c r="J542" s="6"/>
      <x:c r="K542" s="6"/>
      <x:c r="L542" s="6"/>
      <x:c r="M542" s="6"/>
      <x:c r="N542" s="6"/>
      <x:c r="O542" s="6"/>
      <x:c r="P542" s="6"/>
      <x:c r="Q542" s="6"/>
      <x:c r="R542" s="6"/>
      <x:c r="S542" s="6"/>
      <x:c r="T542" s="6" t="str">
        <x:f>IF(C542="","",COUNTIF($C$2:$C$601,C542))</x:f>
      </x:c>
    </x:row>
    <x:row r="543">
      <x:c r="A543" s="6"/>
      <x:c r="B543" s="6"/>
      <x:c r="C543" s="6"/>
      <x:c r="D543" s="6"/>
      <x:c r="E543" s="6"/>
      <x:c r="F543" s="6"/>
      <x:c r="G543" s="6"/>
      <x:c r="H543" s="6"/>
      <x:c r="I543" s="6"/>
      <x:c r="J543" s="6"/>
      <x:c r="K543" s="6"/>
      <x:c r="L543" s="6"/>
      <x:c r="M543" s="6"/>
      <x:c r="N543" s="6"/>
      <x:c r="O543" s="6"/>
      <x:c r="P543" s="6"/>
      <x:c r="Q543" s="6"/>
      <x:c r="R543" s="6"/>
      <x:c r="S543" s="6"/>
      <x:c r="T543" s="6" t="str">
        <x:f>IF(C543="","",COUNTIF($C$2:$C$601,C543))</x:f>
      </x:c>
    </x:row>
    <x:row r="544">
      <x:c r="A544" s="6"/>
      <x:c r="B544" s="6"/>
      <x:c r="C544" s="6"/>
      <x:c r="D544" s="6"/>
      <x:c r="E544" s="6"/>
      <x:c r="F544" s="6"/>
      <x:c r="G544" s="6"/>
      <x:c r="H544" s="6"/>
      <x:c r="I544" s="6"/>
      <x:c r="J544" s="6"/>
      <x:c r="K544" s="6"/>
      <x:c r="L544" s="6"/>
      <x:c r="M544" s="6"/>
      <x:c r="N544" s="6"/>
      <x:c r="O544" s="6"/>
      <x:c r="P544" s="6"/>
      <x:c r="Q544" s="6"/>
      <x:c r="R544" s="6"/>
      <x:c r="S544" s="6"/>
      <x:c r="T544" s="6" t="str">
        <x:f>IF(C544="","",COUNTIF($C$2:$C$601,C544))</x:f>
      </x:c>
    </x:row>
    <x:row r="545">
      <x:c r="A545" s="6"/>
      <x:c r="B545" s="6"/>
      <x:c r="C545" s="6"/>
      <x:c r="D545" s="6"/>
      <x:c r="E545" s="6"/>
      <x:c r="F545" s="6"/>
      <x:c r="G545" s="6"/>
      <x:c r="H545" s="6"/>
      <x:c r="I545" s="6"/>
      <x:c r="J545" s="6"/>
      <x:c r="K545" s="6"/>
      <x:c r="L545" s="6"/>
      <x:c r="M545" s="6"/>
      <x:c r="N545" s="6"/>
      <x:c r="O545" s="6"/>
      <x:c r="P545" s="6"/>
      <x:c r="Q545" s="6"/>
      <x:c r="R545" s="6"/>
      <x:c r="S545" s="6"/>
      <x:c r="T545" s="6" t="str">
        <x:f>IF(C545="","",COUNTIF($C$2:$C$601,C545))</x:f>
      </x:c>
    </x:row>
    <x:row r="546">
      <x:c r="A546" s="6"/>
      <x:c r="B546" s="6"/>
      <x:c r="C546" s="6"/>
      <x:c r="D546" s="6"/>
      <x:c r="E546" s="6"/>
      <x:c r="F546" s="6"/>
      <x:c r="G546" s="6"/>
      <x:c r="H546" s="6"/>
      <x:c r="I546" s="6"/>
      <x:c r="J546" s="6"/>
      <x:c r="K546" s="6"/>
      <x:c r="L546" s="6"/>
      <x:c r="M546" s="6"/>
      <x:c r="N546" s="6"/>
      <x:c r="O546" s="6"/>
      <x:c r="P546" s="6"/>
      <x:c r="Q546" s="6"/>
      <x:c r="R546" s="6"/>
      <x:c r="S546" s="6"/>
      <x:c r="T546" s="6" t="str">
        <x:f>IF(C546="","",COUNTIF($C$2:$C$601,C546))</x:f>
      </x:c>
    </x:row>
    <x:row r="547">
      <x:c r="A547" s="6"/>
      <x:c r="B547" s="6"/>
      <x:c r="C547" s="6"/>
      <x:c r="D547" s="6"/>
      <x:c r="E547" s="6"/>
      <x:c r="F547" s="6"/>
      <x:c r="G547" s="6"/>
      <x:c r="H547" s="6"/>
      <x:c r="I547" s="6"/>
      <x:c r="J547" s="6"/>
      <x:c r="K547" s="6"/>
      <x:c r="L547" s="6"/>
      <x:c r="M547" s="6"/>
      <x:c r="N547" s="6"/>
      <x:c r="O547" s="6"/>
      <x:c r="P547" s="6"/>
      <x:c r="Q547" s="6"/>
      <x:c r="R547" s="6"/>
      <x:c r="S547" s="6"/>
      <x:c r="T547" s="6" t="str">
        <x:f>IF(C547="","",COUNTIF($C$2:$C$601,C547))</x:f>
      </x:c>
    </x:row>
    <x:row r="548">
      <x:c r="A548" s="6"/>
      <x:c r="B548" s="6"/>
      <x:c r="C548" s="6"/>
      <x:c r="D548" s="6"/>
      <x:c r="E548" s="6"/>
      <x:c r="F548" s="6"/>
      <x:c r="G548" s="6"/>
      <x:c r="H548" s="6"/>
      <x:c r="I548" s="6"/>
      <x:c r="J548" s="6"/>
      <x:c r="K548" s="6"/>
      <x:c r="L548" s="6"/>
      <x:c r="M548" s="6"/>
      <x:c r="N548" s="6"/>
      <x:c r="O548" s="6"/>
      <x:c r="P548" s="6"/>
      <x:c r="Q548" s="6"/>
      <x:c r="R548" s="6"/>
      <x:c r="S548" s="6"/>
      <x:c r="T548" s="6" t="str">
        <x:f>IF(C548="","",COUNTIF($C$2:$C$601,C548))</x:f>
      </x:c>
    </x:row>
    <x:row r="549">
      <x:c r="A549" s="6"/>
      <x:c r="B549" s="6"/>
      <x:c r="C549" s="6"/>
      <x:c r="D549" s="6"/>
      <x:c r="E549" s="6"/>
      <x:c r="F549" s="6"/>
      <x:c r="G549" s="6"/>
      <x:c r="H549" s="6"/>
      <x:c r="I549" s="6"/>
      <x:c r="J549" s="6"/>
      <x:c r="K549" s="6"/>
      <x:c r="L549" s="6"/>
      <x:c r="M549" s="6"/>
      <x:c r="N549" s="6"/>
      <x:c r="O549" s="6"/>
      <x:c r="P549" s="6"/>
      <x:c r="Q549" s="6"/>
      <x:c r="R549" s="6"/>
      <x:c r="S549" s="6"/>
      <x:c r="T549" s="6" t="str">
        <x:f>IF(C549="","",COUNTIF($C$2:$C$601,C549))</x:f>
      </x:c>
    </x:row>
    <x:row r="550">
      <x:c r="A550" s="6"/>
      <x:c r="B550" s="6"/>
      <x:c r="C550" s="6"/>
      <x:c r="D550" s="6"/>
      <x:c r="E550" s="6"/>
      <x:c r="F550" s="6"/>
      <x:c r="G550" s="6"/>
      <x:c r="H550" s="6"/>
      <x:c r="I550" s="6"/>
      <x:c r="J550" s="6"/>
      <x:c r="K550" s="6"/>
      <x:c r="L550" s="6"/>
      <x:c r="M550" s="6"/>
      <x:c r="N550" s="6"/>
      <x:c r="O550" s="6"/>
      <x:c r="P550" s="6"/>
      <x:c r="Q550" s="6"/>
      <x:c r="R550" s="6"/>
      <x:c r="S550" s="6"/>
      <x:c r="T550" s="6" t="str">
        <x:f>IF(C550="","",COUNTIF($C$2:$C$601,C550))</x:f>
      </x:c>
    </x:row>
    <x:row r="551">
      <x:c r="A551" s="6"/>
      <x:c r="B551" s="6"/>
      <x:c r="C551" s="6"/>
      <x:c r="D551" s="6"/>
      <x:c r="E551" s="6"/>
      <x:c r="F551" s="6"/>
      <x:c r="G551" s="6"/>
      <x:c r="H551" s="6"/>
      <x:c r="I551" s="6"/>
      <x:c r="J551" s="6"/>
      <x:c r="K551" s="6"/>
      <x:c r="L551" s="6"/>
      <x:c r="M551" s="6"/>
      <x:c r="N551" s="6"/>
      <x:c r="O551" s="6"/>
      <x:c r="P551" s="6"/>
      <x:c r="Q551" s="6"/>
      <x:c r="R551" s="6"/>
      <x:c r="S551" s="6"/>
      <x:c r="T551" s="6" t="str">
        <x:f>IF(C551="","",COUNTIF($C$2:$C$601,C551))</x:f>
      </x:c>
    </x:row>
    <x:row r="552">
      <x:c r="A552" s="6"/>
      <x:c r="B552" s="6"/>
      <x:c r="C552" s="6"/>
      <x:c r="D552" s="6"/>
      <x:c r="E552" s="6"/>
      <x:c r="F552" s="6"/>
      <x:c r="G552" s="6"/>
      <x:c r="H552" s="6"/>
      <x:c r="I552" s="6"/>
      <x:c r="J552" s="6"/>
      <x:c r="K552" s="6"/>
      <x:c r="L552" s="6"/>
      <x:c r="M552" s="6"/>
      <x:c r="N552" s="6"/>
      <x:c r="O552" s="6"/>
      <x:c r="P552" s="6"/>
      <x:c r="Q552" s="6"/>
      <x:c r="R552" s="6"/>
      <x:c r="S552" s="6"/>
      <x:c r="T552" s="6" t="str">
        <x:f>IF(C552="","",COUNTIF($C$2:$C$601,C552))</x:f>
      </x:c>
    </x:row>
    <x:row r="553">
      <x:c r="A553" s="6"/>
      <x:c r="B553" s="6"/>
      <x:c r="C553" s="6"/>
      <x:c r="D553" s="6"/>
      <x:c r="E553" s="6"/>
      <x:c r="F553" s="6"/>
      <x:c r="G553" s="6"/>
      <x:c r="H553" s="6"/>
      <x:c r="I553" s="6"/>
      <x:c r="J553" s="6"/>
      <x:c r="K553" s="6"/>
      <x:c r="L553" s="6"/>
      <x:c r="M553" s="6"/>
      <x:c r="N553" s="6"/>
      <x:c r="O553" s="6"/>
      <x:c r="P553" s="6"/>
      <x:c r="Q553" s="6"/>
      <x:c r="R553" s="6"/>
      <x:c r="S553" s="6"/>
      <x:c r="T553" s="6" t="str">
        <x:f>IF(C553="","",COUNTIF($C$2:$C$601,C553))</x:f>
      </x:c>
    </x:row>
    <x:row r="554">
      <x:c r="A554" s="6"/>
      <x:c r="B554" s="6"/>
      <x:c r="C554" s="6"/>
      <x:c r="D554" s="6"/>
      <x:c r="E554" s="6"/>
      <x:c r="F554" s="6"/>
      <x:c r="G554" s="6"/>
      <x:c r="H554" s="6"/>
      <x:c r="I554" s="6"/>
      <x:c r="J554" s="6"/>
      <x:c r="K554" s="6"/>
      <x:c r="L554" s="6"/>
      <x:c r="M554" s="6"/>
      <x:c r="N554" s="6"/>
      <x:c r="O554" s="6"/>
      <x:c r="P554" s="6"/>
      <x:c r="Q554" s="6"/>
      <x:c r="R554" s="6"/>
      <x:c r="S554" s="6"/>
      <x:c r="T554" s="6" t="str">
        <x:f>IF(C554="","",COUNTIF($C$2:$C$601,C554))</x:f>
      </x:c>
    </x:row>
    <x:row r="555">
      <x:c r="A555" s="6"/>
      <x:c r="B555" s="6"/>
      <x:c r="C555" s="6"/>
      <x:c r="D555" s="6"/>
      <x:c r="E555" s="6"/>
      <x:c r="F555" s="6"/>
      <x:c r="G555" s="6"/>
      <x:c r="H555" s="6"/>
      <x:c r="I555" s="6"/>
      <x:c r="J555" s="6"/>
      <x:c r="K555" s="6"/>
      <x:c r="L555" s="6"/>
      <x:c r="M555" s="6"/>
      <x:c r="N555" s="6"/>
      <x:c r="O555" s="6"/>
      <x:c r="P555" s="6"/>
      <x:c r="Q555" s="6"/>
      <x:c r="R555" s="6"/>
      <x:c r="S555" s="6"/>
      <x:c r="T555" s="6" t="str">
        <x:f>IF(C555="","",COUNTIF($C$2:$C$601,C555))</x:f>
      </x:c>
    </x:row>
    <x:row r="556">
      <x:c r="A556" s="6"/>
      <x:c r="B556" s="6"/>
      <x:c r="C556" s="6"/>
      <x:c r="D556" s="6"/>
      <x:c r="E556" s="6"/>
      <x:c r="F556" s="6"/>
      <x:c r="G556" s="6"/>
      <x:c r="H556" s="6"/>
      <x:c r="I556" s="6"/>
      <x:c r="J556" s="6"/>
      <x:c r="K556" s="6"/>
      <x:c r="L556" s="6"/>
      <x:c r="M556" s="6"/>
      <x:c r="N556" s="6"/>
      <x:c r="O556" s="6"/>
      <x:c r="P556" s="6"/>
      <x:c r="Q556" s="6"/>
      <x:c r="R556" s="6"/>
      <x:c r="S556" s="6"/>
      <x:c r="T556" s="6" t="str">
        <x:f>IF(C556="","",COUNTIF($C$2:$C$601,C556))</x:f>
      </x:c>
    </x:row>
    <x:row r="557">
      <x:c r="A557" s="6"/>
      <x:c r="B557" s="6"/>
      <x:c r="C557" s="6"/>
      <x:c r="D557" s="6"/>
      <x:c r="E557" s="6"/>
      <x:c r="F557" s="6"/>
      <x:c r="G557" s="6"/>
      <x:c r="H557" s="6"/>
      <x:c r="I557" s="6"/>
      <x:c r="J557" s="6"/>
      <x:c r="K557" s="6"/>
      <x:c r="L557" s="6"/>
      <x:c r="M557" s="6"/>
      <x:c r="N557" s="6"/>
      <x:c r="O557" s="6"/>
      <x:c r="P557" s="6"/>
      <x:c r="Q557" s="6"/>
      <x:c r="R557" s="6"/>
      <x:c r="S557" s="6"/>
      <x:c r="T557" s="6" t="str">
        <x:f>IF(C557="","",COUNTIF($C$2:$C$601,C557))</x:f>
      </x:c>
    </x:row>
    <x:row r="558">
      <x:c r="A558" s="6"/>
      <x:c r="B558" s="6"/>
      <x:c r="C558" s="6"/>
      <x:c r="D558" s="6"/>
      <x:c r="E558" s="6"/>
      <x:c r="F558" s="6"/>
      <x:c r="G558" s="6"/>
      <x:c r="H558" s="6"/>
      <x:c r="I558" s="6"/>
      <x:c r="J558" s="6"/>
      <x:c r="K558" s="6"/>
      <x:c r="L558" s="6"/>
      <x:c r="M558" s="6"/>
      <x:c r="N558" s="6"/>
      <x:c r="O558" s="6"/>
      <x:c r="P558" s="6"/>
      <x:c r="Q558" s="6"/>
      <x:c r="R558" s="6"/>
      <x:c r="S558" s="6"/>
      <x:c r="T558" s="6" t="str">
        <x:f>IF(C558="","",COUNTIF($C$2:$C$601,C558))</x:f>
      </x:c>
    </x:row>
    <x:row r="559">
      <x:c r="A559" s="6"/>
      <x:c r="B559" s="6"/>
      <x:c r="C559" s="6"/>
      <x:c r="D559" s="6"/>
      <x:c r="E559" s="6"/>
      <x:c r="F559" s="6"/>
      <x:c r="G559" s="6"/>
      <x:c r="H559" s="6"/>
      <x:c r="I559" s="6"/>
      <x:c r="J559" s="6"/>
      <x:c r="K559" s="6"/>
      <x:c r="L559" s="6"/>
      <x:c r="M559" s="6"/>
      <x:c r="N559" s="6"/>
      <x:c r="O559" s="6"/>
      <x:c r="P559" s="6"/>
      <x:c r="Q559" s="6"/>
      <x:c r="R559" s="6"/>
      <x:c r="S559" s="6"/>
      <x:c r="T559" s="6" t="str">
        <x:f>IF(C559="","",COUNTIF($C$2:$C$601,C559))</x:f>
      </x:c>
    </x:row>
    <x:row r="560">
      <x:c r="A560" s="6"/>
      <x:c r="B560" s="6"/>
      <x:c r="C560" s="6"/>
      <x:c r="D560" s="6"/>
      <x:c r="E560" s="6"/>
      <x:c r="F560" s="6"/>
      <x:c r="G560" s="6"/>
      <x:c r="H560" s="6"/>
      <x:c r="I560" s="6"/>
      <x:c r="J560" s="6"/>
      <x:c r="K560" s="6"/>
      <x:c r="L560" s="6"/>
      <x:c r="M560" s="6"/>
      <x:c r="N560" s="6"/>
      <x:c r="O560" s="6"/>
      <x:c r="P560" s="6"/>
      <x:c r="Q560" s="6"/>
      <x:c r="R560" s="6"/>
      <x:c r="S560" s="6"/>
      <x:c r="T560" s="6" t="str">
        <x:f>IF(C560="","",COUNTIF($C$2:$C$601,C560))</x:f>
      </x:c>
    </x:row>
    <x:row r="561">
      <x:c r="A561" s="6"/>
      <x:c r="B561" s="6"/>
      <x:c r="C561" s="6"/>
      <x:c r="D561" s="6"/>
      <x:c r="E561" s="6"/>
      <x:c r="F561" s="6"/>
      <x:c r="G561" s="6"/>
      <x:c r="H561" s="6"/>
      <x:c r="I561" s="6"/>
      <x:c r="J561" s="6"/>
      <x:c r="K561" s="6"/>
      <x:c r="L561" s="6"/>
      <x:c r="M561" s="6"/>
      <x:c r="N561" s="6"/>
      <x:c r="O561" s="6"/>
      <x:c r="P561" s="6"/>
      <x:c r="Q561" s="6"/>
      <x:c r="R561" s="6"/>
      <x:c r="S561" s="6"/>
      <x:c r="T561" s="6" t="str">
        <x:f>IF(C561="","",COUNTIF($C$2:$C$601,C561))</x:f>
      </x:c>
    </x:row>
    <x:row r="562">
      <x:c r="A562" s="6"/>
      <x:c r="B562" s="6"/>
      <x:c r="C562" s="6"/>
      <x:c r="D562" s="6"/>
      <x:c r="E562" s="6"/>
      <x:c r="F562" s="6"/>
      <x:c r="G562" s="6"/>
      <x:c r="H562" s="6"/>
      <x:c r="I562" s="6"/>
      <x:c r="J562" s="6"/>
      <x:c r="K562" s="6"/>
      <x:c r="L562" s="6"/>
      <x:c r="M562" s="6"/>
      <x:c r="N562" s="6"/>
      <x:c r="O562" s="6"/>
      <x:c r="P562" s="6"/>
      <x:c r="Q562" s="6"/>
      <x:c r="R562" s="6"/>
      <x:c r="S562" s="6"/>
      <x:c r="T562" s="6" t="str">
        <x:f>IF(C562="","",COUNTIF($C$2:$C$601,C562))</x:f>
      </x:c>
    </x:row>
    <x:row r="563">
      <x:c r="A563" s="6"/>
      <x:c r="B563" s="6"/>
      <x:c r="C563" s="6"/>
      <x:c r="D563" s="6"/>
      <x:c r="E563" s="6"/>
      <x:c r="F563" s="6"/>
      <x:c r="G563" s="6"/>
      <x:c r="H563" s="6"/>
      <x:c r="I563" s="6"/>
      <x:c r="J563" s="6"/>
      <x:c r="K563" s="6"/>
      <x:c r="L563" s="6"/>
      <x:c r="M563" s="6"/>
      <x:c r="N563" s="6"/>
      <x:c r="O563" s="6"/>
      <x:c r="P563" s="6"/>
      <x:c r="Q563" s="6"/>
      <x:c r="R563" s="6"/>
      <x:c r="S563" s="6"/>
      <x:c r="T563" s="6" t="str">
        <x:f>IF(C563="","",COUNTIF($C$2:$C$601,C563))</x:f>
      </x:c>
    </x:row>
    <x:row r="564">
      <x:c r="A564" s="6"/>
      <x:c r="B564" s="6"/>
      <x:c r="C564" s="6"/>
      <x:c r="D564" s="6"/>
      <x:c r="E564" s="6"/>
      <x:c r="F564" s="6"/>
      <x:c r="G564" s="6"/>
      <x:c r="H564" s="6"/>
      <x:c r="I564" s="6"/>
      <x:c r="J564" s="6"/>
      <x:c r="K564" s="6"/>
      <x:c r="L564" s="6"/>
      <x:c r="M564" s="6"/>
      <x:c r="N564" s="6"/>
      <x:c r="O564" s="6"/>
      <x:c r="P564" s="6"/>
      <x:c r="Q564" s="6"/>
      <x:c r="R564" s="6"/>
      <x:c r="S564" s="6"/>
      <x:c r="T564" s="6" t="str">
        <x:f>IF(C564="","",COUNTIF($C$2:$C$601,C564))</x:f>
      </x:c>
    </x:row>
    <x:row r="565">
      <x:c r="A565" s="6"/>
      <x:c r="B565" s="6"/>
      <x:c r="C565" s="6"/>
      <x:c r="D565" s="6"/>
      <x:c r="E565" s="6"/>
      <x:c r="F565" s="6"/>
      <x:c r="G565" s="6"/>
      <x:c r="H565" s="6"/>
      <x:c r="I565" s="6"/>
      <x:c r="J565" s="6"/>
      <x:c r="K565" s="6"/>
      <x:c r="L565" s="6"/>
      <x:c r="M565" s="6"/>
      <x:c r="N565" s="6"/>
      <x:c r="O565" s="6"/>
      <x:c r="P565" s="6"/>
      <x:c r="Q565" s="6"/>
      <x:c r="R565" s="6"/>
      <x:c r="S565" s="6"/>
      <x:c r="T565" s="6" t="str">
        <x:f>IF(C565="","",COUNTIF($C$2:$C$601,C565))</x:f>
      </x:c>
    </x:row>
    <x:row r="566">
      <x:c r="A566" s="6"/>
      <x:c r="B566" s="6"/>
      <x:c r="C566" s="6"/>
      <x:c r="D566" s="6"/>
      <x:c r="E566" s="6"/>
      <x:c r="F566" s="6"/>
      <x:c r="G566" s="6"/>
      <x:c r="H566" s="6"/>
      <x:c r="I566" s="6"/>
      <x:c r="J566" s="6"/>
      <x:c r="K566" s="6"/>
      <x:c r="L566" s="6"/>
      <x:c r="M566" s="6"/>
      <x:c r="N566" s="6"/>
      <x:c r="O566" s="6"/>
      <x:c r="P566" s="6"/>
      <x:c r="Q566" s="6"/>
      <x:c r="R566" s="6"/>
      <x:c r="S566" s="6"/>
      <x:c r="T566" s="6" t="str">
        <x:f>IF(C566="","",COUNTIF($C$2:$C$601,C566))</x:f>
      </x:c>
    </x:row>
    <x:row r="567">
      <x:c r="A567" s="6"/>
      <x:c r="B567" s="6"/>
      <x:c r="C567" s="6"/>
      <x:c r="D567" s="6"/>
      <x:c r="E567" s="6"/>
      <x:c r="F567" s="6"/>
      <x:c r="G567" s="6"/>
      <x:c r="H567" s="6"/>
      <x:c r="I567" s="6"/>
      <x:c r="J567" s="6"/>
      <x:c r="K567" s="6"/>
      <x:c r="L567" s="6"/>
      <x:c r="M567" s="6"/>
      <x:c r="N567" s="6"/>
      <x:c r="O567" s="6"/>
      <x:c r="P567" s="6"/>
      <x:c r="Q567" s="6"/>
      <x:c r="R567" s="6"/>
      <x:c r="S567" s="6"/>
      <x:c r="T567" s="6" t="str">
        <x:f>IF(C567="","",COUNTIF($C$2:$C$601,C567))</x:f>
      </x:c>
    </x:row>
    <x:row r="568">
      <x:c r="A568" s="6"/>
      <x:c r="B568" s="6"/>
      <x:c r="C568" s="6"/>
      <x:c r="D568" s="6"/>
      <x:c r="E568" s="6"/>
      <x:c r="F568" s="6"/>
      <x:c r="G568" s="6"/>
      <x:c r="H568" s="6"/>
      <x:c r="I568" s="6"/>
      <x:c r="J568" s="6"/>
      <x:c r="K568" s="6"/>
      <x:c r="L568" s="6"/>
      <x:c r="M568" s="6"/>
      <x:c r="N568" s="6"/>
      <x:c r="O568" s="6"/>
      <x:c r="P568" s="6"/>
      <x:c r="Q568" s="6"/>
      <x:c r="R568" s="6"/>
      <x:c r="S568" s="6"/>
      <x:c r="T568" s="6" t="str">
        <x:f>IF(C568="","",COUNTIF($C$2:$C$601,C568))</x:f>
      </x:c>
    </x:row>
    <x:row r="569">
      <x:c r="A569" s="6"/>
      <x:c r="B569" s="6"/>
      <x:c r="C569" s="6"/>
      <x:c r="D569" s="6"/>
      <x:c r="E569" s="6"/>
      <x:c r="F569" s="6"/>
      <x:c r="G569" s="6"/>
      <x:c r="H569" s="6"/>
      <x:c r="I569" s="6"/>
      <x:c r="J569" s="6"/>
      <x:c r="K569" s="6"/>
      <x:c r="L569" s="6"/>
      <x:c r="M569" s="6"/>
      <x:c r="N569" s="6"/>
      <x:c r="O569" s="6"/>
      <x:c r="P569" s="6"/>
      <x:c r="Q569" s="6"/>
      <x:c r="R569" s="6"/>
      <x:c r="S569" s="6"/>
      <x:c r="T569" s="6" t="str">
        <x:f>IF(C569="","",COUNTIF($C$2:$C$601,C569))</x:f>
      </x:c>
    </x:row>
    <x:row r="570">
      <x:c r="A570" s="6"/>
      <x:c r="B570" s="6"/>
      <x:c r="C570" s="6"/>
      <x:c r="D570" s="6"/>
      <x:c r="E570" s="6"/>
      <x:c r="F570" s="6"/>
      <x:c r="G570" s="6"/>
      <x:c r="H570" s="6"/>
      <x:c r="I570" s="6"/>
      <x:c r="J570" s="6"/>
      <x:c r="K570" s="6"/>
      <x:c r="L570" s="6"/>
      <x:c r="M570" s="6"/>
      <x:c r="N570" s="6"/>
      <x:c r="O570" s="6"/>
      <x:c r="P570" s="6"/>
      <x:c r="Q570" s="6"/>
      <x:c r="R570" s="6"/>
      <x:c r="S570" s="6"/>
      <x:c r="T570" s="6" t="str">
        <x:f>IF(C570="","",COUNTIF($C$2:$C$601,C570))</x:f>
      </x:c>
    </x:row>
    <x:row r="571">
      <x:c r="A571" s="6"/>
      <x:c r="B571" s="6"/>
      <x:c r="C571" s="6"/>
      <x:c r="D571" s="6"/>
      <x:c r="E571" s="6"/>
      <x:c r="F571" s="6"/>
      <x:c r="G571" s="6"/>
      <x:c r="H571" s="6"/>
      <x:c r="I571" s="6"/>
      <x:c r="J571" s="6"/>
      <x:c r="K571" s="6"/>
      <x:c r="L571" s="6"/>
      <x:c r="M571" s="6"/>
      <x:c r="N571" s="6"/>
      <x:c r="O571" s="6"/>
      <x:c r="P571" s="6"/>
      <x:c r="Q571" s="6"/>
      <x:c r="R571" s="6"/>
      <x:c r="S571" s="6"/>
      <x:c r="T571" s="6" t="str">
        <x:f>IF(C571="","",COUNTIF($C$2:$C$601,C571))</x:f>
      </x:c>
    </x:row>
    <x:row r="572">
      <x:c r="A572" s="6"/>
      <x:c r="B572" s="6"/>
      <x:c r="C572" s="6"/>
      <x:c r="D572" s="6"/>
      <x:c r="E572" s="6"/>
      <x:c r="F572" s="6"/>
      <x:c r="G572" s="6"/>
      <x:c r="H572" s="6"/>
      <x:c r="I572" s="6"/>
      <x:c r="J572" s="6"/>
      <x:c r="K572" s="6"/>
      <x:c r="L572" s="6"/>
      <x:c r="M572" s="6"/>
      <x:c r="N572" s="6"/>
      <x:c r="O572" s="6"/>
      <x:c r="P572" s="6"/>
      <x:c r="Q572" s="6"/>
      <x:c r="R572" s="6"/>
      <x:c r="S572" s="6"/>
      <x:c r="T572" s="6" t="str">
        <x:f>IF(C572="","",COUNTIF($C$2:$C$601,C572))</x:f>
      </x:c>
    </x:row>
    <x:row r="573">
      <x:c r="A573" s="6"/>
      <x:c r="B573" s="6"/>
      <x:c r="C573" s="6"/>
      <x:c r="D573" s="6"/>
      <x:c r="E573" s="6"/>
      <x:c r="F573" s="6"/>
      <x:c r="G573" s="6"/>
      <x:c r="H573" s="6"/>
      <x:c r="I573" s="6"/>
      <x:c r="J573" s="6"/>
      <x:c r="K573" s="6"/>
      <x:c r="L573" s="6"/>
      <x:c r="M573" s="6"/>
      <x:c r="N573" s="6"/>
      <x:c r="O573" s="6"/>
      <x:c r="P573" s="6"/>
      <x:c r="Q573" s="6"/>
      <x:c r="R573" s="6"/>
      <x:c r="S573" s="6"/>
      <x:c r="T573" s="6" t="str">
        <x:f>IF(C573="","",COUNTIF($C$2:$C$601,C573))</x:f>
      </x:c>
    </x:row>
    <x:row r="574">
      <x:c r="A574" s="6"/>
      <x:c r="B574" s="6"/>
      <x:c r="C574" s="6"/>
      <x:c r="D574" s="6"/>
      <x:c r="E574" s="6"/>
      <x:c r="F574" s="6"/>
      <x:c r="G574" s="6"/>
      <x:c r="H574" s="6"/>
      <x:c r="I574" s="6"/>
      <x:c r="J574" s="6"/>
      <x:c r="K574" s="6"/>
      <x:c r="L574" s="6"/>
      <x:c r="M574" s="6"/>
      <x:c r="N574" s="6"/>
      <x:c r="O574" s="6"/>
      <x:c r="P574" s="6"/>
      <x:c r="Q574" s="6"/>
      <x:c r="R574" s="6"/>
      <x:c r="S574" s="6"/>
      <x:c r="T574" s="6" t="str">
        <x:f>IF(C574="","",COUNTIF($C$2:$C$601,C574))</x:f>
      </x:c>
    </x:row>
    <x:row r="575">
      <x:c r="A575" s="6"/>
      <x:c r="B575" s="6"/>
      <x:c r="C575" s="6"/>
      <x:c r="D575" s="6"/>
      <x:c r="E575" s="6"/>
      <x:c r="F575" s="6"/>
      <x:c r="G575" s="6"/>
      <x:c r="H575" s="6"/>
      <x:c r="I575" s="6"/>
      <x:c r="J575" s="6"/>
      <x:c r="K575" s="6"/>
      <x:c r="L575" s="6"/>
      <x:c r="M575" s="6"/>
      <x:c r="N575" s="6"/>
      <x:c r="O575" s="6"/>
      <x:c r="P575" s="6"/>
      <x:c r="Q575" s="6"/>
      <x:c r="R575" s="6"/>
      <x:c r="S575" s="6"/>
      <x:c r="T575" s="6" t="str">
        <x:f>IF(C575="","",COUNTIF($C$2:$C$601,C575))</x:f>
      </x:c>
    </x:row>
    <x:row r="576">
      <x:c r="A576" s="6"/>
      <x:c r="B576" s="6"/>
      <x:c r="C576" s="6"/>
      <x:c r="D576" s="6"/>
      <x:c r="E576" s="6"/>
      <x:c r="F576" s="6"/>
      <x:c r="G576" s="6"/>
      <x:c r="H576" s="6"/>
      <x:c r="I576" s="6"/>
      <x:c r="J576" s="6"/>
      <x:c r="K576" s="6"/>
      <x:c r="L576" s="6"/>
      <x:c r="M576" s="6"/>
      <x:c r="N576" s="6"/>
      <x:c r="O576" s="6"/>
      <x:c r="P576" s="6"/>
      <x:c r="Q576" s="6"/>
      <x:c r="R576" s="6"/>
      <x:c r="S576" s="6"/>
      <x:c r="T576" s="6" t="str">
        <x:f>IF(C576="","",COUNTIF($C$2:$C$601,C576))</x:f>
      </x:c>
    </x:row>
    <x:row r="577">
      <x:c r="A577" s="6"/>
      <x:c r="B577" s="6"/>
      <x:c r="C577" s="6"/>
      <x:c r="D577" s="6"/>
      <x:c r="E577" s="6"/>
      <x:c r="F577" s="6"/>
      <x:c r="G577" s="6"/>
      <x:c r="H577" s="6"/>
      <x:c r="I577" s="6"/>
      <x:c r="J577" s="6"/>
      <x:c r="K577" s="6"/>
      <x:c r="L577" s="6"/>
      <x:c r="M577" s="6"/>
      <x:c r="N577" s="6"/>
      <x:c r="O577" s="6"/>
      <x:c r="P577" s="6"/>
      <x:c r="Q577" s="6"/>
      <x:c r="R577" s="6"/>
      <x:c r="S577" s="6"/>
      <x:c r="T577" s="6" t="str">
        <x:f>IF(C577="","",COUNTIF($C$2:$C$601,C577))</x:f>
      </x:c>
    </x:row>
    <x:row r="578">
      <x:c r="A578" s="6"/>
      <x:c r="B578" s="6"/>
      <x:c r="C578" s="6"/>
      <x:c r="D578" s="6"/>
      <x:c r="E578" s="6"/>
      <x:c r="F578" s="6"/>
      <x:c r="G578" s="6"/>
      <x:c r="H578" s="6"/>
      <x:c r="I578" s="6"/>
      <x:c r="J578" s="6"/>
      <x:c r="K578" s="6"/>
      <x:c r="L578" s="6"/>
      <x:c r="M578" s="6"/>
      <x:c r="N578" s="6"/>
      <x:c r="O578" s="6"/>
      <x:c r="P578" s="6"/>
      <x:c r="Q578" s="6"/>
      <x:c r="R578" s="6"/>
      <x:c r="S578" s="6"/>
      <x:c r="T578" s="6" t="str">
        <x:f>IF(C578="","",COUNTIF($C$2:$C$601,C578))</x:f>
      </x:c>
    </x:row>
    <x:row r="579">
      <x:c r="A579" s="6"/>
      <x:c r="B579" s="6"/>
      <x:c r="C579" s="6"/>
      <x:c r="D579" s="6"/>
      <x:c r="E579" s="6"/>
      <x:c r="F579" s="6"/>
      <x:c r="G579" s="6"/>
      <x:c r="H579" s="6"/>
      <x:c r="I579" s="6"/>
      <x:c r="J579" s="6"/>
      <x:c r="K579" s="6"/>
      <x:c r="L579" s="6"/>
      <x:c r="M579" s="6"/>
      <x:c r="N579" s="6"/>
      <x:c r="O579" s="6"/>
      <x:c r="P579" s="6"/>
      <x:c r="Q579" s="6"/>
      <x:c r="R579" s="6"/>
      <x:c r="S579" s="6"/>
      <x:c r="T579" s="6" t="str">
        <x:f>IF(C579="","",COUNTIF($C$2:$C$601,C579))</x:f>
      </x:c>
    </x:row>
    <x:row r="580">
      <x:c r="A580" s="6"/>
      <x:c r="B580" s="6"/>
      <x:c r="C580" s="6"/>
      <x:c r="D580" s="6"/>
      <x:c r="E580" s="6"/>
      <x:c r="F580" s="6"/>
      <x:c r="G580" s="6"/>
      <x:c r="H580" s="6"/>
      <x:c r="I580" s="6"/>
      <x:c r="J580" s="6"/>
      <x:c r="K580" s="6"/>
      <x:c r="L580" s="6"/>
      <x:c r="M580" s="6"/>
      <x:c r="N580" s="6"/>
      <x:c r="O580" s="6"/>
      <x:c r="P580" s="6"/>
      <x:c r="Q580" s="6"/>
      <x:c r="R580" s="6"/>
      <x:c r="S580" s="6"/>
      <x:c r="T580" s="6" t="str">
        <x:f>IF(C580="","",COUNTIF($C$2:$C$601,C580))</x:f>
      </x:c>
    </x:row>
    <x:row r="581">
      <x:c r="A581" s="6"/>
      <x:c r="B581" s="6"/>
      <x:c r="C581" s="6"/>
      <x:c r="D581" s="6"/>
      <x:c r="E581" s="6"/>
      <x:c r="F581" s="6"/>
      <x:c r="G581" s="6"/>
      <x:c r="H581" s="6"/>
      <x:c r="I581" s="6"/>
      <x:c r="J581" s="6"/>
      <x:c r="K581" s="6"/>
      <x:c r="L581" s="6"/>
      <x:c r="M581" s="6"/>
      <x:c r="N581" s="6"/>
      <x:c r="O581" s="6"/>
      <x:c r="P581" s="6"/>
      <x:c r="Q581" s="6"/>
      <x:c r="R581" s="6"/>
      <x:c r="S581" s="6"/>
      <x:c r="T581" s="6" t="str">
        <x:f>IF(C581="","",COUNTIF($C$2:$C$601,C581))</x:f>
      </x:c>
    </x:row>
    <x:row r="582">
      <x:c r="A582" s="6"/>
      <x:c r="B582" s="6"/>
      <x:c r="C582" s="6"/>
      <x:c r="D582" s="6"/>
      <x:c r="E582" s="6"/>
      <x:c r="F582" s="6"/>
      <x:c r="G582" s="6"/>
      <x:c r="H582" s="6"/>
      <x:c r="I582" s="6"/>
      <x:c r="J582" s="6"/>
      <x:c r="K582" s="6"/>
      <x:c r="L582" s="6"/>
      <x:c r="M582" s="6"/>
      <x:c r="N582" s="6"/>
      <x:c r="O582" s="6"/>
      <x:c r="P582" s="6"/>
      <x:c r="Q582" s="6"/>
      <x:c r="R582" s="6"/>
      <x:c r="S582" s="6"/>
      <x:c r="T582" s="6" t="str">
        <x:f>IF(C582="","",COUNTIF($C$2:$C$601,C582))</x:f>
      </x:c>
    </x:row>
    <x:row r="583">
      <x:c r="A583" s="6"/>
      <x:c r="B583" s="6"/>
      <x:c r="C583" s="6"/>
      <x:c r="D583" s="6"/>
      <x:c r="E583" s="6"/>
      <x:c r="F583" s="6"/>
      <x:c r="G583" s="6"/>
      <x:c r="H583" s="6"/>
      <x:c r="I583" s="6"/>
      <x:c r="J583" s="6"/>
      <x:c r="K583" s="6"/>
      <x:c r="L583" s="6"/>
      <x:c r="M583" s="6"/>
      <x:c r="N583" s="6"/>
      <x:c r="O583" s="6"/>
      <x:c r="P583" s="6"/>
      <x:c r="Q583" s="6"/>
      <x:c r="R583" s="6"/>
      <x:c r="S583" s="6"/>
      <x:c r="T583" s="6" t="str">
        <x:f>IF(C583="","",COUNTIF($C$2:$C$601,C583))</x:f>
      </x:c>
    </x:row>
    <x:row r="584">
      <x:c r="A584" s="6"/>
      <x:c r="B584" s="6"/>
      <x:c r="C584" s="6"/>
      <x:c r="D584" s="6"/>
      <x:c r="E584" s="6"/>
      <x:c r="F584" s="6"/>
      <x:c r="G584" s="6"/>
      <x:c r="H584" s="6"/>
      <x:c r="I584" s="6"/>
      <x:c r="J584" s="6"/>
      <x:c r="K584" s="6"/>
      <x:c r="L584" s="6"/>
      <x:c r="M584" s="6"/>
      <x:c r="N584" s="6"/>
      <x:c r="O584" s="6"/>
      <x:c r="P584" s="6"/>
      <x:c r="Q584" s="6"/>
      <x:c r="R584" s="6"/>
      <x:c r="S584" s="6"/>
      <x:c r="T584" s="6" t="str">
        <x:f>IF(C584="","",COUNTIF($C$2:$C$601,C584))</x:f>
      </x:c>
    </x:row>
    <x:row r="585">
      <x:c r="A585" s="6"/>
      <x:c r="B585" s="6"/>
      <x:c r="C585" s="6"/>
      <x:c r="D585" s="6"/>
      <x:c r="E585" s="6"/>
      <x:c r="F585" s="6"/>
      <x:c r="G585" s="6"/>
      <x:c r="H585" s="6"/>
      <x:c r="I585" s="6"/>
      <x:c r="J585" s="6"/>
      <x:c r="K585" s="6"/>
      <x:c r="L585" s="6"/>
      <x:c r="M585" s="6"/>
      <x:c r="N585" s="6"/>
      <x:c r="O585" s="6"/>
      <x:c r="P585" s="6"/>
      <x:c r="Q585" s="6"/>
      <x:c r="R585" s="6"/>
      <x:c r="S585" s="6"/>
      <x:c r="T585" s="6" t="str">
        <x:f>IF(C585="","",COUNTIF($C$2:$C$601,C585))</x:f>
      </x:c>
    </x:row>
    <x:row r="586">
      <x:c r="A586" s="6"/>
      <x:c r="B586" s="6"/>
      <x:c r="C586" s="6"/>
      <x:c r="D586" s="6"/>
      <x:c r="E586" s="6"/>
      <x:c r="F586" s="6"/>
      <x:c r="G586" s="6"/>
      <x:c r="H586" s="6"/>
      <x:c r="I586" s="6"/>
      <x:c r="J586" s="6"/>
      <x:c r="K586" s="6"/>
      <x:c r="L586" s="6"/>
      <x:c r="M586" s="6"/>
      <x:c r="N586" s="6"/>
      <x:c r="O586" s="6"/>
      <x:c r="P586" s="6"/>
      <x:c r="Q586" s="6"/>
      <x:c r="R586" s="6"/>
      <x:c r="S586" s="6"/>
      <x:c r="T586" s="6" t="str">
        <x:f>IF(C586="","",COUNTIF($C$2:$C$601,C586))</x:f>
      </x:c>
    </x:row>
    <x:row r="587">
      <x:c r="A587" s="6"/>
      <x:c r="B587" s="6"/>
      <x:c r="C587" s="6"/>
      <x:c r="D587" s="6"/>
      <x:c r="E587" s="6"/>
      <x:c r="F587" s="6"/>
      <x:c r="G587" s="6"/>
      <x:c r="H587" s="6"/>
      <x:c r="I587" s="6"/>
      <x:c r="J587" s="6"/>
      <x:c r="K587" s="6"/>
      <x:c r="L587" s="6"/>
      <x:c r="M587" s="6"/>
      <x:c r="N587" s="6"/>
      <x:c r="O587" s="6"/>
      <x:c r="P587" s="6"/>
      <x:c r="Q587" s="6"/>
      <x:c r="R587" s="6"/>
      <x:c r="S587" s="6"/>
      <x:c r="T587" s="6" t="str">
        <x:f>IF(C587="","",COUNTIF($C$2:$C$601,C587))</x:f>
      </x:c>
    </x:row>
    <x:row r="588">
      <x:c r="A588" s="6"/>
      <x:c r="B588" s="6"/>
      <x:c r="C588" s="6"/>
      <x:c r="D588" s="6"/>
      <x:c r="E588" s="6"/>
      <x:c r="F588" s="6"/>
      <x:c r="G588" s="6"/>
      <x:c r="H588" s="6"/>
      <x:c r="I588" s="6"/>
      <x:c r="J588" s="6"/>
      <x:c r="K588" s="6"/>
      <x:c r="L588" s="6"/>
      <x:c r="M588" s="6"/>
      <x:c r="N588" s="6"/>
      <x:c r="O588" s="6"/>
      <x:c r="P588" s="6"/>
      <x:c r="Q588" s="6"/>
      <x:c r="R588" s="6"/>
      <x:c r="S588" s="6"/>
      <x:c r="T588" s="6" t="str">
        <x:f>IF(C588="","",COUNTIF($C$2:$C$601,C588))</x:f>
      </x:c>
    </x:row>
    <x:row r="589">
      <x:c r="A589" s="6"/>
      <x:c r="B589" s="6"/>
      <x:c r="C589" s="6"/>
      <x:c r="D589" s="6"/>
      <x:c r="E589" s="6"/>
      <x:c r="F589" s="6"/>
      <x:c r="G589" s="6"/>
      <x:c r="H589" s="6"/>
      <x:c r="I589" s="6"/>
      <x:c r="J589" s="6"/>
      <x:c r="K589" s="6"/>
      <x:c r="L589" s="6"/>
      <x:c r="M589" s="6"/>
      <x:c r="N589" s="6"/>
      <x:c r="O589" s="6"/>
      <x:c r="P589" s="6"/>
      <x:c r="Q589" s="6"/>
      <x:c r="R589" s="6"/>
      <x:c r="S589" s="6"/>
      <x:c r="T589" s="6" t="str">
        <x:f>IF(C589="","",COUNTIF($C$2:$C$601,C589))</x:f>
      </x:c>
    </x:row>
    <x:row r="590">
      <x:c r="A590" s="6"/>
      <x:c r="B590" s="6"/>
      <x:c r="C590" s="6"/>
      <x:c r="D590" s="6"/>
      <x:c r="E590" s="6"/>
      <x:c r="F590" s="6"/>
      <x:c r="G590" s="6"/>
      <x:c r="H590" s="6"/>
      <x:c r="I590" s="6"/>
      <x:c r="J590" s="6"/>
      <x:c r="K590" s="6"/>
      <x:c r="L590" s="6"/>
      <x:c r="M590" s="6"/>
      <x:c r="N590" s="6"/>
      <x:c r="O590" s="6"/>
      <x:c r="P590" s="6"/>
      <x:c r="Q590" s="6"/>
      <x:c r="R590" s="6"/>
      <x:c r="S590" s="6"/>
      <x:c r="T590" s="6" t="str">
        <x:f>IF(C590="","",COUNTIF($C$2:$C$601,C590))</x:f>
      </x:c>
    </x:row>
    <x:row r="591">
      <x:c r="A591" s="6"/>
      <x:c r="B591" s="6"/>
      <x:c r="C591" s="6"/>
      <x:c r="D591" s="6"/>
      <x:c r="E591" s="6"/>
      <x:c r="F591" s="6"/>
      <x:c r="G591" s="6"/>
      <x:c r="H591" s="6"/>
      <x:c r="I591" s="6"/>
      <x:c r="J591" s="6"/>
      <x:c r="K591" s="6"/>
      <x:c r="L591" s="6"/>
      <x:c r="M591" s="6"/>
      <x:c r="N591" s="6"/>
      <x:c r="O591" s="6"/>
      <x:c r="P591" s="6"/>
      <x:c r="Q591" s="6"/>
      <x:c r="R591" s="6"/>
      <x:c r="S591" s="6"/>
      <x:c r="T591" s="6" t="str">
        <x:f>IF(C591="","",COUNTIF($C$2:$C$601,C591))</x:f>
      </x:c>
    </x:row>
    <x:row r="592">
      <x:c r="A592" s="6"/>
      <x:c r="B592" s="6"/>
      <x:c r="C592" s="6"/>
      <x:c r="D592" s="6"/>
      <x:c r="E592" s="6"/>
      <x:c r="F592" s="6"/>
      <x:c r="G592" s="6"/>
      <x:c r="H592" s="6"/>
      <x:c r="I592" s="6"/>
      <x:c r="J592" s="6"/>
      <x:c r="K592" s="6"/>
      <x:c r="L592" s="6"/>
      <x:c r="M592" s="6"/>
      <x:c r="N592" s="6"/>
      <x:c r="O592" s="6"/>
      <x:c r="P592" s="6"/>
      <x:c r="Q592" s="6"/>
      <x:c r="R592" s="6"/>
      <x:c r="S592" s="6"/>
      <x:c r="T592" s="6" t="str">
        <x:f>IF(C592="","",COUNTIF($C$2:$C$601,C592))</x:f>
      </x:c>
    </x:row>
    <x:row r="593">
      <x:c r="A593" s="6"/>
      <x:c r="B593" s="6"/>
      <x:c r="C593" s="6"/>
      <x:c r="D593" s="6"/>
      <x:c r="E593" s="6"/>
      <x:c r="F593" s="6"/>
      <x:c r="G593" s="6"/>
      <x:c r="H593" s="6"/>
      <x:c r="I593" s="6"/>
      <x:c r="J593" s="6"/>
      <x:c r="K593" s="6"/>
      <x:c r="L593" s="6"/>
      <x:c r="M593" s="6"/>
      <x:c r="N593" s="6"/>
      <x:c r="O593" s="6"/>
      <x:c r="P593" s="6"/>
      <x:c r="Q593" s="6"/>
      <x:c r="R593" s="6"/>
      <x:c r="S593" s="6"/>
      <x:c r="T593" s="6" t="str">
        <x:f>IF(C593="","",COUNTIF($C$2:$C$601,C593))</x:f>
      </x:c>
    </x:row>
    <x:row r="594">
      <x:c r="A594" s="6"/>
      <x:c r="B594" s="6"/>
      <x:c r="C594" s="6"/>
      <x:c r="D594" s="6"/>
      <x:c r="E594" s="6"/>
      <x:c r="F594" s="6"/>
      <x:c r="G594" s="6"/>
      <x:c r="H594" s="6"/>
      <x:c r="I594" s="6"/>
      <x:c r="J594" s="6"/>
      <x:c r="K594" s="6"/>
      <x:c r="L594" s="6"/>
      <x:c r="M594" s="6"/>
      <x:c r="N594" s="6"/>
      <x:c r="O594" s="6"/>
      <x:c r="P594" s="6"/>
      <x:c r="Q594" s="6"/>
      <x:c r="R594" s="6"/>
      <x:c r="S594" s="6"/>
      <x:c r="T594" s="6" t="str">
        <x:f>IF(C594="","",COUNTIF($C$2:$C$601,C594))</x:f>
      </x:c>
    </x:row>
    <x:row r="595">
      <x:c r="A595" s="6"/>
      <x:c r="B595" s="6"/>
      <x:c r="C595" s="6"/>
      <x:c r="D595" s="6"/>
      <x:c r="E595" s="6"/>
      <x:c r="F595" s="6"/>
      <x:c r="G595" s="6"/>
      <x:c r="H595" s="6"/>
      <x:c r="I595" s="6"/>
      <x:c r="J595" s="6"/>
      <x:c r="K595" s="6"/>
      <x:c r="L595" s="6"/>
      <x:c r="M595" s="6"/>
      <x:c r="N595" s="6"/>
      <x:c r="O595" s="6"/>
      <x:c r="P595" s="6"/>
      <x:c r="Q595" s="6"/>
      <x:c r="R595" s="6"/>
      <x:c r="S595" s="6"/>
      <x:c r="T595" s="6" t="str">
        <x:f>IF(C595="","",COUNTIF($C$2:$C$601,C595))</x:f>
      </x:c>
    </x:row>
    <x:row r="596">
      <x:c r="A596" s="6"/>
      <x:c r="B596" s="6"/>
      <x:c r="C596" s="6"/>
      <x:c r="D596" s="6"/>
      <x:c r="E596" s="6"/>
      <x:c r="F596" s="6"/>
      <x:c r="G596" s="6"/>
      <x:c r="H596" s="6"/>
      <x:c r="I596" s="6"/>
      <x:c r="J596" s="6"/>
      <x:c r="K596" s="6"/>
      <x:c r="L596" s="6"/>
      <x:c r="M596" s="6"/>
      <x:c r="N596" s="6"/>
      <x:c r="O596" s="6"/>
      <x:c r="P596" s="6"/>
      <x:c r="Q596" s="6"/>
      <x:c r="R596" s="6"/>
      <x:c r="S596" s="6"/>
      <x:c r="T596" s="6" t="str">
        <x:f>IF(C596="","",COUNTIF($C$2:$C$601,C596))</x:f>
      </x:c>
    </x:row>
    <x:row r="597">
      <x:c r="A597" s="6"/>
      <x:c r="B597" s="6"/>
      <x:c r="C597" s="6"/>
      <x:c r="D597" s="6"/>
      <x:c r="E597" s="6"/>
      <x:c r="F597" s="6"/>
      <x:c r="G597" s="6"/>
      <x:c r="H597" s="6"/>
      <x:c r="I597" s="6"/>
      <x:c r="J597" s="6"/>
      <x:c r="K597" s="6"/>
      <x:c r="L597" s="6"/>
      <x:c r="M597" s="6"/>
      <x:c r="N597" s="6"/>
      <x:c r="O597" s="6"/>
      <x:c r="P597" s="6"/>
      <x:c r="Q597" s="6"/>
      <x:c r="R597" s="6"/>
      <x:c r="S597" s="6"/>
      <x:c r="T597" s="6" t="str">
        <x:f>IF(C597="","",COUNTIF($C$2:$C$601,C597))</x:f>
      </x:c>
    </x:row>
    <x:row r="598">
      <x:c r="A598" s="6"/>
      <x:c r="B598" s="6"/>
      <x:c r="C598" s="6"/>
      <x:c r="D598" s="6"/>
      <x:c r="E598" s="6"/>
      <x:c r="F598" s="6"/>
      <x:c r="G598" s="6"/>
      <x:c r="H598" s="6"/>
      <x:c r="I598" s="6"/>
      <x:c r="J598" s="6"/>
      <x:c r="K598" s="6"/>
      <x:c r="L598" s="6"/>
      <x:c r="M598" s="6"/>
      <x:c r="N598" s="6"/>
      <x:c r="O598" s="6"/>
      <x:c r="P598" s="6"/>
      <x:c r="Q598" s="6"/>
      <x:c r="R598" s="6"/>
      <x:c r="S598" s="6"/>
      <x:c r="T598" s="6" t="str">
        <x:f>IF(C598="","",COUNTIF($C$2:$C$601,C598))</x:f>
      </x:c>
    </x:row>
    <x:row r="599">
      <x:c r="A599" s="6"/>
      <x:c r="B599" s="6"/>
      <x:c r="C599" s="6"/>
      <x:c r="D599" s="6"/>
      <x:c r="E599" s="6"/>
      <x:c r="F599" s="6"/>
      <x:c r="G599" s="6"/>
      <x:c r="H599" s="6"/>
      <x:c r="I599" s="6"/>
      <x:c r="J599" s="6"/>
      <x:c r="K599" s="6"/>
      <x:c r="L599" s="6"/>
      <x:c r="M599" s="6"/>
      <x:c r="N599" s="6"/>
      <x:c r="O599" s="6"/>
      <x:c r="P599" s="6"/>
      <x:c r="Q599" s="6"/>
      <x:c r="R599" s="6"/>
      <x:c r="S599" s="6"/>
      <x:c r="T599" s="6" t="str">
        <x:f>IF(C599="","",COUNTIF($C$2:$C$601,C599))</x:f>
      </x:c>
    </x:row>
    <x:row r="600">
      <x:c r="A600" s="6"/>
      <x:c r="B600" s="6"/>
      <x:c r="C600" s="6"/>
      <x:c r="D600" s="6"/>
      <x:c r="E600" s="6"/>
      <x:c r="F600" s="6"/>
      <x:c r="G600" s="6"/>
      <x:c r="H600" s="6"/>
      <x:c r="I600" s="6"/>
      <x:c r="J600" s="6"/>
      <x:c r="K600" s="6"/>
      <x:c r="L600" s="6"/>
      <x:c r="M600" s="6"/>
      <x:c r="N600" s="6"/>
      <x:c r="O600" s="6"/>
      <x:c r="P600" s="6"/>
      <x:c r="Q600" s="6"/>
      <x:c r="R600" s="6"/>
      <x:c r="S600" s="6"/>
      <x:c r="T600" s="6" t="str">
        <x:f>IF(C600="","",COUNTIF($C$2:$C$601,C600))</x:f>
      </x:c>
    </x:row>
    <x:row r="601">
      <x:c r="A601" s="6"/>
      <x:c r="B601" s="6"/>
      <x:c r="C601" s="6"/>
      <x:c r="D601" s="6"/>
      <x:c r="E601" s="6"/>
      <x:c r="F601" s="6"/>
      <x:c r="G601" s="6"/>
      <x:c r="H601" s="6"/>
      <x:c r="I601" s="6"/>
      <x:c r="J601" s="6"/>
      <x:c r="K601" s="6"/>
      <x:c r="L601" s="6"/>
      <x:c r="M601" s="6"/>
      <x:c r="N601" s="6"/>
      <x:c r="O601" s="6"/>
      <x:c r="P601" s="6"/>
      <x:c r="Q601" s="6"/>
      <x:c r="R601" s="6"/>
      <x:c r="S601" s="6"/>
      <x:c r="T601" s="6" t="str">
        <x:f>IF(C601="","",COUNTIF($C$2:$C$601,C601))</x:f>
      </x:c>
    </x:row>
    <x:row r="602">
      <x:c r="A602" s="6"/>
      <x:c r="B602" s="6"/>
      <x:c r="C602" s="6"/>
      <x:c r="D602" s="6"/>
      <x:c r="E602" s="6"/>
      <x:c r="F602" s="6"/>
      <x:c r="G602" s="6"/>
      <x:c r="H602" s="6"/>
      <x:c r="I602" s="6"/>
      <x:c r="J602" s="6"/>
      <x:c r="K602" s="6"/>
      <x:c r="L602" s="6"/>
      <x:c r="M602" s="6"/>
      <x:c r="N602" s="6"/>
      <x:c r="O602" s="6"/>
      <x:c r="P602" s="6"/>
      <x:c r="Q602" s="6"/>
      <x:c r="R602" s="6"/>
      <x:c r="S602" s="6"/>
      <x:c r="T602" s="6"/>
    </x:row>
    <x:row r="603">
      <x:c r="A603" s="6"/>
      <x:c r="B603" s="6"/>
      <x:c r="C603" s="6"/>
      <x:c r="D603" s="6"/>
      <x:c r="E603" s="6"/>
      <x:c r="F603" s="6"/>
      <x:c r="G603" s="6"/>
      <x:c r="H603" s="6"/>
      <x:c r="I603" s="6"/>
      <x:c r="J603" s="6"/>
      <x:c r="K603" s="6"/>
      <x:c r="L603" s="6"/>
      <x:c r="M603" s="6"/>
      <x:c r="N603" s="6"/>
      <x:c r="O603" s="6"/>
      <x:c r="P603" s="6"/>
      <x:c r="Q603" s="6"/>
      <x:c r="R603" s="6"/>
      <x:c r="S603" s="6"/>
      <x:c r="T603" s="6"/>
    </x:row>
    <x:row r="604">
      <x:c r="A604" s="6"/>
      <x:c r="B604" s="6"/>
      <x:c r="C604" s="6"/>
      <x:c r="D604" s="6"/>
      <x:c r="E604" s="6"/>
      <x:c r="F604" s="6"/>
      <x:c r="G604" s="6"/>
      <x:c r="H604" s="6"/>
      <x:c r="I604" s="6"/>
      <x:c r="J604" s="6"/>
      <x:c r="K604" s="6"/>
      <x:c r="L604" s="6"/>
      <x:c r="M604" s="6"/>
      <x:c r="N604" s="6"/>
      <x:c r="O604" s="6"/>
      <x:c r="P604" s="6"/>
      <x:c r="Q604" s="6"/>
      <x:c r="R604" s="6"/>
      <x:c r="S604" s="6"/>
      <x:c r="T604" s="6"/>
    </x:row>
    <x:row r="605">
      <x:c r="A605" s="6"/>
      <x:c r="B605" s="6"/>
      <x:c r="C605" s="6"/>
      <x:c r="D605" s="6"/>
      <x:c r="E605" s="6"/>
      <x:c r="F605" s="6"/>
      <x:c r="G605" s="6"/>
      <x:c r="H605" s="6"/>
      <x:c r="I605" s="6"/>
      <x:c r="J605" s="6"/>
      <x:c r="K605" s="6"/>
      <x:c r="L605" s="6"/>
      <x:c r="M605" s="6"/>
      <x:c r="N605" s="6"/>
      <x:c r="O605" s="6"/>
      <x:c r="P605" s="6"/>
      <x:c r="Q605" s="6"/>
      <x:c r="R605" s="6"/>
      <x:c r="S605" s="6"/>
      <x:c r="T605" s="6"/>
    </x:row>
    <x:row r="606">
      <x:c r="A606" s="6"/>
      <x:c r="B606" s="6"/>
      <x:c r="C606" s="6"/>
      <x:c r="D606" s="6"/>
      <x:c r="E606" s="6"/>
      <x:c r="F606" s="6"/>
      <x:c r="G606" s="6"/>
      <x:c r="H606" s="6"/>
      <x:c r="I606" s="6"/>
      <x:c r="J606" s="6"/>
      <x:c r="K606" s="6"/>
      <x:c r="L606" s="6"/>
      <x:c r="M606" s="6"/>
      <x:c r="N606" s="6"/>
      <x:c r="O606" s="6"/>
      <x:c r="P606" s="6"/>
      <x:c r="Q606" s="6"/>
      <x:c r="R606" s="6"/>
      <x:c r="S606" s="6"/>
      <x:c r="T606" s="6"/>
    </x:row>
    <x:row r="607">
      <x:c r="A607" s="6"/>
      <x:c r="B607" s="6"/>
      <x:c r="C607" s="6"/>
      <x:c r="D607" s="6"/>
      <x:c r="E607" s="6"/>
      <x:c r="F607" s="6"/>
      <x:c r="G607" s="6"/>
      <x:c r="H607" s="6"/>
      <x:c r="I607" s="6"/>
      <x:c r="J607" s="6"/>
      <x:c r="K607" s="6"/>
      <x:c r="L607" s="6"/>
      <x:c r="M607" s="6"/>
      <x:c r="N607" s="6"/>
      <x:c r="O607" s="6"/>
      <x:c r="P607" s="6"/>
      <x:c r="Q607" s="6"/>
      <x:c r="R607" s="6"/>
      <x:c r="S607" s="6"/>
      <x:c r="T607" s="6"/>
    </x:row>
    <x:row r="608">
      <x:c r="A608" s="6"/>
      <x:c r="B608" s="6"/>
      <x:c r="C608" s="6"/>
      <x:c r="D608" s="6"/>
      <x:c r="E608" s="6"/>
      <x:c r="F608" s="6"/>
      <x:c r="G608" s="6"/>
      <x:c r="H608" s="6"/>
      <x:c r="I608" s="6"/>
      <x:c r="J608" s="6"/>
      <x:c r="K608" s="6"/>
      <x:c r="L608" s="6"/>
      <x:c r="M608" s="6"/>
      <x:c r="N608" s="6"/>
      <x:c r="O608" s="6"/>
      <x:c r="P608" s="6"/>
      <x:c r="Q608" s="6"/>
      <x:c r="R608" s="6"/>
      <x:c r="S608" s="6"/>
      <x:c r="T608" s="6"/>
    </x:row>
    <x:row r="609">
      <x:c r="A609" s="6"/>
      <x:c r="B609" s="6"/>
      <x:c r="C609" s="6"/>
      <x:c r="D609" s="6"/>
      <x:c r="E609" s="6"/>
      <x:c r="F609" s="6"/>
      <x:c r="G609" s="6"/>
      <x:c r="H609" s="6"/>
      <x:c r="I609" s="6"/>
      <x:c r="J609" s="6"/>
      <x:c r="K609" s="6"/>
      <x:c r="L609" s="6"/>
      <x:c r="M609" s="6"/>
      <x:c r="N609" s="6"/>
      <x:c r="O609" s="6"/>
      <x:c r="P609" s="6"/>
      <x:c r="Q609" s="6"/>
      <x:c r="R609" s="6"/>
      <x:c r="S609" s="6"/>
      <x:c r="T609" s="6"/>
    </x:row>
    <x:row r="610">
      <x:c r="A610" s="6"/>
      <x:c r="B610" s="6"/>
      <x:c r="C610" s="6"/>
      <x:c r="D610" s="6"/>
      <x:c r="E610" s="6"/>
      <x:c r="F610" s="6"/>
      <x:c r="G610" s="6"/>
      <x:c r="H610" s="6"/>
      <x:c r="I610" s="6"/>
      <x:c r="J610" s="6"/>
      <x:c r="K610" s="6"/>
      <x:c r="L610" s="6"/>
      <x:c r="M610" s="6"/>
      <x:c r="N610" s="6"/>
      <x:c r="O610" s="6"/>
      <x:c r="P610" s="6"/>
      <x:c r="Q610" s="6"/>
      <x:c r="R610" s="6"/>
      <x:c r="S610" s="6"/>
      <x:c r="T610" s="6"/>
    </x:row>
  </x:sheetData>
  <x:pageMargins left="0.7" right="0.7" top="0.75" bottom="0.75" header="0.3" footer="0.3"/>
  <x:tableParts count="1">
    <x:tablePart xmlns:r="http://schemas.openxmlformats.org/officeDocument/2006/relationships" r:id="Rc8a14bb283f64dc2"/>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9.4399995803833" hidden="0" customWidth="1"/>
    <x:col min="2" max="2" width="7.21999979019165" hidden="0" customWidth="1"/>
    <x:col min="3" max="3" width="6.670000076293945" hidden="0" customWidth="1"/>
    <x:col min="4" max="4" width="11.670000076293945" hidden="0" customWidth="1"/>
    <x:col min="5" max="5" width="8.329999923706055" hidden="0" customWidth="1"/>
    <x:col min="6" max="6" width="8.329999923706055" hidden="0" customWidth="1"/>
    <x:col min="7" max="7" width="11.109999656677246" hidden="0" customWidth="1"/>
    <x:col min="8" max="8" width="12.220000267028809" hidden="0" customWidth="1"/>
    <x:col min="9" max="9" width="10.5600004196167" hidden="0" customWidth="1"/>
    <x:col min="10" max="10" width="10.5600004196167" hidden="0" customWidth="1"/>
  </x:cols>
  <x:sheetData>
    <x:row r="1">
      <x:c r="A1" s="14" t="str">
        <x:v>internal_id</x:v>
      </x:c>
      <x:c r="B1" s="18" t="str">
        <x:v>job_id</x:v>
      </x:c>
      <x:c r="C1" s="18" t="str">
        <x:v>family</x:v>
      </x:c>
      <x:c r="D1" s="18" t="str">
        <x:v>processing_time</x:v>
      </x:c>
      <x:c r="E1" s="18" t="str">
        <x:v>release</x:v>
      </x:c>
      <x:c r="F1" s="18" t="str">
        <x:v>due</x:v>
      </x:c>
      <x:c r="G1" s="18" t="str">
        <x:v>hard_deadline</x:v>
      </x:c>
      <x:c r="H1" s="18" t="str">
        <x:v>tardiness_weight</x:v>
      </x:c>
      <x:c r="I1" s="18" t="str">
        <x:v>execution_cost</x:v>
      </x:c>
      <x:c r="J1" s="15" t="str">
        <x:v>rejection_cost</x:v>
      </x:c>
    </x:row>
    <x:row r="2">
      <x:c r="A2" s="6" t="n">
        <x:v>0</x:v>
      </x:c>
      <x:c r="B2" s="6" t="n">
        <x:v>0</x:v>
      </x:c>
      <x:c r="C2" s="6" t="n">
        <x:v>0</x:v>
      </x:c>
      <x:c r="D2" s="19" t="n">
        <x:v>70</x:v>
      </x:c>
      <x:c r="E2" s="19" t="n">
        <x:v>0</x:v>
      </x:c>
      <x:c r="F2" s="19" t="n">
        <x:v>5100</x:v>
      </x:c>
      <x:c r="G2" s="19" t="n">
        <x:v>20000</x:v>
      </x:c>
      <x:c r="H2" s="19" t="n">
        <x:v>2</x:v>
      </x:c>
      <x:c r="I2" s="19" t="n">
        <x:v>100</x:v>
      </x:c>
      <x:c r="J2" s="19" t="n">
        <x:v>1450</x:v>
      </x:c>
    </x:row>
    <x:row r="3">
      <x:c r="A3" s="6" t="n">
        <x:v>1</x:v>
      </x:c>
      <x:c r="B3" s="6" t="n">
        <x:v>1</x:v>
      </x:c>
      <x:c r="C3" s="6" t="n">
        <x:v>0</x:v>
      </x:c>
      <x:c r="D3" s="19" t="n">
        <x:v>70</x:v>
      </x:c>
      <x:c r="E3" s="19" t="n">
        <x:v>0</x:v>
      </x:c>
      <x:c r="F3" s="19" t="n">
        <x:v>5700</x:v>
      </x:c>
      <x:c r="G3" s="19" t="n">
        <x:v>20000</x:v>
      </x:c>
      <x:c r="H3" s="19" t="n">
        <x:v>2</x:v>
      </x:c>
      <x:c r="I3" s="19" t="n">
        <x:v>100</x:v>
      </x:c>
      <x:c r="J3" s="19" t="n">
        <x:v>1450</x:v>
      </x:c>
    </x:row>
    <x:row r="4">
      <x:c r="A4" s="6" t="n">
        <x:v>2</x:v>
      </x:c>
      <x:c r="B4" s="6" t="n">
        <x:v>2</x:v>
      </x:c>
      <x:c r="C4" s="6" t="n">
        <x:v>0</x:v>
      </x:c>
      <x:c r="D4" s="19" t="n">
        <x:v>70</x:v>
      </x:c>
      <x:c r="E4" s="19" t="n">
        <x:v>0</x:v>
      </x:c>
      <x:c r="F4" s="19" t="n">
        <x:v>5700</x:v>
      </x:c>
      <x:c r="G4" s="19" t="n">
        <x:v>20000</x:v>
      </x:c>
      <x:c r="H4" s="19" t="n">
        <x:v>2</x:v>
      </x:c>
      <x:c r="I4" s="19" t="n">
        <x:v>100</x:v>
      </x:c>
      <x:c r="J4" s="19" t="n">
        <x:v>1450</x:v>
      </x:c>
    </x:row>
    <x:row r="5">
      <x:c r="A5" s="6" t="n">
        <x:v>3</x:v>
      </x:c>
      <x:c r="B5" s="6" t="n">
        <x:v>3</x:v>
      </x:c>
      <x:c r="C5" s="6" t="n">
        <x:v>0</x:v>
      </x:c>
      <x:c r="D5" s="19" t="n">
        <x:v>70</x:v>
      </x:c>
      <x:c r="E5" s="19" t="n">
        <x:v>0</x:v>
      </x:c>
      <x:c r="F5" s="19" t="n">
        <x:v>5700</x:v>
      </x:c>
      <x:c r="G5" s="19" t="n">
        <x:v>20000</x:v>
      </x:c>
      <x:c r="H5" s="19" t="n">
        <x:v>2</x:v>
      </x:c>
      <x:c r="I5" s="19" t="n">
        <x:v>100</x:v>
      </x:c>
      <x:c r="J5" s="19" t="n">
        <x:v>1450</x:v>
      </x:c>
    </x:row>
    <x:row r="6">
      <x:c r="A6" s="6" t="n">
        <x:v>4</x:v>
      </x:c>
      <x:c r="B6" s="6" t="n">
        <x:v>4</x:v>
      </x:c>
      <x:c r="C6" s="6" t="n">
        <x:v>0</x:v>
      </x:c>
      <x:c r="D6" s="19" t="n">
        <x:v>70</x:v>
      </x:c>
      <x:c r="E6" s="19" t="n">
        <x:v>0</x:v>
      </x:c>
      <x:c r="F6" s="19" t="n">
        <x:v>5700</x:v>
      </x:c>
      <x:c r="G6" s="19" t="n">
        <x:v>20000</x:v>
      </x:c>
      <x:c r="H6" s="19" t="n">
        <x:v>2</x:v>
      </x:c>
      <x:c r="I6" s="19" t="n">
        <x:v>100</x:v>
      </x:c>
      <x:c r="J6" s="19" t="n">
        <x:v>1450</x:v>
      </x:c>
    </x:row>
    <x:row r="7">
      <x:c r="A7" s="6" t="n">
        <x:v>5</x:v>
      </x:c>
      <x:c r="B7" s="6" t="n">
        <x:v>5</x:v>
      </x:c>
      <x:c r="C7" s="6" t="n">
        <x:v>0</x:v>
      </x:c>
      <x:c r="D7" s="19" t="n">
        <x:v>70</x:v>
      </x:c>
      <x:c r="E7" s="19" t="n">
        <x:v>0</x:v>
      </x:c>
      <x:c r="F7" s="19" t="n">
        <x:v>5300</x:v>
      </x:c>
      <x:c r="G7" s="19" t="n">
        <x:v>20000</x:v>
      </x:c>
      <x:c r="H7" s="19" t="n">
        <x:v>2</x:v>
      </x:c>
      <x:c r="I7" s="19" t="n">
        <x:v>100</x:v>
      </x:c>
      <x:c r="J7" s="19" t="n">
        <x:v>1450</x:v>
      </x:c>
    </x:row>
    <x:row r="8">
      <x:c r="A8" s="6" t="n">
        <x:v>6</x:v>
      </x:c>
      <x:c r="B8" s="6" t="n">
        <x:v>6</x:v>
      </x:c>
      <x:c r="C8" s="6" t="n">
        <x:v>0</x:v>
      </x:c>
      <x:c r="D8" s="19" t="n">
        <x:v>70</x:v>
      </x:c>
      <x:c r="E8" s="19" t="n">
        <x:v>0</x:v>
      </x:c>
      <x:c r="F8" s="19" t="n">
        <x:v>5300</x:v>
      </x:c>
      <x:c r="G8" s="19" t="n">
        <x:v>20000</x:v>
      </x:c>
      <x:c r="H8" s="19" t="n">
        <x:v>2</x:v>
      </x:c>
      <x:c r="I8" s="19" t="n">
        <x:v>100</x:v>
      </x:c>
      <x:c r="J8" s="19" t="n">
        <x:v>1450</x:v>
      </x:c>
    </x:row>
    <x:row r="9">
      <x:c r="A9" s="6" t="n">
        <x:v>7</x:v>
      </x:c>
      <x:c r="B9" s="6" t="n">
        <x:v>7</x:v>
      </x:c>
      <x:c r="C9" s="6" t="n">
        <x:v>0</x:v>
      </x:c>
      <x:c r="D9" s="19" t="n">
        <x:v>70</x:v>
      </x:c>
      <x:c r="E9" s="19" t="n">
        <x:v>0</x:v>
      </x:c>
      <x:c r="F9" s="19" t="n">
        <x:v>5300</x:v>
      </x:c>
      <x:c r="G9" s="19" t="n">
        <x:v>20000</x:v>
      </x:c>
      <x:c r="H9" s="19" t="n">
        <x:v>2</x:v>
      </x:c>
      <x:c r="I9" s="19" t="n">
        <x:v>100</x:v>
      </x:c>
      <x:c r="J9" s="19" t="n">
        <x:v>1450</x:v>
      </x:c>
    </x:row>
    <x:row r="10">
      <x:c r="A10" s="6" t="n">
        <x:v>8</x:v>
      </x:c>
      <x:c r="B10" s="6" t="n">
        <x:v>8</x:v>
      </x:c>
      <x:c r="C10" s="6" t="n">
        <x:v>0</x:v>
      </x:c>
      <x:c r="D10" s="19" t="n">
        <x:v>70</x:v>
      </x:c>
      <x:c r="E10" s="19" t="n">
        <x:v>0</x:v>
      </x:c>
      <x:c r="F10" s="19" t="n">
        <x:v>5300</x:v>
      </x:c>
      <x:c r="G10" s="19" t="n">
        <x:v>20000</x:v>
      </x:c>
      <x:c r="H10" s="19" t="n">
        <x:v>2</x:v>
      </x:c>
      <x:c r="I10" s="19" t="n">
        <x:v>100</x:v>
      </x:c>
      <x:c r="J10" s="19" t="n">
        <x:v>1450</x:v>
      </x:c>
    </x:row>
    <x:row r="11">
      <x:c r="A11" s="6" t="n">
        <x:v>9</x:v>
      </x:c>
      <x:c r="B11" s="6" t="n">
        <x:v>9</x:v>
      </x:c>
      <x:c r="C11" s="6" t="n">
        <x:v>0</x:v>
      </x:c>
      <x:c r="D11" s="19" t="n">
        <x:v>70</x:v>
      </x:c>
      <x:c r="E11" s="19" t="n">
        <x:v>0</x:v>
      </x:c>
      <x:c r="F11" s="19" t="n">
        <x:v>5300</x:v>
      </x:c>
      <x:c r="G11" s="19" t="n">
        <x:v>20000</x:v>
      </x:c>
      <x:c r="H11" s="19" t="n">
        <x:v>2</x:v>
      </x:c>
      <x:c r="I11" s="19" t="n">
        <x:v>100</x:v>
      </x:c>
      <x:c r="J11" s="19" t="n">
        <x:v>1450</x:v>
      </x:c>
    </x:row>
    <x:row r="12">
      <x:c r="A12" s="6" t="n">
        <x:v>10</x:v>
      </x:c>
      <x:c r="B12" s="6" t="n">
        <x:v>10</x:v>
      </x:c>
      <x:c r="C12" s="6" t="n">
        <x:v>0</x:v>
      </x:c>
      <x:c r="D12" s="19" t="n">
        <x:v>70</x:v>
      </x:c>
      <x:c r="E12" s="19" t="n">
        <x:v>0</x:v>
      </x:c>
      <x:c r="F12" s="19" t="n">
        <x:v>5700</x:v>
      </x:c>
      <x:c r="G12" s="19" t="n">
        <x:v>20000</x:v>
      </x:c>
      <x:c r="H12" s="19" t="n">
        <x:v>2</x:v>
      </x:c>
      <x:c r="I12" s="19" t="n">
        <x:v>100</x:v>
      </x:c>
      <x:c r="J12" s="19" t="n">
        <x:v>1450</x:v>
      </x:c>
    </x:row>
    <x:row r="13">
      <x:c r="A13" s="6" t="n">
        <x:v>11</x:v>
      </x:c>
      <x:c r="B13" s="6" t="n">
        <x:v>11</x:v>
      </x:c>
      <x:c r="C13" s="6" t="n">
        <x:v>1</x:v>
      </x:c>
      <x:c r="D13" s="19" t="n">
        <x:v>90</x:v>
      </x:c>
      <x:c r="E13" s="19" t="n">
        <x:v>0</x:v>
      </x:c>
      <x:c r="F13" s="19" t="n">
        <x:v>3700</x:v>
      </x:c>
      <x:c r="G13" s="19" t="n">
        <x:v>20000</x:v>
      </x:c>
      <x:c r="H13" s="19" t="n">
        <x:v>4</x:v>
      </x:c>
      <x:c r="I13" s="19" t="n">
        <x:v>100</x:v>
      </x:c>
      <x:c r="J13" s="19" t="n">
        <x:v>1750</x:v>
      </x:c>
    </x:row>
    <x:row r="14">
      <x:c r="A14" s="6" t="n">
        <x:v>12</x:v>
      </x:c>
      <x:c r="B14" s="6" t="n">
        <x:v>12</x:v>
      </x:c>
      <x:c r="C14" s="6" t="n">
        <x:v>1</x:v>
      </x:c>
      <x:c r="D14" s="19" t="n">
        <x:v>90</x:v>
      </x:c>
      <x:c r="E14" s="19" t="n">
        <x:v>0</x:v>
      </x:c>
      <x:c r="F14" s="19" t="n">
        <x:v>4900</x:v>
      </x:c>
      <x:c r="G14" s="19" t="n">
        <x:v>20000</x:v>
      </x:c>
      <x:c r="H14" s="19" t="n">
        <x:v>4</x:v>
      </x:c>
      <x:c r="I14" s="19" t="n">
        <x:v>100</x:v>
      </x:c>
      <x:c r="J14" s="19" t="n">
        <x:v>1750</x:v>
      </x:c>
    </x:row>
    <x:row r="15">
      <x:c r="A15" s="6" t="n">
        <x:v>13</x:v>
      </x:c>
      <x:c r="B15" s="6" t="n">
        <x:v>13</x:v>
      </x:c>
      <x:c r="C15" s="6" t="n">
        <x:v>1</x:v>
      </x:c>
      <x:c r="D15" s="19" t="n">
        <x:v>90</x:v>
      </x:c>
      <x:c r="E15" s="19" t="n">
        <x:v>0</x:v>
      </x:c>
      <x:c r="F15" s="19" t="n">
        <x:v>3700</x:v>
      </x:c>
      <x:c r="G15" s="19" t="n">
        <x:v>20000</x:v>
      </x:c>
      <x:c r="H15" s="19" t="n">
        <x:v>4</x:v>
      </x:c>
      <x:c r="I15" s="19" t="n">
        <x:v>100</x:v>
      </x:c>
      <x:c r="J15" s="19" t="n">
        <x:v>1750</x:v>
      </x:c>
    </x:row>
    <x:row r="16">
      <x:c r="A16" s="6" t="n">
        <x:v>14</x:v>
      </x:c>
      <x:c r="B16" s="6" t="n">
        <x:v>14</x:v>
      </x:c>
      <x:c r="C16" s="6" t="n">
        <x:v>1</x:v>
      </x:c>
      <x:c r="D16" s="19" t="n">
        <x:v>90</x:v>
      </x:c>
      <x:c r="E16" s="19" t="n">
        <x:v>0</x:v>
      </x:c>
      <x:c r="F16" s="19" t="n">
        <x:v>4300</x:v>
      </x:c>
      <x:c r="G16" s="19" t="n">
        <x:v>20000</x:v>
      </x:c>
      <x:c r="H16" s="19" t="n">
        <x:v>4</x:v>
      </x:c>
      <x:c r="I16" s="19" t="n">
        <x:v>100</x:v>
      </x:c>
      <x:c r="J16" s="19" t="n">
        <x:v>1750</x:v>
      </x:c>
    </x:row>
    <x:row r="17">
      <x:c r="A17" s="6" t="n">
        <x:v>15</x:v>
      </x:c>
      <x:c r="B17" s="6" t="n">
        <x:v>15</x:v>
      </x:c>
      <x:c r="C17" s="6" t="n">
        <x:v>1</x:v>
      </x:c>
      <x:c r="D17" s="19" t="n">
        <x:v>90</x:v>
      </x:c>
      <x:c r="E17" s="19" t="n">
        <x:v>0</x:v>
      </x:c>
      <x:c r="F17" s="19" t="n">
        <x:v>3700</x:v>
      </x:c>
      <x:c r="G17" s="19" t="n">
        <x:v>20000</x:v>
      </x:c>
      <x:c r="H17" s="19" t="n">
        <x:v>4</x:v>
      </x:c>
      <x:c r="I17" s="19" t="n">
        <x:v>100</x:v>
      </x:c>
      <x:c r="J17" s="19" t="n">
        <x:v>1750</x:v>
      </x:c>
    </x:row>
    <x:row r="18">
      <x:c r="A18" s="6" t="n">
        <x:v>16</x:v>
      </x:c>
      <x:c r="B18" s="6" t="n">
        <x:v>16</x:v>
      </x:c>
      <x:c r="C18" s="6" t="n">
        <x:v>1</x:v>
      </x:c>
      <x:c r="D18" s="19" t="n">
        <x:v>90</x:v>
      </x:c>
      <x:c r="E18" s="19" t="n">
        <x:v>0</x:v>
      </x:c>
      <x:c r="F18" s="19" t="n">
        <x:v>4300</x:v>
      </x:c>
      <x:c r="G18" s="19" t="n">
        <x:v>20000</x:v>
      </x:c>
      <x:c r="H18" s="19" t="n">
        <x:v>4</x:v>
      </x:c>
      <x:c r="I18" s="19" t="n">
        <x:v>100</x:v>
      </x:c>
      <x:c r="J18" s="19" t="n">
        <x:v>1750</x:v>
      </x:c>
    </x:row>
    <x:row r="19">
      <x:c r="A19" s="6" t="n">
        <x:v>17</x:v>
      </x:c>
      <x:c r="B19" s="6" t="n">
        <x:v>17</x:v>
      </x:c>
      <x:c r="C19" s="6" t="n">
        <x:v>1</x:v>
      </x:c>
      <x:c r="D19" s="19" t="n">
        <x:v>90</x:v>
      </x:c>
      <x:c r="E19" s="19" t="n">
        <x:v>0</x:v>
      </x:c>
      <x:c r="F19" s="19" t="n">
        <x:v>4300</x:v>
      </x:c>
      <x:c r="G19" s="19" t="n">
        <x:v>20000</x:v>
      </x:c>
      <x:c r="H19" s="19" t="n">
        <x:v>4</x:v>
      </x:c>
      <x:c r="I19" s="19" t="n">
        <x:v>100</x:v>
      </x:c>
      <x:c r="J19" s="19" t="n">
        <x:v>1750</x:v>
      </x:c>
    </x:row>
    <x:row r="20">
      <x:c r="A20" s="6" t="n">
        <x:v>18</x:v>
      </x:c>
      <x:c r="B20" s="6" t="n">
        <x:v>18</x:v>
      </x:c>
      <x:c r="C20" s="6" t="n">
        <x:v>1</x:v>
      </x:c>
      <x:c r="D20" s="19" t="n">
        <x:v>90</x:v>
      </x:c>
      <x:c r="E20" s="19" t="n">
        <x:v>0</x:v>
      </x:c>
      <x:c r="F20" s="19" t="n">
        <x:v>4300</x:v>
      </x:c>
      <x:c r="G20" s="19" t="n">
        <x:v>20000</x:v>
      </x:c>
      <x:c r="H20" s="19" t="n">
        <x:v>4</x:v>
      </x:c>
      <x:c r="I20" s="19" t="n">
        <x:v>100</x:v>
      </x:c>
      <x:c r="J20" s="19" t="n">
        <x:v>1750</x:v>
      </x:c>
    </x:row>
    <x:row r="21">
      <x:c r="A21" s="6" t="n">
        <x:v>19</x:v>
      </x:c>
      <x:c r="B21" s="6" t="n">
        <x:v>19</x:v>
      </x:c>
      <x:c r="C21" s="6" t="n">
        <x:v>1</x:v>
      </x:c>
      <x:c r="D21" s="19" t="n">
        <x:v>90</x:v>
      </x:c>
      <x:c r="E21" s="19" t="n">
        <x:v>0</x:v>
      </x:c>
      <x:c r="F21" s="19" t="n">
        <x:v>4900</x:v>
      </x:c>
      <x:c r="G21" s="19" t="n">
        <x:v>20000</x:v>
      </x:c>
      <x:c r="H21" s="19" t="n">
        <x:v>4</x:v>
      </x:c>
      <x:c r="I21" s="19" t="n">
        <x:v>100</x:v>
      </x:c>
      <x:c r="J21" s="19" t="n">
        <x:v>1750</x:v>
      </x:c>
    </x:row>
    <x:row r="22">
      <x:c r="A22" s="6" t="n">
        <x:v>20</x:v>
      </x:c>
      <x:c r="B22" s="6" t="n">
        <x:v>20</x:v>
      </x:c>
      <x:c r="C22" s="6" t="n">
        <x:v>1</x:v>
      </x:c>
      <x:c r="D22" s="19" t="n">
        <x:v>90</x:v>
      </x:c>
      <x:c r="E22" s="19" t="n">
        <x:v>0</x:v>
      </x:c>
      <x:c r="F22" s="19" t="n">
        <x:v>4300</x:v>
      </x:c>
      <x:c r="G22" s="19" t="n">
        <x:v>20000</x:v>
      </x:c>
      <x:c r="H22" s="19" t="n">
        <x:v>4</x:v>
      </x:c>
      <x:c r="I22" s="19" t="n">
        <x:v>100</x:v>
      </x:c>
      <x:c r="J22" s="19" t="n">
        <x:v>1750</x:v>
      </x:c>
    </x:row>
    <x:row r="23">
      <x:c r="A23" s="6" t="n">
        <x:v>21</x:v>
      </x:c>
      <x:c r="B23" s="6" t="n">
        <x:v>21</x:v>
      </x:c>
      <x:c r="C23" s="6" t="n">
        <x:v>1</x:v>
      </x:c>
      <x:c r="D23" s="19" t="n">
        <x:v>90</x:v>
      </x:c>
      <x:c r="E23" s="19" t="n">
        <x:v>0</x:v>
      </x:c>
      <x:c r="F23" s="19" t="n">
        <x:v>3700</x:v>
      </x:c>
      <x:c r="G23" s="19" t="n">
        <x:v>20000</x:v>
      </x:c>
      <x:c r="H23" s="19" t="n">
        <x:v>4</x:v>
      </x:c>
      <x:c r="I23" s="19" t="n">
        <x:v>100</x:v>
      </x:c>
      <x:c r="J23" s="19" t="n">
        <x:v>1750</x:v>
      </x:c>
    </x:row>
    <x:row r="24">
      <x:c r="A24" s="6" t="n">
        <x:v>22</x:v>
      </x:c>
      <x:c r="B24" s="6" t="n">
        <x:v>22</x:v>
      </x:c>
      <x:c r="C24" s="6" t="n">
        <x:v>1</x:v>
      </x:c>
      <x:c r="D24" s="19" t="n">
        <x:v>90</x:v>
      </x:c>
      <x:c r="E24" s="19" t="n">
        <x:v>0</x:v>
      </x:c>
      <x:c r="F24" s="19" t="n">
        <x:v>5900</x:v>
      </x:c>
      <x:c r="G24" s="19" t="n">
        <x:v>20000</x:v>
      </x:c>
      <x:c r="H24" s="19" t="n">
        <x:v>4</x:v>
      </x:c>
      <x:c r="I24" s="19" t="n">
        <x:v>100</x:v>
      </x:c>
      <x:c r="J24" s="19" t="n">
        <x:v>1750</x:v>
      </x:c>
    </x:row>
    <x:row r="25">
      <x:c r="A25" s="6" t="n">
        <x:v>23</x:v>
      </x:c>
      <x:c r="B25" s="6" t="n">
        <x:v>23</x:v>
      </x:c>
      <x:c r="C25" s="6" t="n">
        <x:v>1</x:v>
      </x:c>
      <x:c r="D25" s="19" t="n">
        <x:v>90</x:v>
      </x:c>
      <x:c r="E25" s="19" t="n">
        <x:v>0</x:v>
      </x:c>
      <x:c r="F25" s="19" t="n">
        <x:v>4300</x:v>
      </x:c>
      <x:c r="G25" s="19" t="n">
        <x:v>20000</x:v>
      </x:c>
      <x:c r="H25" s="19" t="n">
        <x:v>4</x:v>
      </x:c>
      <x:c r="I25" s="19" t="n">
        <x:v>100</x:v>
      </x:c>
      <x:c r="J25" s="19" t="n">
        <x:v>1750</x:v>
      </x:c>
    </x:row>
    <x:row r="26">
      <x:c r="A26" s="6" t="n">
        <x:v>24</x:v>
      </x:c>
      <x:c r="B26" s="6" t="n">
        <x:v>24</x:v>
      </x:c>
      <x:c r="C26" s="6" t="n">
        <x:v>1</x:v>
      </x:c>
      <x:c r="D26" s="19" t="n">
        <x:v>90</x:v>
      </x:c>
      <x:c r="E26" s="19" t="n">
        <x:v>0</x:v>
      </x:c>
      <x:c r="F26" s="19" t="n">
        <x:v>4300</x:v>
      </x:c>
      <x:c r="G26" s="19" t="n">
        <x:v>20000</x:v>
      </x:c>
      <x:c r="H26" s="19" t="n">
        <x:v>4</x:v>
      </x:c>
      <x:c r="I26" s="19" t="n">
        <x:v>100</x:v>
      </x:c>
      <x:c r="J26" s="19" t="n">
        <x:v>1750</x:v>
      </x:c>
    </x:row>
    <x:row r="27">
      <x:c r="A27" s="6" t="n">
        <x:v>25</x:v>
      </x:c>
      <x:c r="B27" s="6" t="n">
        <x:v>25</x:v>
      </x:c>
      <x:c r="C27" s="6" t="n">
        <x:v>1</x:v>
      </x:c>
      <x:c r="D27" s="19" t="n">
        <x:v>90</x:v>
      </x:c>
      <x:c r="E27" s="19" t="n">
        <x:v>0</x:v>
      </x:c>
      <x:c r="F27" s="19" t="n">
        <x:v>4300</x:v>
      </x:c>
      <x:c r="G27" s="19" t="n">
        <x:v>20000</x:v>
      </x:c>
      <x:c r="H27" s="19" t="n">
        <x:v>4</x:v>
      </x:c>
      <x:c r="I27" s="19" t="n">
        <x:v>100</x:v>
      </x:c>
      <x:c r="J27" s="19" t="n">
        <x:v>1750</x:v>
      </x:c>
    </x:row>
    <x:row r="28">
      <x:c r="A28" s="6" t="n">
        <x:v>26</x:v>
      </x:c>
      <x:c r="B28" s="6" t="n">
        <x:v>26</x:v>
      </x:c>
      <x:c r="C28" s="6" t="n">
        <x:v>1</x:v>
      </x:c>
      <x:c r="D28" s="19" t="n">
        <x:v>90</x:v>
      </x:c>
      <x:c r="E28" s="19" t="n">
        <x:v>0</x:v>
      </x:c>
      <x:c r="F28" s="19" t="n">
        <x:v>4900</x:v>
      </x:c>
      <x:c r="G28" s="19" t="n">
        <x:v>20000</x:v>
      </x:c>
      <x:c r="H28" s="19" t="n">
        <x:v>4</x:v>
      </x:c>
      <x:c r="I28" s="19" t="n">
        <x:v>100</x:v>
      </x:c>
      <x:c r="J28" s="19" t="n">
        <x:v>1750</x:v>
      </x:c>
    </x:row>
    <x:row r="29">
      <x:c r="A29" s="6" t="n">
        <x:v>27</x:v>
      </x:c>
      <x:c r="B29" s="6" t="n">
        <x:v>27</x:v>
      </x:c>
      <x:c r="C29" s="6" t="n">
        <x:v>1</x:v>
      </x:c>
      <x:c r="D29" s="19" t="n">
        <x:v>90</x:v>
      </x:c>
      <x:c r="E29" s="19" t="n">
        <x:v>0</x:v>
      </x:c>
      <x:c r="F29" s="19" t="n">
        <x:v>4900</x:v>
      </x:c>
      <x:c r="G29" s="19" t="n">
        <x:v>20000</x:v>
      </x:c>
      <x:c r="H29" s="19" t="n">
        <x:v>4</x:v>
      </x:c>
      <x:c r="I29" s="19" t="n">
        <x:v>100</x:v>
      </x:c>
      <x:c r="J29" s="19" t="n">
        <x:v>1750</x:v>
      </x:c>
    </x:row>
    <x:row r="30">
      <x:c r="A30" s="6" t="n">
        <x:v>28</x:v>
      </x:c>
      <x:c r="B30" s="6" t="n">
        <x:v>28</x:v>
      </x:c>
      <x:c r="C30" s="6" t="n">
        <x:v>1</x:v>
      </x:c>
      <x:c r="D30" s="19" t="n">
        <x:v>90</x:v>
      </x:c>
      <x:c r="E30" s="19" t="n">
        <x:v>0</x:v>
      </x:c>
      <x:c r="F30" s="19" t="n">
        <x:v>4900</x:v>
      </x:c>
      <x:c r="G30" s="19" t="n">
        <x:v>20000</x:v>
      </x:c>
      <x:c r="H30" s="19" t="n">
        <x:v>4</x:v>
      </x:c>
      <x:c r="I30" s="19" t="n">
        <x:v>100</x:v>
      </x:c>
      <x:c r="J30" s="19" t="n">
        <x:v>1750</x:v>
      </x:c>
    </x:row>
    <x:row r="31">
      <x:c r="A31" s="6" t="n">
        <x:v>29</x:v>
      </x:c>
      <x:c r="B31" s="6" t="n">
        <x:v>29</x:v>
      </x:c>
      <x:c r="C31" s="6" t="n">
        <x:v>1</x:v>
      </x:c>
      <x:c r="D31" s="19" t="n">
        <x:v>90</x:v>
      </x:c>
      <x:c r="E31" s="19" t="n">
        <x:v>0</x:v>
      </x:c>
      <x:c r="F31" s="19" t="n">
        <x:v>5900</x:v>
      </x:c>
      <x:c r="G31" s="19" t="n">
        <x:v>20000</x:v>
      </x:c>
      <x:c r="H31" s="19" t="n">
        <x:v>4</x:v>
      </x:c>
      <x:c r="I31" s="19" t="n">
        <x:v>100</x:v>
      </x:c>
      <x:c r="J31" s="19" t="n">
        <x:v>1750</x:v>
      </x:c>
    </x:row>
    <x:row r="32">
      <x:c r="A32" s="6" t="n">
        <x:v>30</x:v>
      </x:c>
      <x:c r="B32" s="6" t="n">
        <x:v>30</x:v>
      </x:c>
      <x:c r="C32" s="6" t="n">
        <x:v>1</x:v>
      </x:c>
      <x:c r="D32" s="19" t="n">
        <x:v>90</x:v>
      </x:c>
      <x:c r="E32" s="19" t="n">
        <x:v>0</x:v>
      </x:c>
      <x:c r="F32" s="19" t="n">
        <x:v>5900</x:v>
      </x:c>
      <x:c r="G32" s="19" t="n">
        <x:v>20000</x:v>
      </x:c>
      <x:c r="H32" s="19" t="n">
        <x:v>4</x:v>
      </x:c>
      <x:c r="I32" s="19" t="n">
        <x:v>100</x:v>
      </x:c>
      <x:c r="J32" s="19" t="n">
        <x:v>1750</x:v>
      </x:c>
    </x:row>
    <x:row r="33">
      <x:c r="A33" s="6" t="n">
        <x:v>31</x:v>
      </x:c>
      <x:c r="B33" s="6" t="n">
        <x:v>31</x:v>
      </x:c>
      <x:c r="C33" s="6" t="n">
        <x:v>1</x:v>
      </x:c>
      <x:c r="D33" s="19" t="n">
        <x:v>90</x:v>
      </x:c>
      <x:c r="E33" s="19" t="n">
        <x:v>0</x:v>
      </x:c>
      <x:c r="F33" s="19" t="n">
        <x:v>5900</x:v>
      </x:c>
      <x:c r="G33" s="19" t="n">
        <x:v>20000</x:v>
      </x:c>
      <x:c r="H33" s="19" t="n">
        <x:v>4</x:v>
      </x:c>
      <x:c r="I33" s="19" t="n">
        <x:v>100</x:v>
      </x:c>
      <x:c r="J33" s="19" t="n">
        <x:v>1750</x:v>
      </x:c>
    </x:row>
    <x:row r="34">
      <x:c r="A34" s="6" t="n">
        <x:v>32</x:v>
      </x:c>
      <x:c r="B34" s="6" t="n">
        <x:v>32</x:v>
      </x:c>
      <x:c r="C34" s="6" t="n">
        <x:v>1</x:v>
      </x:c>
      <x:c r="D34" s="19" t="n">
        <x:v>90</x:v>
      </x:c>
      <x:c r="E34" s="19" t="n">
        <x:v>0</x:v>
      </x:c>
      <x:c r="F34" s="19" t="n">
        <x:v>6300</x:v>
      </x:c>
      <x:c r="G34" s="19" t="n">
        <x:v>20000</x:v>
      </x:c>
      <x:c r="H34" s="19" t="n">
        <x:v>4</x:v>
      </x:c>
      <x:c r="I34" s="19" t="n">
        <x:v>100</x:v>
      </x:c>
      <x:c r="J34" s="19" t="n">
        <x:v>1750</x:v>
      </x:c>
    </x:row>
    <x:row r="35">
      <x:c r="A35" s="6" t="n">
        <x:v>33</x:v>
      </x:c>
      <x:c r="B35" s="6" t="n">
        <x:v>33</x:v>
      </x:c>
      <x:c r="C35" s="6" t="n">
        <x:v>1</x:v>
      </x:c>
      <x:c r="D35" s="19" t="n">
        <x:v>90</x:v>
      </x:c>
      <x:c r="E35" s="19" t="n">
        <x:v>0</x:v>
      </x:c>
      <x:c r="F35" s="19" t="n">
        <x:v>6300</x:v>
      </x:c>
      <x:c r="G35" s="19" t="n">
        <x:v>20000</x:v>
      </x:c>
      <x:c r="H35" s="19" t="n">
        <x:v>4</x:v>
      </x:c>
      <x:c r="I35" s="19" t="n">
        <x:v>100</x:v>
      </x:c>
      <x:c r="J35" s="19" t="n">
        <x:v>1750</x:v>
      </x:c>
    </x:row>
    <x:row r="36">
      <x:c r="A36" s="6" t="n">
        <x:v>34</x:v>
      </x:c>
      <x:c r="B36" s="6" t="n">
        <x:v>34</x:v>
      </x:c>
      <x:c r="C36" s="6" t="n">
        <x:v>1</x:v>
      </x:c>
      <x:c r="D36" s="19" t="n">
        <x:v>90</x:v>
      </x:c>
      <x:c r="E36" s="19" t="n">
        <x:v>0</x:v>
      </x:c>
      <x:c r="F36" s="19" t="n">
        <x:v>6300</x:v>
      </x:c>
      <x:c r="G36" s="19" t="n">
        <x:v>20000</x:v>
      </x:c>
      <x:c r="H36" s="19" t="n">
        <x:v>4</x:v>
      </x:c>
      <x:c r="I36" s="19" t="n">
        <x:v>100</x:v>
      </x:c>
      <x:c r="J36" s="19" t="n">
        <x:v>1750</x:v>
      </x:c>
    </x:row>
    <x:row r="37">
      <x:c r="A37" s="6" t="n">
        <x:v>35</x:v>
      </x:c>
      <x:c r="B37" s="6" t="n">
        <x:v>35</x:v>
      </x:c>
      <x:c r="C37" s="6" t="n">
        <x:v>1</x:v>
      </x:c>
      <x:c r="D37" s="19" t="n">
        <x:v>90</x:v>
      </x:c>
      <x:c r="E37" s="19" t="n">
        <x:v>0</x:v>
      </x:c>
      <x:c r="F37" s="19" t="n">
        <x:v>5900</x:v>
      </x:c>
      <x:c r="G37" s="19" t="n">
        <x:v>20000</x:v>
      </x:c>
      <x:c r="H37" s="19" t="n">
        <x:v>4</x:v>
      </x:c>
      <x:c r="I37" s="19" t="n">
        <x:v>100</x:v>
      </x:c>
      <x:c r="J37" s="19" t="n">
        <x:v>1750</x:v>
      </x:c>
    </x:row>
    <x:row r="38">
      <x:c r="A38" s="6" t="n">
        <x:v>36</x:v>
      </x:c>
      <x:c r="B38" s="6" t="n">
        <x:v>36</x:v>
      </x:c>
      <x:c r="C38" s="6" t="n">
        <x:v>1</x:v>
      </x:c>
      <x:c r="D38" s="19" t="n">
        <x:v>90</x:v>
      </x:c>
      <x:c r="E38" s="19" t="n">
        <x:v>0</x:v>
      </x:c>
      <x:c r="F38" s="19" t="n">
        <x:v>5900</x:v>
      </x:c>
      <x:c r="G38" s="19" t="n">
        <x:v>20000</x:v>
      </x:c>
      <x:c r="H38" s="19" t="n">
        <x:v>4</x:v>
      </x:c>
      <x:c r="I38" s="19" t="n">
        <x:v>100</x:v>
      </x:c>
      <x:c r="J38" s="19" t="n">
        <x:v>1750</x:v>
      </x:c>
    </x:row>
    <x:row r="39">
      <x:c r="A39" s="6" t="n">
        <x:v>37</x:v>
      </x:c>
      <x:c r="B39" s="6" t="n">
        <x:v>37</x:v>
      </x:c>
      <x:c r="C39" s="6" t="n">
        <x:v>3</x:v>
      </x:c>
      <x:c r="D39" s="19" t="n">
        <x:v>70</x:v>
      </x:c>
      <x:c r="E39" s="19" t="n">
        <x:v>0</x:v>
      </x:c>
      <x:c r="F39" s="19" t="n">
        <x:v>1400</x:v>
      </x:c>
      <x:c r="G39" s="19" t="n">
        <x:v>20000</x:v>
      </x:c>
      <x:c r="H39" s="19" t="n">
        <x:v>2</x:v>
      </x:c>
      <x:c r="I39" s="19" t="n">
        <x:v>100</x:v>
      </x:c>
      <x:c r="J39" s="19" t="n">
        <x:v>1450</x:v>
      </x:c>
    </x:row>
    <x:row r="40">
      <x:c r="A40" s="6" t="n">
        <x:v>38</x:v>
      </x:c>
      <x:c r="B40" s="6" t="n">
        <x:v>38</x:v>
      </x:c>
      <x:c r="C40" s="6" t="n">
        <x:v>3</x:v>
      </x:c>
      <x:c r="D40" s="19" t="n">
        <x:v>70</x:v>
      </x:c>
      <x:c r="E40" s="19" t="n">
        <x:v>0</x:v>
      </x:c>
      <x:c r="F40" s="19" t="n">
        <x:v>1400</x:v>
      </x:c>
      <x:c r="G40" s="19" t="n">
        <x:v>20000</x:v>
      </x:c>
      <x:c r="H40" s="19" t="n">
        <x:v>2</x:v>
      </x:c>
      <x:c r="I40" s="19" t="n">
        <x:v>100</x:v>
      </x:c>
      <x:c r="J40" s="19" t="n">
        <x:v>1450</x:v>
      </x:c>
    </x:row>
    <x:row r="41">
      <x:c r="A41" s="6" t="n">
        <x:v>39</x:v>
      </x:c>
      <x:c r="B41" s="6" t="n">
        <x:v>39</x:v>
      </x:c>
      <x:c r="C41" s="6" t="n">
        <x:v>3</x:v>
      </x:c>
      <x:c r="D41" s="19" t="n">
        <x:v>70</x:v>
      </x:c>
      <x:c r="E41" s="19" t="n">
        <x:v>0</x:v>
      </x:c>
      <x:c r="F41" s="19" t="n">
        <x:v>1400</x:v>
      </x:c>
      <x:c r="G41" s="19" t="n">
        <x:v>20000</x:v>
      </x:c>
      <x:c r="H41" s="19" t="n">
        <x:v>2</x:v>
      </x:c>
      <x:c r="I41" s="19" t="n">
        <x:v>100</x:v>
      </x:c>
      <x:c r="J41" s="19" t="n">
        <x:v>1450</x:v>
      </x:c>
    </x:row>
    <x:row r="42">
      <x:c r="A42" s="6" t="n">
        <x:v>40</x:v>
      </x:c>
      <x:c r="B42" s="6" t="n">
        <x:v>40</x:v>
      </x:c>
      <x:c r="C42" s="6" t="n">
        <x:v>3</x:v>
      </x:c>
      <x:c r="D42" s="19" t="n">
        <x:v>70</x:v>
      </x:c>
      <x:c r="E42" s="19" t="n">
        <x:v>0</x:v>
      </x:c>
      <x:c r="F42" s="19" t="n">
        <x:v>1200</x:v>
      </x:c>
      <x:c r="G42" s="19" t="n">
        <x:v>20000</x:v>
      </x:c>
      <x:c r="H42" s="19" t="n">
        <x:v>2</x:v>
      </x:c>
      <x:c r="I42" s="19" t="n">
        <x:v>100</x:v>
      </x:c>
      <x:c r="J42" s="19" t="n">
        <x:v>1450</x:v>
      </x:c>
    </x:row>
    <x:row r="43">
      <x:c r="A43" s="6" t="n">
        <x:v>41</x:v>
      </x:c>
      <x:c r="B43" s="6" t="n">
        <x:v>41</x:v>
      </x:c>
      <x:c r="C43" s="6" t="n">
        <x:v>3</x:v>
      </x:c>
      <x:c r="D43" s="19" t="n">
        <x:v>70</x:v>
      </x:c>
      <x:c r="E43" s="19" t="n">
        <x:v>0</x:v>
      </x:c>
      <x:c r="F43" s="19" t="n">
        <x:v>1400</x:v>
      </x:c>
      <x:c r="G43" s="19" t="n">
        <x:v>20000</x:v>
      </x:c>
      <x:c r="H43" s="19" t="n">
        <x:v>2</x:v>
      </x:c>
      <x:c r="I43" s="19" t="n">
        <x:v>100</x:v>
      </x:c>
      <x:c r="J43" s="19" t="n">
        <x:v>1450</x:v>
      </x:c>
    </x:row>
    <x:row r="44">
      <x:c r="A44" s="6" t="n">
        <x:v>42</x:v>
      </x:c>
      <x:c r="B44" s="6" t="n">
        <x:v>42</x:v>
      </x:c>
      <x:c r="C44" s="6" t="n">
        <x:v>3</x:v>
      </x:c>
      <x:c r="D44" s="19" t="n">
        <x:v>70</x:v>
      </x:c>
      <x:c r="E44" s="19" t="n">
        <x:v>0</x:v>
      </x:c>
      <x:c r="F44" s="19" t="n">
        <x:v>1400</x:v>
      </x:c>
      <x:c r="G44" s="19" t="n">
        <x:v>20000</x:v>
      </x:c>
      <x:c r="H44" s="19" t="n">
        <x:v>2</x:v>
      </x:c>
      <x:c r="I44" s="19" t="n">
        <x:v>100</x:v>
      </x:c>
      <x:c r="J44" s="19" t="n">
        <x:v>1450</x:v>
      </x:c>
    </x:row>
    <x:row r="45">
      <x:c r="A45" s="6" t="n">
        <x:v>43</x:v>
      </x:c>
      <x:c r="B45" s="6" t="n">
        <x:v>43</x:v>
      </x:c>
      <x:c r="C45" s="6" t="n">
        <x:v>3</x:v>
      </x:c>
      <x:c r="D45" s="19" t="n">
        <x:v>70</x:v>
      </x:c>
      <x:c r="E45" s="19" t="n">
        <x:v>0</x:v>
      </x:c>
      <x:c r="F45" s="19" t="n">
        <x:v>1400</x:v>
      </x:c>
      <x:c r="G45" s="19" t="n">
        <x:v>20000</x:v>
      </x:c>
      <x:c r="H45" s="19" t="n">
        <x:v>2</x:v>
      </x:c>
      <x:c r="I45" s="19" t="n">
        <x:v>100</x:v>
      </x:c>
      <x:c r="J45" s="19" t="n">
        <x:v>1450</x:v>
      </x:c>
    </x:row>
    <x:row r="46">
      <x:c r="A46" s="6" t="n">
        <x:v>44</x:v>
      </x:c>
      <x:c r="B46" s="6" t="n">
        <x:v>44</x:v>
      </x:c>
      <x:c r="C46" s="6" t="n">
        <x:v>3</x:v>
      </x:c>
      <x:c r="D46" s="19" t="n">
        <x:v>70</x:v>
      </x:c>
      <x:c r="E46" s="19" t="n">
        <x:v>0</x:v>
      </x:c>
      <x:c r="F46" s="19" t="n">
        <x:v>1400</x:v>
      </x:c>
      <x:c r="G46" s="19" t="n">
        <x:v>20000</x:v>
      </x:c>
      <x:c r="H46" s="19" t="n">
        <x:v>2</x:v>
      </x:c>
      <x:c r="I46" s="19" t="n">
        <x:v>100</x:v>
      </x:c>
      <x:c r="J46" s="19" t="n">
        <x:v>1450</x:v>
      </x:c>
    </x:row>
    <x:row r="47">
      <x:c r="A47" s="6" t="n">
        <x:v>45</x:v>
      </x:c>
      <x:c r="B47" s="6" t="n">
        <x:v>45</x:v>
      </x:c>
      <x:c r="C47" s="6" t="n">
        <x:v>3</x:v>
      </x:c>
      <x:c r="D47" s="19" t="n">
        <x:v>70</x:v>
      </x:c>
      <x:c r="E47" s="19" t="n">
        <x:v>0</x:v>
      </x:c>
      <x:c r="F47" s="19" t="n">
        <x:v>1200</x:v>
      </x:c>
      <x:c r="G47" s="19" t="n">
        <x:v>20000</x:v>
      </x:c>
      <x:c r="H47" s="19" t="n">
        <x:v>2</x:v>
      </x:c>
      <x:c r="I47" s="19" t="n">
        <x:v>100</x:v>
      </x:c>
      <x:c r="J47" s="19" t="n">
        <x:v>1450</x:v>
      </x:c>
    </x:row>
    <x:row r="48">
      <x:c r="A48" s="6" t="n">
        <x:v>46</x:v>
      </x:c>
      <x:c r="B48" s="6" t="n">
        <x:v>46</x:v>
      </x:c>
      <x:c r="C48" s="6" t="n">
        <x:v>3</x:v>
      </x:c>
      <x:c r="D48" s="19" t="n">
        <x:v>70</x:v>
      </x:c>
      <x:c r="E48" s="19" t="n">
        <x:v>0</x:v>
      </x:c>
      <x:c r="F48" s="19" t="n">
        <x:v>1400</x:v>
      </x:c>
      <x:c r="G48" s="19" t="n">
        <x:v>20000</x:v>
      </x:c>
      <x:c r="H48" s="19" t="n">
        <x:v>2</x:v>
      </x:c>
      <x:c r="I48" s="19" t="n">
        <x:v>100</x:v>
      </x:c>
      <x:c r="J48" s="19" t="n">
        <x:v>1450</x:v>
      </x:c>
    </x:row>
    <x:row r="49">
      <x:c r="A49" s="6" t="n">
        <x:v>47</x:v>
      </x:c>
      <x:c r="B49" s="6" t="n">
        <x:v>47</x:v>
      </x:c>
      <x:c r="C49" s="6" t="n">
        <x:v>3</x:v>
      </x:c>
      <x:c r="D49" s="19" t="n">
        <x:v>70</x:v>
      </x:c>
      <x:c r="E49" s="19" t="n">
        <x:v>0</x:v>
      </x:c>
      <x:c r="F49" s="19" t="n">
        <x:v>1200</x:v>
      </x:c>
      <x:c r="G49" s="19" t="n">
        <x:v>20000</x:v>
      </x:c>
      <x:c r="H49" s="19" t="n">
        <x:v>2</x:v>
      </x:c>
      <x:c r="I49" s="19" t="n">
        <x:v>100</x:v>
      </x:c>
      <x:c r="J49" s="19" t="n">
        <x:v>1450</x:v>
      </x:c>
    </x:row>
    <x:row r="50">
      <x:c r="A50" s="6" t="n">
        <x:v>48</x:v>
      </x:c>
      <x:c r="B50" s="6" t="n">
        <x:v>48</x:v>
      </x:c>
      <x:c r="C50" s="6" t="n">
        <x:v>2</x:v>
      </x:c>
      <x:c r="D50" s="19" t="n">
        <x:v>90</x:v>
      </x:c>
      <x:c r="E50" s="19" t="n">
        <x:v>0</x:v>
      </x:c>
      <x:c r="F50" s="19" t="n">
        <x:v>700</x:v>
      </x:c>
      <x:c r="G50" s="19" t="n">
        <x:v>20000</x:v>
      </x:c>
      <x:c r="H50" s="19" t="n">
        <x:v>4</x:v>
      </x:c>
      <x:c r="I50" s="19" t="n">
        <x:v>100</x:v>
      </x:c>
      <x:c r="J50" s="19" t="n">
        <x:v>1750</x:v>
      </x:c>
    </x:row>
    <x:row r="51">
      <x:c r="A51" s="6" t="n">
        <x:v>49</x:v>
      </x:c>
      <x:c r="B51" s="6" t="n">
        <x:v>49</x:v>
      </x:c>
      <x:c r="C51" s="6" t="n">
        <x:v>2</x:v>
      </x:c>
      <x:c r="D51" s="19" t="n">
        <x:v>90</x:v>
      </x:c>
      <x:c r="E51" s="19" t="n">
        <x:v>0</x:v>
      </x:c>
      <x:c r="F51" s="19" t="n">
        <x:v>700</x:v>
      </x:c>
      <x:c r="G51" s="19" t="n">
        <x:v>20000</x:v>
      </x:c>
      <x:c r="H51" s="19" t="n">
        <x:v>4</x:v>
      </x:c>
      <x:c r="I51" s="19" t="n">
        <x:v>100</x:v>
      </x:c>
      <x:c r="J51" s="19" t="n">
        <x:v>1750</x:v>
      </x:c>
    </x:row>
    <x:row r="52">
      <x:c r="A52" s="6" t="n">
        <x:v>50</x:v>
      </x:c>
      <x:c r="B52" s="6" t="n">
        <x:v>50</x:v>
      </x:c>
      <x:c r="C52" s="6" t="n">
        <x:v>2</x:v>
      </x:c>
      <x:c r="D52" s="19" t="n">
        <x:v>90</x:v>
      </x:c>
      <x:c r="E52" s="19" t="n">
        <x:v>0</x:v>
      </x:c>
      <x:c r="F52" s="19" t="n">
        <x:v>700</x:v>
      </x:c>
      <x:c r="G52" s="19" t="n">
        <x:v>20000</x:v>
      </x:c>
      <x:c r="H52" s="19" t="n">
        <x:v>4</x:v>
      </x:c>
      <x:c r="I52" s="19" t="n">
        <x:v>100</x:v>
      </x:c>
      <x:c r="J52" s="19" t="n">
        <x:v>1750</x:v>
      </x:c>
    </x:row>
    <x:row r="53">
      <x:c r="A53" s="6" t="n">
        <x:v>51</x:v>
      </x:c>
      <x:c r="B53" s="6" t="n">
        <x:v>51</x:v>
      </x:c>
      <x:c r="C53" s="6" t="n">
        <x:v>2</x:v>
      </x:c>
      <x:c r="D53" s="19" t="n">
        <x:v>90</x:v>
      </x:c>
      <x:c r="E53" s="19" t="n">
        <x:v>0</x:v>
      </x:c>
      <x:c r="F53" s="19" t="n">
        <x:v>700</x:v>
      </x:c>
      <x:c r="G53" s="19" t="n">
        <x:v>20000</x:v>
      </x:c>
      <x:c r="H53" s="19" t="n">
        <x:v>4</x:v>
      </x:c>
      <x:c r="I53" s="19" t="n">
        <x:v>100</x:v>
      </x:c>
      <x:c r="J53" s="19" t="n">
        <x:v>1750</x:v>
      </x:c>
    </x:row>
    <x:row r="54">
      <x:c r="A54" s="6" t="n">
        <x:v>52</x:v>
      </x:c>
      <x:c r="B54" s="6" t="n">
        <x:v>52</x:v>
      </x:c>
      <x:c r="C54" s="6" t="n">
        <x:v>2</x:v>
      </x:c>
      <x:c r="D54" s="19" t="n">
        <x:v>90</x:v>
      </x:c>
      <x:c r="E54" s="19" t="n">
        <x:v>0</x:v>
      </x:c>
      <x:c r="F54" s="19" t="n">
        <x:v>800</x:v>
      </x:c>
      <x:c r="G54" s="19" t="n">
        <x:v>20000</x:v>
      </x:c>
      <x:c r="H54" s="19" t="n">
        <x:v>4</x:v>
      </x:c>
      <x:c r="I54" s="19" t="n">
        <x:v>100</x:v>
      </x:c>
      <x:c r="J54" s="19" t="n">
        <x:v>1750</x:v>
      </x:c>
    </x:row>
    <x:row r="55">
      <x:c r="A55" s="6" t="n">
        <x:v>53</x:v>
      </x:c>
      <x:c r="B55" s="6" t="n">
        <x:v>53</x:v>
      </x:c>
      <x:c r="C55" s="6" t="n">
        <x:v>2</x:v>
      </x:c>
      <x:c r="D55" s="19" t="n">
        <x:v>90</x:v>
      </x:c>
      <x:c r="E55" s="19" t="n">
        <x:v>0</x:v>
      </x:c>
      <x:c r="F55" s="19" t="n">
        <x:v>800</x:v>
      </x:c>
      <x:c r="G55" s="19" t="n">
        <x:v>20000</x:v>
      </x:c>
      <x:c r="H55" s="19" t="n">
        <x:v>4</x:v>
      </x:c>
      <x:c r="I55" s="19" t="n">
        <x:v>100</x:v>
      </x:c>
      <x:c r="J55" s="19" t="n">
        <x:v>1750</x:v>
      </x:c>
    </x:row>
    <x:row r="56">
      <x:c r="A56" s="6" t="n">
        <x:v>54</x:v>
      </x:c>
      <x:c r="B56" s="6" t="n">
        <x:v>54</x:v>
      </x:c>
      <x:c r="C56" s="6" t="n">
        <x:v>2</x:v>
      </x:c>
      <x:c r="D56" s="19" t="n">
        <x:v>90</x:v>
      </x:c>
      <x:c r="E56" s="19" t="n">
        <x:v>0</x:v>
      </x:c>
      <x:c r="F56" s="19" t="n">
        <x:v>800</x:v>
      </x:c>
      <x:c r="G56" s="19" t="n">
        <x:v>20000</x:v>
      </x:c>
      <x:c r="H56" s="19" t="n">
        <x:v>4</x:v>
      </x:c>
      <x:c r="I56" s="19" t="n">
        <x:v>100</x:v>
      </x:c>
      <x:c r="J56" s="19" t="n">
        <x:v>1750</x:v>
      </x:c>
    </x:row>
    <x:row r="57">
      <x:c r="A57" s="6" t="n">
        <x:v>55</x:v>
      </x:c>
      <x:c r="B57" s="6" t="n">
        <x:v>55</x:v>
      </x:c>
      <x:c r="C57" s="6" t="n">
        <x:v>2</x:v>
      </x:c>
      <x:c r="D57" s="19" t="n">
        <x:v>90</x:v>
      </x:c>
      <x:c r="E57" s="19" t="n">
        <x:v>0</x:v>
      </x:c>
      <x:c r="F57" s="19" t="n">
        <x:v>800</x:v>
      </x:c>
      <x:c r="G57" s="19" t="n">
        <x:v>20000</x:v>
      </x:c>
      <x:c r="H57" s="19" t="n">
        <x:v>4</x:v>
      </x:c>
      <x:c r="I57" s="19" t="n">
        <x:v>100</x:v>
      </x:c>
      <x:c r="J57" s="19" t="n">
        <x:v>1750</x:v>
      </x:c>
    </x:row>
    <x:row r="58">
      <x:c r="A58" s="6" t="n">
        <x:v>56</x:v>
      </x:c>
      <x:c r="B58" s="6" t="n">
        <x:v>56</x:v>
      </x:c>
      <x:c r="C58" s="6" t="n">
        <x:v>2</x:v>
      </x:c>
      <x:c r="D58" s="19" t="n">
        <x:v>90</x:v>
      </x:c>
      <x:c r="E58" s="19" t="n">
        <x:v>0</x:v>
      </x:c>
      <x:c r="F58" s="19" t="n">
        <x:v>1900</x:v>
      </x:c>
      <x:c r="G58" s="19" t="n">
        <x:v>20000</x:v>
      </x:c>
      <x:c r="H58" s="19" t="n">
        <x:v>4</x:v>
      </x:c>
      <x:c r="I58" s="19" t="n">
        <x:v>100</x:v>
      </x:c>
      <x:c r="J58" s="19" t="n">
        <x:v>1750</x:v>
      </x:c>
    </x:row>
    <x:row r="59">
      <x:c r="A59" s="6" t="n">
        <x:v>57</x:v>
      </x:c>
      <x:c r="B59" s="6" t="n">
        <x:v>57</x:v>
      </x:c>
      <x:c r="C59" s="6" t="n">
        <x:v>2</x:v>
      </x:c>
      <x:c r="D59" s="19" t="n">
        <x:v>90</x:v>
      </x:c>
      <x:c r="E59" s="19" t="n">
        <x:v>0</x:v>
      </x:c>
      <x:c r="F59" s="19" t="n">
        <x:v>1900</x:v>
      </x:c>
      <x:c r="G59" s="19" t="n">
        <x:v>20000</x:v>
      </x:c>
      <x:c r="H59" s="19" t="n">
        <x:v>4</x:v>
      </x:c>
      <x:c r="I59" s="19" t="n">
        <x:v>100</x:v>
      </x:c>
      <x:c r="J59" s="19" t="n">
        <x:v>1750</x:v>
      </x:c>
    </x:row>
    <x:row r="60">
      <x:c r="A60" s="6" t="n">
        <x:v>58</x:v>
      </x:c>
      <x:c r="B60" s="6" t="n">
        <x:v>58</x:v>
      </x:c>
      <x:c r="C60" s="6" t="n">
        <x:v>2</x:v>
      </x:c>
      <x:c r="D60" s="19" t="n">
        <x:v>90</x:v>
      </x:c>
      <x:c r="E60" s="19" t="n">
        <x:v>0</x:v>
      </x:c>
      <x:c r="F60" s="19" t="n">
        <x:v>1900</x:v>
      </x:c>
      <x:c r="G60" s="19" t="n">
        <x:v>20000</x:v>
      </x:c>
      <x:c r="H60" s="19" t="n">
        <x:v>4</x:v>
      </x:c>
      <x:c r="I60" s="19" t="n">
        <x:v>100</x:v>
      </x:c>
      <x:c r="J60" s="19" t="n">
        <x:v>1750</x:v>
      </x:c>
    </x:row>
    <x:row r="61">
      <x:c r="A61" s="6" t="n">
        <x:v>59</x:v>
      </x:c>
      <x:c r="B61" s="6" t="n">
        <x:v>59</x:v>
      </x:c>
      <x:c r="C61" s="6" t="n">
        <x:v>2</x:v>
      </x:c>
      <x:c r="D61" s="19" t="n">
        <x:v>90</x:v>
      </x:c>
      <x:c r="E61" s="19" t="n">
        <x:v>0</x:v>
      </x:c>
      <x:c r="F61" s="19" t="n">
        <x:v>1900</x:v>
      </x:c>
      <x:c r="G61" s="19" t="n">
        <x:v>20000</x:v>
      </x:c>
      <x:c r="H61" s="19" t="n">
        <x:v>4</x:v>
      </x:c>
      <x:c r="I61" s="19" t="n">
        <x:v>100</x:v>
      </x:c>
      <x:c r="J61" s="19" t="n">
        <x:v>1750</x:v>
      </x:c>
    </x:row>
    <x:row r="62">
      <x:c r="A62" s="6" t="n">
        <x:v>60</x:v>
      </x:c>
      <x:c r="B62" s="6" t="n">
        <x:v>60</x:v>
      </x:c>
      <x:c r="C62" s="6" t="n">
        <x:v>2</x:v>
      </x:c>
      <x:c r="D62" s="19" t="n">
        <x:v>90</x:v>
      </x:c>
      <x:c r="E62" s="19" t="n">
        <x:v>0</x:v>
      </x:c>
      <x:c r="F62" s="19" t="n">
        <x:v>2000</x:v>
      </x:c>
      <x:c r="G62" s="19" t="n">
        <x:v>20000</x:v>
      </x:c>
      <x:c r="H62" s="19" t="n">
        <x:v>4</x:v>
      </x:c>
      <x:c r="I62" s="19" t="n">
        <x:v>100</x:v>
      </x:c>
      <x:c r="J62" s="19" t="n">
        <x:v>1750</x:v>
      </x:c>
    </x:row>
    <x:row r="63">
      <x:c r="A63" s="6" t="n">
        <x:v>61</x:v>
      </x:c>
      <x:c r="B63" s="6" t="n">
        <x:v>61</x:v>
      </x:c>
      <x:c r="C63" s="6" t="n">
        <x:v>2</x:v>
      </x:c>
      <x:c r="D63" s="19" t="n">
        <x:v>90</x:v>
      </x:c>
      <x:c r="E63" s="19" t="n">
        <x:v>0</x:v>
      </x:c>
      <x:c r="F63" s="19" t="n">
        <x:v>2000</x:v>
      </x:c>
      <x:c r="G63" s="19" t="n">
        <x:v>20000</x:v>
      </x:c>
      <x:c r="H63" s="19" t="n">
        <x:v>4</x:v>
      </x:c>
      <x:c r="I63" s="19" t="n">
        <x:v>100</x:v>
      </x:c>
      <x:c r="J63" s="19" t="n">
        <x:v>1750</x:v>
      </x:c>
    </x:row>
    <x:row r="64">
      <x:c r="A64" s="6" t="n">
        <x:v>62</x:v>
      </x:c>
      <x:c r="B64" s="6" t="n">
        <x:v>62</x:v>
      </x:c>
      <x:c r="C64" s="6" t="n">
        <x:v>2</x:v>
      </x:c>
      <x:c r="D64" s="19" t="n">
        <x:v>90</x:v>
      </x:c>
      <x:c r="E64" s="19" t="n">
        <x:v>0</x:v>
      </x:c>
      <x:c r="F64" s="19" t="n">
        <x:v>2000</x:v>
      </x:c>
      <x:c r="G64" s="19" t="n">
        <x:v>20000</x:v>
      </x:c>
      <x:c r="H64" s="19" t="n">
        <x:v>4</x:v>
      </x:c>
      <x:c r="I64" s="19" t="n">
        <x:v>100</x:v>
      </x:c>
      <x:c r="J64" s="19" t="n">
        <x:v>1750</x:v>
      </x:c>
    </x:row>
    <x:row r="65">
      <x:c r="A65" s="6" t="n">
        <x:v>63</x:v>
      </x:c>
      <x:c r="B65" s="6" t="n">
        <x:v>63</x:v>
      </x:c>
      <x:c r="C65" s="6" t="n">
        <x:v>2</x:v>
      </x:c>
      <x:c r="D65" s="19" t="n">
        <x:v>90</x:v>
      </x:c>
      <x:c r="E65" s="19" t="n">
        <x:v>0</x:v>
      </x:c>
      <x:c r="F65" s="19" t="n">
        <x:v>2000</x:v>
      </x:c>
      <x:c r="G65" s="19" t="n">
        <x:v>20000</x:v>
      </x:c>
      <x:c r="H65" s="19" t="n">
        <x:v>4</x:v>
      </x:c>
      <x:c r="I65" s="19" t="n">
        <x:v>100</x:v>
      </x:c>
      <x:c r="J65" s="19" t="n">
        <x:v>1750</x:v>
      </x:c>
    </x:row>
    <x:row r="66">
      <x:c r="A66" s="6" t="n">
        <x:v>64</x:v>
      </x:c>
      <x:c r="B66" s="6" t="n">
        <x:v>64</x:v>
      </x:c>
      <x:c r="C66" s="6" t="n">
        <x:v>2</x:v>
      </x:c>
      <x:c r="D66" s="19" t="n">
        <x:v>90</x:v>
      </x:c>
      <x:c r="E66" s="19" t="n">
        <x:v>0</x:v>
      </x:c>
      <x:c r="F66" s="19" t="n">
        <x:v>2000</x:v>
      </x:c>
      <x:c r="G66" s="19" t="n">
        <x:v>20000</x:v>
      </x:c>
      <x:c r="H66" s="19" t="n">
        <x:v>4</x:v>
      </x:c>
      <x:c r="I66" s="19" t="n">
        <x:v>100</x:v>
      </x:c>
      <x:c r="J66" s="19" t="n">
        <x:v>1750</x:v>
      </x:c>
    </x:row>
    <x:row r="67">
      <x:c r="A67" s="6" t="n">
        <x:v>65</x:v>
      </x:c>
      <x:c r="B67" s="6" t="n">
        <x:v>65</x:v>
      </x:c>
      <x:c r="C67" s="6" t="n">
        <x:v>2</x:v>
      </x:c>
      <x:c r="D67" s="19" t="n">
        <x:v>90</x:v>
      </x:c>
      <x:c r="E67" s="19" t="n">
        <x:v>0</x:v>
      </x:c>
      <x:c r="F67" s="19" t="n">
        <x:v>2000</x:v>
      </x:c>
      <x:c r="G67" s="19" t="n">
        <x:v>20000</x:v>
      </x:c>
      <x:c r="H67" s="19" t="n">
        <x:v>4</x:v>
      </x:c>
      <x:c r="I67" s="19" t="n">
        <x:v>100</x:v>
      </x:c>
      <x:c r="J67" s="19" t="n">
        <x:v>1750</x:v>
      </x:c>
    </x:row>
    <x:row r="68">
      <x:c r="A68" s="6" t="n">
        <x:v>66</x:v>
      </x:c>
      <x:c r="B68" s="6" t="n">
        <x:v>66</x:v>
      </x:c>
      <x:c r="C68" s="6" t="n">
        <x:v>2</x:v>
      </x:c>
      <x:c r="D68" s="19" t="n">
        <x:v>90</x:v>
      </x:c>
      <x:c r="E68" s="19" t="n">
        <x:v>0</x:v>
      </x:c>
      <x:c r="F68" s="19" t="n">
        <x:v>2000</x:v>
      </x:c>
      <x:c r="G68" s="19" t="n">
        <x:v>20000</x:v>
      </x:c>
      <x:c r="H68" s="19" t="n">
        <x:v>4</x:v>
      </x:c>
      <x:c r="I68" s="19" t="n">
        <x:v>100</x:v>
      </x:c>
      <x:c r="J68" s="19" t="n">
        <x:v>1750</x:v>
      </x:c>
    </x:row>
    <x:row r="69">
      <x:c r="A69" s="6" t="n">
        <x:v>67</x:v>
      </x:c>
      <x:c r="B69" s="6" t="n">
        <x:v>67</x:v>
      </x:c>
      <x:c r="C69" s="6" t="n">
        <x:v>2</x:v>
      </x:c>
      <x:c r="D69" s="19" t="n">
        <x:v>90</x:v>
      </x:c>
      <x:c r="E69" s="19" t="n">
        <x:v>0</x:v>
      </x:c>
      <x:c r="F69" s="19" t="n">
        <x:v>2000</x:v>
      </x:c>
      <x:c r="G69" s="19" t="n">
        <x:v>20000</x:v>
      </x:c>
      <x:c r="H69" s="19" t="n">
        <x:v>4</x:v>
      </x:c>
      <x:c r="I69" s="19" t="n">
        <x:v>100</x:v>
      </x:c>
      <x:c r="J69" s="19" t="n">
        <x:v>1750</x:v>
      </x:c>
    </x:row>
    <x:row r="70">
      <x:c r="A70" s="6" t="n">
        <x:v>68</x:v>
      </x:c>
      <x:c r="B70" s="6" t="n">
        <x:v>68</x:v>
      </x:c>
      <x:c r="C70" s="6" t="n">
        <x:v>2</x:v>
      </x:c>
      <x:c r="D70" s="19" t="n">
        <x:v>90</x:v>
      </x:c>
      <x:c r="E70" s="19" t="n">
        <x:v>0</x:v>
      </x:c>
      <x:c r="F70" s="19" t="n">
        <x:v>2000</x:v>
      </x:c>
      <x:c r="G70" s="19" t="n">
        <x:v>20000</x:v>
      </x:c>
      <x:c r="H70" s="19" t="n">
        <x:v>4</x:v>
      </x:c>
      <x:c r="I70" s="19" t="n">
        <x:v>100</x:v>
      </x:c>
      <x:c r="J70" s="19" t="n">
        <x:v>1750</x:v>
      </x:c>
    </x:row>
    <x:row r="71">
      <x:c r="A71" s="6" t="n">
        <x:v>69</x:v>
      </x:c>
      <x:c r="B71" s="6" t="n">
        <x:v>69</x:v>
      </x:c>
      <x:c r="C71" s="6" t="n">
        <x:v>2</x:v>
      </x:c>
      <x:c r="D71" s="19" t="n">
        <x:v>90</x:v>
      </x:c>
      <x:c r="E71" s="19" t="n">
        <x:v>0</x:v>
      </x:c>
      <x:c r="F71" s="19" t="n">
        <x:v>2000</x:v>
      </x:c>
      <x:c r="G71" s="19" t="n">
        <x:v>20000</x:v>
      </x:c>
      <x:c r="H71" s="19" t="n">
        <x:v>4</x:v>
      </x:c>
      <x:c r="I71" s="19" t="n">
        <x:v>100</x:v>
      </x:c>
      <x:c r="J71" s="19" t="n">
        <x:v>1750</x:v>
      </x:c>
    </x:row>
    <x:row r="72">
      <x:c r="A72" s="6" t="n">
        <x:v>70</x:v>
      </x:c>
      <x:c r="B72" s="6" t="n">
        <x:v>70</x:v>
      </x:c>
      <x:c r="C72" s="6" t="n">
        <x:v>2</x:v>
      </x:c>
      <x:c r="D72" s="19" t="n">
        <x:v>90</x:v>
      </x:c>
      <x:c r="E72" s="19" t="n">
        <x:v>0</x:v>
      </x:c>
      <x:c r="F72" s="19" t="n">
        <x:v>2000</x:v>
      </x:c>
      <x:c r="G72" s="19" t="n">
        <x:v>20000</x:v>
      </x:c>
      <x:c r="H72" s="19" t="n">
        <x:v>4</x:v>
      </x:c>
      <x:c r="I72" s="19" t="n">
        <x:v>100</x:v>
      </x:c>
      <x:c r="J72" s="19" t="n">
        <x:v>1750</x:v>
      </x:c>
    </x:row>
    <x:row r="73">
      <x:c r="A73" s="6" t="n">
        <x:v>71</x:v>
      </x:c>
      <x:c r="B73" s="6" t="n">
        <x:v>71</x:v>
      </x:c>
      <x:c r="C73" s="6" t="n">
        <x:v>2</x:v>
      </x:c>
      <x:c r="D73" s="19" t="n">
        <x:v>90</x:v>
      </x:c>
      <x:c r="E73" s="19" t="n">
        <x:v>0</x:v>
      </x:c>
      <x:c r="F73" s="19" t="n">
        <x:v>2000</x:v>
      </x:c>
      <x:c r="G73" s="19" t="n">
        <x:v>20000</x:v>
      </x:c>
      <x:c r="H73" s="19" t="n">
        <x:v>4</x:v>
      </x:c>
      <x:c r="I73" s="19" t="n">
        <x:v>100</x:v>
      </x:c>
      <x:c r="J73" s="19" t="n">
        <x:v>1750</x:v>
      </x:c>
    </x:row>
    <x:row r="74">
      <x:c r="A74" s="6" t="n">
        <x:v>72</x:v>
      </x:c>
      <x:c r="B74" s="6" t="n">
        <x:v>72</x:v>
      </x:c>
      <x:c r="C74" s="6" t="n">
        <x:v>2</x:v>
      </x:c>
      <x:c r="D74" s="19" t="n">
        <x:v>90</x:v>
      </x:c>
      <x:c r="E74" s="19" t="n">
        <x:v>0</x:v>
      </x:c>
      <x:c r="F74" s="19" t="n">
        <x:v>2000</x:v>
      </x:c>
      <x:c r="G74" s="19" t="n">
        <x:v>20000</x:v>
      </x:c>
      <x:c r="H74" s="19" t="n">
        <x:v>4</x:v>
      </x:c>
      <x:c r="I74" s="19" t="n">
        <x:v>100</x:v>
      </x:c>
      <x:c r="J74" s="19" t="n">
        <x:v>1750</x:v>
      </x:c>
    </x:row>
    <x:row r="75">
      <x:c r="A75" s="6" t="n">
        <x:v>73</x:v>
      </x:c>
      <x:c r="B75" s="6" t="n">
        <x:v>73</x:v>
      </x:c>
      <x:c r="C75" s="6" t="n">
        <x:v>0</x:v>
      </x:c>
      <x:c r="D75" s="19" t="n">
        <x:v>70</x:v>
      </x:c>
      <x:c r="E75" s="19" t="n">
        <x:v>0</x:v>
      </x:c>
      <x:c r="F75" s="19" t="n">
        <x:v>2500</x:v>
      </x:c>
      <x:c r="G75" s="19" t="n">
        <x:v>20000</x:v>
      </x:c>
      <x:c r="H75" s="19" t="n">
        <x:v>2</x:v>
      </x:c>
      <x:c r="I75" s="19" t="n">
        <x:v>100</x:v>
      </x:c>
      <x:c r="J75" s="19" t="n">
        <x:v>1450</x:v>
      </x:c>
    </x:row>
    <x:row r="76">
      <x:c r="A76" s="6" t="n">
        <x:v>74</x:v>
      </x:c>
      <x:c r="B76" s="6" t="n">
        <x:v>74</x:v>
      </x:c>
      <x:c r="C76" s="6" t="n">
        <x:v>0</x:v>
      </x:c>
      <x:c r="D76" s="19" t="n">
        <x:v>70</x:v>
      </x:c>
      <x:c r="E76" s="19" t="n">
        <x:v>0</x:v>
      </x:c>
      <x:c r="F76" s="19" t="n">
        <x:v>2500</x:v>
      </x:c>
      <x:c r="G76" s="19" t="n">
        <x:v>20000</x:v>
      </x:c>
      <x:c r="H76" s="19" t="n">
        <x:v>2</x:v>
      </x:c>
      <x:c r="I76" s="19" t="n">
        <x:v>100</x:v>
      </x:c>
      <x:c r="J76" s="19" t="n">
        <x:v>1450</x:v>
      </x:c>
    </x:row>
    <x:row r="77">
      <x:c r="A77" s="6"/>
      <x:c r="B77" s="6"/>
      <x:c r="C77" s="6"/>
      <x:c r="D77" s="6"/>
      <x:c r="E77" s="6"/>
      <x:c r="F77" s="6"/>
      <x:c r="G77" s="6"/>
      <x:c r="H77" s="6"/>
      <x:c r="I77" s="6"/>
      <x:c r="J77" s="6"/>
    </x:row>
    <x:row r="78">
      <x:c r="A78" s="6"/>
      <x:c r="B78" s="6"/>
      <x:c r="C78" s="6"/>
      <x:c r="D78" s="6"/>
      <x:c r="E78" s="6"/>
      <x:c r="F78" s="6"/>
      <x:c r="G78" s="6"/>
      <x:c r="H78" s="6"/>
      <x:c r="I78" s="6"/>
      <x:c r="J78" s="6"/>
    </x:row>
    <x:row r="79">
      <x:c r="A79" s="6"/>
      <x:c r="B79" s="6"/>
      <x:c r="C79" s="6"/>
      <x:c r="D79" s="6"/>
      <x:c r="E79" s="6"/>
      <x:c r="F79" s="6"/>
      <x:c r="G79" s="6"/>
      <x:c r="H79" s="6"/>
      <x:c r="I79" s="6"/>
      <x:c r="J79" s="6"/>
    </x:row>
    <x:row r="80">
      <x:c r="A80" s="6"/>
      <x:c r="B80" s="6"/>
      <x:c r="C80" s="6"/>
      <x:c r="D80" s="6"/>
      <x:c r="E80" s="6"/>
      <x:c r="F80" s="6"/>
      <x:c r="G80" s="6"/>
      <x:c r="H80" s="6"/>
      <x:c r="I80" s="6"/>
      <x:c r="J80" s="6"/>
    </x:row>
    <x:row r="81">
      <x:c r="A81" s="6"/>
      <x:c r="B81" s="6"/>
      <x:c r="C81" s="6"/>
      <x:c r="D81" s="6"/>
      <x:c r="E81" s="6"/>
      <x:c r="F81" s="6"/>
      <x:c r="G81" s="6"/>
      <x:c r="H81" s="6"/>
      <x:c r="I81" s="6"/>
      <x:c r="J81" s="6"/>
    </x:row>
    <x:row r="82">
      <x:c r="A82" s="6"/>
      <x:c r="B82" s="6"/>
      <x:c r="C82" s="6"/>
      <x:c r="D82" s="6"/>
      <x:c r="E82" s="6"/>
      <x:c r="F82" s="6"/>
      <x:c r="G82" s="6"/>
      <x:c r="H82" s="6"/>
      <x:c r="I82" s="6"/>
      <x:c r="J82" s="6"/>
    </x:row>
    <x:row r="83">
      <x:c r="A83" s="6"/>
      <x:c r="B83" s="6"/>
      <x:c r="C83" s="6"/>
      <x:c r="D83" s="6"/>
      <x:c r="E83" s="6"/>
      <x:c r="F83" s="6"/>
      <x:c r="G83" s="6"/>
      <x:c r="H83" s="6"/>
      <x:c r="I83" s="6"/>
      <x:c r="J83" s="6"/>
    </x:row>
    <x:row r="84">
      <x:c r="A84" s="6"/>
      <x:c r="B84" s="6"/>
      <x:c r="C84" s="6"/>
      <x:c r="D84" s="6"/>
      <x:c r="E84" s="6"/>
      <x:c r="F84" s="6"/>
      <x:c r="G84" s="6"/>
      <x:c r="H84" s="6"/>
      <x:c r="I84" s="6"/>
      <x:c r="J84" s="6"/>
    </x:row>
    <x:row r="85">
      <x:c r="A85" s="6"/>
      <x:c r="B85" s="6"/>
      <x:c r="C85" s="6"/>
      <x:c r="D85" s="6"/>
      <x:c r="E85" s="6"/>
      <x:c r="F85" s="6"/>
      <x:c r="G85" s="6"/>
      <x:c r="H85" s="6"/>
      <x:c r="I85" s="6"/>
      <x:c r="J85" s="6"/>
    </x:row>
    <x:row r="86">
      <x:c r="A86" s="6"/>
      <x:c r="B86" s="6"/>
      <x:c r="C86" s="6"/>
      <x:c r="D86" s="6"/>
      <x:c r="E86" s="6"/>
      <x:c r="F86" s="6"/>
      <x:c r="G86" s="6"/>
      <x:c r="H86" s="6"/>
      <x:c r="I86" s="6"/>
      <x:c r="J86" s="6"/>
    </x:row>
    <x:row r="87">
      <x:c r="A87" s="6"/>
      <x:c r="B87" s="6"/>
      <x:c r="C87" s="6"/>
      <x:c r="D87" s="6"/>
      <x:c r="E87" s="6"/>
      <x:c r="F87" s="6"/>
      <x:c r="G87" s="6"/>
      <x:c r="H87" s="6"/>
      <x:c r="I87" s="6"/>
      <x:c r="J87" s="6"/>
    </x:row>
    <x:row r="88">
      <x:c r="A88" s="6"/>
      <x:c r="B88" s="6"/>
      <x:c r="C88" s="6"/>
      <x:c r="D88" s="6"/>
      <x:c r="E88" s="6"/>
      <x:c r="F88" s="6"/>
      <x:c r="G88" s="6"/>
      <x:c r="H88" s="6"/>
      <x:c r="I88" s="6"/>
      <x:c r="J88" s="6"/>
    </x:row>
    <x:row r="89">
      <x:c r="A89" s="6"/>
      <x:c r="B89" s="6"/>
      <x:c r="C89" s="6"/>
      <x:c r="D89" s="6"/>
      <x:c r="E89" s="6"/>
      <x:c r="F89" s="6"/>
      <x:c r="G89" s="6"/>
      <x:c r="H89" s="6"/>
      <x:c r="I89" s="6"/>
      <x:c r="J89" s="6"/>
    </x:row>
    <x:row r="90">
      <x:c r="A90" s="6"/>
      <x:c r="B90" s="6"/>
      <x:c r="C90" s="6"/>
      <x:c r="D90" s="6"/>
      <x:c r="E90" s="6"/>
      <x:c r="F90" s="6"/>
      <x:c r="G90" s="6"/>
      <x:c r="H90" s="6"/>
      <x:c r="I90" s="6"/>
      <x:c r="J90" s="6"/>
    </x:row>
    <x:row r="91">
      <x:c r="A91" s="6"/>
      <x:c r="B91" s="6"/>
      <x:c r="C91" s="6"/>
      <x:c r="D91" s="6"/>
      <x:c r="E91" s="6"/>
      <x:c r="F91" s="6"/>
      <x:c r="G91" s="6"/>
      <x:c r="H91" s="6"/>
      <x:c r="I91" s="6"/>
      <x:c r="J91" s="6"/>
    </x:row>
    <x:row r="92">
      <x:c r="A92" s="6"/>
      <x:c r="B92" s="6"/>
      <x:c r="C92" s="6"/>
      <x:c r="D92" s="6"/>
      <x:c r="E92" s="6"/>
      <x:c r="F92" s="6"/>
      <x:c r="G92" s="6"/>
      <x:c r="H92" s="6"/>
      <x:c r="I92" s="6"/>
      <x:c r="J92" s="6"/>
    </x:row>
    <x:row r="93">
      <x:c r="A93" s="6"/>
      <x:c r="B93" s="6"/>
      <x:c r="C93" s="6"/>
      <x:c r="D93" s="6"/>
      <x:c r="E93" s="6"/>
      <x:c r="F93" s="6"/>
      <x:c r="G93" s="6"/>
      <x:c r="H93" s="6"/>
      <x:c r="I93" s="6"/>
      <x:c r="J93" s="6"/>
    </x:row>
    <x:row r="94">
      <x:c r="A94" s="6"/>
      <x:c r="B94" s="6"/>
      <x:c r="C94" s="6"/>
      <x:c r="D94" s="6"/>
      <x:c r="E94" s="6"/>
      <x:c r="F94" s="6"/>
      <x:c r="G94" s="6"/>
      <x:c r="H94" s="6"/>
      <x:c r="I94" s="6"/>
      <x:c r="J94" s="6"/>
    </x:row>
    <x:row r="95">
      <x:c r="A95" s="6"/>
      <x:c r="B95" s="6"/>
      <x:c r="C95" s="6"/>
      <x:c r="D95" s="6"/>
      <x:c r="E95" s="6"/>
      <x:c r="F95" s="6"/>
      <x:c r="G95" s="6"/>
      <x:c r="H95" s="6"/>
      <x:c r="I95" s="6"/>
      <x:c r="J95" s="6"/>
    </x:row>
    <x:row r="96">
      <x:c r="A96" s="6"/>
      <x:c r="B96" s="6"/>
      <x:c r="C96" s="6"/>
      <x:c r="D96" s="6"/>
      <x:c r="E96" s="6"/>
      <x:c r="F96" s="6"/>
      <x:c r="G96" s="6"/>
      <x:c r="H96" s="6"/>
      <x:c r="I96" s="6"/>
      <x:c r="J96" s="6"/>
    </x:row>
    <x:row r="97">
      <x:c r="A97" s="6"/>
      <x:c r="B97" s="6"/>
      <x:c r="C97" s="6"/>
      <x:c r="D97" s="6"/>
      <x:c r="E97" s="6"/>
      <x:c r="F97" s="6"/>
      <x:c r="G97" s="6"/>
      <x:c r="H97" s="6"/>
      <x:c r="I97" s="6"/>
      <x:c r="J97" s="6"/>
    </x:row>
    <x:row r="98">
      <x:c r="A98" s="6"/>
      <x:c r="B98" s="6"/>
      <x:c r="C98" s="6"/>
      <x:c r="D98" s="6"/>
      <x:c r="E98" s="6"/>
      <x:c r="F98" s="6"/>
      <x:c r="G98" s="6"/>
      <x:c r="H98" s="6"/>
      <x:c r="I98" s="6"/>
      <x:c r="J98" s="6"/>
    </x:row>
    <x:row r="99">
      <x:c r="A99" s="6"/>
      <x:c r="B99" s="6"/>
      <x:c r="C99" s="6"/>
      <x:c r="D99" s="6"/>
      <x:c r="E99" s="6"/>
      <x:c r="F99" s="6"/>
      <x:c r="G99" s="6"/>
      <x:c r="H99" s="6"/>
      <x:c r="I99" s="6"/>
      <x:c r="J99" s="6"/>
    </x:row>
    <x:row r="100">
      <x:c r="A100" s="6"/>
      <x:c r="B100" s="6"/>
      <x:c r="C100" s="6"/>
      <x:c r="D100" s="6"/>
      <x:c r="E100" s="6"/>
      <x:c r="F100" s="6"/>
      <x:c r="G100" s="6"/>
      <x:c r="H100" s="6"/>
      <x:c r="I100" s="6"/>
      <x:c r="J100" s="6"/>
    </x:row>
    <x:row r="101">
      <x:c r="A101" s="6"/>
      <x:c r="B101" s="6"/>
      <x:c r="C101" s="6"/>
      <x:c r="D101" s="6"/>
      <x:c r="E101" s="6"/>
      <x:c r="F101" s="6"/>
      <x:c r="G101" s="6"/>
      <x:c r="H101" s="6"/>
      <x:c r="I101" s="6"/>
      <x:c r="J101" s="6"/>
    </x:row>
    <x:row r="102">
      <x:c r="A102" s="6"/>
      <x:c r="B102" s="6"/>
      <x:c r="C102" s="6"/>
      <x:c r="D102" s="6"/>
      <x:c r="E102" s="6"/>
      <x:c r="F102" s="6"/>
      <x:c r="G102" s="6"/>
      <x:c r="H102" s="6"/>
      <x:c r="I102" s="6"/>
      <x:c r="J102" s="6"/>
    </x:row>
    <x:row r="103">
      <x:c r="A103" s="6"/>
      <x:c r="B103" s="6"/>
      <x:c r="C103" s="6"/>
      <x:c r="D103" s="6"/>
      <x:c r="E103" s="6"/>
      <x:c r="F103" s="6"/>
      <x:c r="G103" s="6"/>
      <x:c r="H103" s="6"/>
      <x:c r="I103" s="6"/>
      <x:c r="J103" s="6"/>
    </x:row>
    <x:row r="104">
      <x:c r="A104" s="6"/>
      <x:c r="B104" s="6"/>
      <x:c r="C104" s="6"/>
      <x:c r="D104" s="6"/>
      <x:c r="E104" s="6"/>
      <x:c r="F104" s="6"/>
      <x:c r="G104" s="6"/>
      <x:c r="H104" s="6"/>
      <x:c r="I104" s="6"/>
      <x:c r="J104" s="6"/>
    </x:row>
    <x:row r="105">
      <x:c r="A105" s="6"/>
      <x:c r="B105" s="6"/>
      <x:c r="C105" s="6"/>
      <x:c r="D105" s="6"/>
      <x:c r="E105" s="6"/>
      <x:c r="F105" s="6"/>
      <x:c r="G105" s="6"/>
      <x:c r="H105" s="6"/>
      <x:c r="I105" s="6"/>
      <x:c r="J105" s="6"/>
    </x:row>
    <x:row r="106">
      <x:c r="A106" s="6"/>
      <x:c r="B106" s="6"/>
      <x:c r="C106" s="6"/>
      <x:c r="D106" s="6"/>
      <x:c r="E106" s="6"/>
      <x:c r="F106" s="6"/>
      <x:c r="G106" s="6"/>
      <x:c r="H106" s="6"/>
      <x:c r="I106" s="6"/>
      <x:c r="J106" s="6"/>
    </x:row>
    <x:row r="107">
      <x:c r="A107" s="6"/>
      <x:c r="B107" s="6"/>
      <x:c r="C107" s="6"/>
      <x:c r="D107" s="6"/>
      <x:c r="E107" s="6"/>
      <x:c r="F107" s="6"/>
      <x:c r="G107" s="6"/>
      <x:c r="H107" s="6"/>
      <x:c r="I107" s="6"/>
      <x:c r="J107" s="6"/>
    </x:row>
    <x:row r="108">
      <x:c r="A108" s="6"/>
      <x:c r="B108" s="6"/>
      <x:c r="C108" s="6"/>
      <x:c r="D108" s="6"/>
      <x:c r="E108" s="6"/>
      <x:c r="F108" s="6"/>
      <x:c r="G108" s="6"/>
      <x:c r="H108" s="6"/>
      <x:c r="I108" s="6"/>
      <x:c r="J108" s="6"/>
    </x:row>
    <x:row r="109">
      <x:c r="A109" s="6"/>
      <x:c r="B109" s="6"/>
      <x:c r="C109" s="6"/>
      <x:c r="D109" s="6"/>
      <x:c r="E109" s="6"/>
      <x:c r="F109" s="6"/>
      <x:c r="G109" s="6"/>
      <x:c r="H109" s="6"/>
      <x:c r="I109" s="6"/>
      <x:c r="J109" s="6"/>
    </x:row>
    <x:row r="110">
      <x:c r="A110" s="6"/>
      <x:c r="B110" s="6"/>
      <x:c r="C110" s="6"/>
      <x:c r="D110" s="6"/>
      <x:c r="E110" s="6"/>
      <x:c r="F110" s="6"/>
      <x:c r="G110" s="6"/>
      <x:c r="H110" s="6"/>
      <x:c r="I110" s="6"/>
      <x:c r="J110" s="6"/>
    </x:row>
    <x:row r="111">
      <x:c r="A111" s="6"/>
      <x:c r="B111" s="6"/>
      <x:c r="C111" s="6"/>
      <x:c r="D111" s="6"/>
      <x:c r="E111" s="6"/>
      <x:c r="F111" s="6"/>
      <x:c r="G111" s="6"/>
      <x:c r="H111" s="6"/>
      <x:c r="I111" s="6"/>
      <x:c r="J111" s="6"/>
    </x:row>
    <x:row r="112">
      <x:c r="A112" s="6"/>
      <x:c r="B112" s="6"/>
      <x:c r="C112" s="6"/>
      <x:c r="D112" s="6"/>
      <x:c r="E112" s="6"/>
      <x:c r="F112" s="6"/>
      <x:c r="G112" s="6"/>
      <x:c r="H112" s="6"/>
      <x:c r="I112" s="6"/>
      <x:c r="J112" s="6"/>
    </x:row>
    <x:row r="113">
      <x:c r="A113" s="6"/>
      <x:c r="B113" s="6"/>
      <x:c r="C113" s="6"/>
      <x:c r="D113" s="6"/>
      <x:c r="E113" s="6"/>
      <x:c r="F113" s="6"/>
      <x:c r="G113" s="6"/>
      <x:c r="H113" s="6"/>
      <x:c r="I113" s="6"/>
      <x:c r="J113" s="6"/>
    </x:row>
    <x:row r="114">
      <x:c r="A114" s="6"/>
      <x:c r="B114" s="6"/>
      <x:c r="C114" s="6"/>
      <x:c r="D114" s="6"/>
      <x:c r="E114" s="6"/>
      <x:c r="F114" s="6"/>
      <x:c r="G114" s="6"/>
      <x:c r="H114" s="6"/>
      <x:c r="I114" s="6"/>
      <x:c r="J114" s="6"/>
    </x:row>
    <x:row r="115">
      <x:c r="A115" s="6"/>
      <x:c r="B115" s="6"/>
      <x:c r="C115" s="6"/>
      <x:c r="D115" s="6"/>
      <x:c r="E115" s="6"/>
      <x:c r="F115" s="6"/>
      <x:c r="G115" s="6"/>
      <x:c r="H115" s="6"/>
      <x:c r="I115" s="6"/>
      <x:c r="J115" s="6"/>
    </x:row>
    <x:row r="116">
      <x:c r="A116" s="6"/>
      <x:c r="B116" s="6"/>
      <x:c r="C116" s="6"/>
      <x:c r="D116" s="6"/>
      <x:c r="E116" s="6"/>
      <x:c r="F116" s="6"/>
      <x:c r="G116" s="6"/>
      <x:c r="H116" s="6"/>
      <x:c r="I116" s="6"/>
      <x:c r="J116" s="6"/>
    </x:row>
    <x:row r="117">
      <x:c r="A117" s="6"/>
      <x:c r="B117" s="6"/>
      <x:c r="C117" s="6"/>
      <x:c r="D117" s="6"/>
      <x:c r="E117" s="6"/>
      <x:c r="F117" s="6"/>
      <x:c r="G117" s="6"/>
      <x:c r="H117" s="6"/>
      <x:c r="I117" s="6"/>
      <x:c r="J117" s="6"/>
    </x:row>
    <x:row r="118">
      <x:c r="A118" s="6"/>
      <x:c r="B118" s="6"/>
      <x:c r="C118" s="6"/>
      <x:c r="D118" s="6"/>
      <x:c r="E118" s="6"/>
      <x:c r="F118" s="6"/>
      <x:c r="G118" s="6"/>
      <x:c r="H118" s="6"/>
      <x:c r="I118" s="6"/>
      <x:c r="J118" s="6"/>
    </x:row>
    <x:row r="119">
      <x:c r="A119" s="6"/>
      <x:c r="B119" s="6"/>
      <x:c r="C119" s="6"/>
      <x:c r="D119" s="6"/>
      <x:c r="E119" s="6"/>
      <x:c r="F119" s="6"/>
      <x:c r="G119" s="6"/>
      <x:c r="H119" s="6"/>
      <x:c r="I119" s="6"/>
      <x:c r="J119" s="6"/>
    </x:row>
    <x:row r="120">
      <x:c r="A120" s="6"/>
      <x:c r="B120" s="6"/>
      <x:c r="C120" s="6"/>
      <x:c r="D120" s="6"/>
      <x:c r="E120" s="6"/>
      <x:c r="F120" s="6"/>
      <x:c r="G120" s="6"/>
      <x:c r="H120" s="6"/>
      <x:c r="I120" s="6"/>
      <x:c r="J120" s="6"/>
    </x:row>
    <x:row r="121">
      <x:c r="A121" s="6"/>
      <x:c r="B121" s="6"/>
      <x:c r="C121" s="6"/>
      <x:c r="D121" s="6"/>
      <x:c r="E121" s="6"/>
      <x:c r="F121" s="6"/>
      <x:c r="G121" s="6"/>
      <x:c r="H121" s="6"/>
      <x:c r="I121" s="6"/>
      <x:c r="J121" s="6"/>
    </x:row>
    <x:row r="122">
      <x:c r="A122" s="6"/>
      <x:c r="B122" s="6"/>
      <x:c r="C122" s="6"/>
      <x:c r="D122" s="6"/>
      <x:c r="E122" s="6"/>
      <x:c r="F122" s="6"/>
      <x:c r="G122" s="6"/>
      <x:c r="H122" s="6"/>
      <x:c r="I122" s="6"/>
      <x:c r="J122" s="6"/>
    </x:row>
    <x:row r="123">
      <x:c r="A123" s="6"/>
      <x:c r="B123" s="6"/>
      <x:c r="C123" s="6"/>
      <x:c r="D123" s="6"/>
      <x:c r="E123" s="6"/>
      <x:c r="F123" s="6"/>
      <x:c r="G123" s="6"/>
      <x:c r="H123" s="6"/>
      <x:c r="I123" s="6"/>
      <x:c r="J123" s="6"/>
    </x:row>
    <x:row r="124">
      <x:c r="A124" s="6"/>
      <x:c r="B124" s="6"/>
      <x:c r="C124" s="6"/>
      <x:c r="D124" s="6"/>
      <x:c r="E124" s="6"/>
      <x:c r="F124" s="6"/>
      <x:c r="G124" s="6"/>
      <x:c r="H124" s="6"/>
      <x:c r="I124" s="6"/>
      <x:c r="J124" s="6"/>
    </x:row>
    <x:row r="125">
      <x:c r="A125" s="6"/>
      <x:c r="B125" s="6"/>
      <x:c r="C125" s="6"/>
      <x:c r="D125" s="6"/>
      <x:c r="E125" s="6"/>
      <x:c r="F125" s="6"/>
      <x:c r="G125" s="6"/>
      <x:c r="H125" s="6"/>
      <x:c r="I125" s="6"/>
      <x:c r="J125" s="6"/>
    </x:row>
    <x:row r="126">
      <x:c r="A126" s="6"/>
      <x:c r="B126" s="6"/>
      <x:c r="C126" s="6"/>
      <x:c r="D126" s="6"/>
      <x:c r="E126" s="6"/>
      <x:c r="F126" s="6"/>
      <x:c r="G126" s="6"/>
      <x:c r="H126" s="6"/>
      <x:c r="I126" s="6"/>
      <x:c r="J126" s="6"/>
    </x:row>
    <x:row r="127">
      <x:c r="A127" s="6"/>
      <x:c r="B127" s="6"/>
      <x:c r="C127" s="6"/>
      <x:c r="D127" s="6"/>
      <x:c r="E127" s="6"/>
      <x:c r="F127" s="6"/>
      <x:c r="G127" s="6"/>
      <x:c r="H127" s="6"/>
      <x:c r="I127" s="6"/>
      <x:c r="J127" s="6"/>
    </x:row>
    <x:row r="128">
      <x:c r="A128" s="6"/>
      <x:c r="B128" s="6"/>
      <x:c r="C128" s="6"/>
      <x:c r="D128" s="6"/>
      <x:c r="E128" s="6"/>
      <x:c r="F128" s="6"/>
      <x:c r="G128" s="6"/>
      <x:c r="H128" s="6"/>
      <x:c r="I128" s="6"/>
      <x:c r="J128" s="6"/>
    </x:row>
    <x:row r="129">
      <x:c r="A129" s="6"/>
      <x:c r="B129" s="6"/>
      <x:c r="C129" s="6"/>
      <x:c r="D129" s="6"/>
      <x:c r="E129" s="6"/>
      <x:c r="F129" s="6"/>
      <x:c r="G129" s="6"/>
      <x:c r="H129" s="6"/>
      <x:c r="I129" s="6"/>
      <x:c r="J129" s="6"/>
    </x:row>
    <x:row r="130">
      <x:c r="A130" s="6"/>
      <x:c r="B130" s="6"/>
      <x:c r="C130" s="6"/>
      <x:c r="D130" s="6"/>
      <x:c r="E130" s="6"/>
      <x:c r="F130" s="6"/>
      <x:c r="G130" s="6"/>
      <x:c r="H130" s="6"/>
      <x:c r="I130" s="6"/>
      <x:c r="J130" s="6"/>
    </x:row>
    <x:row r="131">
      <x:c r="A131" s="6"/>
      <x:c r="B131" s="6"/>
      <x:c r="C131" s="6"/>
      <x:c r="D131" s="6"/>
      <x:c r="E131" s="6"/>
      <x:c r="F131" s="6"/>
      <x:c r="G131" s="6"/>
      <x:c r="H131" s="6"/>
      <x:c r="I131" s="6"/>
      <x:c r="J131" s="6"/>
    </x:row>
    <x:row r="132">
      <x:c r="A132" s="6"/>
      <x:c r="B132" s="6"/>
      <x:c r="C132" s="6"/>
      <x:c r="D132" s="6"/>
      <x:c r="E132" s="6"/>
      <x:c r="F132" s="6"/>
      <x:c r="G132" s="6"/>
      <x:c r="H132" s="6"/>
      <x:c r="I132" s="6"/>
      <x:c r="J132" s="6"/>
    </x:row>
    <x:row r="133">
      <x:c r="A133" s="6"/>
      <x:c r="B133" s="6"/>
      <x:c r="C133" s="6"/>
      <x:c r="D133" s="6"/>
      <x:c r="E133" s="6"/>
      <x:c r="F133" s="6"/>
      <x:c r="G133" s="6"/>
      <x:c r="H133" s="6"/>
      <x:c r="I133" s="6"/>
      <x:c r="J133" s="6"/>
    </x:row>
    <x:row r="134">
      <x:c r="A134" s="6"/>
      <x:c r="B134" s="6"/>
      <x:c r="C134" s="6"/>
      <x:c r="D134" s="6"/>
      <x:c r="E134" s="6"/>
      <x:c r="F134" s="6"/>
      <x:c r="G134" s="6"/>
      <x:c r="H134" s="6"/>
      <x:c r="I134" s="6"/>
      <x:c r="J134" s="6"/>
    </x:row>
    <x:row r="135">
      <x:c r="A135" s="6"/>
      <x:c r="B135" s="6"/>
      <x:c r="C135" s="6"/>
      <x:c r="D135" s="6"/>
      <x:c r="E135" s="6"/>
      <x:c r="F135" s="6"/>
      <x:c r="G135" s="6"/>
      <x:c r="H135" s="6"/>
      <x:c r="I135" s="6"/>
      <x:c r="J135" s="6"/>
    </x:row>
    <x:row r="136">
      <x:c r="A136" s="6"/>
      <x:c r="B136" s="6"/>
      <x:c r="C136" s="6"/>
      <x:c r="D136" s="6"/>
      <x:c r="E136" s="6"/>
      <x:c r="F136" s="6"/>
      <x:c r="G136" s="6"/>
      <x:c r="H136" s="6"/>
      <x:c r="I136" s="6"/>
      <x:c r="J136" s="6"/>
    </x:row>
    <x:row r="137">
      <x:c r="A137" s="6"/>
      <x:c r="B137" s="6"/>
      <x:c r="C137" s="6"/>
      <x:c r="D137" s="6"/>
      <x:c r="E137" s="6"/>
      <x:c r="F137" s="6"/>
      <x:c r="G137" s="6"/>
      <x:c r="H137" s="6"/>
      <x:c r="I137" s="6"/>
      <x:c r="J137" s="6"/>
    </x:row>
    <x:row r="138">
      <x:c r="A138" s="6"/>
      <x:c r="B138" s="6"/>
      <x:c r="C138" s="6"/>
      <x:c r="D138" s="6"/>
      <x:c r="E138" s="6"/>
      <x:c r="F138" s="6"/>
      <x:c r="G138" s="6"/>
      <x:c r="H138" s="6"/>
      <x:c r="I138" s="6"/>
      <x:c r="J138" s="6"/>
    </x:row>
    <x:row r="139">
      <x:c r="A139" s="6"/>
      <x:c r="B139" s="6"/>
      <x:c r="C139" s="6"/>
      <x:c r="D139" s="6"/>
      <x:c r="E139" s="6"/>
      <x:c r="F139" s="6"/>
      <x:c r="G139" s="6"/>
      <x:c r="H139" s="6"/>
      <x:c r="I139" s="6"/>
      <x:c r="J139" s="6"/>
    </x:row>
    <x:row r="140">
      <x:c r="A140" s="6"/>
      <x:c r="B140" s="6"/>
      <x:c r="C140" s="6"/>
      <x:c r="D140" s="6"/>
      <x:c r="E140" s="6"/>
      <x:c r="F140" s="6"/>
      <x:c r="G140" s="6"/>
      <x:c r="H140" s="6"/>
      <x:c r="I140" s="6"/>
      <x:c r="J140" s="6"/>
    </x:row>
    <x:row r="141">
      <x:c r="A141" s="6"/>
      <x:c r="B141" s="6"/>
      <x:c r="C141" s="6"/>
      <x:c r="D141" s="6"/>
      <x:c r="E141" s="6"/>
      <x:c r="F141" s="6"/>
      <x:c r="G141" s="6"/>
      <x:c r="H141" s="6"/>
      <x:c r="I141" s="6"/>
      <x:c r="J141" s="6"/>
    </x:row>
    <x:row r="142">
      <x:c r="A142" s="6"/>
      <x:c r="B142" s="6"/>
      <x:c r="C142" s="6"/>
      <x:c r="D142" s="6"/>
      <x:c r="E142" s="6"/>
      <x:c r="F142" s="6"/>
      <x:c r="G142" s="6"/>
      <x:c r="H142" s="6"/>
      <x:c r="I142" s="6"/>
      <x:c r="J142" s="6"/>
    </x:row>
    <x:row r="143">
      <x:c r="A143" s="6"/>
      <x:c r="B143" s="6"/>
      <x:c r="C143" s="6"/>
      <x:c r="D143" s="6"/>
      <x:c r="E143" s="6"/>
      <x:c r="F143" s="6"/>
      <x:c r="G143" s="6"/>
      <x:c r="H143" s="6"/>
      <x:c r="I143" s="6"/>
      <x:c r="J143" s="6"/>
    </x:row>
    <x:row r="144">
      <x:c r="A144" s="6"/>
      <x:c r="B144" s="6"/>
      <x:c r="C144" s="6"/>
      <x:c r="D144" s="6"/>
      <x:c r="E144" s="6"/>
      <x:c r="F144" s="6"/>
      <x:c r="G144" s="6"/>
      <x:c r="H144" s="6"/>
      <x:c r="I144" s="6"/>
      <x:c r="J144" s="6"/>
    </x:row>
    <x:row r="145">
      <x:c r="A145" s="6"/>
      <x:c r="B145" s="6"/>
      <x:c r="C145" s="6"/>
      <x:c r="D145" s="6"/>
      <x:c r="E145" s="6"/>
      <x:c r="F145" s="6"/>
      <x:c r="G145" s="6"/>
      <x:c r="H145" s="6"/>
      <x:c r="I145" s="6"/>
      <x:c r="J145" s="6"/>
    </x:row>
    <x:row r="146">
      <x:c r="A146" s="6"/>
      <x:c r="B146" s="6"/>
      <x:c r="C146" s="6"/>
      <x:c r="D146" s="6"/>
      <x:c r="E146" s="6"/>
      <x:c r="F146" s="6"/>
      <x:c r="G146" s="6"/>
      <x:c r="H146" s="6"/>
      <x:c r="I146" s="6"/>
      <x:c r="J146" s="6"/>
    </x:row>
    <x:row r="147">
      <x:c r="A147" s="6"/>
      <x:c r="B147" s="6"/>
      <x:c r="C147" s="6"/>
      <x:c r="D147" s="6"/>
      <x:c r="E147" s="6"/>
      <x:c r="F147" s="6"/>
      <x:c r="G147" s="6"/>
      <x:c r="H147" s="6"/>
      <x:c r="I147" s="6"/>
      <x:c r="J147" s="6"/>
    </x:row>
    <x:row r="148">
      <x:c r="A148" s="6"/>
      <x:c r="B148" s="6"/>
      <x:c r="C148" s="6"/>
      <x:c r="D148" s="6"/>
      <x:c r="E148" s="6"/>
      <x:c r="F148" s="6"/>
      <x:c r="G148" s="6"/>
      <x:c r="H148" s="6"/>
      <x:c r="I148" s="6"/>
      <x:c r="J148" s="6"/>
    </x:row>
    <x:row r="149">
      <x:c r="A149" s="6"/>
      <x:c r="B149" s="6"/>
      <x:c r="C149" s="6"/>
      <x:c r="D149" s="6"/>
      <x:c r="E149" s="6"/>
      <x:c r="F149" s="6"/>
      <x:c r="G149" s="6"/>
      <x:c r="H149" s="6"/>
      <x:c r="I149" s="6"/>
      <x:c r="J149" s="6"/>
    </x:row>
    <x:row r="150">
      <x:c r="A150" s="6"/>
      <x:c r="B150" s="6"/>
      <x:c r="C150" s="6"/>
      <x:c r="D150" s="6"/>
      <x:c r="E150" s="6"/>
      <x:c r="F150" s="6"/>
      <x:c r="G150" s="6"/>
      <x:c r="H150" s="6"/>
      <x:c r="I150" s="6"/>
      <x:c r="J150" s="6"/>
    </x:row>
    <x:row r="151">
      <x:c r="A151" s="6"/>
      <x:c r="B151" s="6"/>
      <x:c r="C151" s="6"/>
      <x:c r="D151" s="6"/>
      <x:c r="E151" s="6"/>
      <x:c r="F151" s="6"/>
      <x:c r="G151" s="6"/>
      <x:c r="H151" s="6"/>
      <x:c r="I151" s="6"/>
      <x:c r="J151" s="6"/>
    </x:row>
    <x:row r="152">
      <x:c r="A152" s="6"/>
      <x:c r="B152" s="6"/>
      <x:c r="C152" s="6"/>
      <x:c r="D152" s="6"/>
      <x:c r="E152" s="6"/>
      <x:c r="F152" s="6"/>
      <x:c r="G152" s="6"/>
      <x:c r="H152" s="6"/>
      <x:c r="I152" s="6"/>
      <x:c r="J152" s="6"/>
    </x:row>
    <x:row r="153">
      <x:c r="A153" s="6"/>
      <x:c r="B153" s="6"/>
      <x:c r="C153" s="6"/>
      <x:c r="D153" s="6"/>
      <x:c r="E153" s="6"/>
      <x:c r="F153" s="6"/>
      <x:c r="G153" s="6"/>
      <x:c r="H153" s="6"/>
      <x:c r="I153" s="6"/>
      <x:c r="J153" s="6"/>
    </x:row>
    <x:row r="154">
      <x:c r="A154" s="6"/>
      <x:c r="B154" s="6"/>
      <x:c r="C154" s="6"/>
      <x:c r="D154" s="6"/>
      <x:c r="E154" s="6"/>
      <x:c r="F154" s="6"/>
      <x:c r="G154" s="6"/>
      <x:c r="H154" s="6"/>
      <x:c r="I154" s="6"/>
      <x:c r="J154" s="6"/>
    </x:row>
    <x:row r="155">
      <x:c r="A155" s="6"/>
      <x:c r="B155" s="6"/>
      <x:c r="C155" s="6"/>
      <x:c r="D155" s="6"/>
      <x:c r="E155" s="6"/>
      <x:c r="F155" s="6"/>
      <x:c r="G155" s="6"/>
      <x:c r="H155" s="6"/>
      <x:c r="I155" s="6"/>
      <x:c r="J155" s="6"/>
    </x:row>
    <x:row r="156">
      <x:c r="A156" s="6"/>
      <x:c r="B156" s="6"/>
      <x:c r="C156" s="6"/>
      <x:c r="D156" s="6"/>
      <x:c r="E156" s="6"/>
      <x:c r="F156" s="6"/>
      <x:c r="G156" s="6"/>
      <x:c r="H156" s="6"/>
      <x:c r="I156" s="6"/>
      <x:c r="J156" s="6"/>
    </x:row>
    <x:row r="157">
      <x:c r="A157" s="6"/>
      <x:c r="B157" s="6"/>
      <x:c r="C157" s="6"/>
      <x:c r="D157" s="6"/>
      <x:c r="E157" s="6"/>
      <x:c r="F157" s="6"/>
      <x:c r="G157" s="6"/>
      <x:c r="H157" s="6"/>
      <x:c r="I157" s="6"/>
      <x:c r="J157" s="6"/>
    </x:row>
    <x:row r="158">
      <x:c r="A158" s="6"/>
      <x:c r="B158" s="6"/>
      <x:c r="C158" s="6"/>
      <x:c r="D158" s="6"/>
      <x:c r="E158" s="6"/>
      <x:c r="F158" s="6"/>
      <x:c r="G158" s="6"/>
      <x:c r="H158" s="6"/>
      <x:c r="I158" s="6"/>
      <x:c r="J158" s="6"/>
    </x:row>
    <x:row r="159">
      <x:c r="A159" s="6"/>
      <x:c r="B159" s="6"/>
      <x:c r="C159" s="6"/>
      <x:c r="D159" s="6"/>
      <x:c r="E159" s="6"/>
      <x:c r="F159" s="6"/>
      <x:c r="G159" s="6"/>
      <x:c r="H159" s="6"/>
      <x:c r="I159" s="6"/>
      <x:c r="J159" s="6"/>
    </x:row>
    <x:row r="160">
      <x:c r="A160" s="6"/>
      <x:c r="B160" s="6"/>
      <x:c r="C160" s="6"/>
      <x:c r="D160" s="6"/>
      <x:c r="E160" s="6"/>
      <x:c r="F160" s="6"/>
      <x:c r="G160" s="6"/>
      <x:c r="H160" s="6"/>
      <x:c r="I160" s="6"/>
      <x:c r="J160" s="6"/>
    </x:row>
    <x:row r="161">
      <x:c r="A161" s="6"/>
      <x:c r="B161" s="6"/>
      <x:c r="C161" s="6"/>
      <x:c r="D161" s="6"/>
      <x:c r="E161" s="6"/>
      <x:c r="F161" s="6"/>
      <x:c r="G161" s="6"/>
      <x:c r="H161" s="6"/>
      <x:c r="I161" s="6"/>
      <x:c r="J161" s="6"/>
    </x:row>
    <x:row r="162">
      <x:c r="A162" s="6"/>
      <x:c r="B162" s="6"/>
      <x:c r="C162" s="6"/>
      <x:c r="D162" s="6"/>
      <x:c r="E162" s="6"/>
      <x:c r="F162" s="6"/>
      <x:c r="G162" s="6"/>
      <x:c r="H162" s="6"/>
      <x:c r="I162" s="6"/>
      <x:c r="J162" s="6"/>
    </x:row>
    <x:row r="163">
      <x:c r="A163" s="6"/>
      <x:c r="B163" s="6"/>
      <x:c r="C163" s="6"/>
      <x:c r="D163" s="6"/>
      <x:c r="E163" s="6"/>
      <x:c r="F163" s="6"/>
      <x:c r="G163" s="6"/>
      <x:c r="H163" s="6"/>
      <x:c r="I163" s="6"/>
      <x:c r="J163" s="6"/>
    </x:row>
    <x:row r="164">
      <x:c r="A164" s="6"/>
      <x:c r="B164" s="6"/>
      <x:c r="C164" s="6"/>
      <x:c r="D164" s="6"/>
      <x:c r="E164" s="6"/>
      <x:c r="F164" s="6"/>
      <x:c r="G164" s="6"/>
      <x:c r="H164" s="6"/>
      <x:c r="I164" s="6"/>
      <x:c r="J164" s="6"/>
    </x:row>
    <x:row r="165">
      <x:c r="A165" s="6"/>
      <x:c r="B165" s="6"/>
      <x:c r="C165" s="6"/>
      <x:c r="D165" s="6"/>
      <x:c r="E165" s="6"/>
      <x:c r="F165" s="6"/>
      <x:c r="G165" s="6"/>
      <x:c r="H165" s="6"/>
      <x:c r="I165" s="6"/>
      <x:c r="J165" s="6"/>
    </x:row>
    <x:row r="166">
      <x:c r="A166" s="6"/>
      <x:c r="B166" s="6"/>
      <x:c r="C166" s="6"/>
      <x:c r="D166" s="6"/>
      <x:c r="E166" s="6"/>
      <x:c r="F166" s="6"/>
      <x:c r="G166" s="6"/>
      <x:c r="H166" s="6"/>
      <x:c r="I166" s="6"/>
      <x:c r="J166" s="6"/>
    </x:row>
    <x:row r="167">
      <x:c r="A167" s="6"/>
      <x:c r="B167" s="6"/>
      <x:c r="C167" s="6"/>
      <x:c r="D167" s="6"/>
      <x:c r="E167" s="6"/>
      <x:c r="F167" s="6"/>
      <x:c r="G167" s="6"/>
      <x:c r="H167" s="6"/>
      <x:c r="I167" s="6"/>
      <x:c r="J167" s="6"/>
    </x:row>
    <x:row r="168">
      <x:c r="A168" s="6"/>
      <x:c r="B168" s="6"/>
      <x:c r="C168" s="6"/>
      <x:c r="D168" s="6"/>
      <x:c r="E168" s="6"/>
      <x:c r="F168" s="6"/>
      <x:c r="G168" s="6"/>
      <x:c r="H168" s="6"/>
      <x:c r="I168" s="6"/>
      <x:c r="J168" s="6"/>
    </x:row>
    <x:row r="169">
      <x:c r="A169" s="6"/>
      <x:c r="B169" s="6"/>
      <x:c r="C169" s="6"/>
      <x:c r="D169" s="6"/>
      <x:c r="E169" s="6"/>
      <x:c r="F169" s="6"/>
      <x:c r="G169" s="6"/>
      <x:c r="H169" s="6"/>
      <x:c r="I169" s="6"/>
      <x:c r="J169" s="6"/>
    </x:row>
    <x:row r="170">
      <x:c r="A170" s="6"/>
      <x:c r="B170" s="6"/>
      <x:c r="C170" s="6"/>
      <x:c r="D170" s="6"/>
      <x:c r="E170" s="6"/>
      <x:c r="F170" s="6"/>
      <x:c r="G170" s="6"/>
      <x:c r="H170" s="6"/>
      <x:c r="I170" s="6"/>
      <x:c r="J170" s="6"/>
    </x:row>
    <x:row r="171">
      <x:c r="A171" s="6"/>
      <x:c r="B171" s="6"/>
      <x:c r="C171" s="6"/>
      <x:c r="D171" s="6"/>
      <x:c r="E171" s="6"/>
      <x:c r="F171" s="6"/>
      <x:c r="G171" s="6"/>
      <x:c r="H171" s="6"/>
      <x:c r="I171" s="6"/>
      <x:c r="J171" s="6"/>
    </x:row>
    <x:row r="172">
      <x:c r="A172" s="6"/>
      <x:c r="B172" s="6"/>
      <x:c r="C172" s="6"/>
      <x:c r="D172" s="6"/>
      <x:c r="E172" s="6"/>
      <x:c r="F172" s="6"/>
      <x:c r="G172" s="6"/>
      <x:c r="H172" s="6"/>
      <x:c r="I172" s="6"/>
      <x:c r="J172" s="6"/>
    </x:row>
    <x:row r="173">
      <x:c r="A173" s="6"/>
      <x:c r="B173" s="6"/>
      <x:c r="C173" s="6"/>
      <x:c r="D173" s="6"/>
      <x:c r="E173" s="6"/>
      <x:c r="F173" s="6"/>
      <x:c r="G173" s="6"/>
      <x:c r="H173" s="6"/>
      <x:c r="I173" s="6"/>
      <x:c r="J173" s="6"/>
    </x:row>
    <x:row r="174">
      <x:c r="A174" s="6"/>
      <x:c r="B174" s="6"/>
      <x:c r="C174" s="6"/>
      <x:c r="D174" s="6"/>
      <x:c r="E174" s="6"/>
      <x:c r="F174" s="6"/>
      <x:c r="G174" s="6"/>
      <x:c r="H174" s="6"/>
      <x:c r="I174" s="6"/>
      <x:c r="J174" s="6"/>
    </x:row>
    <x:row r="175">
      <x:c r="A175" s="6"/>
      <x:c r="B175" s="6"/>
      <x:c r="C175" s="6"/>
      <x:c r="D175" s="6"/>
      <x:c r="E175" s="6"/>
      <x:c r="F175" s="6"/>
      <x:c r="G175" s="6"/>
      <x:c r="H175" s="6"/>
      <x:c r="I175" s="6"/>
      <x:c r="J175" s="6"/>
    </x:row>
    <x:row r="176">
      <x:c r="A176" s="6"/>
      <x:c r="B176" s="6"/>
      <x:c r="C176" s="6"/>
      <x:c r="D176" s="6"/>
      <x:c r="E176" s="6"/>
      <x:c r="F176" s="6"/>
      <x:c r="G176" s="6"/>
      <x:c r="H176" s="6"/>
      <x:c r="I176" s="6"/>
      <x:c r="J176" s="6"/>
    </x:row>
    <x:row r="177">
      <x:c r="A177" s="6"/>
      <x:c r="B177" s="6"/>
      <x:c r="C177" s="6"/>
      <x:c r="D177" s="6"/>
      <x:c r="E177" s="6"/>
      <x:c r="F177" s="6"/>
      <x:c r="G177" s="6"/>
      <x:c r="H177" s="6"/>
      <x:c r="I177" s="6"/>
      <x:c r="J177" s="6"/>
    </x:row>
    <x:row r="178">
      <x:c r="A178" s="6"/>
      <x:c r="B178" s="6"/>
      <x:c r="C178" s="6"/>
      <x:c r="D178" s="6"/>
      <x:c r="E178" s="6"/>
      <x:c r="F178" s="6"/>
      <x:c r="G178" s="6"/>
      <x:c r="H178" s="6"/>
      <x:c r="I178" s="6"/>
      <x:c r="J178" s="6"/>
    </x:row>
    <x:row r="179">
      <x:c r="A179" s="6"/>
      <x:c r="B179" s="6"/>
      <x:c r="C179" s="6"/>
      <x:c r="D179" s="6"/>
      <x:c r="E179" s="6"/>
      <x:c r="F179" s="6"/>
      <x:c r="G179" s="6"/>
      <x:c r="H179" s="6"/>
      <x:c r="I179" s="6"/>
      <x:c r="J179" s="6"/>
    </x:row>
    <x:row r="180">
      <x:c r="A180" s="6"/>
      <x:c r="B180" s="6"/>
      <x:c r="C180" s="6"/>
      <x:c r="D180" s="6"/>
      <x:c r="E180" s="6"/>
      <x:c r="F180" s="6"/>
      <x:c r="G180" s="6"/>
      <x:c r="H180" s="6"/>
      <x:c r="I180" s="6"/>
      <x:c r="J180" s="6"/>
    </x:row>
    <x:row r="181">
      <x:c r="A181" s="6"/>
      <x:c r="B181" s="6"/>
      <x:c r="C181" s="6"/>
      <x:c r="D181" s="6"/>
      <x:c r="E181" s="6"/>
      <x:c r="F181" s="6"/>
      <x:c r="G181" s="6"/>
      <x:c r="H181" s="6"/>
      <x:c r="I181" s="6"/>
      <x:c r="J181" s="6"/>
    </x:row>
    <x:row r="182">
      <x:c r="A182" s="6"/>
      <x:c r="B182" s="6"/>
      <x:c r="C182" s="6"/>
      <x:c r="D182" s="6"/>
      <x:c r="E182" s="6"/>
      <x:c r="F182" s="6"/>
      <x:c r="G182" s="6"/>
      <x:c r="H182" s="6"/>
      <x:c r="I182" s="6"/>
      <x:c r="J182" s="6"/>
    </x:row>
    <x:row r="183">
      <x:c r="A183" s="6"/>
      <x:c r="B183" s="6"/>
      <x:c r="C183" s="6"/>
      <x:c r="D183" s="6"/>
      <x:c r="E183" s="6"/>
      <x:c r="F183" s="6"/>
      <x:c r="G183" s="6"/>
      <x:c r="H183" s="6"/>
      <x:c r="I183" s="6"/>
      <x:c r="J183" s="6"/>
    </x:row>
    <x:row r="184">
      <x:c r="A184" s="6"/>
      <x:c r="B184" s="6"/>
      <x:c r="C184" s="6"/>
      <x:c r="D184" s="6"/>
      <x:c r="E184" s="6"/>
      <x:c r="F184" s="6"/>
      <x:c r="G184" s="6"/>
      <x:c r="H184" s="6"/>
      <x:c r="I184" s="6"/>
      <x:c r="J184" s="6"/>
    </x:row>
    <x:row r="185">
      <x:c r="A185" s="6"/>
      <x:c r="B185" s="6"/>
      <x:c r="C185" s="6"/>
      <x:c r="D185" s="6"/>
      <x:c r="E185" s="6"/>
      <x:c r="F185" s="6"/>
      <x:c r="G185" s="6"/>
      <x:c r="H185" s="6"/>
      <x:c r="I185" s="6"/>
      <x:c r="J185" s="6"/>
    </x:row>
    <x:row r="186">
      <x:c r="A186" s="6"/>
      <x:c r="B186" s="6"/>
      <x:c r="C186" s="6"/>
      <x:c r="D186" s="6"/>
      <x:c r="E186" s="6"/>
      <x:c r="F186" s="6"/>
      <x:c r="G186" s="6"/>
      <x:c r="H186" s="6"/>
      <x:c r="I186" s="6"/>
      <x:c r="J186" s="6"/>
    </x:row>
    <x:row r="187">
      <x:c r="A187" s="6"/>
      <x:c r="B187" s="6"/>
      <x:c r="C187" s="6"/>
      <x:c r="D187" s="6"/>
      <x:c r="E187" s="6"/>
      <x:c r="F187" s="6"/>
      <x:c r="G187" s="6"/>
      <x:c r="H187" s="6"/>
      <x:c r="I187" s="6"/>
      <x:c r="J187" s="6"/>
    </x:row>
    <x:row r="188">
      <x:c r="A188" s="6"/>
      <x:c r="B188" s="6"/>
      <x:c r="C188" s="6"/>
      <x:c r="D188" s="6"/>
      <x:c r="E188" s="6"/>
      <x:c r="F188" s="6"/>
      <x:c r="G188" s="6"/>
      <x:c r="H188" s="6"/>
      <x:c r="I188" s="6"/>
      <x:c r="J188" s="6"/>
    </x:row>
    <x:row r="189">
      <x:c r="A189" s="6"/>
      <x:c r="B189" s="6"/>
      <x:c r="C189" s="6"/>
      <x:c r="D189" s="6"/>
      <x:c r="E189" s="6"/>
      <x:c r="F189" s="6"/>
      <x:c r="G189" s="6"/>
      <x:c r="H189" s="6"/>
      <x:c r="I189" s="6"/>
      <x:c r="J189" s="6"/>
    </x:row>
    <x:row r="190">
      <x:c r="A190" s="6"/>
      <x:c r="B190" s="6"/>
      <x:c r="C190" s="6"/>
      <x:c r="D190" s="6"/>
      <x:c r="E190" s="6"/>
      <x:c r="F190" s="6"/>
      <x:c r="G190" s="6"/>
      <x:c r="H190" s="6"/>
      <x:c r="I190" s="6"/>
      <x:c r="J190" s="6"/>
    </x:row>
    <x:row r="191">
      <x:c r="A191" s="6"/>
      <x:c r="B191" s="6"/>
      <x:c r="C191" s="6"/>
      <x:c r="D191" s="6"/>
      <x:c r="E191" s="6"/>
      <x:c r="F191" s="6"/>
      <x:c r="G191" s="6"/>
      <x:c r="H191" s="6"/>
      <x:c r="I191" s="6"/>
      <x:c r="J191" s="6"/>
    </x:row>
    <x:row r="192">
      <x:c r="A192" s="6"/>
      <x:c r="B192" s="6"/>
      <x:c r="C192" s="6"/>
      <x:c r="D192" s="6"/>
      <x:c r="E192" s="6"/>
      <x:c r="F192" s="6"/>
      <x:c r="G192" s="6"/>
      <x:c r="H192" s="6"/>
      <x:c r="I192" s="6"/>
      <x:c r="J192" s="6"/>
    </x:row>
    <x:row r="193">
      <x:c r="A193" s="6"/>
      <x:c r="B193" s="6"/>
      <x:c r="C193" s="6"/>
      <x:c r="D193" s="6"/>
      <x:c r="E193" s="6"/>
      <x:c r="F193" s="6"/>
      <x:c r="G193" s="6"/>
      <x:c r="H193" s="6"/>
      <x:c r="I193" s="6"/>
      <x:c r="J193" s="6"/>
    </x:row>
    <x:row r="194">
      <x:c r="A194" s="6"/>
      <x:c r="B194" s="6"/>
      <x:c r="C194" s="6"/>
      <x:c r="D194" s="6"/>
      <x:c r="E194" s="6"/>
      <x:c r="F194" s="6"/>
      <x:c r="G194" s="6"/>
      <x:c r="H194" s="6"/>
      <x:c r="I194" s="6"/>
      <x:c r="J194" s="6"/>
    </x:row>
    <x:row r="195">
      <x:c r="A195" s="6"/>
      <x:c r="B195" s="6"/>
      <x:c r="C195" s="6"/>
      <x:c r="D195" s="6"/>
      <x:c r="E195" s="6"/>
      <x:c r="F195" s="6"/>
      <x:c r="G195" s="6"/>
      <x:c r="H195" s="6"/>
      <x:c r="I195" s="6"/>
      <x:c r="J195" s="6"/>
    </x:row>
    <x:row r="196">
      <x:c r="A196" s="6"/>
      <x:c r="B196" s="6"/>
      <x:c r="C196" s="6"/>
      <x:c r="D196" s="6"/>
      <x:c r="E196" s="6"/>
      <x:c r="F196" s="6"/>
      <x:c r="G196" s="6"/>
      <x:c r="H196" s="6"/>
      <x:c r="I196" s="6"/>
      <x:c r="J196" s="6"/>
    </x:row>
    <x:row r="197">
      <x:c r="A197" s="6"/>
      <x:c r="B197" s="6"/>
      <x:c r="C197" s="6"/>
      <x:c r="D197" s="6"/>
      <x:c r="E197" s="6"/>
      <x:c r="F197" s="6"/>
      <x:c r="G197" s="6"/>
      <x:c r="H197" s="6"/>
      <x:c r="I197" s="6"/>
      <x:c r="J197" s="6"/>
    </x:row>
    <x:row r="198">
      <x:c r="A198" s="6"/>
      <x:c r="B198" s="6"/>
      <x:c r="C198" s="6"/>
      <x:c r="D198" s="6"/>
      <x:c r="E198" s="6"/>
      <x:c r="F198" s="6"/>
      <x:c r="G198" s="6"/>
      <x:c r="H198" s="6"/>
      <x:c r="I198" s="6"/>
      <x:c r="J198" s="6"/>
    </x:row>
    <x:row r="199">
      <x:c r="A199" s="6"/>
      <x:c r="B199" s="6"/>
      <x:c r="C199" s="6"/>
      <x:c r="D199" s="6"/>
      <x:c r="E199" s="6"/>
      <x:c r="F199" s="6"/>
      <x:c r="G199" s="6"/>
      <x:c r="H199" s="6"/>
      <x:c r="I199" s="6"/>
      <x:c r="J199" s="6"/>
    </x:row>
    <x:row r="200">
      <x:c r="A200" s="6"/>
      <x:c r="B200" s="6"/>
      <x:c r="C200" s="6"/>
      <x:c r="D200" s="6"/>
      <x:c r="E200" s="6"/>
      <x:c r="F200" s="6"/>
      <x:c r="G200" s="6"/>
      <x:c r="H200" s="6"/>
      <x:c r="I200" s="6"/>
      <x:c r="J200" s="6"/>
    </x:row>
    <x:row r="201">
      <x:c r="A201" s="6"/>
      <x:c r="B201" s="6"/>
      <x:c r="C201" s="6"/>
      <x:c r="D201" s="6"/>
      <x:c r="E201" s="6"/>
      <x:c r="F201" s="6"/>
      <x:c r="G201" s="6"/>
      <x:c r="H201" s="6"/>
      <x:c r="I201" s="6"/>
      <x:c r="J201" s="6"/>
    </x:row>
    <x:row r="202">
      <x:c r="A202" s="6"/>
      <x:c r="B202" s="6"/>
      <x:c r="C202" s="6"/>
      <x:c r="D202" s="6"/>
      <x:c r="E202" s="6"/>
      <x:c r="F202" s="6"/>
      <x:c r="G202" s="6"/>
      <x:c r="H202" s="6"/>
      <x:c r="I202" s="6"/>
      <x:c r="J202" s="6"/>
    </x:row>
    <x:row r="203">
      <x:c r="A203" s="6"/>
      <x:c r="B203" s="6"/>
      <x:c r="C203" s="6"/>
      <x:c r="D203" s="6"/>
      <x:c r="E203" s="6"/>
      <x:c r="F203" s="6"/>
      <x:c r="G203" s="6"/>
      <x:c r="H203" s="6"/>
      <x:c r="I203" s="6"/>
      <x:c r="J203" s="6"/>
    </x:row>
    <x:row r="204">
      <x:c r="A204" s="6"/>
      <x:c r="B204" s="6"/>
      <x:c r="C204" s="6"/>
      <x:c r="D204" s="6"/>
      <x:c r="E204" s="6"/>
      <x:c r="F204" s="6"/>
      <x:c r="G204" s="6"/>
      <x:c r="H204" s="6"/>
      <x:c r="I204" s="6"/>
      <x:c r="J204" s="6"/>
    </x:row>
    <x:row r="205">
      <x:c r="A205" s="6"/>
      <x:c r="B205" s="6"/>
      <x:c r="C205" s="6"/>
      <x:c r="D205" s="6"/>
      <x:c r="E205" s="6"/>
      <x:c r="F205" s="6"/>
      <x:c r="G205" s="6"/>
      <x:c r="H205" s="6"/>
      <x:c r="I205" s="6"/>
      <x:c r="J205" s="6"/>
    </x:row>
    <x:row r="206">
      <x:c r="A206" s="6"/>
      <x:c r="B206" s="6"/>
      <x:c r="C206" s="6"/>
      <x:c r="D206" s="6"/>
      <x:c r="E206" s="6"/>
      <x:c r="F206" s="6"/>
      <x:c r="G206" s="6"/>
      <x:c r="H206" s="6"/>
      <x:c r="I206" s="6"/>
      <x:c r="J206" s="6"/>
    </x:row>
    <x:row r="207">
      <x:c r="A207" s="6"/>
      <x:c r="B207" s="6"/>
      <x:c r="C207" s="6"/>
      <x:c r="D207" s="6"/>
      <x:c r="E207" s="6"/>
      <x:c r="F207" s="6"/>
      <x:c r="G207" s="6"/>
      <x:c r="H207" s="6"/>
      <x:c r="I207" s="6"/>
      <x:c r="J207" s="6"/>
    </x:row>
    <x:row r="208">
      <x:c r="A208" s="6"/>
      <x:c r="B208" s="6"/>
      <x:c r="C208" s="6"/>
      <x:c r="D208" s="6"/>
      <x:c r="E208" s="6"/>
      <x:c r="F208" s="6"/>
      <x:c r="G208" s="6"/>
      <x:c r="H208" s="6"/>
      <x:c r="I208" s="6"/>
      <x:c r="J208" s="6"/>
    </x:row>
    <x:row r="209">
      <x:c r="A209" s="6"/>
      <x:c r="B209" s="6"/>
      <x:c r="C209" s="6"/>
      <x:c r="D209" s="6"/>
      <x:c r="E209" s="6"/>
      <x:c r="F209" s="6"/>
      <x:c r="G209" s="6"/>
      <x:c r="H209" s="6"/>
      <x:c r="I209" s="6"/>
      <x:c r="J209" s="6"/>
    </x:row>
    <x:row r="210">
      <x:c r="A210" s="6"/>
      <x:c r="B210" s="6"/>
      <x:c r="C210" s="6"/>
      <x:c r="D210" s="6"/>
      <x:c r="E210" s="6"/>
      <x:c r="F210" s="6"/>
      <x:c r="G210" s="6"/>
      <x:c r="H210" s="6"/>
      <x:c r="I210" s="6"/>
      <x:c r="J210" s="6"/>
    </x:row>
    <x:row r="211">
      <x:c r="A211" s="6"/>
      <x:c r="B211" s="6"/>
      <x:c r="C211" s="6"/>
      <x:c r="D211" s="6"/>
      <x:c r="E211" s="6"/>
      <x:c r="F211" s="6"/>
      <x:c r="G211" s="6"/>
      <x:c r="H211" s="6"/>
      <x:c r="I211" s="6"/>
      <x:c r="J211" s="6"/>
    </x:row>
    <x:row r="212">
      <x:c r="A212" s="6"/>
      <x:c r="B212" s="6"/>
      <x:c r="C212" s="6"/>
      <x:c r="D212" s="6"/>
      <x:c r="E212" s="6"/>
      <x:c r="F212" s="6"/>
      <x:c r="G212" s="6"/>
      <x:c r="H212" s="6"/>
      <x:c r="I212" s="6"/>
      <x:c r="J212" s="6"/>
    </x:row>
    <x:row r="213">
      <x:c r="A213" s="6"/>
      <x:c r="B213" s="6"/>
      <x:c r="C213" s="6"/>
      <x:c r="D213" s="6"/>
      <x:c r="E213" s="6"/>
      <x:c r="F213" s="6"/>
      <x:c r="G213" s="6"/>
      <x:c r="H213" s="6"/>
      <x:c r="I213" s="6"/>
      <x:c r="J213" s="6"/>
    </x:row>
    <x:row r="214">
      <x:c r="A214" s="6"/>
      <x:c r="B214" s="6"/>
      <x:c r="C214" s="6"/>
      <x:c r="D214" s="6"/>
      <x:c r="E214" s="6"/>
      <x:c r="F214" s="6"/>
      <x:c r="G214" s="6"/>
      <x:c r="H214" s="6"/>
      <x:c r="I214" s="6"/>
      <x:c r="J214" s="6"/>
    </x:row>
    <x:row r="215">
      <x:c r="A215" s="6"/>
      <x:c r="B215" s="6"/>
      <x:c r="C215" s="6"/>
      <x:c r="D215" s="6"/>
      <x:c r="E215" s="6"/>
      <x:c r="F215" s="6"/>
      <x:c r="G215" s="6"/>
      <x:c r="H215" s="6"/>
      <x:c r="I215" s="6"/>
      <x:c r="J215" s="6"/>
    </x:row>
    <x:row r="216">
      <x:c r="A216" s="6"/>
      <x:c r="B216" s="6"/>
      <x:c r="C216" s="6"/>
      <x:c r="D216" s="6"/>
      <x:c r="E216" s="6"/>
      <x:c r="F216" s="6"/>
      <x:c r="G216" s="6"/>
      <x:c r="H216" s="6"/>
      <x:c r="I216" s="6"/>
      <x:c r="J216" s="6"/>
    </x:row>
    <x:row r="217">
      <x:c r="A217" s="6"/>
      <x:c r="B217" s="6"/>
      <x:c r="C217" s="6"/>
      <x:c r="D217" s="6"/>
      <x:c r="E217" s="6"/>
      <x:c r="F217" s="6"/>
      <x:c r="G217" s="6"/>
      <x:c r="H217" s="6"/>
      <x:c r="I217" s="6"/>
      <x:c r="J217" s="6"/>
    </x:row>
    <x:row r="218">
      <x:c r="A218" s="6"/>
      <x:c r="B218" s="6"/>
      <x:c r="C218" s="6"/>
      <x:c r="D218" s="6"/>
      <x:c r="E218" s="6"/>
      <x:c r="F218" s="6"/>
      <x:c r="G218" s="6"/>
      <x:c r="H218" s="6"/>
      <x:c r="I218" s="6"/>
      <x:c r="J218" s="6"/>
    </x:row>
    <x:row r="219">
      <x:c r="A219" s="6"/>
      <x:c r="B219" s="6"/>
      <x:c r="C219" s="6"/>
      <x:c r="D219" s="6"/>
      <x:c r="E219" s="6"/>
      <x:c r="F219" s="6"/>
      <x:c r="G219" s="6"/>
      <x:c r="H219" s="6"/>
      <x:c r="I219" s="6"/>
      <x:c r="J219" s="6"/>
    </x:row>
    <x:row r="220">
      <x:c r="A220" s="6"/>
      <x:c r="B220" s="6"/>
      <x:c r="C220" s="6"/>
      <x:c r="D220" s="6"/>
      <x:c r="E220" s="6"/>
      <x:c r="F220" s="6"/>
      <x:c r="G220" s="6"/>
      <x:c r="H220" s="6"/>
      <x:c r="I220" s="6"/>
      <x:c r="J220" s="6"/>
    </x:row>
    <x:row r="221">
      <x:c r="A221" s="6"/>
      <x:c r="B221" s="6"/>
      <x:c r="C221" s="6"/>
      <x:c r="D221" s="6"/>
      <x:c r="E221" s="6"/>
      <x:c r="F221" s="6"/>
      <x:c r="G221" s="6"/>
      <x:c r="H221" s="6"/>
      <x:c r="I221" s="6"/>
      <x:c r="J221" s="6"/>
    </x:row>
    <x:row r="222">
      <x:c r="A222" s="6"/>
      <x:c r="B222" s="6"/>
      <x:c r="C222" s="6"/>
      <x:c r="D222" s="6"/>
      <x:c r="E222" s="6"/>
      <x:c r="F222" s="6"/>
      <x:c r="G222" s="6"/>
      <x:c r="H222" s="6"/>
      <x:c r="I222" s="6"/>
      <x:c r="J222" s="6"/>
    </x:row>
    <x:row r="223">
      <x:c r="A223" s="6"/>
      <x:c r="B223" s="6"/>
      <x:c r="C223" s="6"/>
      <x:c r="D223" s="6"/>
      <x:c r="E223" s="6"/>
      <x:c r="F223" s="6"/>
      <x:c r="G223" s="6"/>
      <x:c r="H223" s="6"/>
      <x:c r="I223" s="6"/>
      <x:c r="J223" s="6"/>
    </x:row>
    <x:row r="224">
      <x:c r="A224" s="6"/>
      <x:c r="B224" s="6"/>
      <x:c r="C224" s="6"/>
      <x:c r="D224" s="6"/>
      <x:c r="E224" s="6"/>
      <x:c r="F224" s="6"/>
      <x:c r="G224" s="6"/>
      <x:c r="H224" s="6"/>
      <x:c r="I224" s="6"/>
      <x:c r="J224" s="6"/>
    </x:row>
    <x:row r="225">
      <x:c r="A225" s="6"/>
      <x:c r="B225" s="6"/>
      <x:c r="C225" s="6"/>
      <x:c r="D225" s="6"/>
      <x:c r="E225" s="6"/>
      <x:c r="F225" s="6"/>
      <x:c r="G225" s="6"/>
      <x:c r="H225" s="6"/>
      <x:c r="I225" s="6"/>
      <x:c r="J225" s="6"/>
    </x:row>
    <x:row r="226">
      <x:c r="A226" s="6"/>
      <x:c r="B226" s="6"/>
      <x:c r="C226" s="6"/>
      <x:c r="D226" s="6"/>
      <x:c r="E226" s="6"/>
      <x:c r="F226" s="6"/>
      <x:c r="G226" s="6"/>
      <x:c r="H226" s="6"/>
      <x:c r="I226" s="6"/>
      <x:c r="J226" s="6"/>
    </x:row>
    <x:row r="227">
      <x:c r="A227" s="6"/>
      <x:c r="B227" s="6"/>
      <x:c r="C227" s="6"/>
      <x:c r="D227" s="6"/>
      <x:c r="E227" s="6"/>
      <x:c r="F227" s="6"/>
      <x:c r="G227" s="6"/>
      <x:c r="H227" s="6"/>
      <x:c r="I227" s="6"/>
      <x:c r="J227" s="6"/>
    </x:row>
    <x:row r="228">
      <x:c r="A228" s="6"/>
      <x:c r="B228" s="6"/>
      <x:c r="C228" s="6"/>
      <x:c r="D228" s="6"/>
      <x:c r="E228" s="6"/>
      <x:c r="F228" s="6"/>
      <x:c r="G228" s="6"/>
      <x:c r="H228" s="6"/>
      <x:c r="I228" s="6"/>
      <x:c r="J228" s="6"/>
    </x:row>
    <x:row r="229">
      <x:c r="A229" s="6"/>
      <x:c r="B229" s="6"/>
      <x:c r="C229" s="6"/>
      <x:c r="D229" s="6"/>
      <x:c r="E229" s="6"/>
      <x:c r="F229" s="6"/>
      <x:c r="G229" s="6"/>
      <x:c r="H229" s="6"/>
      <x:c r="I229" s="6"/>
      <x:c r="J229" s="6"/>
    </x:row>
    <x:row r="230">
      <x:c r="A230" s="6"/>
      <x:c r="B230" s="6"/>
      <x:c r="C230" s="6"/>
      <x:c r="D230" s="6"/>
      <x:c r="E230" s="6"/>
      <x:c r="F230" s="6"/>
      <x:c r="G230" s="6"/>
      <x:c r="H230" s="6"/>
      <x:c r="I230" s="6"/>
      <x:c r="J230" s="6"/>
    </x:row>
    <x:row r="231">
      <x:c r="A231" s="6"/>
      <x:c r="B231" s="6"/>
      <x:c r="C231" s="6"/>
      <x:c r="D231" s="6"/>
      <x:c r="E231" s="6"/>
      <x:c r="F231" s="6"/>
      <x:c r="G231" s="6"/>
      <x:c r="H231" s="6"/>
      <x:c r="I231" s="6"/>
      <x:c r="J231" s="6"/>
    </x:row>
    <x:row r="232">
      <x:c r="A232" s="6"/>
      <x:c r="B232" s="6"/>
      <x:c r="C232" s="6"/>
      <x:c r="D232" s="6"/>
      <x:c r="E232" s="6"/>
      <x:c r="F232" s="6"/>
      <x:c r="G232" s="6"/>
      <x:c r="H232" s="6"/>
      <x:c r="I232" s="6"/>
      <x:c r="J232" s="6"/>
    </x:row>
    <x:row r="233">
      <x:c r="A233" s="6"/>
      <x:c r="B233" s="6"/>
      <x:c r="C233" s="6"/>
      <x:c r="D233" s="6"/>
      <x:c r="E233" s="6"/>
      <x:c r="F233" s="6"/>
      <x:c r="G233" s="6"/>
      <x:c r="H233" s="6"/>
      <x:c r="I233" s="6"/>
      <x:c r="J233" s="6"/>
    </x:row>
    <x:row r="234">
      <x:c r="A234" s="6"/>
      <x:c r="B234" s="6"/>
      <x:c r="C234" s="6"/>
      <x:c r="D234" s="6"/>
      <x:c r="E234" s="6"/>
      <x:c r="F234" s="6"/>
      <x:c r="G234" s="6"/>
      <x:c r="H234" s="6"/>
      <x:c r="I234" s="6"/>
      <x:c r="J234" s="6"/>
    </x:row>
    <x:row r="235">
      <x:c r="A235" s="6"/>
      <x:c r="B235" s="6"/>
      <x:c r="C235" s="6"/>
      <x:c r="D235" s="6"/>
      <x:c r="E235" s="6"/>
      <x:c r="F235" s="6"/>
      <x:c r="G235" s="6"/>
      <x:c r="H235" s="6"/>
      <x:c r="I235" s="6"/>
      <x:c r="J235" s="6"/>
    </x:row>
    <x:row r="236">
      <x:c r="A236" s="6"/>
      <x:c r="B236" s="6"/>
      <x:c r="C236" s="6"/>
      <x:c r="D236" s="6"/>
      <x:c r="E236" s="6"/>
      <x:c r="F236" s="6"/>
      <x:c r="G236" s="6"/>
      <x:c r="H236" s="6"/>
      <x:c r="I236" s="6"/>
      <x:c r="J236" s="6"/>
    </x:row>
    <x:row r="237">
      <x:c r="A237" s="6"/>
      <x:c r="B237" s="6"/>
      <x:c r="C237" s="6"/>
      <x:c r="D237" s="6"/>
      <x:c r="E237" s="6"/>
      <x:c r="F237" s="6"/>
      <x:c r="G237" s="6"/>
      <x:c r="H237" s="6"/>
      <x:c r="I237" s="6"/>
      <x:c r="J237" s="6"/>
    </x:row>
    <x:row r="238">
      <x:c r="A238" s="6"/>
      <x:c r="B238" s="6"/>
      <x:c r="C238" s="6"/>
      <x:c r="D238" s="6"/>
      <x:c r="E238" s="6"/>
      <x:c r="F238" s="6"/>
      <x:c r="G238" s="6"/>
      <x:c r="H238" s="6"/>
      <x:c r="I238" s="6"/>
      <x:c r="J238" s="6"/>
    </x:row>
    <x:row r="239">
      <x:c r="A239" s="6"/>
      <x:c r="B239" s="6"/>
      <x:c r="C239" s="6"/>
      <x:c r="D239" s="6"/>
      <x:c r="E239" s="6"/>
      <x:c r="F239" s="6"/>
      <x:c r="G239" s="6"/>
      <x:c r="H239" s="6"/>
      <x:c r="I239" s="6"/>
      <x:c r="J239" s="6"/>
    </x:row>
    <x:row r="240">
      <x:c r="A240" s="6"/>
      <x:c r="B240" s="6"/>
      <x:c r="C240" s="6"/>
      <x:c r="D240" s="6"/>
      <x:c r="E240" s="6"/>
      <x:c r="F240" s="6"/>
      <x:c r="G240" s="6"/>
      <x:c r="H240" s="6"/>
      <x:c r="I240" s="6"/>
      <x:c r="J240" s="6"/>
    </x:row>
    <x:row r="241">
      <x:c r="A241" s="6"/>
      <x:c r="B241" s="6"/>
      <x:c r="C241" s="6"/>
      <x:c r="D241" s="6"/>
      <x:c r="E241" s="6"/>
      <x:c r="F241" s="6"/>
      <x:c r="G241" s="6"/>
      <x:c r="H241" s="6"/>
      <x:c r="I241" s="6"/>
      <x:c r="J241" s="6"/>
    </x:row>
    <x:row r="242">
      <x:c r="A242" s="6"/>
      <x:c r="B242" s="6"/>
      <x:c r="C242" s="6"/>
      <x:c r="D242" s="6"/>
      <x:c r="E242" s="6"/>
      <x:c r="F242" s="6"/>
      <x:c r="G242" s="6"/>
      <x:c r="H242" s="6"/>
      <x:c r="I242" s="6"/>
      <x:c r="J242" s="6"/>
    </x:row>
    <x:row r="243">
      <x:c r="A243" s="6"/>
      <x:c r="B243" s="6"/>
      <x:c r="C243" s="6"/>
      <x:c r="D243" s="6"/>
      <x:c r="E243" s="6"/>
      <x:c r="F243" s="6"/>
      <x:c r="G243" s="6"/>
      <x:c r="H243" s="6"/>
      <x:c r="I243" s="6"/>
      <x:c r="J243" s="6"/>
    </x:row>
    <x:row r="244">
      <x:c r="A244" s="6"/>
      <x:c r="B244" s="6"/>
      <x:c r="C244" s="6"/>
      <x:c r="D244" s="6"/>
      <x:c r="E244" s="6"/>
      <x:c r="F244" s="6"/>
      <x:c r="G244" s="6"/>
      <x:c r="H244" s="6"/>
      <x:c r="I244" s="6"/>
      <x:c r="J244" s="6"/>
    </x:row>
    <x:row r="245">
      <x:c r="A245" s="6"/>
      <x:c r="B245" s="6"/>
      <x:c r="C245" s="6"/>
      <x:c r="D245" s="6"/>
      <x:c r="E245" s="6"/>
      <x:c r="F245" s="6"/>
      <x:c r="G245" s="6"/>
      <x:c r="H245" s="6"/>
      <x:c r="I245" s="6"/>
      <x:c r="J245" s="6"/>
    </x:row>
    <x:row r="246">
      <x:c r="A246" s="6"/>
      <x:c r="B246" s="6"/>
      <x:c r="C246" s="6"/>
      <x:c r="D246" s="6"/>
      <x:c r="E246" s="6"/>
      <x:c r="F246" s="6"/>
      <x:c r="G246" s="6"/>
      <x:c r="H246" s="6"/>
      <x:c r="I246" s="6"/>
      <x:c r="J246" s="6"/>
    </x:row>
    <x:row r="247">
      <x:c r="A247" s="6"/>
      <x:c r="B247" s="6"/>
      <x:c r="C247" s="6"/>
      <x:c r="D247" s="6"/>
      <x:c r="E247" s="6"/>
      <x:c r="F247" s="6"/>
      <x:c r="G247" s="6"/>
      <x:c r="H247" s="6"/>
      <x:c r="I247" s="6"/>
      <x:c r="J247" s="6"/>
    </x:row>
    <x:row r="248">
      <x:c r="A248" s="6"/>
      <x:c r="B248" s="6"/>
      <x:c r="C248" s="6"/>
      <x:c r="D248" s="6"/>
      <x:c r="E248" s="6"/>
      <x:c r="F248" s="6"/>
      <x:c r="G248" s="6"/>
      <x:c r="H248" s="6"/>
      <x:c r="I248" s="6"/>
      <x:c r="J248" s="6"/>
    </x:row>
    <x:row r="249">
      <x:c r="A249" s="6"/>
      <x:c r="B249" s="6"/>
      <x:c r="C249" s="6"/>
      <x:c r="D249" s="6"/>
      <x:c r="E249" s="6"/>
      <x:c r="F249" s="6"/>
      <x:c r="G249" s="6"/>
      <x:c r="H249" s="6"/>
      <x:c r="I249" s="6"/>
      <x:c r="J249" s="6"/>
    </x:row>
    <x:row r="250">
      <x:c r="A250" s="6"/>
      <x:c r="B250" s="6"/>
      <x:c r="C250" s="6"/>
      <x:c r="D250" s="6"/>
      <x:c r="E250" s="6"/>
      <x:c r="F250" s="6"/>
      <x:c r="G250" s="6"/>
      <x:c r="H250" s="6"/>
      <x:c r="I250" s="6"/>
      <x:c r="J250" s="6"/>
    </x:row>
    <x:row r="251">
      <x:c r="A251" s="6"/>
      <x:c r="B251" s="6"/>
      <x:c r="C251" s="6"/>
      <x:c r="D251" s="6"/>
      <x:c r="E251" s="6"/>
      <x:c r="F251" s="6"/>
      <x:c r="G251" s="6"/>
      <x:c r="H251" s="6"/>
      <x:c r="I251" s="6"/>
      <x:c r="J251" s="6"/>
    </x:row>
    <x:row r="252">
      <x:c r="A252" s="6"/>
      <x:c r="B252" s="6"/>
      <x:c r="C252" s="6"/>
      <x:c r="D252" s="6"/>
      <x:c r="E252" s="6"/>
      <x:c r="F252" s="6"/>
      <x:c r="G252" s="6"/>
      <x:c r="H252" s="6"/>
      <x:c r="I252" s="6"/>
      <x:c r="J252" s="6"/>
    </x:row>
    <x:row r="253">
      <x:c r="A253" s="6"/>
      <x:c r="B253" s="6"/>
      <x:c r="C253" s="6"/>
      <x:c r="D253" s="6"/>
      <x:c r="E253" s="6"/>
      <x:c r="F253" s="6"/>
      <x:c r="G253" s="6"/>
      <x:c r="H253" s="6"/>
      <x:c r="I253" s="6"/>
      <x:c r="J253" s="6"/>
    </x:row>
    <x:row r="254">
      <x:c r="A254" s="6"/>
      <x:c r="B254" s="6"/>
      <x:c r="C254" s="6"/>
      <x:c r="D254" s="6"/>
      <x:c r="E254" s="6"/>
      <x:c r="F254" s="6"/>
      <x:c r="G254" s="6"/>
      <x:c r="H254" s="6"/>
      <x:c r="I254" s="6"/>
      <x:c r="J254" s="6"/>
    </x:row>
    <x:row r="255">
      <x:c r="A255" s="6"/>
      <x:c r="B255" s="6"/>
      <x:c r="C255" s="6"/>
      <x:c r="D255" s="6"/>
      <x:c r="E255" s="6"/>
      <x:c r="F255" s="6"/>
      <x:c r="G255" s="6"/>
      <x:c r="H255" s="6"/>
      <x:c r="I255" s="6"/>
      <x:c r="J255" s="6"/>
    </x:row>
    <x:row r="256">
      <x:c r="A256" s="6"/>
      <x:c r="B256" s="6"/>
      <x:c r="C256" s="6"/>
      <x:c r="D256" s="6"/>
      <x:c r="E256" s="6"/>
      <x:c r="F256" s="6"/>
      <x:c r="G256" s="6"/>
      <x:c r="H256" s="6"/>
      <x:c r="I256" s="6"/>
      <x:c r="J256" s="6"/>
    </x:row>
    <x:row r="257">
      <x:c r="A257" s="6"/>
      <x:c r="B257" s="6"/>
      <x:c r="C257" s="6"/>
      <x:c r="D257" s="6"/>
      <x:c r="E257" s="6"/>
      <x:c r="F257" s="6"/>
      <x:c r="G257" s="6"/>
      <x:c r="H257" s="6"/>
      <x:c r="I257" s="6"/>
      <x:c r="J257" s="6"/>
    </x:row>
    <x:row r="258">
      <x:c r="A258" s="6"/>
      <x:c r="B258" s="6"/>
      <x:c r="C258" s="6"/>
      <x:c r="D258" s="6"/>
      <x:c r="E258" s="6"/>
      <x:c r="F258" s="6"/>
      <x:c r="G258" s="6"/>
      <x:c r="H258" s="6"/>
      <x:c r="I258" s="6"/>
      <x:c r="J258" s="6"/>
    </x:row>
    <x:row r="259">
      <x:c r="A259" s="6"/>
      <x:c r="B259" s="6"/>
      <x:c r="C259" s="6"/>
      <x:c r="D259" s="6"/>
      <x:c r="E259" s="6"/>
      <x:c r="F259" s="6"/>
      <x:c r="G259" s="6"/>
      <x:c r="H259" s="6"/>
      <x:c r="I259" s="6"/>
      <x:c r="J259" s="6"/>
    </x:row>
    <x:row r="260">
      <x:c r="A260" s="6"/>
      <x:c r="B260" s="6"/>
      <x:c r="C260" s="6"/>
      <x:c r="D260" s="6"/>
      <x:c r="E260" s="6"/>
      <x:c r="F260" s="6"/>
      <x:c r="G260" s="6"/>
      <x:c r="H260" s="6"/>
      <x:c r="I260" s="6"/>
      <x:c r="J260" s="6"/>
    </x:row>
    <x:row r="261">
      <x:c r="A261" s="6"/>
      <x:c r="B261" s="6"/>
      <x:c r="C261" s="6"/>
      <x:c r="D261" s="6"/>
      <x:c r="E261" s="6"/>
      <x:c r="F261" s="6"/>
      <x:c r="G261" s="6"/>
      <x:c r="H261" s="6"/>
      <x:c r="I261" s="6"/>
      <x:c r="J261" s="6"/>
    </x:row>
    <x:row r="262">
      <x:c r="A262" s="6"/>
      <x:c r="B262" s="6"/>
      <x:c r="C262" s="6"/>
      <x:c r="D262" s="6"/>
      <x:c r="E262" s="6"/>
      <x:c r="F262" s="6"/>
      <x:c r="G262" s="6"/>
      <x:c r="H262" s="6"/>
      <x:c r="I262" s="6"/>
      <x:c r="J262" s="6"/>
    </x:row>
    <x:row r="263">
      <x:c r="A263" s="6"/>
      <x:c r="B263" s="6"/>
      <x:c r="C263" s="6"/>
      <x:c r="D263" s="6"/>
      <x:c r="E263" s="6"/>
      <x:c r="F263" s="6"/>
      <x:c r="G263" s="6"/>
      <x:c r="H263" s="6"/>
      <x:c r="I263" s="6"/>
      <x:c r="J263" s="6"/>
    </x:row>
    <x:row r="264">
      <x:c r="A264" s="6"/>
      <x:c r="B264" s="6"/>
      <x:c r="C264" s="6"/>
      <x:c r="D264" s="6"/>
      <x:c r="E264" s="6"/>
      <x:c r="F264" s="6"/>
      <x:c r="G264" s="6"/>
      <x:c r="H264" s="6"/>
      <x:c r="I264" s="6"/>
      <x:c r="J264" s="6"/>
    </x:row>
    <x:row r="265">
      <x:c r="A265" s="6"/>
      <x:c r="B265" s="6"/>
      <x:c r="C265" s="6"/>
      <x:c r="D265" s="6"/>
      <x:c r="E265" s="6"/>
      <x:c r="F265" s="6"/>
      <x:c r="G265" s="6"/>
      <x:c r="H265" s="6"/>
      <x:c r="I265" s="6"/>
      <x:c r="J265" s="6"/>
    </x:row>
    <x:row r="266">
      <x:c r="A266" s="6"/>
      <x:c r="B266" s="6"/>
      <x:c r="C266" s="6"/>
      <x:c r="D266" s="6"/>
      <x:c r="E266" s="6"/>
      <x:c r="F266" s="6"/>
      <x:c r="G266" s="6"/>
      <x:c r="H266" s="6"/>
      <x:c r="I266" s="6"/>
      <x:c r="J266" s="6"/>
    </x:row>
    <x:row r="267">
      <x:c r="A267" s="6"/>
      <x:c r="B267" s="6"/>
      <x:c r="C267" s="6"/>
      <x:c r="D267" s="6"/>
      <x:c r="E267" s="6"/>
      <x:c r="F267" s="6"/>
      <x:c r="G267" s="6"/>
      <x:c r="H267" s="6"/>
      <x:c r="I267" s="6"/>
      <x:c r="J267" s="6"/>
    </x:row>
    <x:row r="268">
      <x:c r="A268" s="6"/>
      <x:c r="B268" s="6"/>
      <x:c r="C268" s="6"/>
      <x:c r="D268" s="6"/>
      <x:c r="E268" s="6"/>
      <x:c r="F268" s="6"/>
      <x:c r="G268" s="6"/>
      <x:c r="H268" s="6"/>
      <x:c r="I268" s="6"/>
      <x:c r="J268" s="6"/>
    </x:row>
    <x:row r="269">
      <x:c r="A269" s="6"/>
      <x:c r="B269" s="6"/>
      <x:c r="C269" s="6"/>
      <x:c r="D269" s="6"/>
      <x:c r="E269" s="6"/>
      <x:c r="F269" s="6"/>
      <x:c r="G269" s="6"/>
      <x:c r="H269" s="6"/>
      <x:c r="I269" s="6"/>
      <x:c r="J269" s="6"/>
    </x:row>
    <x:row r="270">
      <x:c r="A270" s="6"/>
      <x:c r="B270" s="6"/>
      <x:c r="C270" s="6"/>
      <x:c r="D270" s="6"/>
      <x:c r="E270" s="6"/>
      <x:c r="F270" s="6"/>
      <x:c r="G270" s="6"/>
      <x:c r="H270" s="6"/>
      <x:c r="I270" s="6"/>
      <x:c r="J270" s="6"/>
    </x:row>
    <x:row r="271">
      <x:c r="A271" s="6"/>
      <x:c r="B271" s="6"/>
      <x:c r="C271" s="6"/>
      <x:c r="D271" s="6"/>
      <x:c r="E271" s="6"/>
      <x:c r="F271" s="6"/>
      <x:c r="G271" s="6"/>
      <x:c r="H271" s="6"/>
      <x:c r="I271" s="6"/>
      <x:c r="J271" s="6"/>
    </x:row>
    <x:row r="272">
      <x:c r="A272" s="6"/>
      <x:c r="B272" s="6"/>
      <x:c r="C272" s="6"/>
      <x:c r="D272" s="6"/>
      <x:c r="E272" s="6"/>
      <x:c r="F272" s="6"/>
      <x:c r="G272" s="6"/>
      <x:c r="H272" s="6"/>
      <x:c r="I272" s="6"/>
      <x:c r="J272" s="6"/>
    </x:row>
    <x:row r="273">
      <x:c r="A273" s="6"/>
      <x:c r="B273" s="6"/>
      <x:c r="C273" s="6"/>
      <x:c r="D273" s="6"/>
      <x:c r="E273" s="6"/>
      <x:c r="F273" s="6"/>
      <x:c r="G273" s="6"/>
      <x:c r="H273" s="6"/>
      <x:c r="I273" s="6"/>
      <x:c r="J273" s="6"/>
    </x:row>
    <x:row r="274">
      <x:c r="A274" s="6"/>
      <x:c r="B274" s="6"/>
      <x:c r="C274" s="6"/>
      <x:c r="D274" s="6"/>
      <x:c r="E274" s="6"/>
      <x:c r="F274" s="6"/>
      <x:c r="G274" s="6"/>
      <x:c r="H274" s="6"/>
      <x:c r="I274" s="6"/>
      <x:c r="J274" s="6"/>
    </x:row>
    <x:row r="275">
      <x:c r="A275" s="6"/>
      <x:c r="B275" s="6"/>
      <x:c r="C275" s="6"/>
      <x:c r="D275" s="6"/>
      <x:c r="E275" s="6"/>
      <x:c r="F275" s="6"/>
      <x:c r="G275" s="6"/>
      <x:c r="H275" s="6"/>
      <x:c r="I275" s="6"/>
      <x:c r="J275" s="6"/>
    </x:row>
    <x:row r="276">
      <x:c r="A276" s="6"/>
      <x:c r="B276" s="6"/>
      <x:c r="C276" s="6"/>
      <x:c r="D276" s="6"/>
      <x:c r="E276" s="6"/>
      <x:c r="F276" s="6"/>
      <x:c r="G276" s="6"/>
      <x:c r="H276" s="6"/>
      <x:c r="I276" s="6"/>
      <x:c r="J276" s="6"/>
    </x:row>
    <x:row r="277">
      <x:c r="A277" s="6"/>
      <x:c r="B277" s="6"/>
      <x:c r="C277" s="6"/>
      <x:c r="D277" s="6"/>
      <x:c r="E277" s="6"/>
      <x:c r="F277" s="6"/>
      <x:c r="G277" s="6"/>
      <x:c r="H277" s="6"/>
      <x:c r="I277" s="6"/>
      <x:c r="J277" s="6"/>
    </x:row>
    <x:row r="278">
      <x:c r="A278" s="6"/>
      <x:c r="B278" s="6"/>
      <x:c r="C278" s="6"/>
      <x:c r="D278" s="6"/>
      <x:c r="E278" s="6"/>
      <x:c r="F278" s="6"/>
      <x:c r="G278" s="6"/>
      <x:c r="H278" s="6"/>
      <x:c r="I278" s="6"/>
      <x:c r="J278" s="6"/>
    </x:row>
    <x:row r="279">
      <x:c r="A279" s="6"/>
      <x:c r="B279" s="6"/>
      <x:c r="C279" s="6"/>
      <x:c r="D279" s="6"/>
      <x:c r="E279" s="6"/>
      <x:c r="F279" s="6"/>
      <x:c r="G279" s="6"/>
      <x:c r="H279" s="6"/>
      <x:c r="I279" s="6"/>
      <x:c r="J279" s="6"/>
    </x:row>
    <x:row r="280">
      <x:c r="A280" s="6"/>
      <x:c r="B280" s="6"/>
      <x:c r="C280" s="6"/>
      <x:c r="D280" s="6"/>
      <x:c r="E280" s="6"/>
      <x:c r="F280" s="6"/>
      <x:c r="G280" s="6"/>
      <x:c r="H280" s="6"/>
      <x:c r="I280" s="6"/>
      <x:c r="J280" s="6"/>
    </x:row>
    <x:row r="281">
      <x:c r="A281" s="6"/>
      <x:c r="B281" s="6"/>
      <x:c r="C281" s="6"/>
      <x:c r="D281" s="6"/>
      <x:c r="E281" s="6"/>
      <x:c r="F281" s="6"/>
      <x:c r="G281" s="6"/>
      <x:c r="H281" s="6"/>
      <x:c r="I281" s="6"/>
      <x:c r="J281" s="6"/>
    </x:row>
    <x:row r="282">
      <x:c r="A282" s="6"/>
      <x:c r="B282" s="6"/>
      <x:c r="C282" s="6"/>
      <x:c r="D282" s="6"/>
      <x:c r="E282" s="6"/>
      <x:c r="F282" s="6"/>
      <x:c r="G282" s="6"/>
      <x:c r="H282" s="6"/>
      <x:c r="I282" s="6"/>
      <x:c r="J282" s="6"/>
    </x:row>
    <x:row r="283">
      <x:c r="A283" s="6"/>
      <x:c r="B283" s="6"/>
      <x:c r="C283" s="6"/>
      <x:c r="D283" s="6"/>
      <x:c r="E283" s="6"/>
      <x:c r="F283" s="6"/>
      <x:c r="G283" s="6"/>
      <x:c r="H283" s="6"/>
      <x:c r="I283" s="6"/>
      <x:c r="J283" s="6"/>
    </x:row>
    <x:row r="284">
      <x:c r="A284" s="6"/>
      <x:c r="B284" s="6"/>
      <x:c r="C284" s="6"/>
      <x:c r="D284" s="6"/>
      <x:c r="E284" s="6"/>
      <x:c r="F284" s="6"/>
      <x:c r="G284" s="6"/>
      <x:c r="H284" s="6"/>
      <x:c r="I284" s="6"/>
      <x:c r="J284" s="6"/>
    </x:row>
    <x:row r="285">
      <x:c r="A285" s="6"/>
      <x:c r="B285" s="6"/>
      <x:c r="C285" s="6"/>
      <x:c r="D285" s="6"/>
      <x:c r="E285" s="6"/>
      <x:c r="F285" s="6"/>
      <x:c r="G285" s="6"/>
      <x:c r="H285" s="6"/>
      <x:c r="I285" s="6"/>
      <x:c r="J285" s="6"/>
    </x:row>
    <x:row r="286">
      <x:c r="A286" s="6"/>
      <x:c r="B286" s="6"/>
      <x:c r="C286" s="6"/>
      <x:c r="D286" s="6"/>
      <x:c r="E286" s="6"/>
      <x:c r="F286" s="6"/>
      <x:c r="G286" s="6"/>
      <x:c r="H286" s="6"/>
      <x:c r="I286" s="6"/>
      <x:c r="J286" s="6"/>
    </x:row>
    <x:row r="287">
      <x:c r="A287" s="6"/>
      <x:c r="B287" s="6"/>
      <x:c r="C287" s="6"/>
      <x:c r="D287" s="6"/>
      <x:c r="E287" s="6"/>
      <x:c r="F287" s="6"/>
      <x:c r="G287" s="6"/>
      <x:c r="H287" s="6"/>
      <x:c r="I287" s="6"/>
      <x:c r="J287" s="6"/>
    </x:row>
    <x:row r="288">
      <x:c r="A288" s="6"/>
      <x:c r="B288" s="6"/>
      <x:c r="C288" s="6"/>
      <x:c r="D288" s="6"/>
      <x:c r="E288" s="6"/>
      <x:c r="F288" s="6"/>
      <x:c r="G288" s="6"/>
      <x:c r="H288" s="6"/>
      <x:c r="I288" s="6"/>
      <x:c r="J288" s="6"/>
    </x:row>
    <x:row r="289">
      <x:c r="A289" s="6"/>
      <x:c r="B289" s="6"/>
      <x:c r="C289" s="6"/>
      <x:c r="D289" s="6"/>
      <x:c r="E289" s="6"/>
      <x:c r="F289" s="6"/>
      <x:c r="G289" s="6"/>
      <x:c r="H289" s="6"/>
      <x:c r="I289" s="6"/>
      <x:c r="J289" s="6"/>
    </x:row>
    <x:row r="290">
      <x:c r="A290" s="6"/>
      <x:c r="B290" s="6"/>
      <x:c r="C290" s="6"/>
      <x:c r="D290" s="6"/>
      <x:c r="E290" s="6"/>
      <x:c r="F290" s="6"/>
      <x:c r="G290" s="6"/>
      <x:c r="H290" s="6"/>
      <x:c r="I290" s="6"/>
      <x:c r="J290" s="6"/>
    </x:row>
    <x:row r="291">
      <x:c r="A291" s="6"/>
      <x:c r="B291" s="6"/>
      <x:c r="C291" s="6"/>
      <x:c r="D291" s="6"/>
      <x:c r="E291" s="6"/>
      <x:c r="F291" s="6"/>
      <x:c r="G291" s="6"/>
      <x:c r="H291" s="6"/>
      <x:c r="I291" s="6"/>
      <x:c r="J291" s="6"/>
    </x:row>
    <x:row r="292">
      <x:c r="A292" s="6"/>
      <x:c r="B292" s="6"/>
      <x:c r="C292" s="6"/>
      <x:c r="D292" s="6"/>
      <x:c r="E292" s="6"/>
      <x:c r="F292" s="6"/>
      <x:c r="G292" s="6"/>
      <x:c r="H292" s="6"/>
      <x:c r="I292" s="6"/>
      <x:c r="J292" s="6"/>
    </x:row>
    <x:row r="293">
      <x:c r="A293" s="6"/>
      <x:c r="B293" s="6"/>
      <x:c r="C293" s="6"/>
      <x:c r="D293" s="6"/>
      <x:c r="E293" s="6"/>
      <x:c r="F293" s="6"/>
      <x:c r="G293" s="6"/>
      <x:c r="H293" s="6"/>
      <x:c r="I293" s="6"/>
      <x:c r="J293" s="6"/>
    </x:row>
    <x:row r="294">
      <x:c r="A294" s="6"/>
      <x:c r="B294" s="6"/>
      <x:c r="C294" s="6"/>
      <x:c r="D294" s="6"/>
      <x:c r="E294" s="6"/>
      <x:c r="F294" s="6"/>
      <x:c r="G294" s="6"/>
      <x:c r="H294" s="6"/>
      <x:c r="I294" s="6"/>
      <x:c r="J294" s="6"/>
    </x:row>
    <x:row r="295">
      <x:c r="A295" s="6"/>
      <x:c r="B295" s="6"/>
      <x:c r="C295" s="6"/>
      <x:c r="D295" s="6"/>
      <x:c r="E295" s="6"/>
      <x:c r="F295" s="6"/>
      <x:c r="G295" s="6"/>
      <x:c r="H295" s="6"/>
      <x:c r="I295" s="6"/>
      <x:c r="J295" s="6"/>
    </x:row>
    <x:row r="296">
      <x:c r="A296" s="6"/>
      <x:c r="B296" s="6"/>
      <x:c r="C296" s="6"/>
      <x:c r="D296" s="6"/>
      <x:c r="E296" s="6"/>
      <x:c r="F296" s="6"/>
      <x:c r="G296" s="6"/>
      <x:c r="H296" s="6"/>
      <x:c r="I296" s="6"/>
      <x:c r="J296" s="6"/>
    </x:row>
    <x:row r="297">
      <x:c r="A297" s="6"/>
      <x:c r="B297" s="6"/>
      <x:c r="C297" s="6"/>
      <x:c r="D297" s="6"/>
      <x:c r="E297" s="6"/>
      <x:c r="F297" s="6"/>
      <x:c r="G297" s="6"/>
      <x:c r="H297" s="6"/>
      <x:c r="I297" s="6"/>
      <x:c r="J297" s="6"/>
    </x:row>
    <x:row r="298">
      <x:c r="A298" s="6"/>
      <x:c r="B298" s="6"/>
      <x:c r="C298" s="6"/>
      <x:c r="D298" s="6"/>
      <x:c r="E298" s="6"/>
      <x:c r="F298" s="6"/>
      <x:c r="G298" s="6"/>
      <x:c r="H298" s="6"/>
      <x:c r="I298" s="6"/>
      <x:c r="J298" s="6"/>
    </x:row>
    <x:row r="299">
      <x:c r="A299" s="6"/>
      <x:c r="B299" s="6"/>
      <x:c r="C299" s="6"/>
      <x:c r="D299" s="6"/>
      <x:c r="E299" s="6"/>
      <x:c r="F299" s="6"/>
      <x:c r="G299" s="6"/>
      <x:c r="H299" s="6"/>
      <x:c r="I299" s="6"/>
      <x:c r="J299" s="6"/>
    </x:row>
    <x:row r="300">
      <x:c r="A300" s="6"/>
      <x:c r="B300" s="6"/>
      <x:c r="C300" s="6"/>
      <x:c r="D300" s="6"/>
      <x:c r="E300" s="6"/>
      <x:c r="F300" s="6"/>
      <x:c r="G300" s="6"/>
      <x:c r="H300" s="6"/>
      <x:c r="I300" s="6"/>
      <x:c r="J300" s="6"/>
    </x:row>
    <x:row r="301">
      <x:c r="A301" s="6"/>
      <x:c r="B301" s="6"/>
      <x:c r="C301" s="6"/>
      <x:c r="D301" s="6"/>
      <x:c r="E301" s="6"/>
      <x:c r="F301" s="6"/>
      <x:c r="G301" s="6"/>
      <x:c r="H301" s="6"/>
      <x:c r="I301" s="6"/>
      <x:c r="J301" s="6"/>
    </x:row>
    <x:row r="302">
      <x:c r="A302" s="6"/>
      <x:c r="B302" s="6"/>
      <x:c r="C302" s="6"/>
      <x:c r="D302" s="6"/>
      <x:c r="E302" s="6"/>
      <x:c r="F302" s="6"/>
      <x:c r="G302" s="6"/>
      <x:c r="H302" s="6"/>
      <x:c r="I302" s="6"/>
      <x:c r="J302" s="6"/>
    </x:row>
    <x:row r="303">
      <x:c r="A303" s="6"/>
      <x:c r="B303" s="6"/>
      <x:c r="C303" s="6"/>
      <x:c r="D303" s="6"/>
      <x:c r="E303" s="6"/>
      <x:c r="F303" s="6"/>
      <x:c r="G303" s="6"/>
      <x:c r="H303" s="6"/>
      <x:c r="I303" s="6"/>
      <x:c r="J303" s="6"/>
    </x:row>
    <x:row r="304">
      <x:c r="A304" s="6"/>
      <x:c r="B304" s="6"/>
      <x:c r="C304" s="6"/>
      <x:c r="D304" s="6"/>
      <x:c r="E304" s="6"/>
      <x:c r="F304" s="6"/>
      <x:c r="G304" s="6"/>
      <x:c r="H304" s="6"/>
      <x:c r="I304" s="6"/>
      <x:c r="J304" s="6"/>
    </x:row>
    <x:row r="305">
      <x:c r="A305" s="6"/>
      <x:c r="B305" s="6"/>
      <x:c r="C305" s="6"/>
      <x:c r="D305" s="6"/>
      <x:c r="E305" s="6"/>
      <x:c r="F305" s="6"/>
      <x:c r="G305" s="6"/>
      <x:c r="H305" s="6"/>
      <x:c r="I305" s="6"/>
      <x:c r="J305" s="6"/>
    </x:row>
    <x:row r="306">
      <x:c r="A306" s="6"/>
      <x:c r="B306" s="6"/>
      <x:c r="C306" s="6"/>
      <x:c r="D306" s="6"/>
      <x:c r="E306" s="6"/>
      <x:c r="F306" s="6"/>
      <x:c r="G306" s="6"/>
      <x:c r="H306" s="6"/>
      <x:c r="I306" s="6"/>
      <x:c r="J306" s="6"/>
    </x:row>
    <x:row r="307">
      <x:c r="A307" s="6"/>
      <x:c r="B307" s="6"/>
      <x:c r="C307" s="6"/>
      <x:c r="D307" s="6"/>
      <x:c r="E307" s="6"/>
      <x:c r="F307" s="6"/>
      <x:c r="G307" s="6"/>
      <x:c r="H307" s="6"/>
      <x:c r="I307" s="6"/>
      <x:c r="J307" s="6"/>
    </x:row>
    <x:row r="308">
      <x:c r="A308" s="6"/>
      <x:c r="B308" s="6"/>
      <x:c r="C308" s="6"/>
      <x:c r="D308" s="6"/>
      <x:c r="E308" s="6"/>
      <x:c r="F308" s="6"/>
      <x:c r="G308" s="6"/>
      <x:c r="H308" s="6"/>
      <x:c r="I308" s="6"/>
      <x:c r="J308" s="6"/>
    </x:row>
    <x:row r="309">
      <x:c r="A309" s="6"/>
      <x:c r="B309" s="6"/>
      <x:c r="C309" s="6"/>
      <x:c r="D309" s="6"/>
      <x:c r="E309" s="6"/>
      <x:c r="F309" s="6"/>
      <x:c r="G309" s="6"/>
      <x:c r="H309" s="6"/>
      <x:c r="I309" s="6"/>
      <x:c r="J309" s="6"/>
    </x:row>
    <x:row r="310">
      <x:c r="A310" s="6"/>
      <x:c r="B310" s="6"/>
      <x:c r="C310" s="6"/>
      <x:c r="D310" s="6"/>
      <x:c r="E310" s="6"/>
      <x:c r="F310" s="6"/>
      <x:c r="G310" s="6"/>
      <x:c r="H310" s="6"/>
      <x:c r="I310" s="6"/>
      <x:c r="J310" s="6"/>
    </x:row>
    <x:row r="311">
      <x:c r="A311" s="6"/>
      <x:c r="B311" s="6"/>
      <x:c r="C311" s="6"/>
      <x:c r="D311" s="6"/>
      <x:c r="E311" s="6"/>
      <x:c r="F311" s="6"/>
      <x:c r="G311" s="6"/>
      <x:c r="H311" s="6"/>
      <x:c r="I311" s="6"/>
      <x:c r="J311" s="6"/>
    </x:row>
    <x:row r="312">
      <x:c r="A312" s="6"/>
      <x:c r="B312" s="6"/>
      <x:c r="C312" s="6"/>
      <x:c r="D312" s="6"/>
      <x:c r="E312" s="6"/>
      <x:c r="F312" s="6"/>
      <x:c r="G312" s="6"/>
      <x:c r="H312" s="6"/>
      <x:c r="I312" s="6"/>
      <x:c r="J312" s="6"/>
    </x:row>
    <x:row r="313">
      <x:c r="A313" s="6"/>
      <x:c r="B313" s="6"/>
      <x:c r="C313" s="6"/>
      <x:c r="D313" s="6"/>
      <x:c r="E313" s="6"/>
      <x:c r="F313" s="6"/>
      <x:c r="G313" s="6"/>
      <x:c r="H313" s="6"/>
      <x:c r="I313" s="6"/>
      <x:c r="J313" s="6"/>
    </x:row>
    <x:row r="314">
      <x:c r="A314" s="6"/>
      <x:c r="B314" s="6"/>
      <x:c r="C314" s="6"/>
      <x:c r="D314" s="6"/>
      <x:c r="E314" s="6"/>
      <x:c r="F314" s="6"/>
      <x:c r="G314" s="6"/>
      <x:c r="H314" s="6"/>
      <x:c r="I314" s="6"/>
      <x:c r="J314" s="6"/>
    </x:row>
    <x:row r="315">
      <x:c r="A315" s="6"/>
      <x:c r="B315" s="6"/>
      <x:c r="C315" s="6"/>
      <x:c r="D315" s="6"/>
      <x:c r="E315" s="6"/>
      <x:c r="F315" s="6"/>
      <x:c r="G315" s="6"/>
      <x:c r="H315" s="6"/>
      <x:c r="I315" s="6"/>
      <x:c r="J315" s="6"/>
    </x:row>
    <x:row r="316">
      <x:c r="A316" s="6"/>
      <x:c r="B316" s="6"/>
      <x:c r="C316" s="6"/>
      <x:c r="D316" s="6"/>
      <x:c r="E316" s="6"/>
      <x:c r="F316" s="6"/>
      <x:c r="G316" s="6"/>
      <x:c r="H316" s="6"/>
      <x:c r="I316" s="6"/>
      <x:c r="J316" s="6"/>
    </x:row>
    <x:row r="317">
      <x:c r="A317" s="6"/>
      <x:c r="B317" s="6"/>
      <x:c r="C317" s="6"/>
      <x:c r="D317" s="6"/>
      <x:c r="E317" s="6"/>
      <x:c r="F317" s="6"/>
      <x:c r="G317" s="6"/>
      <x:c r="H317" s="6"/>
      <x:c r="I317" s="6"/>
      <x:c r="J317" s="6"/>
    </x:row>
    <x:row r="318">
      <x:c r="A318" s="6"/>
      <x:c r="B318" s="6"/>
      <x:c r="C318" s="6"/>
      <x:c r="D318" s="6"/>
      <x:c r="E318" s="6"/>
      <x:c r="F318" s="6"/>
      <x:c r="G318" s="6"/>
      <x:c r="H318" s="6"/>
      <x:c r="I318" s="6"/>
      <x:c r="J318" s="6"/>
    </x:row>
    <x:row r="319">
      <x:c r="A319" s="6"/>
      <x:c r="B319" s="6"/>
      <x:c r="C319" s="6"/>
      <x:c r="D319" s="6"/>
      <x:c r="E319" s="6"/>
      <x:c r="F319" s="6"/>
      <x:c r="G319" s="6"/>
      <x:c r="H319" s="6"/>
      <x:c r="I319" s="6"/>
      <x:c r="J319" s="6"/>
    </x:row>
    <x:row r="320">
      <x:c r="A320" s="6"/>
      <x:c r="B320" s="6"/>
      <x:c r="C320" s="6"/>
      <x:c r="D320" s="6"/>
      <x:c r="E320" s="6"/>
      <x:c r="F320" s="6"/>
      <x:c r="G320" s="6"/>
      <x:c r="H320" s="6"/>
      <x:c r="I320" s="6"/>
      <x:c r="J320" s="6"/>
    </x:row>
    <x:row r="321">
      <x:c r="A321" s="6"/>
      <x:c r="B321" s="6"/>
      <x:c r="C321" s="6"/>
      <x:c r="D321" s="6"/>
      <x:c r="E321" s="6"/>
      <x:c r="F321" s="6"/>
      <x:c r="G321" s="6"/>
      <x:c r="H321" s="6"/>
      <x:c r="I321" s="6"/>
      <x:c r="J321" s="6"/>
    </x:row>
    <x:row r="322">
      <x:c r="A322" s="6"/>
      <x:c r="B322" s="6"/>
      <x:c r="C322" s="6"/>
      <x:c r="D322" s="6"/>
      <x:c r="E322" s="6"/>
      <x:c r="F322" s="6"/>
      <x:c r="G322" s="6"/>
      <x:c r="H322" s="6"/>
      <x:c r="I322" s="6"/>
      <x:c r="J322" s="6"/>
    </x:row>
    <x:row r="323">
      <x:c r="A323" s="6"/>
      <x:c r="B323" s="6"/>
      <x:c r="C323" s="6"/>
      <x:c r="D323" s="6"/>
      <x:c r="E323" s="6"/>
      <x:c r="F323" s="6"/>
      <x:c r="G323" s="6"/>
      <x:c r="H323" s="6"/>
      <x:c r="I323" s="6"/>
      <x:c r="J323" s="6"/>
    </x:row>
    <x:row r="324">
      <x:c r="A324" s="6"/>
      <x:c r="B324" s="6"/>
      <x:c r="C324" s="6"/>
      <x:c r="D324" s="6"/>
      <x:c r="E324" s="6"/>
      <x:c r="F324" s="6"/>
      <x:c r="G324" s="6"/>
      <x:c r="H324" s="6"/>
      <x:c r="I324" s="6"/>
      <x:c r="J324" s="6"/>
    </x:row>
    <x:row r="325">
      <x:c r="A325" s="6"/>
      <x:c r="B325" s="6"/>
      <x:c r="C325" s="6"/>
      <x:c r="D325" s="6"/>
      <x:c r="E325" s="6"/>
      <x:c r="F325" s="6"/>
      <x:c r="G325" s="6"/>
      <x:c r="H325" s="6"/>
      <x:c r="I325" s="6"/>
      <x:c r="J325" s="6"/>
    </x:row>
    <x:row r="326">
      <x:c r="A326" s="6"/>
      <x:c r="B326" s="6"/>
      <x:c r="C326" s="6"/>
      <x:c r="D326" s="6"/>
      <x:c r="E326" s="6"/>
      <x:c r="F326" s="6"/>
      <x:c r="G326" s="6"/>
      <x:c r="H326" s="6"/>
      <x:c r="I326" s="6"/>
      <x:c r="J326" s="6"/>
    </x:row>
    <x:row r="327">
      <x:c r="A327" s="6"/>
      <x:c r="B327" s="6"/>
      <x:c r="C327" s="6"/>
      <x:c r="D327" s="6"/>
      <x:c r="E327" s="6"/>
      <x:c r="F327" s="6"/>
      <x:c r="G327" s="6"/>
      <x:c r="H327" s="6"/>
      <x:c r="I327" s="6"/>
      <x:c r="J327" s="6"/>
    </x:row>
    <x:row r="328">
      <x:c r="A328" s="6"/>
      <x:c r="B328" s="6"/>
      <x:c r="C328" s="6"/>
      <x:c r="D328" s="6"/>
      <x:c r="E328" s="6"/>
      <x:c r="F328" s="6"/>
      <x:c r="G328" s="6"/>
      <x:c r="H328" s="6"/>
      <x:c r="I328" s="6"/>
      <x:c r="J328" s="6"/>
    </x:row>
    <x:row r="329">
      <x:c r="A329" s="6"/>
      <x:c r="B329" s="6"/>
      <x:c r="C329" s="6"/>
      <x:c r="D329" s="6"/>
      <x:c r="E329" s="6"/>
      <x:c r="F329" s="6"/>
      <x:c r="G329" s="6"/>
      <x:c r="H329" s="6"/>
      <x:c r="I329" s="6"/>
      <x:c r="J329" s="6"/>
    </x:row>
    <x:row r="330">
      <x:c r="A330" s="6"/>
      <x:c r="B330" s="6"/>
      <x:c r="C330" s="6"/>
      <x:c r="D330" s="6"/>
      <x:c r="E330" s="6"/>
      <x:c r="F330" s="6"/>
      <x:c r="G330" s="6"/>
      <x:c r="H330" s="6"/>
      <x:c r="I330" s="6"/>
      <x:c r="J330" s="6"/>
    </x:row>
    <x:row r="331">
      <x:c r="A331" s="6"/>
      <x:c r="B331" s="6"/>
      <x:c r="C331" s="6"/>
      <x:c r="D331" s="6"/>
      <x:c r="E331" s="6"/>
      <x:c r="F331" s="6"/>
      <x:c r="G331" s="6"/>
      <x:c r="H331" s="6"/>
      <x:c r="I331" s="6"/>
      <x:c r="J331" s="6"/>
    </x:row>
    <x:row r="332">
      <x:c r="A332" s="6"/>
      <x:c r="B332" s="6"/>
      <x:c r="C332" s="6"/>
      <x:c r="D332" s="6"/>
      <x:c r="E332" s="6"/>
      <x:c r="F332" s="6"/>
      <x:c r="G332" s="6"/>
      <x:c r="H332" s="6"/>
      <x:c r="I332" s="6"/>
      <x:c r="J332" s="6"/>
    </x:row>
    <x:row r="333">
      <x:c r="A333" s="6"/>
      <x:c r="B333" s="6"/>
      <x:c r="C333" s="6"/>
      <x:c r="D333" s="6"/>
      <x:c r="E333" s="6"/>
      <x:c r="F333" s="6"/>
      <x:c r="G333" s="6"/>
      <x:c r="H333" s="6"/>
      <x:c r="I333" s="6"/>
      <x:c r="J333" s="6"/>
    </x:row>
    <x:row r="334">
      <x:c r="A334" s="6"/>
      <x:c r="B334" s="6"/>
      <x:c r="C334" s="6"/>
      <x:c r="D334" s="6"/>
      <x:c r="E334" s="6"/>
      <x:c r="F334" s="6"/>
      <x:c r="G334" s="6"/>
      <x:c r="H334" s="6"/>
      <x:c r="I334" s="6"/>
      <x:c r="J334" s="6"/>
    </x:row>
    <x:row r="335">
      <x:c r="A335" s="6"/>
      <x:c r="B335" s="6"/>
      <x:c r="C335" s="6"/>
      <x:c r="D335" s="6"/>
      <x:c r="E335" s="6"/>
      <x:c r="F335" s="6"/>
      <x:c r="G335" s="6"/>
      <x:c r="H335" s="6"/>
      <x:c r="I335" s="6"/>
      <x:c r="J335" s="6"/>
    </x:row>
    <x:row r="336">
      <x:c r="A336" s="6"/>
      <x:c r="B336" s="6"/>
      <x:c r="C336" s="6"/>
      <x:c r="D336" s="6"/>
      <x:c r="E336" s="6"/>
      <x:c r="F336" s="6"/>
      <x:c r="G336" s="6"/>
      <x:c r="H336" s="6"/>
      <x:c r="I336" s="6"/>
      <x:c r="J336" s="6"/>
    </x:row>
    <x:row r="337">
      <x:c r="A337" s="6"/>
      <x:c r="B337" s="6"/>
      <x:c r="C337" s="6"/>
      <x:c r="D337" s="6"/>
      <x:c r="E337" s="6"/>
      <x:c r="F337" s="6"/>
      <x:c r="G337" s="6"/>
      <x:c r="H337" s="6"/>
      <x:c r="I337" s="6"/>
      <x:c r="J337" s="6"/>
    </x:row>
    <x:row r="338">
      <x:c r="A338" s="6"/>
      <x:c r="B338" s="6"/>
      <x:c r="C338" s="6"/>
      <x:c r="D338" s="6"/>
      <x:c r="E338" s="6"/>
      <x:c r="F338" s="6"/>
      <x:c r="G338" s="6"/>
      <x:c r="H338" s="6"/>
      <x:c r="I338" s="6"/>
      <x:c r="J338" s="6"/>
    </x:row>
    <x:row r="339">
      <x:c r="A339" s="6"/>
      <x:c r="B339" s="6"/>
      <x:c r="C339" s="6"/>
      <x:c r="D339" s="6"/>
      <x:c r="E339" s="6"/>
      <x:c r="F339" s="6"/>
      <x:c r="G339" s="6"/>
      <x:c r="H339" s="6"/>
      <x:c r="I339" s="6"/>
      <x:c r="J339" s="6"/>
    </x:row>
    <x:row r="340">
      <x:c r="A340" s="6"/>
      <x:c r="B340" s="6"/>
      <x:c r="C340" s="6"/>
      <x:c r="D340" s="6"/>
      <x:c r="E340" s="6"/>
      <x:c r="F340" s="6"/>
      <x:c r="G340" s="6"/>
      <x:c r="H340" s="6"/>
      <x:c r="I340" s="6"/>
      <x:c r="J340" s="6"/>
    </x:row>
    <x:row r="341">
      <x:c r="A341" s="6"/>
      <x:c r="B341" s="6"/>
      <x:c r="C341" s="6"/>
      <x:c r="D341" s="6"/>
      <x:c r="E341" s="6"/>
      <x:c r="F341" s="6"/>
      <x:c r="G341" s="6"/>
      <x:c r="H341" s="6"/>
      <x:c r="I341" s="6"/>
      <x:c r="J341" s="6"/>
    </x:row>
    <x:row r="342">
      <x:c r="A342" s="6"/>
      <x:c r="B342" s="6"/>
      <x:c r="C342" s="6"/>
      <x:c r="D342" s="6"/>
      <x:c r="E342" s="6"/>
      <x:c r="F342" s="6"/>
      <x:c r="G342" s="6"/>
      <x:c r="H342" s="6"/>
      <x:c r="I342" s="6"/>
      <x:c r="J342" s="6"/>
    </x:row>
    <x:row r="343">
      <x:c r="A343" s="6"/>
      <x:c r="B343" s="6"/>
      <x:c r="C343" s="6"/>
      <x:c r="D343" s="6"/>
      <x:c r="E343" s="6"/>
      <x:c r="F343" s="6"/>
      <x:c r="G343" s="6"/>
      <x:c r="H343" s="6"/>
      <x:c r="I343" s="6"/>
      <x:c r="J343" s="6"/>
    </x:row>
    <x:row r="344">
      <x:c r="A344" s="6"/>
      <x:c r="B344" s="6"/>
      <x:c r="C344" s="6"/>
      <x:c r="D344" s="6"/>
      <x:c r="E344" s="6"/>
      <x:c r="F344" s="6"/>
      <x:c r="G344" s="6"/>
      <x:c r="H344" s="6"/>
      <x:c r="I344" s="6"/>
      <x:c r="J344" s="6"/>
    </x:row>
    <x:row r="345">
      <x:c r="A345" s="6"/>
      <x:c r="B345" s="6"/>
      <x:c r="C345" s="6"/>
      <x:c r="D345" s="6"/>
      <x:c r="E345" s="6"/>
      <x:c r="F345" s="6"/>
      <x:c r="G345" s="6"/>
      <x:c r="H345" s="6"/>
      <x:c r="I345" s="6"/>
      <x:c r="J345" s="6"/>
    </x:row>
    <x:row r="346">
      <x:c r="A346" s="6"/>
      <x:c r="B346" s="6"/>
      <x:c r="C346" s="6"/>
      <x:c r="D346" s="6"/>
      <x:c r="E346" s="6"/>
      <x:c r="F346" s="6"/>
      <x:c r="G346" s="6"/>
      <x:c r="H346" s="6"/>
      <x:c r="I346" s="6"/>
      <x:c r="J346" s="6"/>
    </x:row>
    <x:row r="347">
      <x:c r="A347" s="6"/>
      <x:c r="B347" s="6"/>
      <x:c r="C347" s="6"/>
      <x:c r="D347" s="6"/>
      <x:c r="E347" s="6"/>
      <x:c r="F347" s="6"/>
      <x:c r="G347" s="6"/>
      <x:c r="H347" s="6"/>
      <x:c r="I347" s="6"/>
      <x:c r="J347" s="6"/>
    </x:row>
    <x:row r="348">
      <x:c r="A348" s="6"/>
      <x:c r="B348" s="6"/>
      <x:c r="C348" s="6"/>
      <x:c r="D348" s="6"/>
      <x:c r="E348" s="6"/>
      <x:c r="F348" s="6"/>
      <x:c r="G348" s="6"/>
      <x:c r="H348" s="6"/>
      <x:c r="I348" s="6"/>
      <x:c r="J348" s="6"/>
    </x:row>
    <x:row r="349">
      <x:c r="A349" s="6"/>
      <x:c r="B349" s="6"/>
      <x:c r="C349" s="6"/>
      <x:c r="D349" s="6"/>
      <x:c r="E349" s="6"/>
      <x:c r="F349" s="6"/>
      <x:c r="G349" s="6"/>
      <x:c r="H349" s="6"/>
      <x:c r="I349" s="6"/>
      <x:c r="J349" s="6"/>
    </x:row>
    <x:row r="350">
      <x:c r="A350" s="6"/>
      <x:c r="B350" s="6"/>
      <x:c r="C350" s="6"/>
      <x:c r="D350" s="6"/>
      <x:c r="E350" s="6"/>
      <x:c r="F350" s="6"/>
      <x:c r="G350" s="6"/>
      <x:c r="H350" s="6"/>
      <x:c r="I350" s="6"/>
      <x:c r="J350" s="6"/>
    </x:row>
    <x:row r="351">
      <x:c r="A351" s="6"/>
      <x:c r="B351" s="6"/>
      <x:c r="C351" s="6"/>
      <x:c r="D351" s="6"/>
      <x:c r="E351" s="6"/>
      <x:c r="F351" s="6"/>
      <x:c r="G351" s="6"/>
      <x:c r="H351" s="6"/>
      <x:c r="I351" s="6"/>
      <x:c r="J351" s="6"/>
    </x:row>
    <x:row r="352">
      <x:c r="A352" s="6"/>
      <x:c r="B352" s="6"/>
      <x:c r="C352" s="6"/>
      <x:c r="D352" s="6"/>
      <x:c r="E352" s="6"/>
      <x:c r="F352" s="6"/>
      <x:c r="G352" s="6"/>
      <x:c r="H352" s="6"/>
      <x:c r="I352" s="6"/>
      <x:c r="J352" s="6"/>
    </x:row>
    <x:row r="353">
      <x:c r="A353" s="6"/>
      <x:c r="B353" s="6"/>
      <x:c r="C353" s="6"/>
      <x:c r="D353" s="6"/>
      <x:c r="E353" s="6"/>
      <x:c r="F353" s="6"/>
      <x:c r="G353" s="6"/>
      <x:c r="H353" s="6"/>
      <x:c r="I353" s="6"/>
      <x:c r="J353" s="6"/>
    </x:row>
    <x:row r="354">
      <x:c r="A354" s="6"/>
      <x:c r="B354" s="6"/>
      <x:c r="C354" s="6"/>
      <x:c r="D354" s="6"/>
      <x:c r="E354" s="6"/>
      <x:c r="F354" s="6"/>
      <x:c r="G354" s="6"/>
      <x:c r="H354" s="6"/>
      <x:c r="I354" s="6"/>
      <x:c r="J354" s="6"/>
    </x:row>
    <x:row r="355">
      <x:c r="A355" s="6"/>
      <x:c r="B355" s="6"/>
      <x:c r="C355" s="6"/>
      <x:c r="D355" s="6"/>
      <x:c r="E355" s="6"/>
      <x:c r="F355" s="6"/>
      <x:c r="G355" s="6"/>
      <x:c r="H355" s="6"/>
      <x:c r="I355" s="6"/>
      <x:c r="J355" s="6"/>
    </x:row>
    <x:row r="356">
      <x:c r="A356" s="6"/>
      <x:c r="B356" s="6"/>
      <x:c r="C356" s="6"/>
      <x:c r="D356" s="6"/>
      <x:c r="E356" s="6"/>
      <x:c r="F356" s="6"/>
      <x:c r="G356" s="6"/>
      <x:c r="H356" s="6"/>
      <x:c r="I356" s="6"/>
      <x:c r="J356" s="6"/>
    </x:row>
    <x:row r="357">
      <x:c r="A357" s="6"/>
      <x:c r="B357" s="6"/>
      <x:c r="C357" s="6"/>
      <x:c r="D357" s="6"/>
      <x:c r="E357" s="6"/>
      <x:c r="F357" s="6"/>
      <x:c r="G357" s="6"/>
      <x:c r="H357" s="6"/>
      <x:c r="I357" s="6"/>
      <x:c r="J357" s="6"/>
    </x:row>
    <x:row r="358">
      <x:c r="A358" s="6"/>
      <x:c r="B358" s="6"/>
      <x:c r="C358" s="6"/>
      <x:c r="D358" s="6"/>
      <x:c r="E358" s="6"/>
      <x:c r="F358" s="6"/>
      <x:c r="G358" s="6"/>
      <x:c r="H358" s="6"/>
      <x:c r="I358" s="6"/>
      <x:c r="J358" s="6"/>
    </x:row>
    <x:row r="359">
      <x:c r="A359" s="6"/>
      <x:c r="B359" s="6"/>
      <x:c r="C359" s="6"/>
      <x:c r="D359" s="6"/>
      <x:c r="E359" s="6"/>
      <x:c r="F359" s="6"/>
      <x:c r="G359" s="6"/>
      <x:c r="H359" s="6"/>
      <x:c r="I359" s="6"/>
      <x:c r="J359" s="6"/>
    </x:row>
    <x:row r="360">
      <x:c r="A360" s="6"/>
      <x:c r="B360" s="6"/>
      <x:c r="C360" s="6"/>
      <x:c r="D360" s="6"/>
      <x:c r="E360" s="6"/>
      <x:c r="F360" s="6"/>
      <x:c r="G360" s="6"/>
      <x:c r="H360" s="6"/>
      <x:c r="I360" s="6"/>
      <x:c r="J360" s="6"/>
    </x:row>
    <x:row r="361">
      <x:c r="A361" s="6"/>
      <x:c r="B361" s="6"/>
      <x:c r="C361" s="6"/>
      <x:c r="D361" s="6"/>
      <x:c r="E361" s="6"/>
      <x:c r="F361" s="6"/>
      <x:c r="G361" s="6"/>
      <x:c r="H361" s="6"/>
      <x:c r="I361" s="6"/>
      <x:c r="J361" s="6"/>
    </x:row>
    <x:row r="362">
      <x:c r="A362" s="6"/>
      <x:c r="B362" s="6"/>
      <x:c r="C362" s="6"/>
      <x:c r="D362" s="6"/>
      <x:c r="E362" s="6"/>
      <x:c r="F362" s="6"/>
      <x:c r="G362" s="6"/>
      <x:c r="H362" s="6"/>
      <x:c r="I362" s="6"/>
      <x:c r="J362" s="6"/>
    </x:row>
    <x:row r="363">
      <x:c r="A363" s="6"/>
      <x:c r="B363" s="6"/>
      <x:c r="C363" s="6"/>
      <x:c r="D363" s="6"/>
      <x:c r="E363" s="6"/>
      <x:c r="F363" s="6"/>
      <x:c r="G363" s="6"/>
      <x:c r="H363" s="6"/>
      <x:c r="I363" s="6"/>
      <x:c r="J363" s="6"/>
    </x:row>
    <x:row r="364">
      <x:c r="A364" s="6"/>
      <x:c r="B364" s="6"/>
      <x:c r="C364" s="6"/>
      <x:c r="D364" s="6"/>
      <x:c r="E364" s="6"/>
      <x:c r="F364" s="6"/>
      <x:c r="G364" s="6"/>
      <x:c r="H364" s="6"/>
      <x:c r="I364" s="6"/>
      <x:c r="J364" s="6"/>
    </x:row>
    <x:row r="365">
      <x:c r="A365" s="6"/>
      <x:c r="B365" s="6"/>
      <x:c r="C365" s="6"/>
      <x:c r="D365" s="6"/>
      <x:c r="E365" s="6"/>
      <x:c r="F365" s="6"/>
      <x:c r="G365" s="6"/>
      <x:c r="H365" s="6"/>
      <x:c r="I365" s="6"/>
      <x:c r="J365" s="6"/>
    </x:row>
    <x:row r="366">
      <x:c r="A366" s="6"/>
      <x:c r="B366" s="6"/>
      <x:c r="C366" s="6"/>
      <x:c r="D366" s="6"/>
      <x:c r="E366" s="6"/>
      <x:c r="F366" s="6"/>
      <x:c r="G366" s="6"/>
      <x:c r="H366" s="6"/>
      <x:c r="I366" s="6"/>
      <x:c r="J366" s="6"/>
    </x:row>
    <x:row r="367">
      <x:c r="A367" s="6"/>
      <x:c r="B367" s="6"/>
      <x:c r="C367" s="6"/>
      <x:c r="D367" s="6"/>
      <x:c r="E367" s="6"/>
      <x:c r="F367" s="6"/>
      <x:c r="G367" s="6"/>
      <x:c r="H367" s="6"/>
      <x:c r="I367" s="6"/>
      <x:c r="J367" s="6"/>
    </x:row>
    <x:row r="368">
      <x:c r="A368" s="6"/>
      <x:c r="B368" s="6"/>
      <x:c r="C368" s="6"/>
      <x:c r="D368" s="6"/>
      <x:c r="E368" s="6"/>
      <x:c r="F368" s="6"/>
      <x:c r="G368" s="6"/>
      <x:c r="H368" s="6"/>
      <x:c r="I368" s="6"/>
      <x:c r="J368" s="6"/>
    </x:row>
    <x:row r="369">
      <x:c r="A369" s="6"/>
      <x:c r="B369" s="6"/>
      <x:c r="C369" s="6"/>
      <x:c r="D369" s="6"/>
      <x:c r="E369" s="6"/>
      <x:c r="F369" s="6"/>
      <x:c r="G369" s="6"/>
      <x:c r="H369" s="6"/>
      <x:c r="I369" s="6"/>
      <x:c r="J369" s="6"/>
    </x:row>
    <x:row r="370">
      <x:c r="A370" s="6"/>
      <x:c r="B370" s="6"/>
      <x:c r="C370" s="6"/>
      <x:c r="D370" s="6"/>
      <x:c r="E370" s="6"/>
      <x:c r="F370" s="6"/>
      <x:c r="G370" s="6"/>
      <x:c r="H370" s="6"/>
      <x:c r="I370" s="6"/>
      <x:c r="J370" s="6"/>
    </x:row>
    <x:row r="371">
      <x:c r="A371" s="6"/>
      <x:c r="B371" s="6"/>
      <x:c r="C371" s="6"/>
      <x:c r="D371" s="6"/>
      <x:c r="E371" s="6"/>
      <x:c r="F371" s="6"/>
      <x:c r="G371" s="6"/>
      <x:c r="H371" s="6"/>
      <x:c r="I371" s="6"/>
      <x:c r="J371" s="6"/>
    </x:row>
    <x:row r="372">
      <x:c r="A372" s="6"/>
      <x:c r="B372" s="6"/>
      <x:c r="C372" s="6"/>
      <x:c r="D372" s="6"/>
      <x:c r="E372" s="6"/>
      <x:c r="F372" s="6"/>
      <x:c r="G372" s="6"/>
      <x:c r="H372" s="6"/>
      <x:c r="I372" s="6"/>
      <x:c r="J372" s="6"/>
    </x:row>
    <x:row r="373">
      <x:c r="A373" s="6"/>
      <x:c r="B373" s="6"/>
      <x:c r="C373" s="6"/>
      <x:c r="D373" s="6"/>
      <x:c r="E373" s="6"/>
      <x:c r="F373" s="6"/>
      <x:c r="G373" s="6"/>
      <x:c r="H373" s="6"/>
      <x:c r="I373" s="6"/>
      <x:c r="J373" s="6"/>
    </x:row>
    <x:row r="374">
      <x:c r="A374" s="6"/>
      <x:c r="B374" s="6"/>
      <x:c r="C374" s="6"/>
      <x:c r="D374" s="6"/>
      <x:c r="E374" s="6"/>
      <x:c r="F374" s="6"/>
      <x:c r="G374" s="6"/>
      <x:c r="H374" s="6"/>
      <x:c r="I374" s="6"/>
      <x:c r="J374" s="6"/>
    </x:row>
    <x:row r="375">
      <x:c r="A375" s="6"/>
      <x:c r="B375" s="6"/>
      <x:c r="C375" s="6"/>
      <x:c r="D375" s="6"/>
      <x:c r="E375" s="6"/>
      <x:c r="F375" s="6"/>
      <x:c r="G375" s="6"/>
      <x:c r="H375" s="6"/>
      <x:c r="I375" s="6"/>
      <x:c r="J375" s="6"/>
    </x:row>
    <x:row r="376">
      <x:c r="A376" s="6"/>
      <x:c r="B376" s="6"/>
      <x:c r="C376" s="6"/>
      <x:c r="D376" s="6"/>
      <x:c r="E376" s="6"/>
      <x:c r="F376" s="6"/>
      <x:c r="G376" s="6"/>
      <x:c r="H376" s="6"/>
      <x:c r="I376" s="6"/>
      <x:c r="J376" s="6"/>
    </x:row>
    <x:row r="377">
      <x:c r="A377" s="6"/>
      <x:c r="B377" s="6"/>
      <x:c r="C377" s="6"/>
      <x:c r="D377" s="6"/>
      <x:c r="E377" s="6"/>
      <x:c r="F377" s="6"/>
      <x:c r="G377" s="6"/>
      <x:c r="H377" s="6"/>
      <x:c r="I377" s="6"/>
      <x:c r="J377" s="6"/>
    </x:row>
    <x:row r="378">
      <x:c r="A378" s="6"/>
      <x:c r="B378" s="6"/>
      <x:c r="C378" s="6"/>
      <x:c r="D378" s="6"/>
      <x:c r="E378" s="6"/>
      <x:c r="F378" s="6"/>
      <x:c r="G378" s="6"/>
      <x:c r="H378" s="6"/>
      <x:c r="I378" s="6"/>
      <x:c r="J378" s="6"/>
    </x:row>
    <x:row r="379">
      <x:c r="A379" s="6"/>
      <x:c r="B379" s="6"/>
      <x:c r="C379" s="6"/>
      <x:c r="D379" s="6"/>
      <x:c r="E379" s="6"/>
      <x:c r="F379" s="6"/>
      <x:c r="G379" s="6"/>
      <x:c r="H379" s="6"/>
      <x:c r="I379" s="6"/>
      <x:c r="J379" s="6"/>
    </x:row>
    <x:row r="380">
      <x:c r="A380" s="6"/>
      <x:c r="B380" s="6"/>
      <x:c r="C380" s="6"/>
      <x:c r="D380" s="6"/>
      <x:c r="E380" s="6"/>
      <x:c r="F380" s="6"/>
      <x:c r="G380" s="6"/>
      <x:c r="H380" s="6"/>
      <x:c r="I380" s="6"/>
      <x:c r="J380" s="6"/>
    </x:row>
    <x:row r="381">
      <x:c r="A381" s="6"/>
      <x:c r="B381" s="6"/>
      <x:c r="C381" s="6"/>
      <x:c r="D381" s="6"/>
      <x:c r="E381" s="6"/>
      <x:c r="F381" s="6"/>
      <x:c r="G381" s="6"/>
      <x:c r="H381" s="6"/>
      <x:c r="I381" s="6"/>
      <x:c r="J381" s="6"/>
    </x:row>
    <x:row r="382">
      <x:c r="A382" s="6"/>
      <x:c r="B382" s="6"/>
      <x:c r="C382" s="6"/>
      <x:c r="D382" s="6"/>
      <x:c r="E382" s="6"/>
      <x:c r="F382" s="6"/>
      <x:c r="G382" s="6"/>
      <x:c r="H382" s="6"/>
      <x:c r="I382" s="6"/>
      <x:c r="J382" s="6"/>
    </x:row>
    <x:row r="383">
      <x:c r="A383" s="6"/>
      <x:c r="B383" s="6"/>
      <x:c r="C383" s="6"/>
      <x:c r="D383" s="6"/>
      <x:c r="E383" s="6"/>
      <x:c r="F383" s="6"/>
      <x:c r="G383" s="6"/>
      <x:c r="H383" s="6"/>
      <x:c r="I383" s="6"/>
      <x:c r="J383" s="6"/>
    </x:row>
    <x:row r="384">
      <x:c r="A384" s="6"/>
      <x:c r="B384" s="6"/>
      <x:c r="C384" s="6"/>
      <x:c r="D384" s="6"/>
      <x:c r="E384" s="6"/>
      <x:c r="F384" s="6"/>
      <x:c r="G384" s="6"/>
      <x:c r="H384" s="6"/>
      <x:c r="I384" s="6"/>
      <x:c r="J384" s="6"/>
    </x:row>
    <x:row r="385">
      <x:c r="A385" s="6"/>
      <x:c r="B385" s="6"/>
      <x:c r="C385" s="6"/>
      <x:c r="D385" s="6"/>
      <x:c r="E385" s="6"/>
      <x:c r="F385" s="6"/>
      <x:c r="G385" s="6"/>
      <x:c r="H385" s="6"/>
      <x:c r="I385" s="6"/>
      <x:c r="J385" s="6"/>
    </x:row>
    <x:row r="386">
      <x:c r="A386" s="6"/>
      <x:c r="B386" s="6"/>
      <x:c r="C386" s="6"/>
      <x:c r="D386" s="6"/>
      <x:c r="E386" s="6"/>
      <x:c r="F386" s="6"/>
      <x:c r="G386" s="6"/>
      <x:c r="H386" s="6"/>
      <x:c r="I386" s="6"/>
      <x:c r="J386" s="6"/>
    </x:row>
    <x:row r="387">
      <x:c r="A387" s="6"/>
      <x:c r="B387" s="6"/>
      <x:c r="C387" s="6"/>
      <x:c r="D387" s="6"/>
      <x:c r="E387" s="6"/>
      <x:c r="F387" s="6"/>
      <x:c r="G387" s="6"/>
      <x:c r="H387" s="6"/>
      <x:c r="I387" s="6"/>
      <x:c r="J387" s="6"/>
    </x:row>
    <x:row r="388">
      <x:c r="A388" s="6"/>
      <x:c r="B388" s="6"/>
      <x:c r="C388" s="6"/>
      <x:c r="D388" s="6"/>
      <x:c r="E388" s="6"/>
      <x:c r="F388" s="6"/>
      <x:c r="G388" s="6"/>
      <x:c r="H388" s="6"/>
      <x:c r="I388" s="6"/>
      <x:c r="J388" s="6"/>
    </x:row>
    <x:row r="389">
      <x:c r="A389" s="6"/>
      <x:c r="B389" s="6"/>
      <x:c r="C389" s="6"/>
      <x:c r="D389" s="6"/>
      <x:c r="E389" s="6"/>
      <x:c r="F389" s="6"/>
      <x:c r="G389" s="6"/>
      <x:c r="H389" s="6"/>
      <x:c r="I389" s="6"/>
      <x:c r="J389" s="6"/>
    </x:row>
    <x:row r="390">
      <x:c r="A390" s="6"/>
      <x:c r="B390" s="6"/>
      <x:c r="C390" s="6"/>
      <x:c r="D390" s="6"/>
      <x:c r="E390" s="6"/>
      <x:c r="F390" s="6"/>
      <x:c r="G390" s="6"/>
      <x:c r="H390" s="6"/>
      <x:c r="I390" s="6"/>
      <x:c r="J390" s="6"/>
    </x:row>
    <x:row r="391">
      <x:c r="A391" s="6"/>
      <x:c r="B391" s="6"/>
      <x:c r="C391" s="6"/>
      <x:c r="D391" s="6"/>
      <x:c r="E391" s="6"/>
      <x:c r="F391" s="6"/>
      <x:c r="G391" s="6"/>
      <x:c r="H391" s="6"/>
      <x:c r="I391" s="6"/>
      <x:c r="J391" s="6"/>
    </x:row>
    <x:row r="392">
      <x:c r="A392" s="6"/>
      <x:c r="B392" s="6"/>
      <x:c r="C392" s="6"/>
      <x:c r="D392" s="6"/>
      <x:c r="E392" s="6"/>
      <x:c r="F392" s="6"/>
      <x:c r="G392" s="6"/>
      <x:c r="H392" s="6"/>
      <x:c r="I392" s="6"/>
      <x:c r="J392" s="6"/>
    </x:row>
    <x:row r="393">
      <x:c r="A393" s="6"/>
      <x:c r="B393" s="6"/>
      <x:c r="C393" s="6"/>
      <x:c r="D393" s="6"/>
      <x:c r="E393" s="6"/>
      <x:c r="F393" s="6"/>
      <x:c r="G393" s="6"/>
      <x:c r="H393" s="6"/>
      <x:c r="I393" s="6"/>
      <x:c r="J393" s="6"/>
    </x:row>
    <x:row r="394">
      <x:c r="A394" s="6"/>
      <x:c r="B394" s="6"/>
      <x:c r="C394" s="6"/>
      <x:c r="D394" s="6"/>
      <x:c r="E394" s="6"/>
      <x:c r="F394" s="6"/>
      <x:c r="G394" s="6"/>
      <x:c r="H394" s="6"/>
      <x:c r="I394" s="6"/>
      <x:c r="J394" s="6"/>
    </x:row>
    <x:row r="395">
      <x:c r="A395" s="6"/>
      <x:c r="B395" s="6"/>
      <x:c r="C395" s="6"/>
      <x:c r="D395" s="6"/>
      <x:c r="E395" s="6"/>
      <x:c r="F395" s="6"/>
      <x:c r="G395" s="6"/>
      <x:c r="H395" s="6"/>
      <x:c r="I395" s="6"/>
      <x:c r="J395" s="6"/>
    </x:row>
    <x:row r="396">
      <x:c r="A396" s="6"/>
      <x:c r="B396" s="6"/>
      <x:c r="C396" s="6"/>
      <x:c r="D396" s="6"/>
      <x:c r="E396" s="6"/>
      <x:c r="F396" s="6"/>
      <x:c r="G396" s="6"/>
      <x:c r="H396" s="6"/>
      <x:c r="I396" s="6"/>
      <x:c r="J396" s="6"/>
    </x:row>
    <x:row r="397">
      <x:c r="A397" s="6"/>
      <x:c r="B397" s="6"/>
      <x:c r="C397" s="6"/>
      <x:c r="D397" s="6"/>
      <x:c r="E397" s="6"/>
      <x:c r="F397" s="6"/>
      <x:c r="G397" s="6"/>
      <x:c r="H397" s="6"/>
      <x:c r="I397" s="6"/>
      <x:c r="J397" s="6"/>
    </x:row>
    <x:row r="398">
      <x:c r="A398" s="6"/>
      <x:c r="B398" s="6"/>
      <x:c r="C398" s="6"/>
      <x:c r="D398" s="6"/>
      <x:c r="E398" s="6"/>
      <x:c r="F398" s="6"/>
      <x:c r="G398" s="6"/>
      <x:c r="H398" s="6"/>
      <x:c r="I398" s="6"/>
      <x:c r="J398" s="6"/>
    </x:row>
    <x:row r="399">
      <x:c r="A399" s="6"/>
      <x:c r="B399" s="6"/>
      <x:c r="C399" s="6"/>
      <x:c r="D399" s="6"/>
      <x:c r="E399" s="6"/>
      <x:c r="F399" s="6"/>
      <x:c r="G399" s="6"/>
      <x:c r="H399" s="6"/>
      <x:c r="I399" s="6"/>
      <x:c r="J399" s="6"/>
    </x:row>
    <x:row r="400">
      <x:c r="A400" s="6"/>
      <x:c r="B400" s="6"/>
      <x:c r="C400" s="6"/>
      <x:c r="D400" s="6"/>
      <x:c r="E400" s="6"/>
      <x:c r="F400" s="6"/>
      <x:c r="G400" s="6"/>
      <x:c r="H400" s="6"/>
      <x:c r="I400" s="6"/>
      <x:c r="J400" s="6"/>
    </x:row>
    <x:row r="401">
      <x:c r="A401" s="6"/>
      <x:c r="B401" s="6"/>
      <x:c r="C401" s="6"/>
      <x:c r="D401" s="6"/>
      <x:c r="E401" s="6"/>
      <x:c r="F401" s="6"/>
      <x:c r="G401" s="6"/>
      <x:c r="H401" s="6"/>
      <x:c r="I401" s="6"/>
      <x:c r="J401" s="6"/>
    </x:row>
    <x:row r="402">
      <x:c r="A402" s="6"/>
      <x:c r="B402" s="6"/>
      <x:c r="C402" s="6"/>
      <x:c r="D402" s="6"/>
      <x:c r="E402" s="6"/>
      <x:c r="F402" s="6"/>
      <x:c r="G402" s="6"/>
      <x:c r="H402" s="6"/>
      <x:c r="I402" s="6"/>
      <x:c r="J402" s="6"/>
    </x:row>
    <x:row r="403">
      <x:c r="A403" s="6"/>
      <x:c r="B403" s="6"/>
      <x:c r="C403" s="6"/>
      <x:c r="D403" s="6"/>
      <x:c r="E403" s="6"/>
      <x:c r="F403" s="6"/>
      <x:c r="G403" s="6"/>
      <x:c r="H403" s="6"/>
      <x:c r="I403" s="6"/>
      <x:c r="J403" s="6"/>
    </x:row>
    <x:row r="404">
      <x:c r="A404" s="6"/>
      <x:c r="B404" s="6"/>
      <x:c r="C404" s="6"/>
      <x:c r="D404" s="6"/>
      <x:c r="E404" s="6"/>
      <x:c r="F404" s="6"/>
      <x:c r="G404" s="6"/>
      <x:c r="H404" s="6"/>
      <x:c r="I404" s="6"/>
      <x:c r="J404" s="6"/>
    </x:row>
    <x:row r="405">
      <x:c r="A405" s="6"/>
      <x:c r="B405" s="6"/>
      <x:c r="C405" s="6"/>
      <x:c r="D405" s="6"/>
      <x:c r="E405" s="6"/>
      <x:c r="F405" s="6"/>
      <x:c r="G405" s="6"/>
      <x:c r="H405" s="6"/>
      <x:c r="I405" s="6"/>
      <x:c r="J405" s="6"/>
    </x:row>
    <x:row r="406">
      <x:c r="A406" s="6"/>
      <x:c r="B406" s="6"/>
      <x:c r="C406" s="6"/>
      <x:c r="D406" s="6"/>
      <x:c r="E406" s="6"/>
      <x:c r="F406" s="6"/>
      <x:c r="G406" s="6"/>
      <x:c r="H406" s="6"/>
      <x:c r="I406" s="6"/>
      <x:c r="J406" s="6"/>
    </x:row>
    <x:row r="407">
      <x:c r="A407" s="6"/>
      <x:c r="B407" s="6"/>
      <x:c r="C407" s="6"/>
      <x:c r="D407" s="6"/>
      <x:c r="E407" s="6"/>
      <x:c r="F407" s="6"/>
      <x:c r="G407" s="6"/>
      <x:c r="H407" s="6"/>
      <x:c r="I407" s="6"/>
      <x:c r="J407" s="6"/>
    </x:row>
    <x:row r="408">
      <x:c r="A408" s="6"/>
      <x:c r="B408" s="6"/>
      <x:c r="C408" s="6"/>
      <x:c r="D408" s="6"/>
      <x:c r="E408" s="6"/>
      <x:c r="F408" s="6"/>
      <x:c r="G408" s="6"/>
      <x:c r="H408" s="6"/>
      <x:c r="I408" s="6"/>
      <x:c r="J408" s="6"/>
    </x:row>
    <x:row r="409">
      <x:c r="A409" s="6"/>
      <x:c r="B409" s="6"/>
      <x:c r="C409" s="6"/>
      <x:c r="D409" s="6"/>
      <x:c r="E409" s="6"/>
      <x:c r="F409" s="6"/>
      <x:c r="G409" s="6"/>
      <x:c r="H409" s="6"/>
      <x:c r="I409" s="6"/>
      <x:c r="J409" s="6"/>
    </x:row>
    <x:row r="410">
      <x:c r="A410" s="6"/>
      <x:c r="B410" s="6"/>
      <x:c r="C410" s="6"/>
      <x:c r="D410" s="6"/>
      <x:c r="E410" s="6"/>
      <x:c r="F410" s="6"/>
      <x:c r="G410" s="6"/>
      <x:c r="H410" s="6"/>
      <x:c r="I410" s="6"/>
      <x:c r="J410" s="6"/>
    </x:row>
    <x:row r="411">
      <x:c r="A411" s="6"/>
      <x:c r="B411" s="6"/>
      <x:c r="C411" s="6"/>
      <x:c r="D411" s="6"/>
      <x:c r="E411" s="6"/>
      <x:c r="F411" s="6"/>
      <x:c r="G411" s="6"/>
      <x:c r="H411" s="6"/>
      <x:c r="I411" s="6"/>
      <x:c r="J411" s="6"/>
    </x:row>
    <x:row r="412">
      <x:c r="A412" s="6"/>
      <x:c r="B412" s="6"/>
      <x:c r="C412" s="6"/>
      <x:c r="D412" s="6"/>
      <x:c r="E412" s="6"/>
      <x:c r="F412" s="6"/>
      <x:c r="G412" s="6"/>
      <x:c r="H412" s="6"/>
      <x:c r="I412" s="6"/>
      <x:c r="J412" s="6"/>
    </x:row>
    <x:row r="413">
      <x:c r="A413" s="6"/>
      <x:c r="B413" s="6"/>
      <x:c r="C413" s="6"/>
      <x:c r="D413" s="6"/>
      <x:c r="E413" s="6"/>
      <x:c r="F413" s="6"/>
      <x:c r="G413" s="6"/>
      <x:c r="H413" s="6"/>
      <x:c r="I413" s="6"/>
      <x:c r="J413" s="6"/>
    </x:row>
    <x:row r="414">
      <x:c r="A414" s="6"/>
      <x:c r="B414" s="6"/>
      <x:c r="C414" s="6"/>
      <x:c r="D414" s="6"/>
      <x:c r="E414" s="6"/>
      <x:c r="F414" s="6"/>
      <x:c r="G414" s="6"/>
      <x:c r="H414" s="6"/>
      <x:c r="I414" s="6"/>
      <x:c r="J414" s="6"/>
    </x:row>
    <x:row r="415">
      <x:c r="A415" s="6"/>
      <x:c r="B415" s="6"/>
      <x:c r="C415" s="6"/>
      <x:c r="D415" s="6"/>
      <x:c r="E415" s="6"/>
      <x:c r="F415" s="6"/>
      <x:c r="G415" s="6"/>
      <x:c r="H415" s="6"/>
      <x:c r="I415" s="6"/>
      <x:c r="J415" s="6"/>
    </x:row>
    <x:row r="416">
      <x:c r="A416" s="6"/>
      <x:c r="B416" s="6"/>
      <x:c r="C416" s="6"/>
      <x:c r="D416" s="6"/>
      <x:c r="E416" s="6"/>
      <x:c r="F416" s="6"/>
      <x:c r="G416" s="6"/>
      <x:c r="H416" s="6"/>
      <x:c r="I416" s="6"/>
      <x:c r="J416" s="6"/>
    </x:row>
    <x:row r="417">
      <x:c r="A417" s="6"/>
      <x:c r="B417" s="6"/>
      <x:c r="C417" s="6"/>
      <x:c r="D417" s="6"/>
      <x:c r="E417" s="6"/>
      <x:c r="F417" s="6"/>
      <x:c r="G417" s="6"/>
      <x:c r="H417" s="6"/>
      <x:c r="I417" s="6"/>
      <x:c r="J417" s="6"/>
    </x:row>
    <x:row r="418">
      <x:c r="A418" s="6"/>
      <x:c r="B418" s="6"/>
      <x:c r="C418" s="6"/>
      <x:c r="D418" s="6"/>
      <x:c r="E418" s="6"/>
      <x:c r="F418" s="6"/>
      <x:c r="G418" s="6"/>
      <x:c r="H418" s="6"/>
      <x:c r="I418" s="6"/>
      <x:c r="J418" s="6"/>
    </x:row>
    <x:row r="419">
      <x:c r="A419" s="6"/>
      <x:c r="B419" s="6"/>
      <x:c r="C419" s="6"/>
      <x:c r="D419" s="6"/>
      <x:c r="E419" s="6"/>
      <x:c r="F419" s="6"/>
      <x:c r="G419" s="6"/>
      <x:c r="H419" s="6"/>
      <x:c r="I419" s="6"/>
      <x:c r="J419" s="6"/>
    </x:row>
    <x:row r="420">
      <x:c r="A420" s="6"/>
      <x:c r="B420" s="6"/>
      <x:c r="C420" s="6"/>
      <x:c r="D420" s="6"/>
      <x:c r="E420" s="6"/>
      <x:c r="F420" s="6"/>
      <x:c r="G420" s="6"/>
      <x:c r="H420" s="6"/>
      <x:c r="I420" s="6"/>
      <x:c r="J420" s="6"/>
    </x:row>
    <x:row r="421">
      <x:c r="A421" s="6"/>
      <x:c r="B421" s="6"/>
      <x:c r="C421" s="6"/>
      <x:c r="D421" s="6"/>
      <x:c r="E421" s="6"/>
      <x:c r="F421" s="6"/>
      <x:c r="G421" s="6"/>
      <x:c r="H421" s="6"/>
      <x:c r="I421" s="6"/>
      <x:c r="J421" s="6"/>
    </x:row>
    <x:row r="422">
      <x:c r="A422" s="6"/>
      <x:c r="B422" s="6"/>
      <x:c r="C422" s="6"/>
      <x:c r="D422" s="6"/>
      <x:c r="E422" s="6"/>
      <x:c r="F422" s="6"/>
      <x:c r="G422" s="6"/>
      <x:c r="H422" s="6"/>
      <x:c r="I422" s="6"/>
      <x:c r="J422" s="6"/>
    </x:row>
    <x:row r="423">
      <x:c r="A423" s="6"/>
      <x:c r="B423" s="6"/>
      <x:c r="C423" s="6"/>
      <x:c r="D423" s="6"/>
      <x:c r="E423" s="6"/>
      <x:c r="F423" s="6"/>
      <x:c r="G423" s="6"/>
      <x:c r="H423" s="6"/>
      <x:c r="I423" s="6"/>
      <x:c r="J423" s="6"/>
    </x:row>
    <x:row r="424">
      <x:c r="A424" s="6"/>
      <x:c r="B424" s="6"/>
      <x:c r="C424" s="6"/>
      <x:c r="D424" s="6"/>
      <x:c r="E424" s="6"/>
      <x:c r="F424" s="6"/>
      <x:c r="G424" s="6"/>
      <x:c r="H424" s="6"/>
      <x:c r="I424" s="6"/>
      <x:c r="J424" s="6"/>
    </x:row>
    <x:row r="425">
      <x:c r="A425" s="6"/>
      <x:c r="B425" s="6"/>
      <x:c r="C425" s="6"/>
      <x:c r="D425" s="6"/>
      <x:c r="E425" s="6"/>
      <x:c r="F425" s="6"/>
      <x:c r="G425" s="6"/>
      <x:c r="H425" s="6"/>
      <x:c r="I425" s="6"/>
      <x:c r="J425" s="6"/>
    </x:row>
    <x:row r="426">
      <x:c r="A426" s="6"/>
      <x:c r="B426" s="6"/>
      <x:c r="C426" s="6"/>
      <x:c r="D426" s="6"/>
      <x:c r="E426" s="6"/>
      <x:c r="F426" s="6"/>
      <x:c r="G426" s="6"/>
      <x:c r="H426" s="6"/>
      <x:c r="I426" s="6"/>
      <x:c r="J426" s="6"/>
    </x:row>
    <x:row r="427">
      <x:c r="A427" s="6"/>
      <x:c r="B427" s="6"/>
      <x:c r="C427" s="6"/>
      <x:c r="D427" s="6"/>
      <x:c r="E427" s="6"/>
      <x:c r="F427" s="6"/>
      <x:c r="G427" s="6"/>
      <x:c r="H427" s="6"/>
      <x:c r="I427" s="6"/>
      <x:c r="J427" s="6"/>
    </x:row>
    <x:row r="428">
      <x:c r="A428" s="6"/>
      <x:c r="B428" s="6"/>
      <x:c r="C428" s="6"/>
      <x:c r="D428" s="6"/>
      <x:c r="E428" s="6"/>
      <x:c r="F428" s="6"/>
      <x:c r="G428" s="6"/>
      <x:c r="H428" s="6"/>
      <x:c r="I428" s="6"/>
      <x:c r="J428" s="6"/>
    </x:row>
    <x:row r="429">
      <x:c r="A429" s="6"/>
      <x:c r="B429" s="6"/>
      <x:c r="C429" s="6"/>
      <x:c r="D429" s="6"/>
      <x:c r="E429" s="6"/>
      <x:c r="F429" s="6"/>
      <x:c r="G429" s="6"/>
      <x:c r="H429" s="6"/>
      <x:c r="I429" s="6"/>
      <x:c r="J429" s="6"/>
    </x:row>
    <x:row r="430">
      <x:c r="A430" s="6"/>
      <x:c r="B430" s="6"/>
      <x:c r="C430" s="6"/>
      <x:c r="D430" s="6"/>
      <x:c r="E430" s="6"/>
      <x:c r="F430" s="6"/>
      <x:c r="G430" s="6"/>
      <x:c r="H430" s="6"/>
      <x:c r="I430" s="6"/>
      <x:c r="J430" s="6"/>
    </x:row>
    <x:row r="431">
      <x:c r="A431" s="6"/>
      <x:c r="B431" s="6"/>
      <x:c r="C431" s="6"/>
      <x:c r="D431" s="6"/>
      <x:c r="E431" s="6"/>
      <x:c r="F431" s="6"/>
      <x:c r="G431" s="6"/>
      <x:c r="H431" s="6"/>
      <x:c r="I431" s="6"/>
      <x:c r="J431" s="6"/>
    </x:row>
    <x:row r="432">
      <x:c r="A432" s="6"/>
      <x:c r="B432" s="6"/>
      <x:c r="C432" s="6"/>
      <x:c r="D432" s="6"/>
      <x:c r="E432" s="6"/>
      <x:c r="F432" s="6"/>
      <x:c r="G432" s="6"/>
      <x:c r="H432" s="6"/>
      <x:c r="I432" s="6"/>
      <x:c r="J432" s="6"/>
    </x:row>
    <x:row r="433">
      <x:c r="A433" s="6"/>
      <x:c r="B433" s="6"/>
      <x:c r="C433" s="6"/>
      <x:c r="D433" s="6"/>
      <x:c r="E433" s="6"/>
      <x:c r="F433" s="6"/>
      <x:c r="G433" s="6"/>
      <x:c r="H433" s="6"/>
      <x:c r="I433" s="6"/>
      <x:c r="J433" s="6"/>
    </x:row>
    <x:row r="434">
      <x:c r="A434" s="6"/>
      <x:c r="B434" s="6"/>
      <x:c r="C434" s="6"/>
      <x:c r="D434" s="6"/>
      <x:c r="E434" s="6"/>
      <x:c r="F434" s="6"/>
      <x:c r="G434" s="6"/>
      <x:c r="H434" s="6"/>
      <x:c r="I434" s="6"/>
      <x:c r="J434" s="6"/>
    </x:row>
    <x:row r="435">
      <x:c r="A435" s="6"/>
      <x:c r="B435" s="6"/>
      <x:c r="C435" s="6"/>
      <x:c r="D435" s="6"/>
      <x:c r="E435" s="6"/>
      <x:c r="F435" s="6"/>
      <x:c r="G435" s="6"/>
      <x:c r="H435" s="6"/>
      <x:c r="I435" s="6"/>
      <x:c r="J435" s="6"/>
    </x:row>
    <x:row r="436">
      <x:c r="A436" s="6"/>
      <x:c r="B436" s="6"/>
      <x:c r="C436" s="6"/>
      <x:c r="D436" s="6"/>
      <x:c r="E436" s="6"/>
      <x:c r="F436" s="6"/>
      <x:c r="G436" s="6"/>
      <x:c r="H436" s="6"/>
      <x:c r="I436" s="6"/>
      <x:c r="J436" s="6"/>
    </x:row>
    <x:row r="437">
      <x:c r="A437" s="6"/>
      <x:c r="B437" s="6"/>
      <x:c r="C437" s="6"/>
      <x:c r="D437" s="6"/>
      <x:c r="E437" s="6"/>
      <x:c r="F437" s="6"/>
      <x:c r="G437" s="6"/>
      <x:c r="H437" s="6"/>
      <x:c r="I437" s="6"/>
      <x:c r="J437" s="6"/>
    </x:row>
    <x:row r="438">
      <x:c r="A438" s="6"/>
      <x:c r="B438" s="6"/>
      <x:c r="C438" s="6"/>
      <x:c r="D438" s="6"/>
      <x:c r="E438" s="6"/>
      <x:c r="F438" s="6"/>
      <x:c r="G438" s="6"/>
      <x:c r="H438" s="6"/>
      <x:c r="I438" s="6"/>
      <x:c r="J438" s="6"/>
    </x:row>
    <x:row r="439">
      <x:c r="A439" s="6"/>
      <x:c r="B439" s="6"/>
      <x:c r="C439" s="6"/>
      <x:c r="D439" s="6"/>
      <x:c r="E439" s="6"/>
      <x:c r="F439" s="6"/>
      <x:c r="G439" s="6"/>
      <x:c r="H439" s="6"/>
      <x:c r="I439" s="6"/>
      <x:c r="J439" s="6"/>
    </x:row>
    <x:row r="440">
      <x:c r="A440" s="6"/>
      <x:c r="B440" s="6"/>
      <x:c r="C440" s="6"/>
      <x:c r="D440" s="6"/>
      <x:c r="E440" s="6"/>
      <x:c r="F440" s="6"/>
      <x:c r="G440" s="6"/>
      <x:c r="H440" s="6"/>
      <x:c r="I440" s="6"/>
      <x:c r="J440" s="6"/>
    </x:row>
    <x:row r="441">
      <x:c r="A441" s="6"/>
      <x:c r="B441" s="6"/>
      <x:c r="C441" s="6"/>
      <x:c r="D441" s="6"/>
      <x:c r="E441" s="6"/>
      <x:c r="F441" s="6"/>
      <x:c r="G441" s="6"/>
      <x:c r="H441" s="6"/>
      <x:c r="I441" s="6"/>
      <x:c r="J441" s="6"/>
    </x:row>
    <x:row r="442">
      <x:c r="A442" s="6"/>
      <x:c r="B442" s="6"/>
      <x:c r="C442" s="6"/>
      <x:c r="D442" s="6"/>
      <x:c r="E442" s="6"/>
      <x:c r="F442" s="6"/>
      <x:c r="G442" s="6"/>
      <x:c r="H442" s="6"/>
      <x:c r="I442" s="6"/>
      <x:c r="J442" s="6"/>
    </x:row>
    <x:row r="443">
      <x:c r="A443" s="6"/>
      <x:c r="B443" s="6"/>
      <x:c r="C443" s="6"/>
      <x:c r="D443" s="6"/>
      <x:c r="E443" s="6"/>
      <x:c r="F443" s="6"/>
      <x:c r="G443" s="6"/>
      <x:c r="H443" s="6"/>
      <x:c r="I443" s="6"/>
      <x:c r="J443" s="6"/>
    </x:row>
    <x:row r="444">
      <x:c r="A444" s="6"/>
      <x:c r="B444" s="6"/>
      <x:c r="C444" s="6"/>
      <x:c r="D444" s="6"/>
      <x:c r="E444" s="6"/>
      <x:c r="F444" s="6"/>
      <x:c r="G444" s="6"/>
      <x:c r="H444" s="6"/>
      <x:c r="I444" s="6"/>
      <x:c r="J444" s="6"/>
    </x:row>
    <x:row r="445">
      <x:c r="A445" s="6"/>
      <x:c r="B445" s="6"/>
      <x:c r="C445" s="6"/>
      <x:c r="D445" s="6"/>
      <x:c r="E445" s="6"/>
      <x:c r="F445" s="6"/>
      <x:c r="G445" s="6"/>
      <x:c r="H445" s="6"/>
      <x:c r="I445" s="6"/>
      <x:c r="J445" s="6"/>
    </x:row>
    <x:row r="446">
      <x:c r="A446" s="6"/>
      <x:c r="B446" s="6"/>
      <x:c r="C446" s="6"/>
      <x:c r="D446" s="6"/>
      <x:c r="E446" s="6"/>
      <x:c r="F446" s="6"/>
      <x:c r="G446" s="6"/>
      <x:c r="H446" s="6"/>
      <x:c r="I446" s="6"/>
      <x:c r="J446" s="6"/>
    </x:row>
    <x:row r="447">
      <x:c r="A447" s="6"/>
      <x:c r="B447" s="6"/>
      <x:c r="C447" s="6"/>
      <x:c r="D447" s="6"/>
      <x:c r="E447" s="6"/>
      <x:c r="F447" s="6"/>
      <x:c r="G447" s="6"/>
      <x:c r="H447" s="6"/>
      <x:c r="I447" s="6"/>
      <x:c r="J447" s="6"/>
    </x:row>
    <x:row r="448">
      <x:c r="A448" s="6"/>
      <x:c r="B448" s="6"/>
      <x:c r="C448" s="6"/>
      <x:c r="D448" s="6"/>
      <x:c r="E448" s="6"/>
      <x:c r="F448" s="6"/>
      <x:c r="G448" s="6"/>
      <x:c r="H448" s="6"/>
      <x:c r="I448" s="6"/>
      <x:c r="J448" s="6"/>
    </x:row>
    <x:row r="449">
      <x:c r="A449" s="6"/>
      <x:c r="B449" s="6"/>
      <x:c r="C449" s="6"/>
      <x:c r="D449" s="6"/>
      <x:c r="E449" s="6"/>
      <x:c r="F449" s="6"/>
      <x:c r="G449" s="6"/>
      <x:c r="H449" s="6"/>
      <x:c r="I449" s="6"/>
      <x:c r="J449" s="6"/>
    </x:row>
    <x:row r="450">
      <x:c r="A450" s="6"/>
      <x:c r="B450" s="6"/>
      <x:c r="C450" s="6"/>
      <x:c r="D450" s="6"/>
      <x:c r="E450" s="6"/>
      <x:c r="F450" s="6"/>
      <x:c r="G450" s="6"/>
      <x:c r="H450" s="6"/>
      <x:c r="I450" s="6"/>
      <x:c r="J450" s="6"/>
    </x:row>
    <x:row r="451">
      <x:c r="A451" s="6"/>
      <x:c r="B451" s="6"/>
      <x:c r="C451" s="6"/>
      <x:c r="D451" s="6"/>
      <x:c r="E451" s="6"/>
      <x:c r="F451" s="6"/>
      <x:c r="G451" s="6"/>
      <x:c r="H451" s="6"/>
      <x:c r="I451" s="6"/>
      <x:c r="J451" s="6"/>
    </x:row>
    <x:row r="452">
      <x:c r="A452" s="6"/>
      <x:c r="B452" s="6"/>
      <x:c r="C452" s="6"/>
      <x:c r="D452" s="6"/>
      <x:c r="E452" s="6"/>
      <x:c r="F452" s="6"/>
      <x:c r="G452" s="6"/>
      <x:c r="H452" s="6"/>
      <x:c r="I452" s="6"/>
      <x:c r="J452" s="6"/>
    </x:row>
    <x:row r="453">
      <x:c r="A453" s="6"/>
      <x:c r="B453" s="6"/>
      <x:c r="C453" s="6"/>
      <x:c r="D453" s="6"/>
      <x:c r="E453" s="6"/>
      <x:c r="F453" s="6"/>
      <x:c r="G453" s="6"/>
      <x:c r="H453" s="6"/>
      <x:c r="I453" s="6"/>
      <x:c r="J453" s="6"/>
    </x:row>
    <x:row r="454">
      <x:c r="A454" s="6"/>
      <x:c r="B454" s="6"/>
      <x:c r="C454" s="6"/>
      <x:c r="D454" s="6"/>
      <x:c r="E454" s="6"/>
      <x:c r="F454" s="6"/>
      <x:c r="G454" s="6"/>
      <x:c r="H454" s="6"/>
      <x:c r="I454" s="6"/>
      <x:c r="J454" s="6"/>
    </x:row>
    <x:row r="455">
      <x:c r="A455" s="6"/>
      <x:c r="B455" s="6"/>
      <x:c r="C455" s="6"/>
      <x:c r="D455" s="6"/>
      <x:c r="E455" s="6"/>
      <x:c r="F455" s="6"/>
      <x:c r="G455" s="6"/>
      <x:c r="H455" s="6"/>
      <x:c r="I455" s="6"/>
      <x:c r="J455" s="6"/>
    </x:row>
    <x:row r="456">
      <x:c r="A456" s="6"/>
      <x:c r="B456" s="6"/>
      <x:c r="C456" s="6"/>
      <x:c r="D456" s="6"/>
      <x:c r="E456" s="6"/>
      <x:c r="F456" s="6"/>
      <x:c r="G456" s="6"/>
      <x:c r="H456" s="6"/>
      <x:c r="I456" s="6"/>
      <x:c r="J456" s="6"/>
    </x:row>
    <x:row r="457">
      <x:c r="A457" s="6"/>
      <x:c r="B457" s="6"/>
      <x:c r="C457" s="6"/>
      <x:c r="D457" s="6"/>
      <x:c r="E457" s="6"/>
      <x:c r="F457" s="6"/>
      <x:c r="G457" s="6"/>
      <x:c r="H457" s="6"/>
      <x:c r="I457" s="6"/>
      <x:c r="J457" s="6"/>
    </x:row>
    <x:row r="458">
      <x:c r="A458" s="6"/>
      <x:c r="B458" s="6"/>
      <x:c r="C458" s="6"/>
      <x:c r="D458" s="6"/>
      <x:c r="E458" s="6"/>
      <x:c r="F458" s="6"/>
      <x:c r="G458" s="6"/>
      <x:c r="H458" s="6"/>
      <x:c r="I458" s="6"/>
      <x:c r="J458" s="6"/>
    </x:row>
    <x:row r="459">
      <x:c r="A459" s="6"/>
      <x:c r="B459" s="6"/>
      <x:c r="C459" s="6"/>
      <x:c r="D459" s="6"/>
      <x:c r="E459" s="6"/>
      <x:c r="F459" s="6"/>
      <x:c r="G459" s="6"/>
      <x:c r="H459" s="6"/>
      <x:c r="I459" s="6"/>
      <x:c r="J459" s="6"/>
    </x:row>
    <x:row r="460">
      <x:c r="A460" s="6"/>
      <x:c r="B460" s="6"/>
      <x:c r="C460" s="6"/>
      <x:c r="D460" s="6"/>
      <x:c r="E460" s="6"/>
      <x:c r="F460" s="6"/>
      <x:c r="G460" s="6"/>
      <x:c r="H460" s="6"/>
      <x:c r="I460" s="6"/>
      <x:c r="J460" s="6"/>
    </x:row>
    <x:row r="461">
      <x:c r="A461" s="6"/>
      <x:c r="B461" s="6"/>
      <x:c r="C461" s="6"/>
      <x:c r="D461" s="6"/>
      <x:c r="E461" s="6"/>
      <x:c r="F461" s="6"/>
      <x:c r="G461" s="6"/>
      <x:c r="H461" s="6"/>
      <x:c r="I461" s="6"/>
      <x:c r="J461" s="6"/>
    </x:row>
    <x:row r="462">
      <x:c r="A462" s="6"/>
      <x:c r="B462" s="6"/>
      <x:c r="C462" s="6"/>
      <x:c r="D462" s="6"/>
      <x:c r="E462" s="6"/>
      <x:c r="F462" s="6"/>
      <x:c r="G462" s="6"/>
      <x:c r="H462" s="6"/>
      <x:c r="I462" s="6"/>
      <x:c r="J462" s="6"/>
    </x:row>
    <x:row r="463">
      <x:c r="A463" s="6"/>
      <x:c r="B463" s="6"/>
      <x:c r="C463" s="6"/>
      <x:c r="D463" s="6"/>
      <x:c r="E463" s="6"/>
      <x:c r="F463" s="6"/>
      <x:c r="G463" s="6"/>
      <x:c r="H463" s="6"/>
      <x:c r="I463" s="6"/>
      <x:c r="J463" s="6"/>
    </x:row>
    <x:row r="464">
      <x:c r="A464" s="6"/>
      <x:c r="B464" s="6"/>
      <x:c r="C464" s="6"/>
      <x:c r="D464" s="6"/>
      <x:c r="E464" s="6"/>
      <x:c r="F464" s="6"/>
      <x:c r="G464" s="6"/>
      <x:c r="H464" s="6"/>
      <x:c r="I464" s="6"/>
      <x:c r="J464" s="6"/>
    </x:row>
    <x:row r="465">
      <x:c r="A465" s="6"/>
      <x:c r="B465" s="6"/>
      <x:c r="C465" s="6"/>
      <x:c r="D465" s="6"/>
      <x:c r="E465" s="6"/>
      <x:c r="F465" s="6"/>
      <x:c r="G465" s="6"/>
      <x:c r="H465" s="6"/>
      <x:c r="I465" s="6"/>
      <x:c r="J465" s="6"/>
    </x:row>
    <x:row r="466">
      <x:c r="A466" s="6"/>
      <x:c r="B466" s="6"/>
      <x:c r="C466" s="6"/>
      <x:c r="D466" s="6"/>
      <x:c r="E466" s="6"/>
      <x:c r="F466" s="6"/>
      <x:c r="G466" s="6"/>
      <x:c r="H466" s="6"/>
      <x:c r="I466" s="6"/>
      <x:c r="J466" s="6"/>
    </x:row>
    <x:row r="467">
      <x:c r="A467" s="6"/>
      <x:c r="B467" s="6"/>
      <x:c r="C467" s="6"/>
      <x:c r="D467" s="6"/>
      <x:c r="E467" s="6"/>
      <x:c r="F467" s="6"/>
      <x:c r="G467" s="6"/>
      <x:c r="H467" s="6"/>
      <x:c r="I467" s="6"/>
      <x:c r="J467" s="6"/>
    </x:row>
    <x:row r="468">
      <x:c r="A468" s="6"/>
      <x:c r="B468" s="6"/>
      <x:c r="C468" s="6"/>
      <x:c r="D468" s="6"/>
      <x:c r="E468" s="6"/>
      <x:c r="F468" s="6"/>
      <x:c r="G468" s="6"/>
      <x:c r="H468" s="6"/>
      <x:c r="I468" s="6"/>
      <x:c r="J468" s="6"/>
    </x:row>
    <x:row r="469">
      <x:c r="A469" s="6"/>
      <x:c r="B469" s="6"/>
      <x:c r="C469" s="6"/>
      <x:c r="D469" s="6"/>
      <x:c r="E469" s="6"/>
      <x:c r="F469" s="6"/>
      <x:c r="G469" s="6"/>
      <x:c r="H469" s="6"/>
      <x:c r="I469" s="6"/>
      <x:c r="J469" s="6"/>
    </x:row>
    <x:row r="470">
      <x:c r="A470" s="6"/>
      <x:c r="B470" s="6"/>
      <x:c r="C470" s="6"/>
      <x:c r="D470" s="6"/>
      <x:c r="E470" s="6"/>
      <x:c r="F470" s="6"/>
      <x:c r="G470" s="6"/>
      <x:c r="H470" s="6"/>
      <x:c r="I470" s="6"/>
      <x:c r="J470" s="6"/>
    </x:row>
    <x:row r="471">
      <x:c r="A471" s="6"/>
      <x:c r="B471" s="6"/>
      <x:c r="C471" s="6"/>
      <x:c r="D471" s="6"/>
      <x:c r="E471" s="6"/>
      <x:c r="F471" s="6"/>
      <x:c r="G471" s="6"/>
      <x:c r="H471" s="6"/>
      <x:c r="I471" s="6"/>
      <x:c r="J471" s="6"/>
    </x:row>
    <x:row r="472">
      <x:c r="A472" s="6"/>
      <x:c r="B472" s="6"/>
      <x:c r="C472" s="6"/>
      <x:c r="D472" s="6"/>
      <x:c r="E472" s="6"/>
      <x:c r="F472" s="6"/>
      <x:c r="G472" s="6"/>
      <x:c r="H472" s="6"/>
      <x:c r="I472" s="6"/>
      <x:c r="J472" s="6"/>
    </x:row>
    <x:row r="473">
      <x:c r="A473" s="6"/>
      <x:c r="B473" s="6"/>
      <x:c r="C473" s="6"/>
      <x:c r="D473" s="6"/>
      <x:c r="E473" s="6"/>
      <x:c r="F473" s="6"/>
      <x:c r="G473" s="6"/>
      <x:c r="H473" s="6"/>
      <x:c r="I473" s="6"/>
      <x:c r="J473" s="6"/>
    </x:row>
    <x:row r="474">
      <x:c r="A474" s="6"/>
      <x:c r="B474" s="6"/>
      <x:c r="C474" s="6"/>
      <x:c r="D474" s="6"/>
      <x:c r="E474" s="6"/>
      <x:c r="F474" s="6"/>
      <x:c r="G474" s="6"/>
      <x:c r="H474" s="6"/>
      <x:c r="I474" s="6"/>
      <x:c r="J474" s="6"/>
    </x:row>
    <x:row r="475">
      <x:c r="A475" s="6"/>
      <x:c r="B475" s="6"/>
      <x:c r="C475" s="6"/>
      <x:c r="D475" s="6"/>
      <x:c r="E475" s="6"/>
      <x:c r="F475" s="6"/>
      <x:c r="G475" s="6"/>
      <x:c r="H475" s="6"/>
      <x:c r="I475" s="6"/>
      <x:c r="J475" s="6"/>
    </x:row>
    <x:row r="476">
      <x:c r="A476" s="6"/>
      <x:c r="B476" s="6"/>
      <x:c r="C476" s="6"/>
      <x:c r="D476" s="6"/>
      <x:c r="E476" s="6"/>
      <x:c r="F476" s="6"/>
      <x:c r="G476" s="6"/>
      <x:c r="H476" s="6"/>
      <x:c r="I476" s="6"/>
      <x:c r="J476" s="6"/>
    </x:row>
    <x:row r="477">
      <x:c r="A477" s="6"/>
      <x:c r="B477" s="6"/>
      <x:c r="C477" s="6"/>
      <x:c r="D477" s="6"/>
      <x:c r="E477" s="6"/>
      <x:c r="F477" s="6"/>
      <x:c r="G477" s="6"/>
      <x:c r="H477" s="6"/>
      <x:c r="I477" s="6"/>
      <x:c r="J477" s="6"/>
    </x:row>
    <x:row r="478">
      <x:c r="A478" s="6"/>
      <x:c r="B478" s="6"/>
      <x:c r="C478" s="6"/>
      <x:c r="D478" s="6"/>
      <x:c r="E478" s="6"/>
      <x:c r="F478" s="6"/>
      <x:c r="G478" s="6"/>
      <x:c r="H478" s="6"/>
      <x:c r="I478" s="6"/>
      <x:c r="J478" s="6"/>
    </x:row>
    <x:row r="479">
      <x:c r="A479" s="6"/>
      <x:c r="B479" s="6"/>
      <x:c r="C479" s="6"/>
      <x:c r="D479" s="6"/>
      <x:c r="E479" s="6"/>
      <x:c r="F479" s="6"/>
      <x:c r="G479" s="6"/>
      <x:c r="H479" s="6"/>
      <x:c r="I479" s="6"/>
      <x:c r="J479" s="6"/>
    </x:row>
    <x:row r="480">
      <x:c r="A480" s="6"/>
      <x:c r="B480" s="6"/>
      <x:c r="C480" s="6"/>
      <x:c r="D480" s="6"/>
      <x:c r="E480" s="6"/>
      <x:c r="F480" s="6"/>
      <x:c r="G480" s="6"/>
      <x:c r="H480" s="6"/>
      <x:c r="I480" s="6"/>
      <x:c r="J480" s="6"/>
    </x:row>
    <x:row r="481">
      <x:c r="A481" s="6"/>
      <x:c r="B481" s="6"/>
      <x:c r="C481" s="6"/>
      <x:c r="D481" s="6"/>
      <x:c r="E481" s="6"/>
      <x:c r="F481" s="6"/>
      <x:c r="G481" s="6"/>
      <x:c r="H481" s="6"/>
      <x:c r="I481" s="6"/>
      <x:c r="J481" s="6"/>
    </x:row>
    <x:row r="482">
      <x:c r="A482" s="6"/>
      <x:c r="B482" s="6"/>
      <x:c r="C482" s="6"/>
      <x:c r="D482" s="6"/>
      <x:c r="E482" s="6"/>
      <x:c r="F482" s="6"/>
      <x:c r="G482" s="6"/>
      <x:c r="H482" s="6"/>
      <x:c r="I482" s="6"/>
      <x:c r="J482" s="6"/>
    </x:row>
    <x:row r="483">
      <x:c r="A483" s="6"/>
      <x:c r="B483" s="6"/>
      <x:c r="C483" s="6"/>
      <x:c r="D483" s="6"/>
      <x:c r="E483" s="6"/>
      <x:c r="F483" s="6"/>
      <x:c r="G483" s="6"/>
      <x:c r="H483" s="6"/>
      <x:c r="I483" s="6"/>
      <x:c r="J483" s="6"/>
    </x:row>
    <x:row r="484">
      <x:c r="A484" s="6"/>
      <x:c r="B484" s="6"/>
      <x:c r="C484" s="6"/>
      <x:c r="D484" s="6"/>
      <x:c r="E484" s="6"/>
      <x:c r="F484" s="6"/>
      <x:c r="G484" s="6"/>
      <x:c r="H484" s="6"/>
      <x:c r="I484" s="6"/>
      <x:c r="J484" s="6"/>
    </x:row>
    <x:row r="485">
      <x:c r="A485" s="6"/>
      <x:c r="B485" s="6"/>
      <x:c r="C485" s="6"/>
      <x:c r="D485" s="6"/>
      <x:c r="E485" s="6"/>
      <x:c r="F485" s="6"/>
      <x:c r="G485" s="6"/>
      <x:c r="H485" s="6"/>
      <x:c r="I485" s="6"/>
      <x:c r="J485" s="6"/>
    </x:row>
    <x:row r="486">
      <x:c r="A486" s="6"/>
      <x:c r="B486" s="6"/>
      <x:c r="C486" s="6"/>
      <x:c r="D486" s="6"/>
      <x:c r="E486" s="6"/>
      <x:c r="F486" s="6"/>
      <x:c r="G486" s="6"/>
      <x:c r="H486" s="6"/>
      <x:c r="I486" s="6"/>
      <x:c r="J486" s="6"/>
    </x:row>
    <x:row r="487">
      <x:c r="A487" s="6"/>
      <x:c r="B487" s="6"/>
      <x:c r="C487" s="6"/>
      <x:c r="D487" s="6"/>
      <x:c r="E487" s="6"/>
      <x:c r="F487" s="6"/>
      <x:c r="G487" s="6"/>
      <x:c r="H487" s="6"/>
      <x:c r="I487" s="6"/>
      <x:c r="J487" s="6"/>
    </x:row>
    <x:row r="488">
      <x:c r="A488" s="6"/>
      <x:c r="B488" s="6"/>
      <x:c r="C488" s="6"/>
      <x:c r="D488" s="6"/>
      <x:c r="E488" s="6"/>
      <x:c r="F488" s="6"/>
      <x:c r="G488" s="6"/>
      <x:c r="H488" s="6"/>
      <x:c r="I488" s="6"/>
      <x:c r="J488" s="6"/>
    </x:row>
    <x:row r="489">
      <x:c r="A489" s="6"/>
      <x:c r="B489" s="6"/>
      <x:c r="C489" s="6"/>
      <x:c r="D489" s="6"/>
      <x:c r="E489" s="6"/>
      <x:c r="F489" s="6"/>
      <x:c r="G489" s="6"/>
      <x:c r="H489" s="6"/>
      <x:c r="I489" s="6"/>
      <x:c r="J489" s="6"/>
    </x:row>
    <x:row r="490">
      <x:c r="A490" s="6"/>
      <x:c r="B490" s="6"/>
      <x:c r="C490" s="6"/>
      <x:c r="D490" s="6"/>
      <x:c r="E490" s="6"/>
      <x:c r="F490" s="6"/>
      <x:c r="G490" s="6"/>
      <x:c r="H490" s="6"/>
      <x:c r="I490" s="6"/>
      <x:c r="J490" s="6"/>
    </x:row>
    <x:row r="491">
      <x:c r="A491" s="6"/>
      <x:c r="B491" s="6"/>
      <x:c r="C491" s="6"/>
      <x:c r="D491" s="6"/>
      <x:c r="E491" s="6"/>
      <x:c r="F491" s="6"/>
      <x:c r="G491" s="6"/>
      <x:c r="H491" s="6"/>
      <x:c r="I491" s="6"/>
      <x:c r="J491" s="6"/>
    </x:row>
    <x:row r="492">
      <x:c r="A492" s="6"/>
      <x:c r="B492" s="6"/>
      <x:c r="C492" s="6"/>
      <x:c r="D492" s="6"/>
      <x:c r="E492" s="6"/>
      <x:c r="F492" s="6"/>
      <x:c r="G492" s="6"/>
      <x:c r="H492" s="6"/>
      <x:c r="I492" s="6"/>
      <x:c r="J492" s="6"/>
    </x:row>
    <x:row r="493">
      <x:c r="A493" s="6"/>
      <x:c r="B493" s="6"/>
      <x:c r="C493" s="6"/>
      <x:c r="D493" s="6"/>
      <x:c r="E493" s="6"/>
      <x:c r="F493" s="6"/>
      <x:c r="G493" s="6"/>
      <x:c r="H493" s="6"/>
      <x:c r="I493" s="6"/>
      <x:c r="J493" s="6"/>
    </x:row>
    <x:row r="494">
      <x:c r="A494" s="6"/>
      <x:c r="B494" s="6"/>
      <x:c r="C494" s="6"/>
      <x:c r="D494" s="6"/>
      <x:c r="E494" s="6"/>
      <x:c r="F494" s="6"/>
      <x:c r="G494" s="6"/>
      <x:c r="H494" s="6"/>
      <x:c r="I494" s="6"/>
      <x:c r="J494" s="6"/>
    </x:row>
    <x:row r="495">
      <x:c r="A495" s="6"/>
      <x:c r="B495" s="6"/>
      <x:c r="C495" s="6"/>
      <x:c r="D495" s="6"/>
      <x:c r="E495" s="6"/>
      <x:c r="F495" s="6"/>
      <x:c r="G495" s="6"/>
      <x:c r="H495" s="6"/>
      <x:c r="I495" s="6"/>
      <x:c r="J495" s="6"/>
    </x:row>
    <x:row r="496">
      <x:c r="A496" s="6"/>
      <x:c r="B496" s="6"/>
      <x:c r="C496" s="6"/>
      <x:c r="D496" s="6"/>
      <x:c r="E496" s="6"/>
      <x:c r="F496" s="6"/>
      <x:c r="G496" s="6"/>
      <x:c r="H496" s="6"/>
      <x:c r="I496" s="6"/>
      <x:c r="J496" s="6"/>
    </x:row>
    <x:row r="497">
      <x:c r="A497" s="6"/>
      <x:c r="B497" s="6"/>
      <x:c r="C497" s="6"/>
      <x:c r="D497" s="6"/>
      <x:c r="E497" s="6"/>
      <x:c r="F497" s="6"/>
      <x:c r="G497" s="6"/>
      <x:c r="H497" s="6"/>
      <x:c r="I497" s="6"/>
      <x:c r="J497" s="6"/>
    </x:row>
    <x:row r="498">
      <x:c r="A498" s="6"/>
      <x:c r="B498" s="6"/>
      <x:c r="C498" s="6"/>
      <x:c r="D498" s="6"/>
      <x:c r="E498" s="6"/>
      <x:c r="F498" s="6"/>
      <x:c r="G498" s="6"/>
      <x:c r="H498" s="6"/>
      <x:c r="I498" s="6"/>
      <x:c r="J498" s="6"/>
    </x:row>
    <x:row r="499">
      <x:c r="A499" s="6"/>
      <x:c r="B499" s="6"/>
      <x:c r="C499" s="6"/>
      <x:c r="D499" s="6"/>
      <x:c r="E499" s="6"/>
      <x:c r="F499" s="6"/>
      <x:c r="G499" s="6"/>
      <x:c r="H499" s="6"/>
      <x:c r="I499" s="6"/>
      <x:c r="J499" s="6"/>
    </x:row>
    <x:row r="500">
      <x:c r="A500" s="6"/>
      <x:c r="B500" s="6"/>
      <x:c r="C500" s="6"/>
      <x:c r="D500" s="6"/>
      <x:c r="E500" s="6"/>
      <x:c r="F500" s="6"/>
      <x:c r="G500" s="6"/>
      <x:c r="H500" s="6"/>
      <x:c r="I500" s="6"/>
      <x:c r="J500" s="6"/>
    </x:row>
    <x:row r="501">
      <x:c r="A501" s="6"/>
      <x:c r="B501" s="6"/>
      <x:c r="C501" s="6"/>
      <x:c r="D501" s="6"/>
      <x:c r="E501" s="6"/>
      <x:c r="F501" s="6"/>
      <x:c r="G501" s="6"/>
      <x:c r="H501" s="6"/>
      <x:c r="I501" s="6"/>
      <x:c r="J501" s="6"/>
    </x:row>
    <x:row r="502">
      <x:c r="A502" s="6"/>
      <x:c r="B502" s="6"/>
      <x:c r="C502" s="6"/>
      <x:c r="D502" s="6"/>
      <x:c r="E502" s="6"/>
      <x:c r="F502" s="6"/>
      <x:c r="G502" s="6"/>
      <x:c r="H502" s="6"/>
      <x:c r="I502" s="6"/>
      <x:c r="J502" s="6"/>
    </x:row>
    <x:row r="503">
      <x:c r="A503" s="6"/>
      <x:c r="B503" s="6"/>
      <x:c r="C503" s="6"/>
      <x:c r="D503" s="6"/>
      <x:c r="E503" s="6"/>
      <x:c r="F503" s="6"/>
      <x:c r="G503" s="6"/>
      <x:c r="H503" s="6"/>
      <x:c r="I503" s="6"/>
      <x:c r="J503" s="6"/>
    </x:row>
    <x:row r="504">
      <x:c r="A504" s="6"/>
      <x:c r="B504" s="6"/>
      <x:c r="C504" s="6"/>
      <x:c r="D504" s="6"/>
      <x:c r="E504" s="6"/>
      <x:c r="F504" s="6"/>
      <x:c r="G504" s="6"/>
      <x:c r="H504" s="6"/>
      <x:c r="I504" s="6"/>
      <x:c r="J504" s="6"/>
    </x:row>
    <x:row r="505">
      <x:c r="A505" s="6"/>
      <x:c r="B505" s="6"/>
      <x:c r="C505" s="6"/>
      <x:c r="D505" s="6"/>
      <x:c r="E505" s="6"/>
      <x:c r="F505" s="6"/>
      <x:c r="G505" s="6"/>
      <x:c r="H505" s="6"/>
      <x:c r="I505" s="6"/>
      <x:c r="J505" s="6"/>
    </x:row>
    <x:row r="506">
      <x:c r="A506" s="6"/>
      <x:c r="B506" s="6"/>
      <x:c r="C506" s="6"/>
      <x:c r="D506" s="6"/>
      <x:c r="E506" s="6"/>
      <x:c r="F506" s="6"/>
      <x:c r="G506" s="6"/>
      <x:c r="H506" s="6"/>
      <x:c r="I506" s="6"/>
      <x:c r="J506" s="6"/>
    </x:row>
    <x:row r="507">
      <x:c r="A507" s="6"/>
      <x:c r="B507" s="6"/>
      <x:c r="C507" s="6"/>
      <x:c r="D507" s="6"/>
      <x:c r="E507" s="6"/>
      <x:c r="F507" s="6"/>
      <x:c r="G507" s="6"/>
      <x:c r="H507" s="6"/>
      <x:c r="I507" s="6"/>
      <x:c r="J507" s="6"/>
    </x:row>
    <x:row r="508">
      <x:c r="A508" s="6"/>
      <x:c r="B508" s="6"/>
      <x:c r="C508" s="6"/>
      <x:c r="D508" s="6"/>
      <x:c r="E508" s="6"/>
      <x:c r="F508" s="6"/>
      <x:c r="G508" s="6"/>
      <x:c r="H508" s="6"/>
      <x:c r="I508" s="6"/>
      <x:c r="J508" s="6"/>
    </x:row>
    <x:row r="509">
      <x:c r="A509" s="6"/>
      <x:c r="B509" s="6"/>
      <x:c r="C509" s="6"/>
      <x:c r="D509" s="6"/>
      <x:c r="E509" s="6"/>
      <x:c r="F509" s="6"/>
      <x:c r="G509" s="6"/>
      <x:c r="H509" s="6"/>
      <x:c r="I509" s="6"/>
      <x:c r="J509" s="6"/>
    </x:row>
    <x:row r="510">
      <x:c r="A510" s="6"/>
      <x:c r="B510" s="6"/>
      <x:c r="C510" s="6"/>
      <x:c r="D510" s="6"/>
      <x:c r="E510" s="6"/>
      <x:c r="F510" s="6"/>
      <x:c r="G510" s="6"/>
      <x:c r="H510" s="6"/>
      <x:c r="I510" s="6"/>
      <x:c r="J510" s="6"/>
    </x:row>
    <x:row r="511">
      <x:c r="A511" s="6"/>
      <x:c r="B511" s="6"/>
      <x:c r="C511" s="6"/>
      <x:c r="D511" s="6"/>
      <x:c r="E511" s="6"/>
      <x:c r="F511" s="6"/>
      <x:c r="G511" s="6"/>
      <x:c r="H511" s="6"/>
      <x:c r="I511" s="6"/>
      <x:c r="J511" s="6"/>
    </x:row>
    <x:row r="512">
      <x:c r="A512" s="6"/>
      <x:c r="B512" s="6"/>
      <x:c r="C512" s="6"/>
      <x:c r="D512" s="6"/>
      <x:c r="E512" s="6"/>
      <x:c r="F512" s="6"/>
      <x:c r="G512" s="6"/>
      <x:c r="H512" s="6"/>
      <x:c r="I512" s="6"/>
      <x:c r="J512" s="6"/>
    </x:row>
    <x:row r="513">
      <x:c r="A513" s="6"/>
      <x:c r="B513" s="6"/>
      <x:c r="C513" s="6"/>
      <x:c r="D513" s="6"/>
      <x:c r="E513" s="6"/>
      <x:c r="F513" s="6"/>
      <x:c r="G513" s="6"/>
      <x:c r="H513" s="6"/>
      <x:c r="I513" s="6"/>
      <x:c r="J513" s="6"/>
    </x:row>
    <x:row r="514">
      <x:c r="A514" s="6"/>
      <x:c r="B514" s="6"/>
      <x:c r="C514" s="6"/>
      <x:c r="D514" s="6"/>
      <x:c r="E514" s="6"/>
      <x:c r="F514" s="6"/>
      <x:c r="G514" s="6"/>
      <x:c r="H514" s="6"/>
      <x:c r="I514" s="6"/>
      <x:c r="J514" s="6"/>
    </x:row>
    <x:row r="515">
      <x:c r="A515" s="6"/>
      <x:c r="B515" s="6"/>
      <x:c r="C515" s="6"/>
      <x:c r="D515" s="6"/>
      <x:c r="E515" s="6"/>
      <x:c r="F515" s="6"/>
      <x:c r="G515" s="6"/>
      <x:c r="H515" s="6"/>
      <x:c r="I515" s="6"/>
      <x:c r="J515" s="6"/>
    </x:row>
    <x:row r="516">
      <x:c r="A516" s="6"/>
      <x:c r="B516" s="6"/>
      <x:c r="C516" s="6"/>
      <x:c r="D516" s="6"/>
      <x:c r="E516" s="6"/>
      <x:c r="F516" s="6"/>
      <x:c r="G516" s="6"/>
      <x:c r="H516" s="6"/>
      <x:c r="I516" s="6"/>
      <x:c r="J516" s="6"/>
    </x:row>
    <x:row r="517">
      <x:c r="A517" s="6"/>
      <x:c r="B517" s="6"/>
      <x:c r="C517" s="6"/>
      <x:c r="D517" s="6"/>
      <x:c r="E517" s="6"/>
      <x:c r="F517" s="6"/>
      <x:c r="G517" s="6"/>
      <x:c r="H517" s="6"/>
      <x:c r="I517" s="6"/>
      <x:c r="J517" s="6"/>
    </x:row>
    <x:row r="518">
      <x:c r="A518" s="6"/>
      <x:c r="B518" s="6"/>
      <x:c r="C518" s="6"/>
      <x:c r="D518" s="6"/>
      <x:c r="E518" s="6"/>
      <x:c r="F518" s="6"/>
      <x:c r="G518" s="6"/>
      <x:c r="H518" s="6"/>
      <x:c r="I518" s="6"/>
      <x:c r="J518" s="6"/>
    </x:row>
    <x:row r="519">
      <x:c r="A519" s="6"/>
      <x:c r="B519" s="6"/>
      <x:c r="C519" s="6"/>
      <x:c r="D519" s="6"/>
      <x:c r="E519" s="6"/>
      <x:c r="F519" s="6"/>
      <x:c r="G519" s="6"/>
      <x:c r="H519" s="6"/>
      <x:c r="I519" s="6"/>
      <x:c r="J519" s="6"/>
    </x:row>
    <x:row r="520">
      <x:c r="A520" s="6"/>
      <x:c r="B520" s="6"/>
      <x:c r="C520" s="6"/>
      <x:c r="D520" s="6"/>
      <x:c r="E520" s="6"/>
      <x:c r="F520" s="6"/>
      <x:c r="G520" s="6"/>
      <x:c r="H520" s="6"/>
      <x:c r="I520" s="6"/>
      <x:c r="J520" s="6"/>
    </x:row>
    <x:row r="521">
      <x:c r="A521" s="6"/>
      <x:c r="B521" s="6"/>
      <x:c r="C521" s="6"/>
      <x:c r="D521" s="6"/>
      <x:c r="E521" s="6"/>
      <x:c r="F521" s="6"/>
      <x:c r="G521" s="6"/>
      <x:c r="H521" s="6"/>
      <x:c r="I521" s="6"/>
      <x:c r="J521" s="6"/>
    </x:row>
    <x:row r="522">
      <x:c r="A522" s="6"/>
      <x:c r="B522" s="6"/>
      <x:c r="C522" s="6"/>
      <x:c r="D522" s="6"/>
      <x:c r="E522" s="6"/>
      <x:c r="F522" s="6"/>
      <x:c r="G522" s="6"/>
      <x:c r="H522" s="6"/>
      <x:c r="I522" s="6"/>
      <x:c r="J522" s="6"/>
    </x:row>
    <x:row r="523">
      <x:c r="A523" s="6"/>
      <x:c r="B523" s="6"/>
      <x:c r="C523" s="6"/>
      <x:c r="D523" s="6"/>
      <x:c r="E523" s="6"/>
      <x:c r="F523" s="6"/>
      <x:c r="G523" s="6"/>
      <x:c r="H523" s="6"/>
      <x:c r="I523" s="6"/>
      <x:c r="J523" s="6"/>
    </x:row>
    <x:row r="524">
      <x:c r="A524" s="6"/>
      <x:c r="B524" s="6"/>
      <x:c r="C524" s="6"/>
      <x:c r="D524" s="6"/>
      <x:c r="E524" s="6"/>
      <x:c r="F524" s="6"/>
      <x:c r="G524" s="6"/>
      <x:c r="H524" s="6"/>
      <x:c r="I524" s="6"/>
      <x:c r="J524" s="6"/>
    </x:row>
    <x:row r="525">
      <x:c r="A525" s="6"/>
      <x:c r="B525" s="6"/>
      <x:c r="C525" s="6"/>
      <x:c r="D525" s="6"/>
      <x:c r="E525" s="6"/>
      <x:c r="F525" s="6"/>
      <x:c r="G525" s="6"/>
      <x:c r="H525" s="6"/>
      <x:c r="I525" s="6"/>
      <x:c r="J525" s="6"/>
    </x:row>
    <x:row r="526">
      <x:c r="A526" s="6"/>
      <x:c r="B526" s="6"/>
      <x:c r="C526" s="6"/>
      <x:c r="D526" s="6"/>
      <x:c r="E526" s="6"/>
      <x:c r="F526" s="6"/>
      <x:c r="G526" s="6"/>
      <x:c r="H526" s="6"/>
      <x:c r="I526" s="6"/>
      <x:c r="J526" s="6"/>
    </x:row>
    <x:row r="527">
      <x:c r="A527" s="6"/>
      <x:c r="B527" s="6"/>
      <x:c r="C527" s="6"/>
      <x:c r="D527" s="6"/>
      <x:c r="E527" s="6"/>
      <x:c r="F527" s="6"/>
      <x:c r="G527" s="6"/>
      <x:c r="H527" s="6"/>
      <x:c r="I527" s="6"/>
      <x:c r="J527" s="6"/>
    </x:row>
    <x:row r="528">
      <x:c r="A528" s="6"/>
      <x:c r="B528" s="6"/>
      <x:c r="C528" s="6"/>
      <x:c r="D528" s="6"/>
      <x:c r="E528" s="6"/>
      <x:c r="F528" s="6"/>
      <x:c r="G528" s="6"/>
      <x:c r="H528" s="6"/>
      <x:c r="I528" s="6"/>
      <x:c r="J528" s="6"/>
    </x:row>
    <x:row r="529">
      <x:c r="A529" s="6"/>
      <x:c r="B529" s="6"/>
      <x:c r="C529" s="6"/>
      <x:c r="D529" s="6"/>
      <x:c r="E529" s="6"/>
      <x:c r="F529" s="6"/>
      <x:c r="G529" s="6"/>
      <x:c r="H529" s="6"/>
      <x:c r="I529" s="6"/>
      <x:c r="J529" s="6"/>
    </x:row>
    <x:row r="530">
      <x:c r="A530" s="6"/>
      <x:c r="B530" s="6"/>
      <x:c r="C530" s="6"/>
      <x:c r="D530" s="6"/>
      <x:c r="E530" s="6"/>
      <x:c r="F530" s="6"/>
      <x:c r="G530" s="6"/>
      <x:c r="H530" s="6"/>
      <x:c r="I530" s="6"/>
      <x:c r="J530" s="6"/>
    </x:row>
    <x:row r="531">
      <x:c r="A531" s="6"/>
      <x:c r="B531" s="6"/>
      <x:c r="C531" s="6"/>
      <x:c r="D531" s="6"/>
      <x:c r="E531" s="6"/>
      <x:c r="F531" s="6"/>
      <x:c r="G531" s="6"/>
      <x:c r="H531" s="6"/>
      <x:c r="I531" s="6"/>
      <x:c r="J531" s="6"/>
    </x:row>
    <x:row r="532">
      <x:c r="A532" s="6"/>
      <x:c r="B532" s="6"/>
      <x:c r="C532" s="6"/>
      <x:c r="D532" s="6"/>
      <x:c r="E532" s="6"/>
      <x:c r="F532" s="6"/>
      <x:c r="G532" s="6"/>
      <x:c r="H532" s="6"/>
      <x:c r="I532" s="6"/>
      <x:c r="J532" s="6"/>
    </x:row>
    <x:row r="533">
      <x:c r="A533" s="6"/>
      <x:c r="B533" s="6"/>
      <x:c r="C533" s="6"/>
      <x:c r="D533" s="6"/>
      <x:c r="E533" s="6"/>
      <x:c r="F533" s="6"/>
      <x:c r="G533" s="6"/>
      <x:c r="H533" s="6"/>
      <x:c r="I533" s="6"/>
      <x:c r="J533" s="6"/>
    </x:row>
    <x:row r="534">
      <x:c r="A534" s="6"/>
      <x:c r="B534" s="6"/>
      <x:c r="C534" s="6"/>
      <x:c r="D534" s="6"/>
      <x:c r="E534" s="6"/>
      <x:c r="F534" s="6"/>
      <x:c r="G534" s="6"/>
      <x:c r="H534" s="6"/>
      <x:c r="I534" s="6"/>
      <x:c r="J534" s="6"/>
    </x:row>
    <x:row r="535">
      <x:c r="A535" s="6"/>
      <x:c r="B535" s="6"/>
      <x:c r="C535" s="6"/>
      <x:c r="D535" s="6"/>
      <x:c r="E535" s="6"/>
      <x:c r="F535" s="6"/>
      <x:c r="G535" s="6"/>
      <x:c r="H535" s="6"/>
      <x:c r="I535" s="6"/>
      <x:c r="J535" s="6"/>
    </x:row>
    <x:row r="536">
      <x:c r="A536" s="6"/>
      <x:c r="B536" s="6"/>
      <x:c r="C536" s="6"/>
      <x:c r="D536" s="6"/>
      <x:c r="E536" s="6"/>
      <x:c r="F536" s="6"/>
      <x:c r="G536" s="6"/>
      <x:c r="H536" s="6"/>
      <x:c r="I536" s="6"/>
      <x:c r="J536" s="6"/>
    </x:row>
    <x:row r="537">
      <x:c r="A537" s="6"/>
      <x:c r="B537" s="6"/>
      <x:c r="C537" s="6"/>
      <x:c r="D537" s="6"/>
      <x:c r="E537" s="6"/>
      <x:c r="F537" s="6"/>
      <x:c r="G537" s="6"/>
      <x:c r="H537" s="6"/>
      <x:c r="I537" s="6"/>
      <x:c r="J537" s="6"/>
    </x:row>
    <x:row r="538">
      <x:c r="A538" s="6"/>
      <x:c r="B538" s="6"/>
      <x:c r="C538" s="6"/>
      <x:c r="D538" s="6"/>
      <x:c r="E538" s="6"/>
      <x:c r="F538" s="6"/>
      <x:c r="G538" s="6"/>
      <x:c r="H538" s="6"/>
      <x:c r="I538" s="6"/>
      <x:c r="J538" s="6"/>
    </x:row>
    <x:row r="539">
      <x:c r="A539" s="6"/>
      <x:c r="B539" s="6"/>
      <x:c r="C539" s="6"/>
      <x:c r="D539" s="6"/>
      <x:c r="E539" s="6"/>
      <x:c r="F539" s="6"/>
      <x:c r="G539" s="6"/>
      <x:c r="H539" s="6"/>
      <x:c r="I539" s="6"/>
      <x:c r="J539" s="6"/>
    </x:row>
    <x:row r="540">
      <x:c r="A540" s="6"/>
      <x:c r="B540" s="6"/>
      <x:c r="C540" s="6"/>
      <x:c r="D540" s="6"/>
      <x:c r="E540" s="6"/>
      <x:c r="F540" s="6"/>
      <x:c r="G540" s="6"/>
      <x:c r="H540" s="6"/>
      <x:c r="I540" s="6"/>
      <x:c r="J540" s="6"/>
    </x:row>
    <x:row r="541">
      <x:c r="A541" s="6"/>
      <x:c r="B541" s="6"/>
      <x:c r="C541" s="6"/>
      <x:c r="D541" s="6"/>
      <x:c r="E541" s="6"/>
      <x:c r="F541" s="6"/>
      <x:c r="G541" s="6"/>
      <x:c r="H541" s="6"/>
      <x:c r="I541" s="6"/>
      <x:c r="J541" s="6"/>
    </x:row>
    <x:row r="542">
      <x:c r="A542" s="6"/>
      <x:c r="B542" s="6"/>
      <x:c r="C542" s="6"/>
      <x:c r="D542" s="6"/>
      <x:c r="E542" s="6"/>
      <x:c r="F542" s="6"/>
      <x:c r="G542" s="6"/>
      <x:c r="H542" s="6"/>
      <x:c r="I542" s="6"/>
      <x:c r="J542" s="6"/>
    </x:row>
    <x:row r="543">
      <x:c r="A543" s="6"/>
      <x:c r="B543" s="6"/>
      <x:c r="C543" s="6"/>
      <x:c r="D543" s="6"/>
      <x:c r="E543" s="6"/>
      <x:c r="F543" s="6"/>
      <x:c r="G543" s="6"/>
      <x:c r="H543" s="6"/>
      <x:c r="I543" s="6"/>
      <x:c r="J543" s="6"/>
    </x:row>
    <x:row r="544">
      <x:c r="A544" s="6"/>
      <x:c r="B544" s="6"/>
      <x:c r="C544" s="6"/>
      <x:c r="D544" s="6"/>
      <x:c r="E544" s="6"/>
      <x:c r="F544" s="6"/>
      <x:c r="G544" s="6"/>
      <x:c r="H544" s="6"/>
      <x:c r="I544" s="6"/>
      <x:c r="J544" s="6"/>
    </x:row>
    <x:row r="545">
      <x:c r="A545" s="6"/>
      <x:c r="B545" s="6"/>
      <x:c r="C545" s="6"/>
      <x:c r="D545" s="6"/>
      <x:c r="E545" s="6"/>
      <x:c r="F545" s="6"/>
      <x:c r="G545" s="6"/>
      <x:c r="H545" s="6"/>
      <x:c r="I545" s="6"/>
      <x:c r="J545" s="6"/>
    </x:row>
    <x:row r="546">
      <x:c r="A546" s="6"/>
      <x:c r="B546" s="6"/>
      <x:c r="C546" s="6"/>
      <x:c r="D546" s="6"/>
      <x:c r="E546" s="6"/>
      <x:c r="F546" s="6"/>
      <x:c r="G546" s="6"/>
      <x:c r="H546" s="6"/>
      <x:c r="I546" s="6"/>
      <x:c r="J546" s="6"/>
    </x:row>
    <x:row r="547">
      <x:c r="A547" s="6"/>
      <x:c r="B547" s="6"/>
      <x:c r="C547" s="6"/>
      <x:c r="D547" s="6"/>
      <x:c r="E547" s="6"/>
      <x:c r="F547" s="6"/>
      <x:c r="G547" s="6"/>
      <x:c r="H547" s="6"/>
      <x:c r="I547" s="6"/>
      <x:c r="J547" s="6"/>
    </x:row>
    <x:row r="548">
      <x:c r="A548" s="6"/>
      <x:c r="B548" s="6"/>
      <x:c r="C548" s="6"/>
      <x:c r="D548" s="6"/>
      <x:c r="E548" s="6"/>
      <x:c r="F548" s="6"/>
      <x:c r="G548" s="6"/>
      <x:c r="H548" s="6"/>
      <x:c r="I548" s="6"/>
      <x:c r="J548" s="6"/>
    </x:row>
    <x:row r="549">
      <x:c r="A549" s="6"/>
      <x:c r="B549" s="6"/>
      <x:c r="C549" s="6"/>
      <x:c r="D549" s="6"/>
      <x:c r="E549" s="6"/>
      <x:c r="F549" s="6"/>
      <x:c r="G549" s="6"/>
      <x:c r="H549" s="6"/>
      <x:c r="I549" s="6"/>
      <x:c r="J549" s="6"/>
    </x:row>
    <x:row r="550">
      <x:c r="A550" s="6"/>
      <x:c r="B550" s="6"/>
      <x:c r="C550" s="6"/>
      <x:c r="D550" s="6"/>
      <x:c r="E550" s="6"/>
      <x:c r="F550" s="6"/>
      <x:c r="G550" s="6"/>
      <x:c r="H550" s="6"/>
      <x:c r="I550" s="6"/>
      <x:c r="J550" s="6"/>
    </x:row>
    <x:row r="551">
      <x:c r="A551" s="6"/>
      <x:c r="B551" s="6"/>
      <x:c r="C551" s="6"/>
      <x:c r="D551" s="6"/>
      <x:c r="E551" s="6"/>
      <x:c r="F551" s="6"/>
      <x:c r="G551" s="6"/>
      <x:c r="H551" s="6"/>
      <x:c r="I551" s="6"/>
      <x:c r="J551" s="6"/>
    </x:row>
    <x:row r="552">
      <x:c r="A552" s="6"/>
      <x:c r="B552" s="6"/>
      <x:c r="C552" s="6"/>
      <x:c r="D552" s="6"/>
      <x:c r="E552" s="6"/>
      <x:c r="F552" s="6"/>
      <x:c r="G552" s="6"/>
      <x:c r="H552" s="6"/>
      <x:c r="I552" s="6"/>
      <x:c r="J552" s="6"/>
    </x:row>
    <x:row r="553">
      <x:c r="A553" s="6"/>
      <x:c r="B553" s="6"/>
      <x:c r="C553" s="6"/>
      <x:c r="D553" s="6"/>
      <x:c r="E553" s="6"/>
      <x:c r="F553" s="6"/>
      <x:c r="G553" s="6"/>
      <x:c r="H553" s="6"/>
      <x:c r="I553" s="6"/>
      <x:c r="J553" s="6"/>
    </x:row>
    <x:row r="554">
      <x:c r="A554" s="6"/>
      <x:c r="B554" s="6"/>
      <x:c r="C554" s="6"/>
      <x:c r="D554" s="6"/>
      <x:c r="E554" s="6"/>
      <x:c r="F554" s="6"/>
      <x:c r="G554" s="6"/>
      <x:c r="H554" s="6"/>
      <x:c r="I554" s="6"/>
      <x:c r="J554" s="6"/>
    </x:row>
    <x:row r="555">
      <x:c r="A555" s="6"/>
      <x:c r="B555" s="6"/>
      <x:c r="C555" s="6"/>
      <x:c r="D555" s="6"/>
      <x:c r="E555" s="6"/>
      <x:c r="F555" s="6"/>
      <x:c r="G555" s="6"/>
      <x:c r="H555" s="6"/>
      <x:c r="I555" s="6"/>
      <x:c r="J555" s="6"/>
    </x:row>
    <x:row r="556">
      <x:c r="A556" s="6"/>
      <x:c r="B556" s="6"/>
      <x:c r="C556" s="6"/>
      <x:c r="D556" s="6"/>
      <x:c r="E556" s="6"/>
      <x:c r="F556" s="6"/>
      <x:c r="G556" s="6"/>
      <x:c r="H556" s="6"/>
      <x:c r="I556" s="6"/>
      <x:c r="J556" s="6"/>
    </x:row>
    <x:row r="557">
      <x:c r="A557" s="6"/>
      <x:c r="B557" s="6"/>
      <x:c r="C557" s="6"/>
      <x:c r="D557" s="6"/>
      <x:c r="E557" s="6"/>
      <x:c r="F557" s="6"/>
      <x:c r="G557" s="6"/>
      <x:c r="H557" s="6"/>
      <x:c r="I557" s="6"/>
      <x:c r="J557" s="6"/>
    </x:row>
    <x:row r="558">
      <x:c r="A558" s="6"/>
      <x:c r="B558" s="6"/>
      <x:c r="C558" s="6"/>
      <x:c r="D558" s="6"/>
      <x:c r="E558" s="6"/>
      <x:c r="F558" s="6"/>
      <x:c r="G558" s="6"/>
      <x:c r="H558" s="6"/>
      <x:c r="I558" s="6"/>
      <x:c r="J558" s="6"/>
    </x:row>
    <x:row r="559">
      <x:c r="A559" s="6"/>
      <x:c r="B559" s="6"/>
      <x:c r="C559" s="6"/>
      <x:c r="D559" s="6"/>
      <x:c r="E559" s="6"/>
      <x:c r="F559" s="6"/>
      <x:c r="G559" s="6"/>
      <x:c r="H559" s="6"/>
      <x:c r="I559" s="6"/>
      <x:c r="J559" s="6"/>
    </x:row>
    <x:row r="560">
      <x:c r="A560" s="6"/>
      <x:c r="B560" s="6"/>
      <x:c r="C560" s="6"/>
      <x:c r="D560" s="6"/>
      <x:c r="E560" s="6"/>
      <x:c r="F560" s="6"/>
      <x:c r="G560" s="6"/>
      <x:c r="H560" s="6"/>
      <x:c r="I560" s="6"/>
      <x:c r="J560" s="6"/>
    </x:row>
    <x:row r="561">
      <x:c r="A561" s="6"/>
      <x:c r="B561" s="6"/>
      <x:c r="C561" s="6"/>
      <x:c r="D561" s="6"/>
      <x:c r="E561" s="6"/>
      <x:c r="F561" s="6"/>
      <x:c r="G561" s="6"/>
      <x:c r="H561" s="6"/>
      <x:c r="I561" s="6"/>
      <x:c r="J561" s="6"/>
    </x:row>
    <x:row r="562">
      <x:c r="A562" s="6"/>
      <x:c r="B562" s="6"/>
      <x:c r="C562" s="6"/>
      <x:c r="D562" s="6"/>
      <x:c r="E562" s="6"/>
      <x:c r="F562" s="6"/>
      <x:c r="G562" s="6"/>
      <x:c r="H562" s="6"/>
      <x:c r="I562" s="6"/>
      <x:c r="J562" s="6"/>
    </x:row>
    <x:row r="563">
      <x:c r="A563" s="6"/>
      <x:c r="B563" s="6"/>
      <x:c r="C563" s="6"/>
      <x:c r="D563" s="6"/>
      <x:c r="E563" s="6"/>
      <x:c r="F563" s="6"/>
      <x:c r="G563" s="6"/>
      <x:c r="H563" s="6"/>
      <x:c r="I563" s="6"/>
      <x:c r="J563" s="6"/>
    </x:row>
    <x:row r="564">
      <x:c r="A564" s="6"/>
      <x:c r="B564" s="6"/>
      <x:c r="C564" s="6"/>
      <x:c r="D564" s="6"/>
      <x:c r="E564" s="6"/>
      <x:c r="F564" s="6"/>
      <x:c r="G564" s="6"/>
      <x:c r="H564" s="6"/>
      <x:c r="I564" s="6"/>
      <x:c r="J564" s="6"/>
    </x:row>
    <x:row r="565">
      <x:c r="A565" s="6"/>
      <x:c r="B565" s="6"/>
      <x:c r="C565" s="6"/>
      <x:c r="D565" s="6"/>
      <x:c r="E565" s="6"/>
      <x:c r="F565" s="6"/>
      <x:c r="G565" s="6"/>
      <x:c r="H565" s="6"/>
      <x:c r="I565" s="6"/>
      <x:c r="J565" s="6"/>
    </x:row>
    <x:row r="566">
      <x:c r="A566" s="6"/>
      <x:c r="B566" s="6"/>
      <x:c r="C566" s="6"/>
      <x:c r="D566" s="6"/>
      <x:c r="E566" s="6"/>
      <x:c r="F566" s="6"/>
      <x:c r="G566" s="6"/>
      <x:c r="H566" s="6"/>
      <x:c r="I566" s="6"/>
      <x:c r="J566" s="6"/>
    </x:row>
    <x:row r="567">
      <x:c r="A567" s="6"/>
      <x:c r="B567" s="6"/>
      <x:c r="C567" s="6"/>
      <x:c r="D567" s="6"/>
      <x:c r="E567" s="6"/>
      <x:c r="F567" s="6"/>
      <x:c r="G567" s="6"/>
      <x:c r="H567" s="6"/>
      <x:c r="I567" s="6"/>
      <x:c r="J567" s="6"/>
    </x:row>
    <x:row r="568">
      <x:c r="A568" s="6"/>
      <x:c r="B568" s="6"/>
      <x:c r="C568" s="6"/>
      <x:c r="D568" s="6"/>
      <x:c r="E568" s="6"/>
      <x:c r="F568" s="6"/>
      <x:c r="G568" s="6"/>
      <x:c r="H568" s="6"/>
      <x:c r="I568" s="6"/>
      <x:c r="J568" s="6"/>
    </x:row>
    <x:row r="569">
      <x:c r="A569" s="6"/>
      <x:c r="B569" s="6"/>
      <x:c r="C569" s="6"/>
      <x:c r="D569" s="6"/>
      <x:c r="E569" s="6"/>
      <x:c r="F569" s="6"/>
      <x:c r="G569" s="6"/>
      <x:c r="H569" s="6"/>
      <x:c r="I569" s="6"/>
      <x:c r="J569" s="6"/>
    </x:row>
    <x:row r="570">
      <x:c r="A570" s="6"/>
      <x:c r="B570" s="6"/>
      <x:c r="C570" s="6"/>
      <x:c r="D570" s="6"/>
      <x:c r="E570" s="6"/>
      <x:c r="F570" s="6"/>
      <x:c r="G570" s="6"/>
      <x:c r="H570" s="6"/>
      <x:c r="I570" s="6"/>
      <x:c r="J570" s="6"/>
    </x:row>
    <x:row r="571">
      <x:c r="A571" s="6"/>
      <x:c r="B571" s="6"/>
      <x:c r="C571" s="6"/>
      <x:c r="D571" s="6"/>
      <x:c r="E571" s="6"/>
      <x:c r="F571" s="6"/>
      <x:c r="G571" s="6"/>
      <x:c r="H571" s="6"/>
      <x:c r="I571" s="6"/>
      <x:c r="J571" s="6"/>
    </x:row>
    <x:row r="572">
      <x:c r="A572" s="6"/>
      <x:c r="B572" s="6"/>
      <x:c r="C572" s="6"/>
      <x:c r="D572" s="6"/>
      <x:c r="E572" s="6"/>
      <x:c r="F572" s="6"/>
      <x:c r="G572" s="6"/>
      <x:c r="H572" s="6"/>
      <x:c r="I572" s="6"/>
      <x:c r="J572" s="6"/>
    </x:row>
    <x:row r="573">
      <x:c r="A573" s="6"/>
      <x:c r="B573" s="6"/>
      <x:c r="C573" s="6"/>
      <x:c r="D573" s="6"/>
      <x:c r="E573" s="6"/>
      <x:c r="F573" s="6"/>
      <x:c r="G573" s="6"/>
      <x:c r="H573" s="6"/>
      <x:c r="I573" s="6"/>
      <x:c r="J573" s="6"/>
    </x:row>
    <x:row r="574">
      <x:c r="A574" s="6"/>
      <x:c r="B574" s="6"/>
      <x:c r="C574" s="6"/>
      <x:c r="D574" s="6"/>
      <x:c r="E574" s="6"/>
      <x:c r="F574" s="6"/>
      <x:c r="G574" s="6"/>
      <x:c r="H574" s="6"/>
      <x:c r="I574" s="6"/>
      <x:c r="J574" s="6"/>
    </x:row>
    <x:row r="575">
      <x:c r="A575" s="6"/>
      <x:c r="B575" s="6"/>
      <x:c r="C575" s="6"/>
      <x:c r="D575" s="6"/>
      <x:c r="E575" s="6"/>
      <x:c r="F575" s="6"/>
      <x:c r="G575" s="6"/>
      <x:c r="H575" s="6"/>
      <x:c r="I575" s="6"/>
      <x:c r="J575" s="6"/>
    </x:row>
    <x:row r="576">
      <x:c r="A576" s="6"/>
      <x:c r="B576" s="6"/>
      <x:c r="C576" s="6"/>
      <x:c r="D576" s="6"/>
      <x:c r="E576" s="6"/>
      <x:c r="F576" s="6"/>
      <x:c r="G576" s="6"/>
      <x:c r="H576" s="6"/>
      <x:c r="I576" s="6"/>
      <x:c r="J576" s="6"/>
    </x:row>
    <x:row r="577">
      <x:c r="A577" s="6"/>
      <x:c r="B577" s="6"/>
      <x:c r="C577" s="6"/>
      <x:c r="D577" s="6"/>
      <x:c r="E577" s="6"/>
      <x:c r="F577" s="6"/>
      <x:c r="G577" s="6"/>
      <x:c r="H577" s="6"/>
      <x:c r="I577" s="6"/>
      <x:c r="J577" s="6"/>
    </x:row>
    <x:row r="578">
      <x:c r="A578" s="6"/>
      <x:c r="B578" s="6"/>
      <x:c r="C578" s="6"/>
      <x:c r="D578" s="6"/>
      <x:c r="E578" s="6"/>
      <x:c r="F578" s="6"/>
      <x:c r="G578" s="6"/>
      <x:c r="H578" s="6"/>
      <x:c r="I578" s="6"/>
      <x:c r="J578" s="6"/>
    </x:row>
    <x:row r="579">
      <x:c r="A579" s="6"/>
      <x:c r="B579" s="6"/>
      <x:c r="C579" s="6"/>
      <x:c r="D579" s="6"/>
      <x:c r="E579" s="6"/>
      <x:c r="F579" s="6"/>
      <x:c r="G579" s="6"/>
      <x:c r="H579" s="6"/>
      <x:c r="I579" s="6"/>
      <x:c r="J579" s="6"/>
    </x:row>
    <x:row r="580">
      <x:c r="A580" s="6"/>
      <x:c r="B580" s="6"/>
      <x:c r="C580" s="6"/>
      <x:c r="D580" s="6"/>
      <x:c r="E580" s="6"/>
      <x:c r="F580" s="6"/>
      <x:c r="G580" s="6"/>
      <x:c r="H580" s="6"/>
      <x:c r="I580" s="6"/>
      <x:c r="J580" s="6"/>
    </x:row>
    <x:row r="581">
      <x:c r="A581" s="6"/>
      <x:c r="B581" s="6"/>
      <x:c r="C581" s="6"/>
      <x:c r="D581" s="6"/>
      <x:c r="E581" s="6"/>
      <x:c r="F581" s="6"/>
      <x:c r="G581" s="6"/>
      <x:c r="H581" s="6"/>
      <x:c r="I581" s="6"/>
      <x:c r="J581" s="6"/>
    </x:row>
    <x:row r="582">
      <x:c r="A582" s="6"/>
      <x:c r="B582" s="6"/>
      <x:c r="C582" s="6"/>
      <x:c r="D582" s="6"/>
      <x:c r="E582" s="6"/>
      <x:c r="F582" s="6"/>
      <x:c r="G582" s="6"/>
      <x:c r="H582" s="6"/>
      <x:c r="I582" s="6"/>
      <x:c r="J582" s="6"/>
    </x:row>
    <x:row r="583">
      <x:c r="A583" s="6"/>
      <x:c r="B583" s="6"/>
      <x:c r="C583" s="6"/>
      <x:c r="D583" s="6"/>
      <x:c r="E583" s="6"/>
      <x:c r="F583" s="6"/>
      <x:c r="G583" s="6"/>
      <x:c r="H583" s="6"/>
      <x:c r="I583" s="6"/>
      <x:c r="J583" s="6"/>
    </x:row>
    <x:row r="584">
      <x:c r="A584" s="6"/>
      <x:c r="B584" s="6"/>
      <x:c r="C584" s="6"/>
      <x:c r="D584" s="6"/>
      <x:c r="E584" s="6"/>
      <x:c r="F584" s="6"/>
      <x:c r="G584" s="6"/>
      <x:c r="H584" s="6"/>
      <x:c r="I584" s="6"/>
      <x:c r="J584" s="6"/>
    </x:row>
    <x:row r="585">
      <x:c r="A585" s="6"/>
      <x:c r="B585" s="6"/>
      <x:c r="C585" s="6"/>
      <x:c r="D585" s="6"/>
      <x:c r="E585" s="6"/>
      <x:c r="F585" s="6"/>
      <x:c r="G585" s="6"/>
      <x:c r="H585" s="6"/>
      <x:c r="I585" s="6"/>
      <x:c r="J585" s="6"/>
    </x:row>
    <x:row r="586">
      <x:c r="A586" s="6"/>
      <x:c r="B586" s="6"/>
      <x:c r="C586" s="6"/>
      <x:c r="D586" s="6"/>
      <x:c r="E586" s="6"/>
      <x:c r="F586" s="6"/>
      <x:c r="G586" s="6"/>
      <x:c r="H586" s="6"/>
      <x:c r="I586" s="6"/>
      <x:c r="J586" s="6"/>
    </x:row>
    <x:row r="587">
      <x:c r="A587" s="6"/>
      <x:c r="B587" s="6"/>
      <x:c r="C587" s="6"/>
      <x:c r="D587" s="6"/>
      <x:c r="E587" s="6"/>
      <x:c r="F587" s="6"/>
      <x:c r="G587" s="6"/>
      <x:c r="H587" s="6"/>
      <x:c r="I587" s="6"/>
      <x:c r="J587" s="6"/>
    </x:row>
    <x:row r="588">
      <x:c r="A588" s="6"/>
      <x:c r="B588" s="6"/>
      <x:c r="C588" s="6"/>
      <x:c r="D588" s="6"/>
      <x:c r="E588" s="6"/>
      <x:c r="F588" s="6"/>
      <x:c r="G588" s="6"/>
      <x:c r="H588" s="6"/>
      <x:c r="I588" s="6"/>
      <x:c r="J588" s="6"/>
    </x:row>
    <x:row r="589">
      <x:c r="A589" s="6"/>
      <x:c r="B589" s="6"/>
      <x:c r="C589" s="6"/>
      <x:c r="D589" s="6"/>
      <x:c r="E589" s="6"/>
      <x:c r="F589" s="6"/>
      <x:c r="G589" s="6"/>
      <x:c r="H589" s="6"/>
      <x:c r="I589" s="6"/>
      <x:c r="J589" s="6"/>
    </x:row>
    <x:row r="590">
      <x:c r="A590" s="6"/>
      <x:c r="B590" s="6"/>
      <x:c r="C590" s="6"/>
      <x:c r="D590" s="6"/>
      <x:c r="E590" s="6"/>
      <x:c r="F590" s="6"/>
      <x:c r="G590" s="6"/>
      <x:c r="H590" s="6"/>
      <x:c r="I590" s="6"/>
      <x:c r="J590" s="6"/>
    </x:row>
    <x:row r="591">
      <x:c r="A591" s="6"/>
      <x:c r="B591" s="6"/>
      <x:c r="C591" s="6"/>
      <x:c r="D591" s="6"/>
      <x:c r="E591" s="6"/>
      <x:c r="F591" s="6"/>
      <x:c r="G591" s="6"/>
      <x:c r="H591" s="6"/>
      <x:c r="I591" s="6"/>
      <x:c r="J591" s="6"/>
    </x:row>
    <x:row r="592">
      <x:c r="A592" s="6"/>
      <x:c r="B592" s="6"/>
      <x:c r="C592" s="6"/>
      <x:c r="D592" s="6"/>
      <x:c r="E592" s="6"/>
      <x:c r="F592" s="6"/>
      <x:c r="G592" s="6"/>
      <x:c r="H592" s="6"/>
      <x:c r="I592" s="6"/>
      <x:c r="J592" s="6"/>
    </x:row>
    <x:row r="593">
      <x:c r="A593" s="6"/>
      <x:c r="B593" s="6"/>
      <x:c r="C593" s="6"/>
      <x:c r="D593" s="6"/>
      <x:c r="E593" s="6"/>
      <x:c r="F593" s="6"/>
      <x:c r="G593" s="6"/>
      <x:c r="H593" s="6"/>
      <x:c r="I593" s="6"/>
      <x:c r="J593" s="6"/>
    </x:row>
    <x:row r="594">
      <x:c r="A594" s="6"/>
      <x:c r="B594" s="6"/>
      <x:c r="C594" s="6"/>
      <x:c r="D594" s="6"/>
      <x:c r="E594" s="6"/>
      <x:c r="F594" s="6"/>
      <x:c r="G594" s="6"/>
      <x:c r="H594" s="6"/>
      <x:c r="I594" s="6"/>
      <x:c r="J594" s="6"/>
    </x:row>
    <x:row r="595">
      <x:c r="A595" s="6"/>
      <x:c r="B595" s="6"/>
      <x:c r="C595" s="6"/>
      <x:c r="D595" s="6"/>
      <x:c r="E595" s="6"/>
      <x:c r="F595" s="6"/>
      <x:c r="G595" s="6"/>
      <x:c r="H595" s="6"/>
      <x:c r="I595" s="6"/>
      <x:c r="J595" s="6"/>
    </x:row>
    <x:row r="596">
      <x:c r="A596" s="6"/>
      <x:c r="B596" s="6"/>
      <x:c r="C596" s="6"/>
      <x:c r="D596" s="6"/>
      <x:c r="E596" s="6"/>
      <x:c r="F596" s="6"/>
      <x:c r="G596" s="6"/>
      <x:c r="H596" s="6"/>
      <x:c r="I596" s="6"/>
      <x:c r="J596" s="6"/>
    </x:row>
    <x:row r="597">
      <x:c r="A597" s="6"/>
      <x:c r="B597" s="6"/>
      <x:c r="C597" s="6"/>
      <x:c r="D597" s="6"/>
      <x:c r="E597" s="6"/>
      <x:c r="F597" s="6"/>
      <x:c r="G597" s="6"/>
      <x:c r="H597" s="6"/>
      <x:c r="I597" s="6"/>
      <x:c r="J597" s="6"/>
    </x:row>
    <x:row r="598">
      <x:c r="A598" s="6"/>
      <x:c r="B598" s="6"/>
      <x:c r="C598" s="6"/>
      <x:c r="D598" s="6"/>
      <x:c r="E598" s="6"/>
      <x:c r="F598" s="6"/>
      <x:c r="G598" s="6"/>
      <x:c r="H598" s="6"/>
      <x:c r="I598" s="6"/>
      <x:c r="J598" s="6"/>
    </x:row>
    <x:row r="599">
      <x:c r="A599" s="6"/>
      <x:c r="B599" s="6"/>
      <x:c r="C599" s="6"/>
      <x:c r="D599" s="6"/>
      <x:c r="E599" s="6"/>
      <x:c r="F599" s="6"/>
      <x:c r="G599" s="6"/>
      <x:c r="H599" s="6"/>
      <x:c r="I599" s="6"/>
      <x:c r="J599" s="6"/>
    </x:row>
    <x:row r="600">
      <x:c r="A600" s="6"/>
      <x:c r="B600" s="6"/>
      <x:c r="C600" s="6"/>
      <x:c r="D600" s="6"/>
      <x:c r="E600" s="6"/>
      <x:c r="F600" s="6"/>
      <x:c r="G600" s="6"/>
      <x:c r="H600" s="6"/>
      <x:c r="I600" s="6"/>
      <x:c r="J600" s="6"/>
    </x:row>
    <x:row r="601">
      <x:c r="A601" s="6"/>
      <x:c r="B601" s="6"/>
      <x:c r="C601" s="6"/>
      <x:c r="D601" s="6"/>
      <x:c r="E601" s="6"/>
      <x:c r="F601" s="6"/>
      <x:c r="G601" s="6"/>
      <x:c r="H601" s="6"/>
      <x:c r="I601" s="6"/>
      <x:c r="J601" s="6"/>
    </x:row>
    <x:row r="602">
      <x:c r="A602" s="6"/>
      <x:c r="B602" s="6"/>
      <x:c r="C602" s="6"/>
      <x:c r="D602" s="6"/>
      <x:c r="E602" s="6"/>
      <x:c r="F602" s="6"/>
      <x:c r="G602" s="6"/>
      <x:c r="H602" s="6"/>
      <x:c r="I602" s="6"/>
      <x:c r="J602" s="6"/>
    </x:row>
    <x:row r="603">
      <x:c r="A603" s="6"/>
      <x:c r="B603" s="6"/>
      <x:c r="C603" s="6"/>
      <x:c r="D603" s="6"/>
      <x:c r="E603" s="6"/>
      <x:c r="F603" s="6"/>
      <x:c r="G603" s="6"/>
      <x:c r="H603" s="6"/>
      <x:c r="I603" s="6"/>
      <x:c r="J603" s="6"/>
    </x:row>
    <x:row r="604">
      <x:c r="A604" s="6"/>
      <x:c r="B604" s="6"/>
      <x:c r="C604" s="6"/>
      <x:c r="D604" s="6"/>
      <x:c r="E604" s="6"/>
      <x:c r="F604" s="6"/>
      <x:c r="G604" s="6"/>
      <x:c r="H604" s="6"/>
      <x:c r="I604" s="6"/>
      <x:c r="J604" s="6"/>
    </x:row>
    <x:row r="605">
      <x:c r="A605" s="6"/>
      <x:c r="B605" s="6"/>
      <x:c r="C605" s="6"/>
      <x:c r="D605" s="6"/>
      <x:c r="E605" s="6"/>
      <x:c r="F605" s="6"/>
      <x:c r="G605" s="6"/>
      <x:c r="H605" s="6"/>
      <x:c r="I605" s="6"/>
      <x:c r="J605" s="6"/>
    </x:row>
    <x:row r="606">
      <x:c r="A606" s="6"/>
      <x:c r="B606" s="6"/>
      <x:c r="C606" s="6"/>
      <x:c r="D606" s="6"/>
      <x:c r="E606" s="6"/>
      <x:c r="F606" s="6"/>
      <x:c r="G606" s="6"/>
      <x:c r="H606" s="6"/>
      <x:c r="I606" s="6"/>
      <x:c r="J606" s="6"/>
    </x:row>
    <x:row r="607">
      <x:c r="A607" s="6"/>
      <x:c r="B607" s="6"/>
      <x:c r="C607" s="6"/>
      <x:c r="D607" s="6"/>
      <x:c r="E607" s="6"/>
      <x:c r="F607" s="6"/>
      <x:c r="G607" s="6"/>
      <x:c r="H607" s="6"/>
      <x:c r="I607" s="6"/>
      <x:c r="J607" s="6"/>
    </x:row>
    <x:row r="608">
      <x:c r="A608" s="6"/>
      <x:c r="B608" s="6"/>
      <x:c r="C608" s="6"/>
      <x:c r="D608" s="6"/>
      <x:c r="E608" s="6"/>
      <x:c r="F608" s="6"/>
      <x:c r="G608" s="6"/>
      <x:c r="H608" s="6"/>
      <x:c r="I608" s="6"/>
      <x:c r="J608" s="6"/>
    </x:row>
    <x:row r="609">
      <x:c r="A609" s="6"/>
      <x:c r="B609" s="6"/>
      <x:c r="C609" s="6"/>
      <x:c r="D609" s="6"/>
      <x:c r="E609" s="6"/>
      <x:c r="F609" s="6"/>
      <x:c r="G609" s="6"/>
      <x:c r="H609" s="6"/>
      <x:c r="I609" s="6"/>
      <x:c r="J609" s="6"/>
    </x:row>
    <x:row r="610">
      <x:c r="A610" s="6"/>
      <x:c r="B610" s="6"/>
      <x:c r="C610" s="6"/>
      <x:c r="D610" s="6"/>
      <x:c r="E610" s="6"/>
      <x:c r="F610" s="6"/>
      <x:c r="G610" s="6"/>
      <x:c r="H610" s="6"/>
      <x:c r="I610" s="6"/>
      <x:c r="J610" s="6"/>
    </x:row>
  </x:sheetData>
  <x:pageMargins left="0.7" right="0.7" top="0.75" bottom="0.75" header="0.3" footer="0.3"/>
  <x:tableParts count="1">
    <x:tablePart xmlns:r="http://schemas.openxmlformats.org/officeDocument/2006/relationships" r:id="Rd6bced6387b74a59"/>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6.110000133514404" hidden="0" customWidth="1"/>
    <x:col min="3" max="3" width="6.110000133514404" hidden="0" customWidth="1"/>
    <x:col min="4" max="4" width="6.110000133514404" hidden="0" customWidth="1"/>
    <x:col min="5" max="5" width="6.110000133514404" hidden="0" customWidth="1"/>
    <x:col min="6" max="6" width="2.6700000762939453" hidden="0" customWidth="1"/>
    <x:col min="7" max="7" width="11.670000076293945" hidden="0" customWidth="1"/>
    <x:col min="8" max="8" width="6.110000133514404" hidden="0" customWidth="1"/>
    <x:col min="9" max="9" width="6.110000133514404" hidden="0" customWidth="1"/>
    <x:col min="10" max="10" width="6.110000133514404" hidden="0" customWidth="1"/>
    <x:col min="11" max="11" width="6.110000133514404" hidden="0" customWidth="1"/>
  </x:cols>
  <x:sheetData>
    <x:row r="1">
      <x:c r="A1" s="14" t="str">
        <x:v>from_to_time</x:v>
      </x:c>
      <x:c r="B1" s="18" t="str">
        <x:v>0</x:v>
      </x:c>
      <x:c r="C1" s="18" t="str">
        <x:v>1</x:v>
      </x:c>
      <x:c r="D1" s="18" t="str">
        <x:v>2</x:v>
      </x:c>
      <x:c r="E1" s="15" t="str">
        <x:v>3</x:v>
      </x:c>
      <x:c r="F1" s="6"/>
      <x:c r="G1" s="30" t="str">
        <x:v>from_to_cost</x:v>
      </x:c>
      <x:c r="H1" s="31" t="str">
        <x:v>0</x:v>
      </x:c>
      <x:c r="I1" s="31" t="str">
        <x:v>1</x:v>
      </x:c>
      <x:c r="J1" s="31" t="str">
        <x:v>2</x:v>
      </x:c>
      <x:c r="K1" s="32" t="str">
        <x:v>3</x:v>
      </x:c>
    </x:row>
    <x:row r="2">
      <x:c r="A2" s="6" t="str">
        <x:v>0</x:v>
      </x:c>
      <x:c r="B2" s="6" t="n">
        <x:v>0</x:v>
      </x:c>
      <x:c r="C2" s="6" t="n">
        <x:v>10</x:v>
      </x:c>
      <x:c r="D2" s="6" t="n">
        <x:v>10</x:v>
      </x:c>
      <x:c r="E2" s="6" t="n">
        <x:v>10</x:v>
      </x:c>
      <x:c r="F2" s="6"/>
      <x:c r="G2" s="6" t="str">
        <x:v>0</x:v>
      </x:c>
      <x:c r="H2" s="6" t="n">
        <x:v>0</x:v>
      </x:c>
      <x:c r="I2" s="6" t="n">
        <x:v>200</x:v>
      </x:c>
      <x:c r="J2" s="6" t="n">
        <x:v>200</x:v>
      </x:c>
      <x:c r="K2" s="6" t="n">
        <x:v>200</x:v>
      </x:c>
    </x:row>
    <x:row r="3">
      <x:c r="A3" s="6" t="str">
        <x:v>1</x:v>
      </x:c>
      <x:c r="B3" s="6" t="n">
        <x:v>10</x:v>
      </x:c>
      <x:c r="C3" s="6" t="n">
        <x:v>0</x:v>
      </x:c>
      <x:c r="D3" s="6" t="n">
        <x:v>10</x:v>
      </x:c>
      <x:c r="E3" s="6" t="n">
        <x:v>10</x:v>
      </x:c>
      <x:c r="F3" s="6"/>
      <x:c r="G3" s="6" t="str">
        <x:v>1</x:v>
      </x:c>
      <x:c r="H3" s="6" t="n">
        <x:v>200</x:v>
      </x:c>
      <x:c r="I3" s="6" t="n">
        <x:v>0</x:v>
      </x:c>
      <x:c r="J3" s="6" t="n">
        <x:v>200</x:v>
      </x:c>
      <x:c r="K3" s="6" t="n">
        <x:v>200</x:v>
      </x:c>
    </x:row>
    <x:row r="4">
      <x:c r="A4" s="6" t="str">
        <x:v>2</x:v>
      </x:c>
      <x:c r="B4" s="6" t="n">
        <x:v>10</x:v>
      </x:c>
      <x:c r="C4" s="6" t="n">
        <x:v>10</x:v>
      </x:c>
      <x:c r="D4" s="6" t="n">
        <x:v>0</x:v>
      </x:c>
      <x:c r="E4" s="6" t="n">
        <x:v>10</x:v>
      </x:c>
      <x:c r="F4" s="6"/>
      <x:c r="G4" s="6" t="str">
        <x:v>2</x:v>
      </x:c>
      <x:c r="H4" s="6" t="n">
        <x:v>200</x:v>
      </x:c>
      <x:c r="I4" s="6" t="n">
        <x:v>200</x:v>
      </x:c>
      <x:c r="J4" s="6" t="n">
        <x:v>0</x:v>
      </x:c>
      <x:c r="K4" s="6" t="n">
        <x:v>200</x:v>
      </x:c>
    </x:row>
    <x:row r="5">
      <x:c r="A5" s="6" t="str">
        <x:v>3</x:v>
      </x:c>
      <x:c r="B5" s="6" t="n">
        <x:v>3</x:v>
      </x:c>
      <x:c r="C5" s="6" t="n">
        <x:v>3</x:v>
      </x:c>
      <x:c r="D5" s="6" t="n">
        <x:v>3</x:v>
      </x:c>
      <x:c r="E5" s="6" t="n">
        <x:v>0</x:v>
      </x:c>
      <x:c r="F5" s="6"/>
      <x:c r="G5" s="6" t="str">
        <x:v>3</x:v>
      </x:c>
      <x:c r="H5" s="6" t="n">
        <x:v>60</x:v>
      </x:c>
      <x:c r="I5" s="6" t="n">
        <x:v>60</x:v>
      </x:c>
      <x:c r="J5" s="6" t="n">
        <x:v>60</x:v>
      </x:c>
      <x:c r="K5" s="6" t="n">
        <x:v>0</x:v>
      </x:c>
    </x:row>
    <x:row r="6">
      <x:c r="A6" s="6"/>
      <x:c r="B6" s="6"/>
      <x:c r="C6" s="6"/>
      <x:c r="D6" s="6"/>
      <x:c r="E6" s="6"/>
      <x:c r="F6" s="6"/>
      <x:c r="G6" s="6"/>
      <x:c r="H6" s="6"/>
      <x:c r="I6" s="6"/>
      <x:c r="J6" s="6"/>
      <x:c r="K6" s="6"/>
    </x:row>
    <x:row r="7">
      <x:c r="A7" s="6"/>
      <x:c r="B7" s="6"/>
      <x:c r="C7" s="6"/>
      <x:c r="D7" s="6"/>
      <x:c r="E7" s="6"/>
      <x:c r="F7" s="6"/>
      <x:c r="G7" s="6"/>
      <x:c r="H7" s="6"/>
      <x:c r="I7" s="6"/>
      <x:c r="J7" s="6"/>
      <x:c r="K7" s="6"/>
    </x:row>
    <x:row r="8">
      <x:c r="A8" s="6"/>
      <x:c r="B8" s="6"/>
      <x:c r="C8" s="6"/>
      <x:c r="D8" s="6"/>
      <x:c r="E8" s="6"/>
      <x:c r="F8" s="6"/>
      <x:c r="G8" s="6"/>
      <x:c r="H8" s="6"/>
      <x:c r="I8" s="6"/>
      <x:c r="J8" s="6"/>
      <x:c r="K8" s="6"/>
    </x:row>
    <x:row r="9">
      <x:c r="A9" s="6"/>
      <x:c r="B9" s="6"/>
      <x:c r="C9" s="6"/>
      <x:c r="D9" s="6"/>
      <x:c r="E9" s="6"/>
      <x:c r="F9" s="6"/>
      <x:c r="G9" s="6"/>
      <x:c r="H9" s="6"/>
      <x:c r="I9" s="6"/>
      <x:c r="J9" s="6"/>
      <x:c r="K9" s="6"/>
    </x:row>
    <x:row r="10">
      <x:c r="A10" s="6"/>
      <x:c r="B10" s="6"/>
      <x:c r="C10" s="6"/>
      <x:c r="D10" s="6"/>
      <x:c r="E10" s="6"/>
      <x:c r="F10" s="6"/>
      <x:c r="G10" s="6"/>
      <x:c r="H10" s="6"/>
      <x:c r="I10" s="6"/>
      <x:c r="J10" s="6"/>
      <x:c r="K10" s="6"/>
    </x:row>
    <x:row r="11">
      <x:c r="A11" s="6"/>
      <x:c r="B11" s="6"/>
      <x:c r="C11" s="6"/>
      <x:c r="D11" s="6"/>
      <x:c r="E11" s="6"/>
      <x:c r="F11" s="6"/>
      <x:c r="G11" s="6"/>
      <x:c r="H11" s="6"/>
      <x:c r="I11" s="6"/>
      <x:c r="J11" s="6"/>
      <x:c r="K11" s="6"/>
    </x:row>
    <x:row r="12">
      <x:c r="A12" s="6"/>
      <x:c r="B12" s="6"/>
      <x:c r="C12" s="6"/>
      <x:c r="D12" s="6"/>
      <x:c r="E12" s="6"/>
      <x:c r="F12" s="6"/>
      <x:c r="G12" s="6"/>
      <x:c r="H12" s="6"/>
      <x:c r="I12" s="6"/>
      <x:c r="J12" s="6"/>
      <x:c r="K12" s="6"/>
    </x:row>
    <x:row r="13">
      <x:c r="A13" s="6"/>
      <x:c r="B13" s="6"/>
      <x:c r="C13" s="6"/>
      <x:c r="D13" s="6"/>
      <x:c r="E13" s="6"/>
      <x:c r="F13" s="6"/>
      <x:c r="G13" s="6"/>
      <x:c r="H13" s="6"/>
      <x:c r="I13" s="6"/>
      <x:c r="J13" s="6"/>
      <x:c r="K13" s="6"/>
    </x:row>
    <x:row r="14">
      <x:c r="A14" s="6"/>
      <x:c r="B14" s="6"/>
      <x:c r="C14" s="6"/>
      <x:c r="D14" s="6"/>
      <x:c r="E14" s="6"/>
      <x:c r="F14" s="6"/>
      <x:c r="G14" s="6"/>
      <x:c r="H14" s="6"/>
      <x:c r="I14" s="6"/>
      <x:c r="J14" s="6"/>
      <x:c r="K14" s="6"/>
    </x:row>
    <x:row r="15">
      <x:c r="A15" s="6"/>
      <x:c r="B15" s="6"/>
      <x:c r="C15" s="6"/>
      <x:c r="D15" s="6"/>
      <x:c r="E15" s="6"/>
      <x:c r="F15" s="6"/>
      <x:c r="G15" s="6"/>
      <x:c r="H15" s="6"/>
      <x:c r="I15" s="6"/>
      <x:c r="J15" s="6"/>
      <x:c r="K15" s="6"/>
    </x:row>
    <x:row r="16">
      <x:c r="A16" s="6"/>
      <x:c r="B16" s="6"/>
      <x:c r="C16" s="6"/>
      <x:c r="D16" s="6"/>
      <x:c r="E16" s="6"/>
      <x:c r="F16" s="6"/>
      <x:c r="G16" s="6"/>
      <x:c r="H16" s="6"/>
      <x:c r="I16" s="6"/>
      <x:c r="J16" s="6"/>
      <x:c r="K16" s="6"/>
    </x:row>
    <x:row r="17">
      <x:c r="A17" s="6"/>
      <x:c r="B17" s="6"/>
      <x:c r="C17" s="6"/>
      <x:c r="D17" s="6"/>
      <x:c r="E17" s="6"/>
      <x:c r="F17" s="6"/>
      <x:c r="G17" s="6"/>
      <x:c r="H17" s="6"/>
      <x:c r="I17" s="6"/>
      <x:c r="J17" s="6"/>
      <x:c r="K17" s="6"/>
    </x:row>
    <x:row r="18">
      <x:c r="A18" s="6"/>
      <x:c r="B18" s="6"/>
      <x:c r="C18" s="6"/>
      <x:c r="D18" s="6"/>
      <x:c r="E18" s="6"/>
      <x:c r="F18" s="6"/>
      <x:c r="G18" s="6"/>
      <x:c r="H18" s="6"/>
      <x:c r="I18" s="6"/>
      <x:c r="J18" s="6"/>
      <x:c r="K18" s="6"/>
    </x:row>
    <x:row r="19">
      <x:c r="A19" s="6"/>
      <x:c r="B19" s="6"/>
      <x:c r="C19" s="6"/>
      <x:c r="D19" s="6"/>
      <x:c r="E19" s="6"/>
      <x:c r="F19" s="6"/>
      <x:c r="G19" s="6"/>
      <x:c r="H19" s="6"/>
      <x:c r="I19" s="6"/>
      <x:c r="J19" s="6"/>
      <x:c r="K19" s="6"/>
    </x:row>
    <x:row r="20">
      <x:c r="A20" s="6"/>
      <x:c r="B20" s="6"/>
      <x:c r="C20" s="6"/>
      <x:c r="D20" s="6"/>
      <x:c r="E20" s="6"/>
      <x:c r="F20" s="6"/>
      <x:c r="G20" s="6"/>
      <x:c r="H20" s="6"/>
      <x:c r="I20" s="6"/>
      <x:c r="J20" s="6"/>
      <x:c r="K20" s="6"/>
    </x:row>
    <x:row r="21">
      <x:c r="A21" s="6"/>
      <x:c r="B21" s="6"/>
      <x:c r="C21" s="6"/>
      <x:c r="D21" s="6"/>
      <x:c r="E21" s="6"/>
      <x:c r="F21" s="6"/>
      <x:c r="G21" s="6"/>
      <x:c r="H21" s="6"/>
      <x:c r="I21" s="6"/>
      <x:c r="J21" s="6"/>
      <x:c r="K21" s="6"/>
    </x:row>
    <x:row r="22">
      <x:c r="A22" s="6"/>
      <x:c r="B22" s="6"/>
      <x:c r="C22" s="6"/>
      <x:c r="D22" s="6"/>
      <x:c r="E22" s="6"/>
      <x:c r="F22" s="6"/>
      <x:c r="G22" s="6"/>
      <x:c r="H22" s="6"/>
      <x:c r="I22" s="6"/>
      <x:c r="J22" s="6"/>
      <x:c r="K22" s="6"/>
    </x:row>
    <x:row r="23">
      <x:c r="A23" s="6"/>
      <x:c r="B23" s="6"/>
      <x:c r="C23" s="6"/>
      <x:c r="D23" s="6"/>
      <x:c r="E23" s="6"/>
      <x:c r="F23" s="6"/>
      <x:c r="G23" s="6"/>
      <x:c r="H23" s="6"/>
      <x:c r="I23" s="6"/>
      <x:c r="J23" s="6"/>
      <x:c r="K23" s="6"/>
    </x:row>
    <x:row r="24">
      <x:c r="A24" s="6"/>
      <x:c r="B24" s="6"/>
      <x:c r="C24" s="6"/>
      <x:c r="D24" s="6"/>
      <x:c r="E24" s="6"/>
      <x:c r="F24" s="6"/>
      <x:c r="G24" s="6"/>
      <x:c r="H24" s="6"/>
      <x:c r="I24" s="6"/>
      <x:c r="J24" s="6"/>
      <x:c r="K24" s="6"/>
    </x:row>
    <x:row r="25">
      <x:c r="A25" s="6"/>
      <x:c r="B25" s="6"/>
      <x:c r="C25" s="6"/>
      <x:c r="D25" s="6"/>
      <x:c r="E25" s="6"/>
      <x:c r="F25" s="6"/>
      <x:c r="G25" s="6"/>
      <x:c r="H25" s="6"/>
      <x:c r="I25" s="6"/>
      <x:c r="J25" s="6"/>
      <x:c r="K25" s="6"/>
    </x:row>
    <x:row r="26">
      <x:c r="A26" s="6"/>
      <x:c r="B26" s="6"/>
      <x:c r="C26" s="6"/>
      <x:c r="D26" s="6"/>
      <x:c r="E26" s="6"/>
      <x:c r="F26" s="6"/>
      <x:c r="G26" s="6"/>
      <x:c r="H26" s="6"/>
      <x:c r="I26" s="6"/>
      <x:c r="J26" s="6"/>
      <x:c r="K26" s="6"/>
    </x:row>
    <x:row r="27">
      <x:c r="A27" s="6"/>
      <x:c r="B27" s="6"/>
      <x:c r="C27" s="6"/>
      <x:c r="D27" s="6"/>
      <x:c r="E27" s="6"/>
      <x:c r="F27" s="6"/>
      <x:c r="G27" s="6"/>
      <x:c r="H27" s="6"/>
      <x:c r="I27" s="6"/>
      <x:c r="J27" s="6"/>
      <x:c r="K27" s="6"/>
    </x:row>
    <x:row r="28">
      <x:c r="A28" s="6"/>
      <x:c r="B28" s="6"/>
      <x:c r="C28" s="6"/>
      <x:c r="D28" s="6"/>
      <x:c r="E28" s="6"/>
      <x:c r="F28" s="6"/>
      <x:c r="G28" s="6"/>
      <x:c r="H28" s="6"/>
      <x:c r="I28" s="6"/>
      <x:c r="J28" s="6"/>
      <x:c r="K28" s="6"/>
    </x:row>
    <x:row r="29">
      <x:c r="A29" s="6"/>
      <x:c r="B29" s="6"/>
      <x:c r="C29" s="6"/>
      <x:c r="D29" s="6"/>
      <x:c r="E29" s="6"/>
      <x:c r="F29" s="6"/>
      <x:c r="G29" s="6"/>
      <x:c r="H29" s="6"/>
      <x:c r="I29" s="6"/>
      <x:c r="J29" s="6"/>
      <x:c r="K29" s="6"/>
    </x:row>
    <x:row r="30">
      <x:c r="A30" s="6"/>
      <x:c r="B30" s="6"/>
      <x:c r="C30" s="6"/>
      <x:c r="D30" s="6"/>
      <x:c r="E30" s="6"/>
      <x:c r="F30" s="6"/>
      <x:c r="G30" s="6"/>
      <x:c r="H30" s="6"/>
      <x:c r="I30" s="6"/>
      <x:c r="J30" s="6"/>
      <x:c r="K30" s="6"/>
    </x:row>
    <x:row r="31">
      <x:c r="A31" s="6"/>
      <x:c r="B31" s="6"/>
      <x:c r="C31" s="6"/>
      <x:c r="D31" s="6"/>
      <x:c r="E31" s="6"/>
      <x:c r="F31" s="6"/>
      <x:c r="G31" s="6"/>
      <x:c r="H31" s="6"/>
      <x:c r="I31" s="6"/>
      <x:c r="J31" s="6"/>
      <x:c r="K31" s="6"/>
    </x:row>
    <x:row r="32">
      <x:c r="A32" s="6"/>
      <x:c r="B32" s="6"/>
      <x:c r="C32" s="6"/>
      <x:c r="D32" s="6"/>
      <x:c r="E32" s="6"/>
      <x:c r="F32" s="6"/>
      <x:c r="G32" s="6"/>
      <x:c r="H32" s="6"/>
      <x:c r="I32" s="6"/>
      <x:c r="J32" s="6"/>
      <x:c r="K32" s="6"/>
    </x:row>
    <x:row r="33">
      <x:c r="A33" s="6"/>
      <x:c r="B33" s="6"/>
      <x:c r="C33" s="6"/>
      <x:c r="D33" s="6"/>
      <x:c r="E33" s="6"/>
      <x:c r="F33" s="6"/>
      <x:c r="G33" s="6"/>
      <x:c r="H33" s="6"/>
      <x:c r="I33" s="6"/>
      <x:c r="J33" s="6"/>
      <x:c r="K33" s="6"/>
    </x:row>
    <x:row r="34">
      <x:c r="A34" s="6"/>
      <x:c r="B34" s="6"/>
      <x:c r="C34" s="6"/>
      <x:c r="D34" s="6"/>
      <x:c r="E34" s="6"/>
      <x:c r="F34" s="6"/>
      <x:c r="G34" s="6"/>
      <x:c r="H34" s="6"/>
      <x:c r="I34" s="6"/>
      <x:c r="J34" s="6"/>
      <x:c r="K34" s="6"/>
    </x:row>
    <x:row r="35">
      <x:c r="A35" s="6"/>
      <x:c r="B35" s="6"/>
      <x:c r="C35" s="6"/>
      <x:c r="D35" s="6"/>
      <x:c r="E35" s="6"/>
      <x:c r="F35" s="6"/>
      <x:c r="G35" s="6"/>
      <x:c r="H35" s="6"/>
      <x:c r="I35" s="6"/>
      <x:c r="J35" s="6"/>
      <x:c r="K35" s="6"/>
    </x:row>
  </x:sheetData>
  <x:conditionalFormatting sqref="B2:E5">
    <x:cfRule type="colorScale" priority="1">
      <x:colorScale>
        <x:cfvo type="min"/>
        <x:cfvo type="percentile" val="50"/>
        <x:cfvo type="max"/>
        <x:color rgb="FFFFFFFF"/>
        <x:color rgb="FFDFE9F0"/>
        <x:color rgb="FF467AA0"/>
      </x:colorScale>
    </x:cfRule>
  </x:conditionalFormatting>
  <x:conditionalFormatting sqref="H2:K5">
    <x:cfRule type="colorScale" priority="2">
      <x:colorScale>
        <x:cfvo type="min"/>
        <x:cfvo type="percentile" val="50"/>
        <x:cfvo type="max"/>
        <x:color rgb="FFFFFFFF"/>
        <x:color rgb="FFF5E9CF"/>
        <x:color rgb="FFD99A2B"/>
      </x:colorScale>
    </x:cfRule>
  </x:conditionalFormatting>
  <x:pageMargins left="0.7" right="0.7" top="0.75" bottom="0.75" header="0.3" footer="0.3"/>
  <x:tableParts count="2">
    <x:tablePart xmlns:r="http://schemas.openxmlformats.org/officeDocument/2006/relationships" r:id="Rdd6119051edb4e08"/>
    <x:tablePart xmlns:r="http://schemas.openxmlformats.org/officeDocument/2006/relationships" r:id="Racac82971ce7460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6.110000610351562" hidden="0" customWidth="1"/>
    <x:col min="2" max="2" width="19.440000534057617" hidden="0" customWidth="1"/>
    <x:col min="3" max="3" width="7.21999979019165" hidden="0" customWidth="1"/>
    <x:col min="4" max="4" width="10.5600004196167" hidden="0" customWidth="1"/>
    <x:col min="5" max="5" width="13.890000343322754" hidden="0" customWidth="1"/>
    <x:col min="6" max="6" width="15" hidden="0" customWidth="1"/>
    <x:col min="7" max="7" width="9.4399995803833" hidden="0" customWidth="1"/>
    <x:col min="8" max="8" width="25.559999465942383" hidden="0" customWidth="1"/>
  </x:cols>
  <x:sheetData>
    <x:row r="1">
      <x:c r="A1" s="14" t="str">
        <x:v>instance</x:v>
      </x:c>
      <x:c r="B1" s="18" t="str">
        <x:v>problem_family</x:v>
      </x:c>
      <x:c r="C1" s="18" t="str">
        <x:v>jobs</x:v>
      </x:c>
      <x:c r="D1" s="18" t="str">
        <x:v>reference_cost</x:v>
      </x:c>
      <x:c r="E1" s="18" t="str">
        <x:v>baseline_gap_percent</x:v>
      </x:c>
      <x:c r="F1" s="18" t="str">
        <x:v>reference_status</x:v>
      </x:c>
      <x:c r="G1" s="18" t="str">
        <x:v>size_band</x:v>
      </x:c>
      <x:c r="H1" s="15" t="str">
        <x:v>source_path</x:v>
      </x:c>
    </x:row>
    <x:row r="2">
      <x:c r="A2" s="6" t="str">
        <x:v>GPU_CALM_40</x:v>
      </x:c>
      <x:c r="B2" s="6" t="str">
        <x:v>GPU/LLM capacity</x:v>
      </x:c>
      <x:c r="C2" s="6" t="n">
        <x:v>40</x:v>
      </x:c>
      <x:c r="D2" s="33"/>
      <x:c r="E2" s="33"/>
      <x:c r="F2" s="6" t="str">
        <x:v>not provided</x:v>
      </x:c>
      <x:c r="G2" s="6" t="str">
        <x:v>Medium</x:v>
      </x:c>
      <x:c r="H2" s="6" t="str">
        <x:v>masclib-gpu/GPU_CALM_40.csv</x:v>
      </x:c>
    </x:row>
    <x:row r="3">
      <x:c r="A3" s="6" t="str">
        <x:v>GPU_HEAVY_120</x:v>
      </x:c>
      <x:c r="B3" s="6" t="str">
        <x:v>GPU/LLM capacity</x:v>
      </x:c>
      <x:c r="C3" s="6" t="n">
        <x:v>120</x:v>
      </x:c>
      <x:c r="D3" s="33"/>
      <x:c r="E3" s="33"/>
      <x:c r="F3" s="6" t="str">
        <x:v>not provided</x:v>
      </x:c>
      <x:c r="G3" s="6" t="str">
        <x:v>Large</x:v>
      </x:c>
      <x:c r="H3" s="6" t="str">
        <x:v>masclib-gpu/GPU_HEAVY_120.csv</x:v>
      </x:c>
    </x:row>
    <x:row r="4">
      <x:c r="A4" s="6" t="str">
        <x:v>GPU_RUSH_60</x:v>
      </x:c>
      <x:c r="B4" s="6" t="str">
        <x:v>GPU/LLM capacity</x:v>
      </x:c>
      <x:c r="C4" s="6" t="n">
        <x:v>60</x:v>
      </x:c>
      <x:c r="D4" s="33"/>
      <x:c r="E4" s="33"/>
      <x:c r="F4" s="6" t="str">
        <x:v>not provided</x:v>
      </x:c>
      <x:c r="G4" s="6" t="str">
        <x:v>Medium</x:v>
      </x:c>
      <x:c r="H4" s="6" t="str">
        <x:v>masclib-gpu/GPU_RUSH_60.csv</x:v>
      </x:c>
    </x:row>
    <x:row r="5">
      <x:c r="A5" s="6" t="str">
        <x:v>NCOS_01</x:v>
      </x:c>
      <x:c r="B5" s="6" t="str">
        <x:v>Cost/rejection</x:v>
      </x:c>
      <x:c r="C5" s="6" t="n">
        <x:v>8</x:v>
      </x:c>
      <x:c r="D5" s="33" t="n">
        <x:v>800</x:v>
      </x:c>
      <x:c r="E5" s="33" t="n">
        <x:v>0</x:v>
      </x:c>
      <x:c r="F5" s="6" t="str">
        <x:v>historical reference</x:v>
      </x:c>
      <x:c r="G5" s="6" t="str">
        <x:v>Small</x:v>
      </x:c>
      <x:c r="H5" s="6" t="str">
        <x:v>masclib/NCOS_01.csv</x:v>
      </x:c>
    </x:row>
    <x:row r="6">
      <x:c r="A6" s="6" t="str">
        <x:v>NCOS_01a</x:v>
      </x:c>
      <x:c r="B6" s="6" t="str">
        <x:v>Cost/rejection</x:v>
      </x:c>
      <x:c r="C6" s="6" t="n">
        <x:v>8</x:v>
      </x:c>
      <x:c r="D6" s="33" t="n">
        <x:v>800</x:v>
      </x:c>
      <x:c r="E6" s="33" t="n">
        <x:v>0</x:v>
      </x:c>
      <x:c r="F6" s="6" t="str">
        <x:v>historical reference</x:v>
      </x:c>
      <x:c r="G6" s="6" t="str">
        <x:v>Small</x:v>
      </x:c>
      <x:c r="H6" s="6" t="str">
        <x:v>masclib/NCOS_01a.csv</x:v>
      </x:c>
    </x:row>
    <x:row r="7">
      <x:c r="A7" s="6" t="str">
        <x:v>NCOS_02</x:v>
      </x:c>
      <x:c r="B7" s="6" t="str">
        <x:v>Cost/rejection</x:v>
      </x:c>
      <x:c r="C7" s="6" t="n">
        <x:v>10</x:v>
      </x:c>
      <x:c r="D7" s="33" t="n">
        <x:v>2570</x:v>
      </x:c>
      <x:c r="E7" s="33" t="n">
        <x:v>0</x:v>
      </x:c>
      <x:c r="F7" s="6" t="str">
        <x:v>historical reference</x:v>
      </x:c>
      <x:c r="G7" s="6" t="str">
        <x:v>Small</x:v>
      </x:c>
      <x:c r="H7" s="6" t="str">
        <x:v>masclib/NCOS_02.csv</x:v>
      </x:c>
    </x:row>
    <x:row r="8">
      <x:c r="A8" s="6" t="str">
        <x:v>NCOS_02a</x:v>
      </x:c>
      <x:c r="B8" s="6" t="str">
        <x:v>Cost/rejection</x:v>
      </x:c>
      <x:c r="C8" s="6" t="n">
        <x:v>10</x:v>
      </x:c>
      <x:c r="D8" s="33" t="n">
        <x:v>1210</x:v>
      </x:c>
      <x:c r="E8" s="33" t="n">
        <x:v>0</x:v>
      </x:c>
      <x:c r="F8" s="6" t="str">
        <x:v>historical reference</x:v>
      </x:c>
      <x:c r="G8" s="6" t="str">
        <x:v>Small</x:v>
      </x:c>
      <x:c r="H8" s="6" t="str">
        <x:v>masclib/NCOS_02a.csv</x:v>
      </x:c>
    </x:row>
    <x:row r="9">
      <x:c r="A9" s="6" t="str">
        <x:v>NCOS_03</x:v>
      </x:c>
      <x:c r="B9" s="6" t="str">
        <x:v>Cost/rejection</x:v>
      </x:c>
      <x:c r="C9" s="6" t="n">
        <x:v>10</x:v>
      </x:c>
      <x:c r="D9" s="33" t="n">
        <x:v>6460</x:v>
      </x:c>
      <x:c r="E9" s="33" t="n">
        <x:v>0</x:v>
      </x:c>
      <x:c r="F9" s="6" t="str">
        <x:v>historical reference</x:v>
      </x:c>
      <x:c r="G9" s="6" t="str">
        <x:v>Small</x:v>
      </x:c>
      <x:c r="H9" s="6" t="str">
        <x:v>masclib/NCOS_03.csv</x:v>
      </x:c>
    </x:row>
    <x:row r="10">
      <x:c r="A10" s="6" t="str">
        <x:v>NCOS_03a</x:v>
      </x:c>
      <x:c r="B10" s="6" t="str">
        <x:v>Cost/rejection</x:v>
      </x:c>
      <x:c r="C10" s="6" t="n">
        <x:v>10</x:v>
      </x:c>
      <x:c r="D10" s="33" t="n">
        <x:v>1690</x:v>
      </x:c>
      <x:c r="E10" s="33" t="n">
        <x:v>0</x:v>
      </x:c>
      <x:c r="F10" s="6" t="str">
        <x:v>historical reference</x:v>
      </x:c>
      <x:c r="G10" s="6" t="str">
        <x:v>Small</x:v>
      </x:c>
      <x:c r="H10" s="6" t="str">
        <x:v>masclib/NCOS_03a.csv</x:v>
      </x:c>
    </x:row>
    <x:row r="11">
      <x:c r="A11" s="6" t="str">
        <x:v>NCOS_04</x:v>
      </x:c>
      <x:c r="B11" s="6" t="str">
        <x:v>Cost/rejection</x:v>
      </x:c>
      <x:c r="C11" s="6" t="n">
        <x:v>10</x:v>
      </x:c>
      <x:c r="D11" s="33" t="n">
        <x:v>1011</x:v>
      </x:c>
      <x:c r="E11" s="33" t="n">
        <x:v>0</x:v>
      </x:c>
      <x:c r="F11" s="6" t="str">
        <x:v>historical reference</x:v>
      </x:c>
      <x:c r="G11" s="6" t="str">
        <x:v>Small</x:v>
      </x:c>
      <x:c r="H11" s="6" t="str">
        <x:v>masclib/NCOS_04.csv</x:v>
      </x:c>
    </x:row>
    <x:row r="12">
      <x:c r="A12" s="6" t="str">
        <x:v>NCOS_04a</x:v>
      </x:c>
      <x:c r="B12" s="6" t="str">
        <x:v>Cost/rejection</x:v>
      </x:c>
      <x:c r="C12" s="6" t="n">
        <x:v>10</x:v>
      </x:c>
      <x:c r="D12" s="33" t="n">
        <x:v>1008</x:v>
      </x:c>
      <x:c r="E12" s="33" t="n">
        <x:v>0</x:v>
      </x:c>
      <x:c r="F12" s="6" t="str">
        <x:v>historical reference</x:v>
      </x:c>
      <x:c r="G12" s="6" t="str">
        <x:v>Small</x:v>
      </x:c>
      <x:c r="H12" s="6" t="str">
        <x:v>masclib/NCOS_04a.csv</x:v>
      </x:c>
    </x:row>
    <x:row r="13">
      <x:c r="A13" s="6" t="str">
        <x:v>NCOS_05</x:v>
      </x:c>
      <x:c r="B13" s="6" t="str">
        <x:v>Cost/rejection</x:v>
      </x:c>
      <x:c r="C13" s="6" t="n">
        <x:v>15</x:v>
      </x:c>
      <x:c r="D13" s="33" t="n">
        <x:v>1500</x:v>
      </x:c>
      <x:c r="E13" s="33" t="n">
        <x:v>0</x:v>
      </x:c>
      <x:c r="F13" s="6" t="str">
        <x:v>historical reference</x:v>
      </x:c>
      <x:c r="G13" s="6" t="str">
        <x:v>Small</x:v>
      </x:c>
      <x:c r="H13" s="6" t="str">
        <x:v>masclib/NCOS_05.csv</x:v>
      </x:c>
    </x:row>
    <x:row r="14">
      <x:c r="A14" s="6" t="str">
        <x:v>NCOS_05a</x:v>
      </x:c>
      <x:c r="B14" s="6" t="str">
        <x:v>Cost/rejection</x:v>
      </x:c>
      <x:c r="C14" s="6" t="n">
        <x:v>15</x:v>
      </x:c>
      <x:c r="D14" s="33" t="n">
        <x:v>1500</x:v>
      </x:c>
      <x:c r="E14" s="33" t="n">
        <x:v>0</x:v>
      </x:c>
      <x:c r="F14" s="6" t="str">
        <x:v>historical reference</x:v>
      </x:c>
      <x:c r="G14" s="6" t="str">
        <x:v>Small</x:v>
      </x:c>
      <x:c r="H14" s="6" t="str">
        <x:v>masclib/NCOS_05a.csv</x:v>
      </x:c>
    </x:row>
    <x:row r="15">
      <x:c r="A15" s="6" t="str">
        <x:v>NCOS_11</x:v>
      </x:c>
      <x:c r="B15" s="6" t="str">
        <x:v>Cost/rejection</x:v>
      </x:c>
      <x:c r="C15" s="6" t="n">
        <x:v>20</x:v>
      </x:c>
      <x:c r="D15" s="33" t="n">
        <x:v>2022</x:v>
      </x:c>
      <x:c r="E15" s="33" t="n">
        <x:v>0</x:v>
      </x:c>
      <x:c r="F15" s="6" t="str">
        <x:v>historical reference</x:v>
      </x:c>
      <x:c r="G15" s="6" t="str">
        <x:v>Small</x:v>
      </x:c>
      <x:c r="H15" s="6" t="str">
        <x:v>masclib/NCOS_11.csv</x:v>
      </x:c>
    </x:row>
    <x:row r="16">
      <x:c r="A16" s="6" t="str">
        <x:v>NCOS_11a</x:v>
      </x:c>
      <x:c r="B16" s="6" t="str">
        <x:v>Cost/rejection</x:v>
      </x:c>
      <x:c r="C16" s="6" t="n">
        <x:v>20</x:v>
      </x:c>
      <x:c r="D16" s="33" t="n">
        <x:v>2006</x:v>
      </x:c>
      <x:c r="E16" s="33" t="n">
        <x:v>0.95</x:v>
      </x:c>
      <x:c r="F16" s="6" t="str">
        <x:v>historical reference</x:v>
      </x:c>
      <x:c r="G16" s="6" t="str">
        <x:v>Small</x:v>
      </x:c>
      <x:c r="H16" s="6" t="str">
        <x:v>masclib/NCOS_11a.csv</x:v>
      </x:c>
    </x:row>
    <x:row r="17">
      <x:c r="A17" s="6" t="str">
        <x:v>NCOS_12</x:v>
      </x:c>
      <x:c r="B17" s="6" t="str">
        <x:v>Cost/rejection</x:v>
      </x:c>
      <x:c r="C17" s="6" t="n">
        <x:v>24</x:v>
      </x:c>
      <x:c r="D17" s="33" t="n">
        <x:v>6844</x:v>
      </x:c>
      <x:c r="E17" s="33" t="n">
        <x:v>2.73</x:v>
      </x:c>
      <x:c r="F17" s="6" t="str">
        <x:v>historical reference</x:v>
      </x:c>
      <x:c r="G17" s="6" t="str">
        <x:v>Small</x:v>
      </x:c>
      <x:c r="H17" s="6" t="str">
        <x:v>masclib/NCOS_12.csv</x:v>
      </x:c>
    </x:row>
    <x:row r="18">
      <x:c r="A18" s="6" t="str">
        <x:v>NCOS_12a</x:v>
      </x:c>
      <x:c r="B18" s="6" t="str">
        <x:v>Cost/rejection</x:v>
      </x:c>
      <x:c r="C18" s="6" t="n">
        <x:v>24</x:v>
      </x:c>
      <x:c r="D18" s="33" t="n">
        <x:v>4270</x:v>
      </x:c>
      <x:c r="E18" s="33" t="n">
        <x:v>1.17</x:v>
      </x:c>
      <x:c r="F18" s="6" t="str">
        <x:v>historical reference</x:v>
      </x:c>
      <x:c r="G18" s="6" t="str">
        <x:v>Small</x:v>
      </x:c>
      <x:c r="H18" s="6" t="str">
        <x:v>masclib/NCOS_12a.csv</x:v>
      </x:c>
    </x:row>
    <x:row r="19">
      <x:c r="A19" s="6" t="str">
        <x:v>NCOS_13</x:v>
      </x:c>
      <x:c r="B19" s="6" t="str">
        <x:v>Cost/rejection</x:v>
      </x:c>
      <x:c r="C19" s="6" t="n">
        <x:v>24</x:v>
      </x:c>
      <x:c r="D19" s="33" t="n">
        <x:v>3912</x:v>
      </x:c>
      <x:c r="E19" s="33" t="n">
        <x:v>4.81</x:v>
      </x:c>
      <x:c r="F19" s="6" t="str">
        <x:v>historical reference</x:v>
      </x:c>
      <x:c r="G19" s="6" t="str">
        <x:v>Small</x:v>
      </x:c>
      <x:c r="H19" s="6" t="str">
        <x:v>masclib/NCOS_13.csv</x:v>
      </x:c>
    </x:row>
    <x:row r="20">
      <x:c r="A20" s="6" t="str">
        <x:v>NCOS_13a</x:v>
      </x:c>
      <x:c r="B20" s="6" t="str">
        <x:v>Cost/rejection</x:v>
      </x:c>
      <x:c r="C20" s="6" t="n">
        <x:v>24</x:v>
      </x:c>
      <x:c r="D20" s="33" t="n">
        <x:v>3441</x:v>
      </x:c>
      <x:c r="E20" s="33" t="n">
        <x:v>17.58</x:v>
      </x:c>
      <x:c r="F20" s="6" t="str">
        <x:v>historical reference</x:v>
      </x:c>
      <x:c r="G20" s="6" t="str">
        <x:v>Small</x:v>
      </x:c>
      <x:c r="H20" s="6" t="str">
        <x:v>masclib/NCOS_13a.csv</x:v>
      </x:c>
    </x:row>
    <x:row r="21">
      <x:c r="A21" s="6" t="str">
        <x:v>NCOS_14</x:v>
      </x:c>
      <x:c r="B21" s="6" t="str">
        <x:v>Cost/rejection</x:v>
      </x:c>
      <x:c r="C21" s="6" t="n">
        <x:v>25</x:v>
      </x:c>
      <x:c r="D21" s="33" t="n">
        <x:v>6990</x:v>
      </x:c>
      <x:c r="E21" s="33" t="n">
        <x:v>51.65</x:v>
      </x:c>
      <x:c r="F21" s="6" t="str">
        <x:v>historical reference</x:v>
      </x:c>
      <x:c r="G21" s="6" t="str">
        <x:v>Small</x:v>
      </x:c>
      <x:c r="H21" s="6" t="str">
        <x:v>masclib/NCOS_14.csv</x:v>
      </x:c>
    </x:row>
    <x:row r="22">
      <x:c r="A22" s="6" t="str">
        <x:v>NCOS_14a</x:v>
      </x:c>
      <x:c r="B22" s="6" t="str">
        <x:v>Cost/rejection</x:v>
      </x:c>
      <x:c r="C22" s="6" t="n">
        <x:v>25</x:v>
      </x:c>
      <x:c r="D22" s="33" t="n">
        <x:v>3195</x:v>
      </x:c>
      <x:c r="E22" s="33" t="n">
        <x:v>15.81</x:v>
      </x:c>
      <x:c r="F22" s="6" t="str">
        <x:v>historical reference</x:v>
      </x:c>
      <x:c r="G22" s="6" t="str">
        <x:v>Small</x:v>
      </x:c>
      <x:c r="H22" s="6" t="str">
        <x:v>masclib/NCOS_14a.csv</x:v>
      </x:c>
    </x:row>
    <x:row r="23">
      <x:c r="A23" s="6" t="str">
        <x:v>NCOS_15</x:v>
      </x:c>
      <x:c r="B23" s="6" t="str">
        <x:v>Cost/rejection</x:v>
      </x:c>
      <x:c r="C23" s="6" t="n">
        <x:v>30</x:v>
      </x:c>
      <x:c r="D23" s="33" t="n">
        <x:v>3052</x:v>
      </x:c>
      <x:c r="E23" s="33" t="n">
        <x:v>0.33</x:v>
      </x:c>
      <x:c r="F23" s="6" t="str">
        <x:v>historical reference</x:v>
      </x:c>
      <x:c r="G23" s="6" t="str">
        <x:v>Small</x:v>
      </x:c>
      <x:c r="H23" s="6" t="str">
        <x:v>masclib/NCOS_15.csv</x:v>
      </x:c>
    </x:row>
    <x:row r="24">
      <x:c r="A24" s="6" t="str">
        <x:v>NCOS_15a</x:v>
      </x:c>
      <x:c r="B24" s="6" t="str">
        <x:v>Cost/rejection</x:v>
      </x:c>
      <x:c r="C24" s="6" t="n">
        <x:v>30</x:v>
      </x:c>
      <x:c r="D24" s="33" t="n">
        <x:v>3035</x:v>
      </x:c>
      <x:c r="E24" s="33" t="n">
        <x:v>0.56</x:v>
      </x:c>
      <x:c r="F24" s="6" t="str">
        <x:v>historical reference</x:v>
      </x:c>
      <x:c r="G24" s="6" t="str">
        <x:v>Small</x:v>
      </x:c>
      <x:c r="H24" s="6" t="str">
        <x:v>masclib/NCOS_15a.csv</x:v>
      </x:c>
    </x:row>
    <x:row r="25">
      <x:c r="A25" s="6" t="str">
        <x:v>NCOS_31</x:v>
      </x:c>
      <x:c r="B25" s="6" t="str">
        <x:v>Cost/rejection</x:v>
      </x:c>
      <x:c r="C25" s="6" t="n">
        <x:v>75</x:v>
      </x:c>
      <x:c r="D25" s="33" t="n">
        <x:v>9510</x:v>
      </x:c>
      <x:c r="E25" s="33" t="n">
        <x:v>156.68</x:v>
      </x:c>
      <x:c r="F25" s="6" t="str">
        <x:v>historical reference</x:v>
      </x:c>
      <x:c r="G25" s="6" t="str">
        <x:v>Medium</x:v>
      </x:c>
      <x:c r="H25" s="6" t="str">
        <x:v>masclib/NCOS_31.csv</x:v>
      </x:c>
    </x:row>
    <x:row r="26">
      <x:c r="A26" s="6" t="str">
        <x:v>NCOS_31a</x:v>
      </x:c>
      <x:c r="B26" s="6" t="str">
        <x:v>Cost/rejection</x:v>
      </x:c>
      <x:c r="C26" s="6" t="n">
        <x:v>75</x:v>
      </x:c>
      <x:c r="D26" s="33" t="n">
        <x:v>8715</x:v>
      </x:c>
      <x:c r="E26" s="33" t="n">
        <x:v>95.75</x:v>
      </x:c>
      <x:c r="F26" s="6" t="str">
        <x:v>historical reference</x:v>
      </x:c>
      <x:c r="G26" s="6" t="str">
        <x:v>Medium</x:v>
      </x:c>
      <x:c r="H26" s="6" t="str">
        <x:v>masclib/NCOS_31a.csv</x:v>
      </x:c>
    </x:row>
    <x:row r="27">
      <x:c r="A27" s="6" t="str">
        <x:v>NCOS_32</x:v>
      </x:c>
      <x:c r="B27" s="6" t="str">
        <x:v>Cost/rejection</x:v>
      </x:c>
      <x:c r="C27" s="6" t="n">
        <x:v>75</x:v>
      </x:c>
      <x:c r="D27" s="33" t="n">
        <x:v>17310</x:v>
      </x:c>
      <x:c r="E27" s="33" t="n">
        <x:v>313.06</x:v>
      </x:c>
      <x:c r="F27" s="6" t="str">
        <x:v>historical reference</x:v>
      </x:c>
      <x:c r="G27" s="6" t="str">
        <x:v>Medium</x:v>
      </x:c>
      <x:c r="H27" s="6" t="str">
        <x:v>masclib/NCOS_32.csv</x:v>
      </x:c>
    </x:row>
    <x:row r="28">
      <x:c r="A28" s="6" t="str">
        <x:v>NCOS_32a</x:v>
      </x:c>
      <x:c r="B28" s="6" t="str">
        <x:v>Cost/rejection</x:v>
      </x:c>
      <x:c r="C28" s="6" t="n">
        <x:v>75</x:v>
      </x:c>
      <x:c r="D28" s="33" t="n">
        <x:v>14720</x:v>
      </x:c>
      <x:c r="E28" s="33" t="n">
        <x:v>281.86</x:v>
      </x:c>
      <x:c r="F28" s="6" t="str">
        <x:v>historical reference</x:v>
      </x:c>
      <x:c r="G28" s="6" t="str">
        <x:v>Medium</x:v>
      </x:c>
      <x:c r="H28" s="6" t="str">
        <x:v>masclib/NCOS_32a.csv</x:v>
      </x:c>
    </x:row>
    <x:row r="29">
      <x:c r="A29" s="6" t="str">
        <x:v>NCOS_41</x:v>
      </x:c>
      <x:c r="B29" s="6" t="str">
        <x:v>Cost/rejection</x:v>
      </x:c>
      <x:c r="C29" s="6" t="n">
        <x:v>90</x:v>
      </x:c>
      <x:c r="D29" s="33" t="n">
        <x:v>13484</x:v>
      </x:c>
      <x:c r="E29" s="33" t="n">
        <x:v>273.75</x:v>
      </x:c>
      <x:c r="F29" s="6" t="str">
        <x:v>historical reference</x:v>
      </x:c>
      <x:c r="G29" s="6" t="str">
        <x:v>Medium</x:v>
      </x:c>
      <x:c r="H29" s="6" t="str">
        <x:v>masclib/NCOS_41.csv</x:v>
      </x:c>
    </x:row>
    <x:row r="30">
      <x:c r="A30" s="6" t="str">
        <x:v>NCOS_41a</x:v>
      </x:c>
      <x:c r="B30" s="6" t="str">
        <x:v>Cost/rejection</x:v>
      </x:c>
      <x:c r="C30" s="6" t="n">
        <x:v>90</x:v>
      </x:c>
      <x:c r="D30" s="33" t="n">
        <x:v>10539</x:v>
      </x:c>
      <x:c r="E30" s="33" t="n">
        <x:v>44.23</x:v>
      </x:c>
      <x:c r="F30" s="6" t="str">
        <x:v>historical reference</x:v>
      </x:c>
      <x:c r="G30" s="6" t="str">
        <x:v>Medium</x:v>
      </x:c>
      <x:c r="H30" s="6" t="str">
        <x:v>masclib/NCOS_41a.csv</x:v>
      </x:c>
    </x:row>
    <x:row r="31">
      <x:c r="A31" s="6" t="str">
        <x:v>NCOS_51</x:v>
      </x:c>
      <x:c r="B31" s="6" t="str">
        <x:v>Cost/rejection</x:v>
      </x:c>
      <x:c r="C31" s="6" t="n">
        <x:v>200</x:v>
      </x:c>
      <x:c r="D31" s="33" t="n">
        <x:v>36170</x:v>
      </x:c>
      <x:c r="E31" s="33"/>
      <x:c r="F31" s="6" t="str">
        <x:v>historical reference</x:v>
      </x:c>
      <x:c r="G31" s="6" t="str">
        <x:v>Large</x:v>
      </x:c>
      <x:c r="H31" s="6" t="str">
        <x:v>masclib/NCOS_51.csv</x:v>
      </x:c>
    </x:row>
    <x:row r="32">
      <x:c r="A32" s="6" t="str">
        <x:v>NCOS_51a</x:v>
      </x:c>
      <x:c r="B32" s="6" t="str">
        <x:v>Cost/rejection</x:v>
      </x:c>
      <x:c r="C32" s="6" t="n">
        <x:v>200</x:v>
      </x:c>
      <x:c r="D32" s="33" t="n">
        <x:v>36170</x:v>
      </x:c>
      <x:c r="E32" s="33"/>
      <x:c r="F32" s="6" t="str">
        <x:v>historical reference</x:v>
      </x:c>
      <x:c r="G32" s="6" t="str">
        <x:v>Large</x:v>
      </x:c>
      <x:c r="H32" s="6" t="str">
        <x:v>masclib/NCOS_51a.csv</x:v>
      </x:c>
    </x:row>
    <x:row r="33">
      <x:c r="A33" s="6" t="str">
        <x:v>NCOS_61</x:v>
      </x:c>
      <x:c r="B33" s="6" t="str">
        <x:v>Cost/rejection</x:v>
      </x:c>
      <x:c r="C33" s="6" t="n">
        <x:v>500</x:v>
      </x:c>
      <x:c r="D33" s="33" t="n">
        <x:v>1269365</x:v>
      </x:c>
      <x:c r="E33" s="33"/>
      <x:c r="F33" s="6" t="str">
        <x:v>historical reference</x:v>
      </x:c>
      <x:c r="G33" s="6" t="str">
        <x:v>Large</x:v>
      </x:c>
      <x:c r="H33" s="6" t="str">
        <x:v>masclib/NCOS_61.csv</x:v>
      </x:c>
    </x:row>
    <x:row r="34">
      <x:c r="A34" s="6" t="str">
        <x:v>NCOS_61a</x:v>
      </x:c>
      <x:c r="B34" s="6" t="str">
        <x:v>Cost/rejection</x:v>
      </x:c>
      <x:c r="C34" s="6" t="n">
        <x:v>500</x:v>
      </x:c>
      <x:c r="D34" s="33" t="n">
        <x:v>1485232</x:v>
      </x:c>
      <x:c r="E34" s="33"/>
      <x:c r="F34" s="6" t="str">
        <x:v>historical reference</x:v>
      </x:c>
      <x:c r="G34" s="6" t="str">
        <x:v>Large</x:v>
      </x:c>
      <x:c r="H34" s="6" t="str">
        <x:v>masclib/NCOS_61a.csv</x:v>
      </x:c>
    </x:row>
    <x:row r="35">
      <x:c r="A35" s="6" t="str">
        <x:v>STC_NCOS_01</x:v>
      </x:c>
      <x:c r="B35" s="6" t="str">
        <x:v>Setup-time constrained</x:v>
      </x:c>
      <x:c r="C35" s="6" t="n">
        <x:v>8</x:v>
      </x:c>
      <x:c r="D35" s="33" t="n">
        <x:v>700</x:v>
      </x:c>
      <x:c r="E35" s="33" t="n">
        <x:v>0</x:v>
      </x:c>
      <x:c r="F35" s="6" t="str">
        <x:v>historical reference</x:v>
      </x:c>
      <x:c r="G35" s="6" t="str">
        <x:v>Small</x:v>
      </x:c>
      <x:c r="H35" s="6" t="str">
        <x:v>masclib/STC_NCOS_01.csv</x:v>
      </x:c>
    </x:row>
    <x:row r="36">
      <x:c r="A36" s="6" t="str">
        <x:v>STC_NCOS_01a</x:v>
      </x:c>
      <x:c r="B36" s="6" t="str">
        <x:v>Setup-time constrained</x:v>
      </x:c>
      <x:c r="C36" s="6" t="n">
        <x:v>8</x:v>
      </x:c>
      <x:c r="D36" s="33" t="n">
        <x:v>610</x:v>
      </x:c>
      <x:c r="E36" s="33" t="n">
        <x:v>0</x:v>
      </x:c>
      <x:c r="F36" s="6" t="str">
        <x:v>historical reference</x:v>
      </x:c>
      <x:c r="G36" s="6" t="str">
        <x:v>Small</x:v>
      </x:c>
      <x:c r="H36" s="6" t="str">
        <x:v>masclib/STC_NCOS_01a.csv</x:v>
      </x:c>
    </x:row>
    <x:row r="37">
      <x:c r="A37" s="6" t="str">
        <x:v>STC_NCOS_15</x:v>
      </x:c>
      <x:c r="B37" s="6" t="str">
        <x:v>Setup-time constrained</x:v>
      </x:c>
      <x:c r="C37" s="6" t="n">
        <x:v>30</x:v>
      </x:c>
      <x:c r="D37" s="33" t="n">
        <x:v>17611</x:v>
      </x:c>
      <x:c r="E37" s="33" t="n">
        <x:v>16.03</x:v>
      </x:c>
      <x:c r="F37" s="6" t="str">
        <x:v>historical reference</x:v>
      </x:c>
      <x:c r="G37" s="6" t="str">
        <x:v>Small</x:v>
      </x:c>
      <x:c r="H37" s="6" t="str">
        <x:v>masclib/STC_NCOS_15.csv</x:v>
      </x:c>
    </x:row>
    <x:row r="38">
      <x:c r="A38" s="6" t="str">
        <x:v>STC_NCOS_15a</x:v>
      </x:c>
      <x:c r="B38" s="6" t="str">
        <x:v>Setup-time constrained</x:v>
      </x:c>
      <x:c r="C38" s="6" t="n">
        <x:v>30</x:v>
      </x:c>
      <x:c r="D38" s="33" t="n">
        <x:v>5584</x:v>
      </x:c>
      <x:c r="E38" s="33" t="n">
        <x:v>0.38</x:v>
      </x:c>
      <x:c r="F38" s="6" t="str">
        <x:v>historical reference</x:v>
      </x:c>
      <x:c r="G38" s="6" t="str">
        <x:v>Small</x:v>
      </x:c>
      <x:c r="H38" s="6" t="str">
        <x:v>masclib/STC_NCOS_15a.csv</x:v>
      </x:c>
    </x:row>
    <x:row r="39">
      <x:c r="A39" s="6" t="str">
        <x:v>STC_NCOS_31</x:v>
      </x:c>
      <x:c r="B39" s="6" t="str">
        <x:v>Setup-time constrained</x:v>
      </x:c>
      <x:c r="C39" s="6" t="n">
        <x:v>75</x:v>
      </x:c>
      <x:c r="D39" s="33" t="n">
        <x:v>6615</x:v>
      </x:c>
      <x:c r="E39" s="33" t="n">
        <x:v>88.13</x:v>
      </x:c>
      <x:c r="F39" s="6" t="str">
        <x:v>historical reference</x:v>
      </x:c>
      <x:c r="G39" s="6" t="str">
        <x:v>Medium</x:v>
      </x:c>
      <x:c r="H39" s="6" t="str">
        <x:v>masclib/STC_NCOS_31.csv</x:v>
      </x:c>
    </x:row>
    <x:row r="40">
      <x:c r="A40" s="6" t="str">
        <x:v>STC_NCOS_31a</x:v>
      </x:c>
      <x:c r="B40" s="6" t="str">
        <x:v>Setup-time constrained</x:v>
      </x:c>
      <x:c r="C40" s="6" t="n">
        <x:v>75</x:v>
      </x:c>
      <x:c r="D40" s="33" t="n">
        <x:v>7590</x:v>
      </x:c>
      <x:c r="E40" s="33" t="n">
        <x:v>216.6</x:v>
      </x:c>
      <x:c r="F40" s="6" t="str">
        <x:v>historical reference</x:v>
      </x:c>
      <x:c r="G40" s="6" t="str">
        <x:v>Medium</x:v>
      </x:c>
      <x:c r="H40" s="6" t="str">
        <x:v>masclib/STC_NCOS_31a.csv</x:v>
      </x:c>
    </x:row>
    <x:row r="41">
      <x:c r="A41" s="6" t="str">
        <x:v>STC_NCOS_32</x:v>
      </x:c>
      <x:c r="B41" s="6" t="str">
        <x:v>Setup-time constrained</x:v>
      </x:c>
      <x:c r="C41" s="6" t="n">
        <x:v>75</x:v>
      </x:c>
      <x:c r="D41" s="33" t="n">
        <x:v>24068</x:v>
      </x:c>
      <x:c r="E41" s="33" t="n">
        <x:v>70.57</x:v>
      </x:c>
      <x:c r="F41" s="6" t="str">
        <x:v>historical reference</x:v>
      </x:c>
      <x:c r="G41" s="6" t="str">
        <x:v>Medium</x:v>
      </x:c>
      <x:c r="H41" s="6" t="str">
        <x:v>masclib/STC_NCOS_32.csv</x:v>
      </x:c>
    </x:row>
    <x:row r="42">
      <x:c r="A42" s="6" t="str">
        <x:v>STC_NCOS_32a</x:v>
      </x:c>
      <x:c r="B42" s="6" t="str">
        <x:v>Setup-time constrained</x:v>
      </x:c>
      <x:c r="C42" s="6" t="n">
        <x:v>75</x:v>
      </x:c>
      <x:c r="D42" s="33" t="n">
        <x:v>16798</x:v>
      </x:c>
      <x:c r="E42" s="33" t="n">
        <x:v>174.81</x:v>
      </x:c>
      <x:c r="F42" s="6" t="str">
        <x:v>historical reference</x:v>
      </x:c>
      <x:c r="G42" s="6" t="str">
        <x:v>Medium</x:v>
      </x:c>
      <x:c r="H42" s="6" t="str">
        <x:v>masclib/STC_NCOS_32a.csv</x:v>
      </x:c>
    </x:row>
    <x:row r="43">
      <x:c r="A43" s="6" t="str">
        <x:v>STC_NCOS_41</x:v>
      </x:c>
      <x:c r="B43" s="6" t="str">
        <x:v>Setup-time constrained</x:v>
      </x:c>
      <x:c r="C43" s="6" t="n">
        <x:v>90</x:v>
      </x:c>
      <x:c r="D43" s="33" t="n">
        <x:v>43201</x:v>
      </x:c>
      <x:c r="E43" s="33" t="n">
        <x:v>324.99</x:v>
      </x:c>
      <x:c r="F43" s="6" t="str">
        <x:v>historical reference</x:v>
      </x:c>
      <x:c r="G43" s="6" t="str">
        <x:v>Medium</x:v>
      </x:c>
      <x:c r="H43" s="6" t="str">
        <x:v>masclib/STC_NCOS_41.csv</x:v>
      </x:c>
    </x:row>
    <x:row r="44">
      <x:c r="A44" s="6" t="str">
        <x:v>STC_NCOS_41a</x:v>
      </x:c>
      <x:c r="B44" s="6" t="str">
        <x:v>Setup-time constrained</x:v>
      </x:c>
      <x:c r="C44" s="6" t="n">
        <x:v>90</x:v>
      </x:c>
      <x:c r="D44" s="33" t="n">
        <x:v>18579</x:v>
      </x:c>
      <x:c r="E44" s="33" t="n">
        <x:v>37.39</x:v>
      </x:c>
      <x:c r="F44" s="6" t="str">
        <x:v>historical reference</x:v>
      </x:c>
      <x:c r="G44" s="6" t="str">
        <x:v>Medium</x:v>
      </x:c>
      <x:c r="H44" s="6" t="str">
        <x:v>masclib/STC_NCOS_41a.csv</x:v>
      </x:c>
    </x:row>
    <x:row r="45">
      <x:c r="A45" s="6" t="str">
        <x:v>STC_NCOS_51</x:v>
      </x:c>
      <x:c r="B45" s="6" t="str">
        <x:v>Setup-time constrained</x:v>
      </x:c>
      <x:c r="C45" s="6" t="n">
        <x:v>200</x:v>
      </x:c>
      <x:c r="D45" s="33" t="n">
        <x:v>139675</x:v>
      </x:c>
      <x:c r="E45" s="33"/>
      <x:c r="F45" s="6" t="str">
        <x:v>historical reference</x:v>
      </x:c>
      <x:c r="G45" s="6" t="str">
        <x:v>Large</x:v>
      </x:c>
      <x:c r="H45" s="6" t="str">
        <x:v>masclib/STC_NCOS_51.csv</x:v>
      </x:c>
    </x:row>
    <x:row r="46">
      <x:c r="A46" s="6" t="str">
        <x:v>STC_NCOS_51a</x:v>
      </x:c>
      <x:c r="B46" s="6" t="str">
        <x:v>Setup-time constrained</x:v>
      </x:c>
      <x:c r="C46" s="6" t="n">
        <x:v>200</x:v>
      </x:c>
      <x:c r="D46" s="33" t="n">
        <x:v>148230</x:v>
      </x:c>
      <x:c r="E46" s="33"/>
      <x:c r="F46" s="6" t="str">
        <x:v>historical reference</x:v>
      </x:c>
      <x:c r="G46" s="6" t="str">
        <x:v>Large</x:v>
      </x:c>
      <x:c r="H46" s="6" t="str">
        <x:v>masclib/STC_NCOS_51a.csv</x:v>
      </x:c>
    </x:row>
    <x:row r="47">
      <x:c r="A47" s="6" t="str">
        <x:v>STC_NCOS_61</x:v>
      </x:c>
      <x:c r="B47" s="6" t="str">
        <x:v>Setup-time constrained</x:v>
      </x:c>
      <x:c r="C47" s="6" t="n">
        <x:v>500</x:v>
      </x:c>
      <x:c r="D47" s="33" t="n">
        <x:v>1495045</x:v>
      </x:c>
      <x:c r="E47" s="33"/>
      <x:c r="F47" s="6" t="str">
        <x:v>historical reference</x:v>
      </x:c>
      <x:c r="G47" s="6" t="str">
        <x:v>Large</x:v>
      </x:c>
      <x:c r="H47" s="6" t="str">
        <x:v>masclib/STC_NCOS_61.csv</x:v>
      </x:c>
    </x:row>
    <x:row r="48">
      <x:c r="A48" s="6" t="str">
        <x:v>STC_NCOS_61a</x:v>
      </x:c>
      <x:c r="B48" s="6" t="str">
        <x:v>Setup-time constrained</x:v>
      </x:c>
      <x:c r="C48" s="6" t="n">
        <x:v>500</x:v>
      </x:c>
      <x:c r="D48" s="33" t="n">
        <x:v>1814605</x:v>
      </x:c>
      <x:c r="E48" s="33"/>
      <x:c r="F48" s="6" t="str">
        <x:v>historical reference</x:v>
      </x:c>
      <x:c r="G48" s="6" t="str">
        <x:v>Large</x:v>
      </x:c>
      <x:c r="H48" s="6" t="str">
        <x:v>masclib/STC_NCOS_61a.csv</x:v>
      </x:c>
    </x:row>
    <x:row r="49">
      <x:c r="A49" s="6"/>
      <x:c r="B49" s="6"/>
      <x:c r="C49" s="6"/>
      <x:c r="D49" s="6"/>
      <x:c r="E49" s="6"/>
      <x:c r="F49" s="6"/>
      <x:c r="G49" s="6"/>
      <x:c r="H49" s="6"/>
    </x:row>
    <x:row r="50">
      <x:c r="A50" s="6"/>
      <x:c r="B50" s="6"/>
      <x:c r="C50" s="6"/>
      <x:c r="D50" s="6"/>
      <x:c r="E50" s="6"/>
      <x:c r="F50" s="6"/>
      <x:c r="G50" s="6"/>
      <x:c r="H50" s="6"/>
    </x:row>
    <x:row r="51">
      <x:c r="A51" s="6"/>
      <x:c r="B51" s="6"/>
      <x:c r="C51" s="6"/>
      <x:c r="D51" s="6"/>
      <x:c r="E51" s="6"/>
      <x:c r="F51" s="6"/>
      <x:c r="G51" s="6"/>
      <x:c r="H51" s="6"/>
    </x:row>
    <x:row r="52">
      <x:c r="A52" s="6"/>
      <x:c r="B52" s="6"/>
      <x:c r="C52" s="6"/>
      <x:c r="D52" s="6"/>
      <x:c r="E52" s="6"/>
      <x:c r="F52" s="6"/>
      <x:c r="G52" s="6"/>
      <x:c r="H52" s="6"/>
    </x:row>
    <x:row r="53">
      <x:c r="A53" s="6"/>
      <x:c r="B53" s="6"/>
      <x:c r="C53" s="6"/>
      <x:c r="D53" s="6"/>
      <x:c r="E53" s="6"/>
      <x:c r="F53" s="6"/>
      <x:c r="G53" s="6"/>
      <x:c r="H53" s="6"/>
    </x:row>
    <x:row r="54">
      <x:c r="A54" s="6"/>
      <x:c r="B54" s="6"/>
      <x:c r="C54" s="6"/>
      <x:c r="D54" s="6"/>
      <x:c r="E54" s="6"/>
      <x:c r="F54" s="6"/>
      <x:c r="G54" s="6"/>
      <x:c r="H54" s="6"/>
    </x:row>
    <x:row r="55">
      <x:c r="A55" s="6"/>
      <x:c r="B55" s="6"/>
      <x:c r="C55" s="6"/>
      <x:c r="D55" s="6"/>
      <x:c r="E55" s="6"/>
      <x:c r="F55" s="6"/>
      <x:c r="G55" s="6"/>
      <x:c r="H55" s="6"/>
    </x:row>
    <x:row r="56">
      <x:c r="A56" s="6"/>
      <x:c r="B56" s="6"/>
      <x:c r="C56" s="6"/>
      <x:c r="D56" s="6"/>
      <x:c r="E56" s="6"/>
      <x:c r="F56" s="6"/>
      <x:c r="G56" s="6"/>
      <x:c r="H56" s="6"/>
    </x:row>
    <x:row r="57">
      <x:c r="A57" s="6"/>
      <x:c r="B57" s="6"/>
      <x:c r="C57" s="6"/>
      <x:c r="D57" s="6"/>
      <x:c r="E57" s="6"/>
      <x:c r="F57" s="6"/>
      <x:c r="G57" s="6"/>
      <x:c r="H57" s="6"/>
    </x:row>
    <x:row r="58">
      <x:c r="A58" s="6"/>
      <x:c r="B58" s="6"/>
      <x:c r="C58" s="6"/>
      <x:c r="D58" s="6"/>
      <x:c r="E58" s="6"/>
      <x:c r="F58" s="6"/>
      <x:c r="G58" s="6"/>
      <x:c r="H58" s="6"/>
    </x:row>
    <x:row r="59">
      <x:c r="A59" s="6"/>
      <x:c r="B59" s="6"/>
      <x:c r="C59" s="6"/>
      <x:c r="D59" s="6"/>
      <x:c r="E59" s="6"/>
      <x:c r="F59" s="6"/>
      <x:c r="G59" s="6"/>
      <x:c r="H59" s="6"/>
    </x:row>
    <x:row r="60">
      <x:c r="A60" s="6"/>
      <x:c r="B60" s="6"/>
      <x:c r="C60" s="6"/>
      <x:c r="D60" s="6"/>
      <x:c r="E60" s="6"/>
      <x:c r="F60" s="6"/>
      <x:c r="G60" s="6"/>
      <x:c r="H60" s="6"/>
    </x:row>
    <x:row r="61">
      <x:c r="A61" s="6"/>
      <x:c r="B61" s="6"/>
      <x:c r="C61" s="6"/>
      <x:c r="D61" s="6"/>
      <x:c r="E61" s="6"/>
      <x:c r="F61" s="6"/>
      <x:c r="G61" s="6"/>
      <x:c r="H61" s="6"/>
    </x:row>
    <x:row r="62">
      <x:c r="A62" s="6"/>
      <x:c r="B62" s="6"/>
      <x:c r="C62" s="6"/>
      <x:c r="D62" s="6"/>
      <x:c r="E62" s="6"/>
      <x:c r="F62" s="6"/>
      <x:c r="G62" s="6"/>
      <x:c r="H62" s="6"/>
    </x:row>
    <x:row r="63">
      <x:c r="A63" s="6"/>
      <x:c r="B63" s="6"/>
      <x:c r="C63" s="6"/>
      <x:c r="D63" s="6"/>
      <x:c r="E63" s="6"/>
      <x:c r="F63" s="6"/>
      <x:c r="G63" s="6"/>
      <x:c r="H63" s="6"/>
    </x:row>
    <x:row r="64">
      <x:c r="A64" s="6"/>
      <x:c r="B64" s="6"/>
      <x:c r="C64" s="6"/>
      <x:c r="D64" s="6"/>
      <x:c r="E64" s="6"/>
      <x:c r="F64" s="6"/>
      <x:c r="G64" s="6"/>
      <x:c r="H64" s="6"/>
    </x:row>
    <x:row r="65">
      <x:c r="A65" s="6"/>
      <x:c r="B65" s="6"/>
      <x:c r="C65" s="6"/>
      <x:c r="D65" s="6"/>
      <x:c r="E65" s="6"/>
      <x:c r="F65" s="6"/>
      <x:c r="G65" s="6"/>
      <x:c r="H65" s="6"/>
    </x:row>
    <x:row r="66">
      <x:c r="A66" s="6"/>
      <x:c r="B66" s="6"/>
      <x:c r="C66" s="6"/>
      <x:c r="D66" s="6"/>
      <x:c r="E66" s="6"/>
      <x:c r="F66" s="6"/>
      <x:c r="G66" s="6"/>
      <x:c r="H66" s="6"/>
    </x:row>
    <x:row r="67">
      <x:c r="A67" s="6"/>
      <x:c r="B67" s="6"/>
      <x:c r="C67" s="6"/>
      <x:c r="D67" s="6"/>
      <x:c r="E67" s="6"/>
      <x:c r="F67" s="6"/>
      <x:c r="G67" s="6"/>
      <x:c r="H67" s="6"/>
    </x:row>
    <x:row r="68">
      <x:c r="A68" s="6"/>
      <x:c r="B68" s="6"/>
      <x:c r="C68" s="6"/>
      <x:c r="D68" s="6"/>
      <x:c r="E68" s="6"/>
      <x:c r="F68" s="6"/>
      <x:c r="G68" s="6"/>
      <x:c r="H68" s="6"/>
    </x:row>
    <x:row r="69">
      <x:c r="A69" s="6"/>
      <x:c r="B69" s="6"/>
      <x:c r="C69" s="6"/>
      <x:c r="D69" s="6"/>
      <x:c r="E69" s="6"/>
      <x:c r="F69" s="6"/>
      <x:c r="G69" s="6"/>
      <x:c r="H69" s="6"/>
    </x:row>
    <x:row r="70">
      <x:c r="A70" s="6"/>
      <x:c r="B70" s="6"/>
      <x:c r="C70" s="6"/>
      <x:c r="D70" s="6"/>
      <x:c r="E70" s="6"/>
      <x:c r="F70" s="6"/>
      <x:c r="G70" s="6"/>
      <x:c r="H70" s="6"/>
    </x:row>
  </x:sheetData>
  <x:pageMargins left="0.7" right="0.7" top="0.75" bottom="0.75" header="0.3" footer="0.3"/>
  <x:tableParts count="1">
    <x:tablePart xmlns:r="http://schemas.openxmlformats.org/officeDocument/2006/relationships" r:id="R96a001ae49b24141"/>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8.329999923706055" hidden="0" customWidth="1"/>
    <x:col min="2" max="2" width="10.5600004196167" hidden="0" customWidth="1"/>
    <x:col min="4" max="4" width="15" hidden="0" customWidth="1"/>
    <x:col min="5" max="5" width="9.4399995803833" hidden="0" customWidth="1"/>
    <x:col min="7" max="7" width="6.110000133514404" hidden="0" customWidth="1"/>
    <x:col min="8" max="8" width="9.4399995803833" hidden="0" customWidth="1"/>
    <x:col min="9" max="9" width="9.4399995803833" hidden="0" customWidth="1"/>
    <x:col min="11" max="11" width="8.329999923706055" hidden="0" customWidth="1"/>
    <x:col min="12" max="12" width="8.890000343322754" hidden="0" customWidth="1"/>
    <x:col min="13" max="13" width="8.890000343322754" hidden="0" customWidth="1"/>
    <x:col min="14" max="14" width="8.890000343322754" hidden="0" customWidth="1"/>
    <x:col min="16" max="16" width="7.78000020980835" hidden="0" customWidth="1"/>
    <x:col min="17" max="17" width="6.110000133514404" hidden="0" customWidth="1"/>
    <x:col min="18" max="18" width="11.109999656677246" hidden="0" customWidth="1"/>
    <x:col min="19" max="19" width="10" hidden="0" customWidth="1"/>
    <x:col min="20" max="20" width="13.329999923706055" hidden="0" customWidth="1"/>
    <x:col min="22" max="22" width="8.329999923706055" hidden="0" customWidth="1"/>
    <x:col min="23" max="23" width="8.329999923706055" hidden="0" customWidth="1"/>
    <x:col min="25" max="25" width="7.78000020980835" hidden="0" customWidth="1"/>
    <x:col min="26" max="26" width="10.5600004196167" hidden="0" customWidth="1"/>
    <x:col min="27" max="27" width="9.4399995803833" hidden="0" customWidth="1"/>
    <x:col min="28" max="28" width="10.5600004196167" hidden="0" customWidth="1"/>
    <x:col min="29" max="29" width="12.220000267028809" hidden="0" customWidth="1"/>
    <x:col min="31" max="31" width="7.78000020980835" hidden="0" customWidth="1"/>
    <x:col min="32" max="32" width="11.670000076293945" hidden="0" customWidth="1"/>
  </x:cols>
  <x:sheetData>
    <x:row r="1">
      <x:c r="A1" s="14" t="str">
        <x:f>IF('_CONFIG'!$B$2="pt-BR","Iteração","Iteration")</x:f>
        <x:v>Iteration</x:v>
      </x:c>
      <x:c r="B1" s="15" t="str">
        <x:f>IF('_CONFIG'!$B$2="pt-BR","Melhor observado","Best observed")</x:f>
        <x:v>Best observed</x:v>
      </x:c>
      <x:c r="C1" s="6"/>
      <x:c r="D1" s="14" t="str">
        <x:f>IF('_CONFIG'!$B$2="pt-BR","Componente do objetivo","Objective component")</x:f>
        <x:v>Objective component</x:v>
      </x:c>
      <x:c r="E1" s="15" t="str">
        <x:f>IF('_CONFIG'!$B$2="pt-BR","Custo","Cost")</x:f>
        <x:v>Cost</x:v>
      </x:c>
      <x:c r="F1" s="6"/>
      <x:c r="G1" s="14" t="str">
        <x:f>IF('_CONFIG'!$B$2="pt-BR","Semente","Seed")</x:f>
        <x:v>Seed</x:v>
      </x:c>
      <x:c r="H1" s="18" t="str">
        <x:f>IF('_CONFIG'!$B$2="pt-BR","Objetivo","Objective")</x:f>
        <x:v>Objective</x:v>
      </x:c>
      <x:c r="I1" s="15" t="str">
        <x:f>IF('_CONFIG'!$B$2="pt-BR","Referência","Reference")</x:f>
        <x:v>Reference</x:v>
      </x:c>
      <x:c r="J1" s="6"/>
      <x:c r="K1" s="14" t="str">
        <x:f>IF('_CONFIG'!$B$2="pt-BR","Iteração","Iteration")</x:f>
        <x:v>Iteration</x:v>
      </x:c>
      <x:c r="L1" s="18" t="str">
        <x:f>IF('_CONFIG'!$B$2="pt-BR","Melhor","Best")</x:f>
        <x:v>Best</x:v>
      </x:c>
      <x:c r="M1" s="18" t="str">
        <x:f>IF('_CONFIG'!$B$2="pt-BR","Mediana","Median")</x:f>
        <x:v>Median</x:v>
      </x:c>
      <x:c r="N1" s="15" t="str">
        <x:f>IF('_CONFIG'!$B$2="pt-BR","Pior","Worst")</x:f>
        <x:v>Worst</x:v>
      </x:c>
      <x:c r="O1" s="6"/>
      <x:c r="P1" s="14" t="str">
        <x:f>IF('_CONFIG'!$B$2="pt-BR","Família","Family")</x:f>
        <x:v>Family</x:v>
      </x:c>
      <x:c r="Q1" s="18" t="str">
        <x:f>IF('_CONFIG'!$B$2="pt-BR","Jobs","Jobs")</x:f>
        <x:v>Jobs</x:v>
      </x:c>
      <x:c r="R1" s="18" t="str">
        <x:f>IF('_CONFIG'!$B$2="pt-BR","Tempo de processamento","Processing time")</x:f>
        <x:v>Processing time</x:v>
      </x:c>
      <x:c r="S1" s="18" t="str">
        <x:f>IF('_CONFIG'!$B$2="pt-BR","Custo de execução","Execution cost")</x:f>
        <x:v>Execution cost</x:v>
      </x:c>
      <x:c r="T1" s="15" t="str">
        <x:f>IF('_CONFIG'!$B$2="pt-BR","Exposição à rejeição","Rejection exposure")</x:f>
        <x:v>Rejection exposure</x:v>
      </x:c>
      <x:c r="U1" s="6"/>
      <x:c r="V1" s="14" t="str">
        <x:f>IF('_CONFIG'!$B$2="pt-BR","ID do job","Job ID")</x:f>
        <x:v>Job ID</x:v>
      </x:c>
      <x:c r="W1" s="15" t="str">
        <x:f>IF('_CONFIG'!$B$2="pt-BR","Prazo","Due date")</x:f>
        <x:v>Due date</x:v>
      </x:c>
      <x:c r="X1" s="6"/>
      <x:c r="Y1" s="14" t="str">
        <x:f>IF('_CONFIG'!$B$2="pt-BR","Família","Family")</x:f>
        <x:v>Family</x:v>
      </x:c>
      <x:c r="Z1" s="18" t="str">
        <x:f>IF('_CONFIG'!$B$2="pt-BR","Jobs programados","Scheduled jobs")</x:f>
        <x:v>Scheduled jobs</x:v>
      </x:c>
      <x:c r="AA1" s="18" t="str">
        <x:f>IF('_CONFIG'!$B$2="pt-BR","Custo de preparação","Setup cost")</x:f>
        <x:v>Setup cost</x:v>
      </x:c>
      <x:c r="AB1" s="18" t="str">
        <x:f>IF('_CONFIG'!$B$2="pt-BR","Custo de execução","Execution cost")</x:f>
        <x:v>Execution cost</x:v>
      </x:c>
      <x:c r="AC1" s="15" t="str">
        <x:f>IF('_CONFIG'!$B$2="pt-BR","Contribuição total","Total contribution")</x:f>
        <x:v>Total contribution</x:v>
      </x:c>
      <x:c r="AD1" s="6"/>
      <x:c r="AE1" s="14" t="str">
        <x:f>IF('_CONFIG'!$B$2="pt-BR","Família","Family")</x:f>
        <x:v>Family</x:v>
      </x:c>
      <x:c r="AF1" s="15" t="str">
        <x:f>IF('_CONFIG'!$B$2="pt-BR","Tempo de processamento","Processing time")</x:f>
        <x:v>Processing time</x:v>
      </x:c>
    </x:row>
    <x:row r="2">
      <x:c r="A2" s="6" t="n">
        <x:f>IF(ISBLANK('_CHECKPOINTS'!A2),"",'_CHECKPOINTS'!A2)</x:f>
        <x:v>0</x:v>
      </x:c>
      <x:c r="B2" s="6" t="n">
        <x:f>IF(ISBLANK('_CHECKPOINTS'!B2),"",'_CHECKPOINTS'!B2)</x:f>
        <x:v>28874</x:v>
      </x:c>
      <x:c r="C2" s="6"/>
      <x:c r="D2" s="6" t="str">
        <x:f>IF('_CONFIG'!$B$2="pt-BR","Preparação","Setup")</x:f>
        <x:v>Setup</x:v>
      </x:c>
      <x:c r="E2" s="6" t="n">
        <x:f>'_CONFIG'!$B$17</x:f>
        <x:v>660</x:v>
      </x:c>
      <x:c r="F2" s="6"/>
      <x:c r="G2" s="6" t="n">
        <x:f>IF(ISBLANK('_RUNS'!B2),"",'_RUNS'!B2)</x:f>
        <x:v>1</x:v>
      </x:c>
      <x:c r="H2" s="6" t="n">
        <x:f>IF(ISBLANK('_RUNS'!C2),"",'_RUNS'!C2)</x:f>
        <x:v>24048</x:v>
      </x:c>
      <x:c r="I2" s="6" t="n">
        <x:f>IF(G2="","",IF('_CONFIG'!$B$12="","",'_CONFIG'!$B$12))</x:f>
        <x:v>24068</x:v>
      </x:c>
      <x:c r="J2" s="6"/>
      <x:c r="K2" s="6" t="n">
        <x:f>IF(ISBLANK('_CHECKPOINTS'!A2),"",'_CHECKPOINTS'!A2)</x:f>
        <x:v>0</x:v>
      </x:c>
      <x:c r="L2" s="6" t="n">
        <x:f>IF(ISBLANK('_CHECKPOINTS'!B2),"",'_CHECKPOINTS'!B2)</x:f>
        <x:v>28874</x:v>
      </x:c>
      <x:c r="M2" s="6" t="n">
        <x:f>IF(ISBLANK('_CHECKPOINTS'!D2),"",'_CHECKPOINTS'!D2)</x:f>
        <x:v>37419</x:v>
      </x:c>
      <x:c r="N2" s="6" t="n">
        <x:f>IF(ISBLANK('_CHECKPOINTS'!G2),"",'_CHECKPOINTS'!G2)</x:f>
        <x:v>44062</x:v>
      </x:c>
      <x:c r="O2" s="6"/>
      <x:c r="P2" s="6" t="str">
        <x:f>IF(COUNTIF('_INSTANCE'!$C$2:$C$601,0)=0,"","F0")</x:f>
        <x:v>F0</x:v>
      </x:c>
      <x:c r="Q2" s="6" t="n">
        <x:f>IF(P2="","",COUNTIF('_INSTANCE'!$C$2:$C$601,0))</x:f>
        <x:v>13</x:v>
      </x:c>
      <x:c r="R2" s="6" t="n">
        <x:f>IF(P2="","",SUMIF('_INSTANCE'!$C$2:$C$601,0,'_INSTANCE'!$D$2:$D$601))</x:f>
        <x:v>910</x:v>
      </x:c>
      <x:c r="S2" s="6" t="n">
        <x:f>IF(P2="","",SUMIF('_INSTANCE'!$C$2:$C$601,0,'_INSTANCE'!$I$2:$I$601))</x:f>
        <x:v>1300</x:v>
      </x:c>
      <x:c r="T2" s="6" t="n">
        <x:f>IF(P2="","",SUMIF('_INSTANCE'!$C$2:$C$601,0,'_INSTANCE'!$J$2:$J$601))</x:f>
        <x:v>18850</x:v>
      </x:c>
      <x:c r="U2" s="6"/>
      <x:c r="V2" s="6" t="n">
        <x:f>IF(ISBLANK('_INSTANCE'!B2),"",'_INSTANCE'!B2)</x:f>
        <x:v>0</x:v>
      </x:c>
      <x:c r="W2" s="6" t="n">
        <x:f>IF(ISBLANK('_INSTANCE'!F2),"",'_INSTANCE'!F2)</x:f>
        <x:v>5100</x:v>
      </x:c>
      <x:c r="X2" s="6"/>
      <x:c r="Y2" s="6" t="str">
        <x:f>IF(COUNTIF('_INSTANCE'!$C$2:$C$601,0)=0,"","F0")</x:f>
        <x:v>F0</x:v>
      </x:c>
      <x:c r="Z2" s="6" t="n">
        <x:f>IF(Y2="","",COUNTIFS('_SCHEDULE'!$D$2:$D$601,0,'_SCHEDULE'!$B$2:$B$601,"scheduled"))</x:f>
        <x:v>13</x:v>
      </x:c>
      <x:c r="AA2" s="6" t="n">
        <x:f>IF(Y2="","",SUMIF('_SCHEDULE'!$D$2:$D$601,0,'_SCHEDULE'!$N$2:$N$601))</x:f>
        <x:v>400</x:v>
      </x:c>
      <x:c r="AB2" s="6" t="n">
        <x:f>IF(Y2="","",SUMIF('_SCHEDULE'!$D$2:$D$601,0,'_SCHEDULE'!$O$2:$O$601))</x:f>
        <x:v>1300</x:v>
      </x:c>
      <x:c r="AC2" s="6" t="n">
        <x:f>IF(Y2="","",SUMIF('_SCHEDULE'!$D$2:$D$601,0,'_SCHEDULE'!$R$2:$R$601))</x:f>
        <x:v>1700</x:v>
      </x:c>
      <x:c r="AD2" s="6"/>
      <x:c r="AE2" s="6" t="str">
        <x:f>IF(ISBLANK('_CHARTS'!P2),"",'_CHARTS'!P2)</x:f>
        <x:v>F0</x:v>
      </x:c>
      <x:c r="AF2" s="6" t="n">
        <x:f>IF(ISBLANK('_CHARTS'!R2),"",'_CHARTS'!R2)</x:f>
        <x:v>910</x:v>
      </x:c>
    </x:row>
    <x:row r="3">
      <x:c r="A3" s="6" t="n">
        <x:f>IF(ISBLANK('_CHECKPOINTS'!A3),"",'_CHECKPOINTS'!A3)</x:f>
        <x:v>63</x:v>
      </x:c>
      <x:c r="B3" s="6" t="n">
        <x:f>IF(ISBLANK('_CHECKPOINTS'!B3),"",'_CHECKPOINTS'!B3)</x:f>
        <x:v>24248</x:v>
      </x:c>
      <x:c r="C3" s="6"/>
      <x:c r="D3" s="6" t="str">
        <x:f>IF('_CONFIG'!$B$2="pt-BR","Execução","Execution")</x:f>
        <x:v>Execution</x:v>
      </x:c>
      <x:c r="E3" s="6" t="n">
        <x:f>'_CONFIG'!$B$18</x:f>
        <x:v>6700</x:v>
      </x:c>
      <x:c r="F3" s="6"/>
      <x:c r="G3" s="6" t="n">
        <x:f>IF(ISBLANK('_RUNS'!B3),"",'_RUNS'!B3)</x:f>
        <x:v>2</x:v>
      </x:c>
      <x:c r="H3" s="6" t="n">
        <x:f>IF(ISBLANK('_RUNS'!C3),"",'_RUNS'!C3)</x:f>
        <x:v>24048</x:v>
      </x:c>
      <x:c r="I3" s="6" t="n">
        <x:f>IF(G3="","",IF('_CONFIG'!$B$12="","",'_CONFIG'!$B$12))</x:f>
        <x:v>24068</x:v>
      </x:c>
      <x:c r="J3" s="6"/>
      <x:c r="K3" s="6" t="n">
        <x:f>IF(ISBLANK('_CHECKPOINTS'!A3),"",'_CHECKPOINTS'!A3)</x:f>
        <x:v>63</x:v>
      </x:c>
      <x:c r="L3" s="6" t="n">
        <x:f>IF(ISBLANK('_CHECKPOINTS'!B3),"",'_CHECKPOINTS'!B3)</x:f>
        <x:v>24248</x:v>
      </x:c>
      <x:c r="M3" s="6" t="n">
        <x:f>IF(ISBLANK('_CHECKPOINTS'!D3),"",'_CHECKPOINTS'!D3)</x:f>
        <x:v>24604</x:v>
      </x:c>
      <x:c r="N3" s="6" t="n">
        <x:f>IF(ISBLANK('_CHECKPOINTS'!G3),"",'_CHECKPOINTS'!G3)</x:f>
        <x:v>27612</x:v>
      </x:c>
      <x:c r="O3" s="6"/>
      <x:c r="P3" s="6" t="str">
        <x:f>IF(COUNTIF('_INSTANCE'!$C$2:$C$601,1)=0,"","F1")</x:f>
        <x:v>F1</x:v>
      </x:c>
      <x:c r="Q3" s="6" t="n">
        <x:f>IF(P3="","",COUNTIF('_INSTANCE'!$C$2:$C$601,1))</x:f>
        <x:v>26</x:v>
      </x:c>
      <x:c r="R3" s="6" t="n">
        <x:f>IF(P3="","",SUMIF('_INSTANCE'!$C$2:$C$601,1,'_INSTANCE'!$D$2:$D$601))</x:f>
        <x:v>2340</x:v>
      </x:c>
      <x:c r="S3" s="6" t="n">
        <x:f>IF(P3="","",SUMIF('_INSTANCE'!$C$2:$C$601,1,'_INSTANCE'!$I$2:$I$601))</x:f>
        <x:v>2600</x:v>
      </x:c>
      <x:c r="T3" s="6" t="n">
        <x:f>IF(P3="","",SUMIF('_INSTANCE'!$C$2:$C$601,1,'_INSTANCE'!$J$2:$J$601))</x:f>
        <x:v>45500</x:v>
      </x:c>
      <x:c r="U3" s="6"/>
      <x:c r="V3" s="6" t="n">
        <x:f>IF(ISBLANK('_INSTANCE'!B3),"",'_INSTANCE'!B3)</x:f>
        <x:v>1</x:v>
      </x:c>
      <x:c r="W3" s="6" t="n">
        <x:f>IF(ISBLANK('_INSTANCE'!F3),"",'_INSTANCE'!F3)</x:f>
        <x:v>5700</x:v>
      </x:c>
      <x:c r="X3" s="6"/>
      <x:c r="Y3" s="6" t="str">
        <x:f>IF(COUNTIF('_INSTANCE'!$C$2:$C$601,1)=0,"","F1")</x:f>
        <x:v>F1</x:v>
      </x:c>
      <x:c r="Z3" s="6" t="n">
        <x:f>IF(Y3="","",COUNTIFS('_SCHEDULE'!$D$2:$D$601,1,'_SCHEDULE'!$B$2:$B$601,"scheduled"))</x:f>
        <x:v>26</x:v>
      </x:c>
      <x:c r="AA3" s="6" t="n">
        <x:f>IF(Y3="","",SUMIF('_SCHEDULE'!$D$2:$D$601,1,'_SCHEDULE'!$N$2:$N$601))</x:f>
        <x:v>200</x:v>
      </x:c>
      <x:c r="AB3" s="6" t="n">
        <x:f>IF(Y3="","",SUMIF('_SCHEDULE'!$D$2:$D$601,1,'_SCHEDULE'!$O$2:$O$601))</x:f>
        <x:v>2600</x:v>
      </x:c>
      <x:c r="AC3" s="6" t="n">
        <x:f>IF(Y3="","",SUMIF('_SCHEDULE'!$D$2:$D$601,1,'_SCHEDULE'!$R$2:$R$601))</x:f>
        <x:v>2800</x:v>
      </x:c>
      <x:c r="AD3" s="6"/>
      <x:c r="AE3" s="6" t="str">
        <x:f>IF(ISBLANK('_CHARTS'!P3),"",'_CHARTS'!P3)</x:f>
        <x:v>F1</x:v>
      </x:c>
      <x:c r="AF3" s="6" t="n">
        <x:f>IF(ISBLANK('_CHARTS'!R3),"",'_CHARTS'!R3)</x:f>
        <x:v>2340</x:v>
      </x:c>
    </x:row>
    <x:row r="4">
      <x:c r="A4" s="6" t="n">
        <x:f>IF(ISBLANK('_CHECKPOINTS'!A4),"",'_CHECKPOINTS'!A4)</x:f>
        <x:v>126</x:v>
      </x:c>
      <x:c r="B4" s="6" t="n">
        <x:f>IF(ISBLANK('_CHECKPOINTS'!B4),"",'_CHECKPOINTS'!B4)</x:f>
        <x:v>24048</x:v>
      </x:c>
      <x:c r="C4" s="6"/>
      <x:c r="D4" s="6" t="str">
        <x:f>IF('_CONFIG'!$B$2="pt-BR","Atraso","Tardiness")</x:f>
        <x:v>Tardiness</x:v>
      </x:c>
      <x:c r="E4" s="6" t="n">
        <x:f>'_CONFIG'!$B$19</x:f>
        <x:v>2688</x:v>
      </x:c>
      <x:c r="F4" s="6"/>
      <x:c r="G4" s="6" t="n">
        <x:f>IF(ISBLANK('_RUNS'!B4),"",'_RUNS'!B4)</x:f>
        <x:v>3</x:v>
      </x:c>
      <x:c r="H4" s="6" t="n">
        <x:f>IF(ISBLANK('_RUNS'!C4),"",'_RUNS'!C4)</x:f>
        <x:v>24048</x:v>
      </x:c>
      <x:c r="I4" s="6" t="n">
        <x:f>IF(G4="","",IF('_CONFIG'!$B$12="","",'_CONFIG'!$B$12))</x:f>
        <x:v>24068</x:v>
      </x:c>
      <x:c r="J4" s="6"/>
      <x:c r="K4" s="6" t="n">
        <x:f>IF(ISBLANK('_CHECKPOINTS'!A4),"",'_CHECKPOINTS'!A4)</x:f>
        <x:v>126</x:v>
      </x:c>
      <x:c r="L4" s="6" t="n">
        <x:f>IF(ISBLANK('_CHECKPOINTS'!B4),"",'_CHECKPOINTS'!B4)</x:f>
        <x:v>24048</x:v>
      </x:c>
      <x:c r="M4" s="6" t="n">
        <x:f>IF(ISBLANK('_CHECKPOINTS'!D4),"",'_CHECKPOINTS'!D4)</x:f>
        <x:v>24248</x:v>
      </x:c>
      <x:c r="N4" s="6" t="n">
        <x:f>IF(ISBLANK('_CHECKPOINTS'!G4),"",'_CHECKPOINTS'!G4)</x:f>
        <x:v>24688</x:v>
      </x:c>
      <x:c r="O4" s="6"/>
      <x:c r="P4" s="6" t="str">
        <x:f>IF(COUNTIF('_INSTANCE'!$C$2:$C$601,2)=0,"","F2")</x:f>
        <x:v>F2</x:v>
      </x:c>
      <x:c r="Q4" s="6" t="n">
        <x:f>IF(P4="","",COUNTIF('_INSTANCE'!$C$2:$C$601,2))</x:f>
        <x:v>25</x:v>
      </x:c>
      <x:c r="R4" s="6" t="n">
        <x:f>IF(P4="","",SUMIF('_INSTANCE'!$C$2:$C$601,2,'_INSTANCE'!$D$2:$D$601))</x:f>
        <x:v>2250</x:v>
      </x:c>
      <x:c r="S4" s="6" t="n">
        <x:f>IF(P4="","",SUMIF('_INSTANCE'!$C$2:$C$601,2,'_INSTANCE'!$I$2:$I$601))</x:f>
        <x:v>2500</x:v>
      </x:c>
      <x:c r="T4" s="6" t="n">
        <x:f>IF(P4="","",SUMIF('_INSTANCE'!$C$2:$C$601,2,'_INSTANCE'!$J$2:$J$601))</x:f>
        <x:v>43750</x:v>
      </x:c>
      <x:c r="U4" s="6"/>
      <x:c r="V4" s="6" t="n">
        <x:f>IF(ISBLANK('_INSTANCE'!B4),"",'_INSTANCE'!B4)</x:f>
        <x:v>2</x:v>
      </x:c>
      <x:c r="W4" s="6" t="n">
        <x:f>IF(ISBLANK('_INSTANCE'!F4),"",'_INSTANCE'!F4)</x:f>
        <x:v>5700</x:v>
      </x:c>
      <x:c r="X4" s="6"/>
      <x:c r="Y4" s="6" t="str">
        <x:f>IF(COUNTIF('_INSTANCE'!$C$2:$C$601,2)=0,"","F2")</x:f>
        <x:v>F2</x:v>
      </x:c>
      <x:c r="Z4" s="6" t="n">
        <x:f>IF(Y4="","",COUNTIFS('_SCHEDULE'!$D$2:$D$601,2,'_SCHEDULE'!$B$2:$B$601,"scheduled"))</x:f>
        <x:v>17</x:v>
      </x:c>
      <x:c r="AA4" s="6" t="n">
        <x:f>IF(Y4="","",SUMIF('_SCHEDULE'!$D$2:$D$601,2,'_SCHEDULE'!$N$2:$N$601))</x:f>
        <x:v>60</x:v>
      </x:c>
      <x:c r="AB4" s="6" t="n">
        <x:f>IF(Y4="","",SUMIF('_SCHEDULE'!$D$2:$D$601,2,'_SCHEDULE'!$O$2:$O$601))</x:f>
        <x:v>1700</x:v>
      </x:c>
      <x:c r="AC4" s="6" t="n">
        <x:f>IF(Y4="","",SUMIF('_SCHEDULE'!$D$2:$D$601,2,'_SCHEDULE'!$R$2:$R$601))</x:f>
        <x:v>18448</x:v>
      </x:c>
      <x:c r="AD4" s="6"/>
      <x:c r="AE4" s="6" t="str">
        <x:f>IF(ISBLANK('_CHARTS'!P4),"",'_CHARTS'!P4)</x:f>
        <x:v>F2</x:v>
      </x:c>
      <x:c r="AF4" s="6" t="n">
        <x:f>IF(ISBLANK('_CHARTS'!R4),"",'_CHARTS'!R4)</x:f>
        <x:v>2250</x:v>
      </x:c>
    </x:row>
    <x:row r="5">
      <x:c r="A5" s="6" t="n">
        <x:f>IF(ISBLANK('_CHECKPOINTS'!A5),"",'_CHECKPOINTS'!A5)</x:f>
        <x:v>189</x:v>
      </x:c>
      <x:c r="B5" s="6" t="n">
        <x:f>IF(ISBLANK('_CHECKPOINTS'!B5),"",'_CHECKPOINTS'!B5)</x:f>
        <x:v>24048</x:v>
      </x:c>
      <x:c r="C5" s="6"/>
      <x:c r="D5" s="6" t="str">
        <x:f>IF('_CONFIG'!$B$2="pt-BR","Rejeição","Rejection")</x:f>
        <x:v>Rejection</x:v>
      </x:c>
      <x:c r="E5" s="6" t="n">
        <x:f>'_CONFIG'!$B$20</x:f>
        <x:v>14000</x:v>
      </x:c>
      <x:c r="F5" s="6"/>
      <x:c r="G5" s="6" t="n">
        <x:f>IF(ISBLANK('_RUNS'!B5),"",'_RUNS'!B5)</x:f>
        <x:v>4</x:v>
      </x:c>
      <x:c r="H5" s="6" t="n">
        <x:f>IF(ISBLANK('_RUNS'!C5),"",'_RUNS'!C5)</x:f>
        <x:v>24054</x:v>
      </x:c>
      <x:c r="I5" s="6" t="n">
        <x:f>IF(G5="","",IF('_CONFIG'!$B$12="","",'_CONFIG'!$B$12))</x:f>
        <x:v>24068</x:v>
      </x:c>
      <x:c r="J5" s="6"/>
      <x:c r="K5" s="6" t="n">
        <x:f>IF(ISBLANK('_CHECKPOINTS'!A5),"",'_CHECKPOINTS'!A5)</x:f>
        <x:v>189</x:v>
      </x:c>
      <x:c r="L5" s="6" t="n">
        <x:f>IF(ISBLANK('_CHECKPOINTS'!B5),"",'_CHECKPOINTS'!B5)</x:f>
        <x:v>24048</x:v>
      </x:c>
      <x:c r="M5" s="6" t="n">
        <x:f>IF(ISBLANK('_CHECKPOINTS'!D5),"",'_CHECKPOINTS'!D5)</x:f>
        <x:v>24248</x:v>
      </x:c>
      <x:c r="N5" s="6" t="n">
        <x:f>IF(ISBLANK('_CHECKPOINTS'!G5),"",'_CHECKPOINTS'!G5)</x:f>
        <x:v>24294</x:v>
      </x:c>
      <x:c r="O5" s="6"/>
      <x:c r="P5" s="6" t="str">
        <x:f>IF(COUNTIF('_INSTANCE'!$C$2:$C$601,3)=0,"","F3")</x:f>
        <x:v>F3</x:v>
      </x:c>
      <x:c r="Q5" s="6" t="n">
        <x:f>IF(P5="","",COUNTIF('_INSTANCE'!$C$2:$C$601,3))</x:f>
        <x:v>11</x:v>
      </x:c>
      <x:c r="R5" s="6" t="n">
        <x:f>IF(P5="","",SUMIF('_INSTANCE'!$C$2:$C$601,3,'_INSTANCE'!$D$2:$D$601))</x:f>
        <x:v>770</x:v>
      </x:c>
      <x:c r="S5" s="6" t="n">
        <x:f>IF(P5="","",SUMIF('_INSTANCE'!$C$2:$C$601,3,'_INSTANCE'!$I$2:$I$601))</x:f>
        <x:v>1100</x:v>
      </x:c>
      <x:c r="T5" s="6" t="n">
        <x:f>IF(P5="","",SUMIF('_INSTANCE'!$C$2:$C$601,3,'_INSTANCE'!$J$2:$J$601))</x:f>
        <x:v>15950</x:v>
      </x:c>
      <x:c r="U5" s="6"/>
      <x:c r="V5" s="6" t="n">
        <x:f>IF(ISBLANK('_INSTANCE'!B5),"",'_INSTANCE'!B5)</x:f>
        <x:v>3</x:v>
      </x:c>
      <x:c r="W5" s="6" t="n">
        <x:f>IF(ISBLANK('_INSTANCE'!F5),"",'_INSTANCE'!F5)</x:f>
        <x:v>5700</x:v>
      </x:c>
      <x:c r="X5" s="6"/>
      <x:c r="Y5" s="6" t="str">
        <x:f>IF(COUNTIF('_INSTANCE'!$C$2:$C$601,3)=0,"","F3")</x:f>
        <x:v>F3</x:v>
      </x:c>
      <x:c r="Z5" s="6" t="n">
        <x:f>IF(Y5="","",COUNTIFS('_SCHEDULE'!$D$2:$D$601,3,'_SCHEDULE'!$B$2:$B$601,"scheduled"))</x:f>
        <x:v>11</x:v>
      </x:c>
      <x:c r="AA5" s="6" t="n">
        <x:f>IF(Y5="","",SUMIF('_SCHEDULE'!$D$2:$D$601,3,'_SCHEDULE'!$N$2:$N$601))</x:f>
        <x:v>0</x:v>
      </x:c>
      <x:c r="AB5" s="6" t="n">
        <x:f>IF(Y5="","",SUMIF('_SCHEDULE'!$D$2:$D$601,3,'_SCHEDULE'!$O$2:$O$601))</x:f>
        <x:v>1100</x:v>
      </x:c>
      <x:c r="AC5" s="6" t="n">
        <x:f>IF(Y5="","",SUMIF('_SCHEDULE'!$D$2:$D$601,3,'_SCHEDULE'!$R$2:$R$601))</x:f>
        <x:v>1100</x:v>
      </x:c>
      <x:c r="AD5" s="6"/>
      <x:c r="AE5" s="6" t="str">
        <x:f>IF(ISBLANK('_CHARTS'!P5),"",'_CHARTS'!P5)</x:f>
        <x:v>F3</x:v>
      </x:c>
      <x:c r="AF5" s="6" t="n">
        <x:f>IF(ISBLANK('_CHARTS'!R5),"",'_CHARTS'!R5)</x:f>
        <x:v>770</x:v>
      </x:c>
    </x:row>
    <x:row r="6">
      <x:c r="A6" s="6" t="n">
        <x:f>IF(ISBLANK('_CHECKPOINTS'!A6),"",'_CHECKPOINTS'!A6)</x:f>
        <x:v>252</x:v>
      </x:c>
      <x:c r="B6" s="6" t="n">
        <x:f>IF(ISBLANK('_CHECKPOINTS'!B6),"",'_CHECKPOINTS'!B6)</x:f>
        <x:v>24048</x:v>
      </x:c>
      <x:c r="C6" s="6"/>
      <x:c r="D6" s="6"/>
      <x:c r="E6" s="6"/>
      <x:c r="F6" s="6"/>
      <x:c r="G6" s="6" t="n">
        <x:f>IF(ISBLANK('_RUNS'!B6),"",'_RUNS'!B6)</x:f>
        <x:v>5</x:v>
      </x:c>
      <x:c r="H6" s="6" t="n">
        <x:f>IF(ISBLANK('_RUNS'!C6),"",'_RUNS'!C6)</x:f>
        <x:v>24054</x:v>
      </x:c>
      <x:c r="I6" s="6" t="n">
        <x:f>IF(G6="","",IF('_CONFIG'!$B$12="","",'_CONFIG'!$B$12))</x:f>
        <x:v>24068</x:v>
      </x:c>
      <x:c r="J6" s="6"/>
      <x:c r="K6" s="6" t="n">
        <x:f>IF(ISBLANK('_CHECKPOINTS'!A6),"",'_CHECKPOINTS'!A6)</x:f>
        <x:v>252</x:v>
      </x:c>
      <x:c r="L6" s="6" t="n">
        <x:f>IF(ISBLANK('_CHECKPOINTS'!B6),"",'_CHECKPOINTS'!B6)</x:f>
        <x:v>24048</x:v>
      </x:c>
      <x:c r="M6" s="6" t="n">
        <x:f>IF(ISBLANK('_CHECKPOINTS'!D6),"",'_CHECKPOINTS'!D6)</x:f>
        <x:v>24248</x:v>
      </x:c>
      <x:c r="N6" s="6" t="n">
        <x:f>IF(ISBLANK('_CHECKPOINTS'!G6),"",'_CHECKPOINTS'!G6)</x:f>
        <x:v>24294</x:v>
      </x:c>
      <x:c r="O6" s="6"/>
      <x:c r="P6" s="6" t="str">
        <x:f>IF(COUNTIF('_INSTANCE'!$C$2:$C$601,4)=0,"","F4")</x:f>
      </x:c>
      <x:c r="Q6" s="6" t="str">
        <x:f>IF(P6="","",COUNTIF('_INSTANCE'!$C$2:$C$601,4))</x:f>
      </x:c>
      <x:c r="R6" s="6" t="str">
        <x:f>IF(P6="","",SUMIF('_INSTANCE'!$C$2:$C$601,4,'_INSTANCE'!$D$2:$D$601))</x:f>
      </x:c>
      <x:c r="S6" s="6" t="str">
        <x:f>IF(P6="","",SUMIF('_INSTANCE'!$C$2:$C$601,4,'_INSTANCE'!$I$2:$I$601))</x:f>
      </x:c>
      <x:c r="T6" s="6" t="str">
        <x:f>IF(P6="","",SUMIF('_INSTANCE'!$C$2:$C$601,4,'_INSTANCE'!$J$2:$J$601))</x:f>
      </x:c>
      <x:c r="U6" s="6"/>
      <x:c r="V6" s="6" t="n">
        <x:f>IF(ISBLANK('_INSTANCE'!B6),"",'_INSTANCE'!B6)</x:f>
        <x:v>4</x:v>
      </x:c>
      <x:c r="W6" s="6" t="n">
        <x:f>IF(ISBLANK('_INSTANCE'!F6),"",'_INSTANCE'!F6)</x:f>
        <x:v>5700</x:v>
      </x:c>
      <x:c r="X6" s="6"/>
      <x:c r="Y6" s="6" t="str">
        <x:f>IF(COUNTIF('_INSTANCE'!$C$2:$C$601,4)=0,"","F4")</x:f>
      </x:c>
      <x:c r="Z6" s="6" t="str">
        <x:f>IF(Y6="","",COUNTIFS('_SCHEDULE'!$D$2:$D$601,4,'_SCHEDULE'!$B$2:$B$601,"scheduled"))</x:f>
      </x:c>
      <x:c r="AA6" s="6" t="str">
        <x:f>IF(Y6="","",SUMIF('_SCHEDULE'!$D$2:$D$601,4,'_SCHEDULE'!$N$2:$N$601))</x:f>
      </x:c>
      <x:c r="AB6" s="6" t="str">
        <x:f>IF(Y6="","",SUMIF('_SCHEDULE'!$D$2:$D$601,4,'_SCHEDULE'!$O$2:$O$601))</x:f>
      </x:c>
      <x:c r="AC6" s="6" t="str">
        <x:f>IF(Y6="","",SUMIF('_SCHEDULE'!$D$2:$D$601,4,'_SCHEDULE'!$R$2:$R$601))</x:f>
      </x:c>
      <x:c r="AD6" s="6"/>
      <x:c r="AE6" s="6" t="str">
        <x:f>IF(ISBLANK('_CHARTS'!P6),"",'_CHARTS'!P6)</x:f>
      </x:c>
      <x:c r="AF6" s="6" t="str">
        <x:f>IF(ISBLANK('_CHARTS'!R6),"",'_CHARTS'!R6)</x:f>
      </x:c>
    </x:row>
    <x:row r="7">
      <x:c r="A7" s="6" t="n">
        <x:f>IF(ISBLANK('_CHECKPOINTS'!A7),"",'_CHECKPOINTS'!A7)</x:f>
        <x:v>315</x:v>
      </x:c>
      <x:c r="B7" s="6" t="n">
        <x:f>IF(ISBLANK('_CHECKPOINTS'!B7),"",'_CHECKPOINTS'!B7)</x:f>
        <x:v>24048</x:v>
      </x:c>
      <x:c r="C7" s="6"/>
      <x:c r="D7" s="6"/>
      <x:c r="E7" s="6"/>
      <x:c r="F7" s="6"/>
      <x:c r="G7" s="6" t="n">
        <x:f>IF(ISBLANK('_RUNS'!B7),"",'_RUNS'!B7)</x:f>
        <x:v>6</x:v>
      </x:c>
      <x:c r="H7" s="6" t="n">
        <x:f>IF(ISBLANK('_RUNS'!C7),"",'_RUNS'!C7)</x:f>
        <x:v>24194</x:v>
      </x:c>
      <x:c r="I7" s="6" t="n">
        <x:f>IF(G7="","",IF('_CONFIG'!$B$12="","",'_CONFIG'!$B$12))</x:f>
        <x:v>24068</x:v>
      </x:c>
      <x:c r="J7" s="6"/>
      <x:c r="K7" s="6" t="n">
        <x:f>IF(ISBLANK('_CHECKPOINTS'!A7),"",'_CHECKPOINTS'!A7)</x:f>
        <x:v>315</x:v>
      </x:c>
      <x:c r="L7" s="6" t="n">
        <x:f>IF(ISBLANK('_CHECKPOINTS'!B7),"",'_CHECKPOINTS'!B7)</x:f>
        <x:v>24048</x:v>
      </x:c>
      <x:c r="M7" s="6" t="n">
        <x:f>IF(ISBLANK('_CHECKPOINTS'!D7),"",'_CHECKPOINTS'!D7)</x:f>
        <x:v>24248</x:v>
      </x:c>
      <x:c r="N7" s="6" t="n">
        <x:f>IF(ISBLANK('_CHECKPOINTS'!G7),"",'_CHECKPOINTS'!G7)</x:f>
        <x:v>24248</x:v>
      </x:c>
      <x:c r="O7" s="6"/>
      <x:c r="P7" s="6" t="str">
        <x:f>IF(COUNTIF('_INSTANCE'!$C$2:$C$601,5)=0,"","F5")</x:f>
      </x:c>
      <x:c r="Q7" s="6" t="str">
        <x:f>IF(P7="","",COUNTIF('_INSTANCE'!$C$2:$C$601,5))</x:f>
      </x:c>
      <x:c r="R7" s="6" t="str">
        <x:f>IF(P7="","",SUMIF('_INSTANCE'!$C$2:$C$601,5,'_INSTANCE'!$D$2:$D$601))</x:f>
      </x:c>
      <x:c r="S7" s="6" t="str">
        <x:f>IF(P7="","",SUMIF('_INSTANCE'!$C$2:$C$601,5,'_INSTANCE'!$I$2:$I$601))</x:f>
      </x:c>
      <x:c r="T7" s="6" t="str">
        <x:f>IF(P7="","",SUMIF('_INSTANCE'!$C$2:$C$601,5,'_INSTANCE'!$J$2:$J$601))</x:f>
      </x:c>
      <x:c r="U7" s="6"/>
      <x:c r="V7" s="6" t="n">
        <x:f>IF(ISBLANK('_INSTANCE'!B7),"",'_INSTANCE'!B7)</x:f>
        <x:v>5</x:v>
      </x:c>
      <x:c r="W7" s="6" t="n">
        <x:f>IF(ISBLANK('_INSTANCE'!F7),"",'_INSTANCE'!F7)</x:f>
        <x:v>5300</x:v>
      </x:c>
      <x:c r="X7" s="6"/>
      <x:c r="Y7" s="6" t="str">
        <x:f>IF(COUNTIF('_INSTANCE'!$C$2:$C$601,5)=0,"","F5")</x:f>
      </x:c>
      <x:c r="Z7" s="6" t="str">
        <x:f>IF(Y7="","",COUNTIFS('_SCHEDULE'!$D$2:$D$601,5,'_SCHEDULE'!$B$2:$B$601,"scheduled"))</x:f>
      </x:c>
      <x:c r="AA7" s="6" t="str">
        <x:f>IF(Y7="","",SUMIF('_SCHEDULE'!$D$2:$D$601,5,'_SCHEDULE'!$N$2:$N$601))</x:f>
      </x:c>
      <x:c r="AB7" s="6" t="str">
        <x:f>IF(Y7="","",SUMIF('_SCHEDULE'!$D$2:$D$601,5,'_SCHEDULE'!$O$2:$O$601))</x:f>
      </x:c>
      <x:c r="AC7" s="6" t="str">
        <x:f>IF(Y7="","",SUMIF('_SCHEDULE'!$D$2:$D$601,5,'_SCHEDULE'!$R$2:$R$601))</x:f>
      </x:c>
      <x:c r="AD7" s="6"/>
      <x:c r="AE7" s="6" t="str">
        <x:f>IF(ISBLANK('_CHARTS'!P7),"",'_CHARTS'!P7)</x:f>
      </x:c>
      <x:c r="AF7" s="6" t="str">
        <x:f>IF(ISBLANK('_CHARTS'!R7),"",'_CHARTS'!R7)</x:f>
      </x:c>
    </x:row>
    <x:row r="8">
      <x:c r="A8" s="6" t="n">
        <x:f>IF(ISBLANK('_CHECKPOINTS'!A8),"",'_CHECKPOINTS'!A8)</x:f>
        <x:v>378</x:v>
      </x:c>
      <x:c r="B8" s="6" t="n">
        <x:f>IF(ISBLANK('_CHECKPOINTS'!B8),"",'_CHECKPOINTS'!B8)</x:f>
        <x:v>24048</x:v>
      </x:c>
      <x:c r="C8" s="6"/>
      <x:c r="D8" s="6"/>
      <x:c r="E8" s="6"/>
      <x:c r="F8" s="6"/>
      <x:c r="G8" s="6" t="n">
        <x:f>IF(ISBLANK('_RUNS'!B8),"",'_RUNS'!B8)</x:f>
        <x:v>7</x:v>
      </x:c>
      <x:c r="H8" s="6" t="n">
        <x:f>IF(ISBLANK('_RUNS'!C8),"",'_RUNS'!C8)</x:f>
        <x:v>24194</x:v>
      </x:c>
      <x:c r="I8" s="6" t="n">
        <x:f>IF(G8="","",IF('_CONFIG'!$B$12="","",'_CONFIG'!$B$12))</x:f>
        <x:v>24068</x:v>
      </x:c>
      <x:c r="J8" s="6"/>
      <x:c r="K8" s="6" t="n">
        <x:f>IF(ISBLANK('_CHECKPOINTS'!A8),"",'_CHECKPOINTS'!A8)</x:f>
        <x:v>378</x:v>
      </x:c>
      <x:c r="L8" s="6" t="n">
        <x:f>IF(ISBLANK('_CHECKPOINTS'!B8),"",'_CHECKPOINTS'!B8)</x:f>
        <x:v>24048</x:v>
      </x:c>
      <x:c r="M8" s="6" t="n">
        <x:f>IF(ISBLANK('_CHECKPOINTS'!D8),"",'_CHECKPOINTS'!D8)</x:f>
        <x:v>24248</x:v>
      </x:c>
      <x:c r="N8" s="6" t="n">
        <x:f>IF(ISBLANK('_CHECKPOINTS'!G8),"",'_CHECKPOINTS'!G8)</x:f>
        <x:v>24248</x:v>
      </x:c>
      <x:c r="O8" s="6"/>
      <x:c r="P8" s="6" t="str">
        <x:f>IF(COUNTIF('_INSTANCE'!$C$2:$C$601,6)=0,"","F6")</x:f>
      </x:c>
      <x:c r="Q8" s="6" t="str">
        <x:f>IF(P8="","",COUNTIF('_INSTANCE'!$C$2:$C$601,6))</x:f>
      </x:c>
      <x:c r="R8" s="6" t="str">
        <x:f>IF(P8="","",SUMIF('_INSTANCE'!$C$2:$C$601,6,'_INSTANCE'!$D$2:$D$601))</x:f>
      </x:c>
      <x:c r="S8" s="6" t="str">
        <x:f>IF(P8="","",SUMIF('_INSTANCE'!$C$2:$C$601,6,'_INSTANCE'!$I$2:$I$601))</x:f>
      </x:c>
      <x:c r="T8" s="6" t="str">
        <x:f>IF(P8="","",SUMIF('_INSTANCE'!$C$2:$C$601,6,'_INSTANCE'!$J$2:$J$601))</x:f>
      </x:c>
      <x:c r="U8" s="6"/>
      <x:c r="V8" s="6" t="n">
        <x:f>IF(ISBLANK('_INSTANCE'!B8),"",'_INSTANCE'!B8)</x:f>
        <x:v>6</x:v>
      </x:c>
      <x:c r="W8" s="6" t="n">
        <x:f>IF(ISBLANK('_INSTANCE'!F8),"",'_INSTANCE'!F8)</x:f>
        <x:v>5300</x:v>
      </x:c>
      <x:c r="X8" s="6"/>
      <x:c r="Y8" s="6" t="str">
        <x:f>IF(COUNTIF('_INSTANCE'!$C$2:$C$601,6)=0,"","F6")</x:f>
      </x:c>
      <x:c r="Z8" s="6" t="str">
        <x:f>IF(Y8="","",COUNTIFS('_SCHEDULE'!$D$2:$D$601,6,'_SCHEDULE'!$B$2:$B$601,"scheduled"))</x:f>
      </x:c>
      <x:c r="AA8" s="6" t="str">
        <x:f>IF(Y8="","",SUMIF('_SCHEDULE'!$D$2:$D$601,6,'_SCHEDULE'!$N$2:$N$601))</x:f>
      </x:c>
      <x:c r="AB8" s="6" t="str">
        <x:f>IF(Y8="","",SUMIF('_SCHEDULE'!$D$2:$D$601,6,'_SCHEDULE'!$O$2:$O$601))</x:f>
      </x:c>
      <x:c r="AC8" s="6" t="str">
        <x:f>IF(Y8="","",SUMIF('_SCHEDULE'!$D$2:$D$601,6,'_SCHEDULE'!$R$2:$R$601))</x:f>
      </x:c>
      <x:c r="AD8" s="6"/>
      <x:c r="AE8" s="6" t="str">
        <x:f>IF(ISBLANK('_CHARTS'!P8),"",'_CHARTS'!P8)</x:f>
      </x:c>
      <x:c r="AF8" s="6" t="str">
        <x:f>IF(ISBLANK('_CHARTS'!R8),"",'_CHARTS'!R8)</x:f>
      </x:c>
    </x:row>
    <x:row r="9">
      <x:c r="A9" s="6" t="n">
        <x:f>IF(ISBLANK('_CHECKPOINTS'!A9),"",'_CHECKPOINTS'!A9)</x:f>
        <x:v>441</x:v>
      </x:c>
      <x:c r="B9" s="6" t="n">
        <x:f>IF(ISBLANK('_CHECKPOINTS'!B9),"",'_CHECKPOINTS'!B9)</x:f>
        <x:v>24048</x:v>
      </x:c>
      <x:c r="C9" s="6"/>
      <x:c r="D9" s="6"/>
      <x:c r="E9" s="6"/>
      <x:c r="F9" s="6"/>
      <x:c r="G9" s="6" t="n">
        <x:f>IF(ISBLANK('_RUNS'!B9),"",'_RUNS'!B9)</x:f>
        <x:v>8</x:v>
      </x:c>
      <x:c r="H9" s="6" t="n">
        <x:f>IF(ISBLANK('_RUNS'!C9),"",'_RUNS'!C9)</x:f>
        <x:v>24048</x:v>
      </x:c>
      <x:c r="I9" s="6" t="n">
        <x:f>IF(G9="","",IF('_CONFIG'!$B$12="","",'_CONFIG'!$B$12))</x:f>
        <x:v>24068</x:v>
      </x:c>
      <x:c r="J9" s="6"/>
      <x:c r="K9" s="6" t="n">
        <x:f>IF(ISBLANK('_CHECKPOINTS'!A9),"",'_CHECKPOINTS'!A9)</x:f>
        <x:v>441</x:v>
      </x:c>
      <x:c r="L9" s="6" t="n">
        <x:f>IF(ISBLANK('_CHECKPOINTS'!B9),"",'_CHECKPOINTS'!B9)</x:f>
        <x:v>24048</x:v>
      </x:c>
      <x:c r="M9" s="6" t="n">
        <x:f>IF(ISBLANK('_CHECKPOINTS'!D9),"",'_CHECKPOINTS'!D9)</x:f>
        <x:v>24248</x:v>
      </x:c>
      <x:c r="N9" s="6" t="n">
        <x:f>IF(ISBLANK('_CHECKPOINTS'!G9),"",'_CHECKPOINTS'!G9)</x:f>
        <x:v>24248</x:v>
      </x:c>
      <x:c r="O9" s="6"/>
      <x:c r="P9" s="6" t="str">
        <x:f>IF(COUNTIF('_INSTANCE'!$C$2:$C$601,7)=0,"","F7")</x:f>
      </x:c>
      <x:c r="Q9" s="6" t="str">
        <x:f>IF(P9="","",COUNTIF('_INSTANCE'!$C$2:$C$601,7))</x:f>
      </x:c>
      <x:c r="R9" s="6" t="str">
        <x:f>IF(P9="","",SUMIF('_INSTANCE'!$C$2:$C$601,7,'_INSTANCE'!$D$2:$D$601))</x:f>
      </x:c>
      <x:c r="S9" s="6" t="str">
        <x:f>IF(P9="","",SUMIF('_INSTANCE'!$C$2:$C$601,7,'_INSTANCE'!$I$2:$I$601))</x:f>
      </x:c>
      <x:c r="T9" s="6" t="str">
        <x:f>IF(P9="","",SUMIF('_INSTANCE'!$C$2:$C$601,7,'_INSTANCE'!$J$2:$J$601))</x:f>
      </x:c>
      <x:c r="U9" s="6"/>
      <x:c r="V9" s="6" t="n">
        <x:f>IF(ISBLANK('_INSTANCE'!B9),"",'_INSTANCE'!B9)</x:f>
        <x:v>7</x:v>
      </x:c>
      <x:c r="W9" s="6" t="n">
        <x:f>IF(ISBLANK('_INSTANCE'!F9),"",'_INSTANCE'!F9)</x:f>
        <x:v>5300</x:v>
      </x:c>
      <x:c r="X9" s="6"/>
      <x:c r="Y9" s="6" t="str">
        <x:f>IF(COUNTIF('_INSTANCE'!$C$2:$C$601,7)=0,"","F7")</x:f>
      </x:c>
      <x:c r="Z9" s="6" t="str">
        <x:f>IF(Y9="","",COUNTIFS('_SCHEDULE'!$D$2:$D$601,7,'_SCHEDULE'!$B$2:$B$601,"scheduled"))</x:f>
      </x:c>
      <x:c r="AA9" s="6" t="str">
        <x:f>IF(Y9="","",SUMIF('_SCHEDULE'!$D$2:$D$601,7,'_SCHEDULE'!$N$2:$N$601))</x:f>
      </x:c>
      <x:c r="AB9" s="6" t="str">
        <x:f>IF(Y9="","",SUMIF('_SCHEDULE'!$D$2:$D$601,7,'_SCHEDULE'!$O$2:$O$601))</x:f>
      </x:c>
      <x:c r="AC9" s="6" t="str">
        <x:f>IF(Y9="","",SUMIF('_SCHEDULE'!$D$2:$D$601,7,'_SCHEDULE'!$R$2:$R$601))</x:f>
      </x:c>
      <x:c r="AD9" s="6"/>
      <x:c r="AE9" s="6" t="str">
        <x:f>IF(ISBLANK('_CHARTS'!P9),"",'_CHARTS'!P9)</x:f>
      </x:c>
      <x:c r="AF9" s="6" t="str">
        <x:f>IF(ISBLANK('_CHARTS'!R9),"",'_CHARTS'!R9)</x:f>
      </x:c>
    </x:row>
    <x:row r="10">
      <x:c r="A10" s="6" t="n">
        <x:f>IF(ISBLANK('_CHECKPOINTS'!A10),"",'_CHECKPOINTS'!A10)</x:f>
        <x:v>504</x:v>
      </x:c>
      <x:c r="B10" s="6" t="n">
        <x:f>IF(ISBLANK('_CHECKPOINTS'!B10),"",'_CHECKPOINTS'!B10)</x:f>
        <x:v>24048</x:v>
      </x:c>
      <x:c r="C10" s="6"/>
      <x:c r="D10" s="6"/>
      <x:c r="E10" s="6"/>
      <x:c r="F10" s="6"/>
      <x:c r="G10" s="6" t="n">
        <x:f>IF(ISBLANK('_RUNS'!B10),"",'_RUNS'!B10)</x:f>
        <x:v>9</x:v>
      </x:c>
      <x:c r="H10" s="6" t="n">
        <x:f>IF(ISBLANK('_RUNS'!C10),"",'_RUNS'!C10)</x:f>
        <x:v>24048</x:v>
      </x:c>
      <x:c r="I10" s="6" t="n">
        <x:f>IF(G10="","",IF('_CONFIG'!$B$12="","",'_CONFIG'!$B$12))</x:f>
        <x:v>24068</x:v>
      </x:c>
      <x:c r="J10" s="6"/>
      <x:c r="K10" s="6" t="n">
        <x:f>IF(ISBLANK('_CHECKPOINTS'!A10),"",'_CHECKPOINTS'!A10)</x:f>
        <x:v>504</x:v>
      </x:c>
      <x:c r="L10" s="6" t="n">
        <x:f>IF(ISBLANK('_CHECKPOINTS'!B10),"",'_CHECKPOINTS'!B10)</x:f>
        <x:v>24048</x:v>
      </x:c>
      <x:c r="M10" s="6" t="n">
        <x:f>IF(ISBLANK('_CHECKPOINTS'!D10),"",'_CHECKPOINTS'!D10)</x:f>
        <x:v>24248</x:v>
      </x:c>
      <x:c r="N10" s="6" t="n">
        <x:f>IF(ISBLANK('_CHECKPOINTS'!G10),"",'_CHECKPOINTS'!G10)</x:f>
        <x:v>24248</x:v>
      </x:c>
      <x:c r="O10" s="6"/>
      <x:c r="P10" s="6" t="str">
        <x:f>IF(COUNTIF('_INSTANCE'!$C$2:$C$601,8)=0,"","F8")</x:f>
      </x:c>
      <x:c r="Q10" s="6" t="str">
        <x:f>IF(P10="","",COUNTIF('_INSTANCE'!$C$2:$C$601,8))</x:f>
      </x:c>
      <x:c r="R10" s="6" t="str">
        <x:f>IF(P10="","",SUMIF('_INSTANCE'!$C$2:$C$601,8,'_INSTANCE'!$D$2:$D$601))</x:f>
      </x:c>
      <x:c r="S10" s="6" t="str">
        <x:f>IF(P10="","",SUMIF('_INSTANCE'!$C$2:$C$601,8,'_INSTANCE'!$I$2:$I$601))</x:f>
      </x:c>
      <x:c r="T10" s="6" t="str">
        <x:f>IF(P10="","",SUMIF('_INSTANCE'!$C$2:$C$601,8,'_INSTANCE'!$J$2:$J$601))</x:f>
      </x:c>
      <x:c r="U10" s="6"/>
      <x:c r="V10" s="6" t="n">
        <x:f>IF(ISBLANK('_INSTANCE'!B10),"",'_INSTANCE'!B10)</x:f>
        <x:v>8</x:v>
      </x:c>
      <x:c r="W10" s="6" t="n">
        <x:f>IF(ISBLANK('_INSTANCE'!F10),"",'_INSTANCE'!F10)</x:f>
        <x:v>5300</x:v>
      </x:c>
      <x:c r="X10" s="6"/>
      <x:c r="Y10" s="6" t="str">
        <x:f>IF(COUNTIF('_INSTANCE'!$C$2:$C$601,8)=0,"","F8")</x:f>
      </x:c>
      <x:c r="Z10" s="6" t="str">
        <x:f>IF(Y10="","",COUNTIFS('_SCHEDULE'!$D$2:$D$601,8,'_SCHEDULE'!$B$2:$B$601,"scheduled"))</x:f>
      </x:c>
      <x:c r="AA10" s="6" t="str">
        <x:f>IF(Y10="","",SUMIF('_SCHEDULE'!$D$2:$D$601,8,'_SCHEDULE'!$N$2:$N$601))</x:f>
      </x:c>
      <x:c r="AB10" s="6" t="str">
        <x:f>IF(Y10="","",SUMIF('_SCHEDULE'!$D$2:$D$601,8,'_SCHEDULE'!$O$2:$O$601))</x:f>
      </x:c>
      <x:c r="AC10" s="6" t="str">
        <x:f>IF(Y10="","",SUMIF('_SCHEDULE'!$D$2:$D$601,8,'_SCHEDULE'!$R$2:$R$601))</x:f>
      </x:c>
      <x:c r="AD10" s="6"/>
      <x:c r="AE10" s="6" t="str">
        <x:f>IF(ISBLANK('_CHARTS'!P10),"",'_CHARTS'!P10)</x:f>
      </x:c>
      <x:c r="AF10" s="6" t="str">
        <x:f>IF(ISBLANK('_CHARTS'!R10),"",'_CHARTS'!R10)</x:f>
      </x:c>
    </x:row>
    <x:row r="11">
      <x:c r="A11" s="6" t="n">
        <x:f>IF(ISBLANK('_CHECKPOINTS'!A11),"",'_CHECKPOINTS'!A11)</x:f>
        <x:v>567</x:v>
      </x:c>
      <x:c r="B11" s="6" t="n">
        <x:f>IF(ISBLANK('_CHECKPOINTS'!B11),"",'_CHECKPOINTS'!B11)</x:f>
        <x:v>24048</x:v>
      </x:c>
      <x:c r="C11" s="6"/>
      <x:c r="D11" s="6"/>
      <x:c r="E11" s="6"/>
      <x:c r="F11" s="6"/>
      <x:c r="G11" s="6" t="n">
        <x:f>IF(ISBLANK('_RUNS'!B11),"",'_RUNS'!B11)</x:f>
        <x:v>10</x:v>
      </x:c>
      <x:c r="H11" s="6" t="n">
        <x:f>IF(ISBLANK('_RUNS'!C11),"",'_RUNS'!C11)</x:f>
        <x:v>24248</x:v>
      </x:c>
      <x:c r="I11" s="6" t="n">
        <x:f>IF(G11="","",IF('_CONFIG'!$B$12="","",'_CONFIG'!$B$12))</x:f>
        <x:v>24068</x:v>
      </x:c>
      <x:c r="J11" s="6"/>
      <x:c r="K11" s="6" t="n">
        <x:f>IF(ISBLANK('_CHECKPOINTS'!A11),"",'_CHECKPOINTS'!A11)</x:f>
        <x:v>567</x:v>
      </x:c>
      <x:c r="L11" s="6" t="n">
        <x:f>IF(ISBLANK('_CHECKPOINTS'!B11),"",'_CHECKPOINTS'!B11)</x:f>
        <x:v>24048</x:v>
      </x:c>
      <x:c r="M11" s="6" t="n">
        <x:f>IF(ISBLANK('_CHECKPOINTS'!D11),"",'_CHECKPOINTS'!D11)</x:f>
        <x:v>24248</x:v>
      </x:c>
      <x:c r="N11" s="6" t="n">
        <x:f>IF(ISBLANK('_CHECKPOINTS'!G11),"",'_CHECKPOINTS'!G11)</x:f>
        <x:v>24248</x:v>
      </x:c>
      <x:c r="O11" s="6"/>
      <x:c r="P11" s="6" t="str">
        <x:f>IF(COUNTIF('_INSTANCE'!$C$2:$C$601,9)=0,"","F9")</x:f>
      </x:c>
      <x:c r="Q11" s="6" t="str">
        <x:f>IF(P11="","",COUNTIF('_INSTANCE'!$C$2:$C$601,9))</x:f>
      </x:c>
      <x:c r="R11" s="6" t="str">
        <x:f>IF(P11="","",SUMIF('_INSTANCE'!$C$2:$C$601,9,'_INSTANCE'!$D$2:$D$601))</x:f>
      </x:c>
      <x:c r="S11" s="6" t="str">
        <x:f>IF(P11="","",SUMIF('_INSTANCE'!$C$2:$C$601,9,'_INSTANCE'!$I$2:$I$601))</x:f>
      </x:c>
      <x:c r="T11" s="6" t="str">
        <x:f>IF(P11="","",SUMIF('_INSTANCE'!$C$2:$C$601,9,'_INSTANCE'!$J$2:$J$601))</x:f>
      </x:c>
      <x:c r="U11" s="6"/>
      <x:c r="V11" s="6" t="n">
        <x:f>IF(ISBLANK('_INSTANCE'!B11),"",'_INSTANCE'!B11)</x:f>
        <x:v>9</x:v>
      </x:c>
      <x:c r="W11" s="6" t="n">
        <x:f>IF(ISBLANK('_INSTANCE'!F11),"",'_INSTANCE'!F11)</x:f>
        <x:v>5300</x:v>
      </x:c>
      <x:c r="X11" s="6"/>
      <x:c r="Y11" s="6" t="str">
        <x:f>IF(COUNTIF('_INSTANCE'!$C$2:$C$601,9)=0,"","F9")</x:f>
      </x:c>
      <x:c r="Z11" s="6" t="str">
        <x:f>IF(Y11="","",COUNTIFS('_SCHEDULE'!$D$2:$D$601,9,'_SCHEDULE'!$B$2:$B$601,"scheduled"))</x:f>
      </x:c>
      <x:c r="AA11" s="6" t="str">
        <x:f>IF(Y11="","",SUMIF('_SCHEDULE'!$D$2:$D$601,9,'_SCHEDULE'!$N$2:$N$601))</x:f>
      </x:c>
      <x:c r="AB11" s="6" t="str">
        <x:f>IF(Y11="","",SUMIF('_SCHEDULE'!$D$2:$D$601,9,'_SCHEDULE'!$O$2:$O$601))</x:f>
      </x:c>
      <x:c r="AC11" s="6" t="str">
        <x:f>IF(Y11="","",SUMIF('_SCHEDULE'!$D$2:$D$601,9,'_SCHEDULE'!$R$2:$R$601))</x:f>
      </x:c>
      <x:c r="AD11" s="6"/>
      <x:c r="AE11" s="6" t="str">
        <x:f>IF(ISBLANK('_CHARTS'!P11),"",'_CHARTS'!P11)</x:f>
      </x:c>
      <x:c r="AF11" s="6" t="str">
        <x:f>IF(ISBLANK('_CHARTS'!R11),"",'_CHARTS'!R11)</x:f>
      </x:c>
    </x:row>
    <x:row r="12">
      <x:c r="A12" s="6" t="n">
        <x:f>IF(ISBLANK('_CHECKPOINTS'!A12),"",'_CHECKPOINTS'!A12)</x:f>
        <x:v>630</x:v>
      </x:c>
      <x:c r="B12" s="6" t="n">
        <x:f>IF(ISBLANK('_CHECKPOINTS'!B12),"",'_CHECKPOINTS'!B12)</x:f>
        <x:v>24048</x:v>
      </x:c>
      <x:c r="C12" s="6"/>
      <x:c r="D12" s="6"/>
      <x:c r="E12" s="6"/>
      <x:c r="F12" s="6"/>
      <x:c r="G12" s="6" t="str">
        <x:f>IF(ISBLANK('_RUNS'!B12),"",'_RUNS'!B12)</x:f>
      </x:c>
      <x:c r="H12" s="6" t="str">
        <x:f>IF(ISBLANK('_RUNS'!C12),"",'_RUNS'!C12)</x:f>
      </x:c>
      <x:c r="I12" s="6" t="str">
        <x:f>IF(G12="","",IF('_CONFIG'!$B$12="","",'_CONFIG'!$B$12))</x:f>
      </x:c>
      <x:c r="J12" s="6"/>
      <x:c r="K12" s="6" t="n">
        <x:f>IF(ISBLANK('_CHECKPOINTS'!A12),"",'_CHECKPOINTS'!A12)</x:f>
        <x:v>630</x:v>
      </x:c>
      <x:c r="L12" s="6" t="n">
        <x:f>IF(ISBLANK('_CHECKPOINTS'!B12),"",'_CHECKPOINTS'!B12)</x:f>
        <x:v>24048</x:v>
      </x:c>
      <x:c r="M12" s="6" t="n">
        <x:f>IF(ISBLANK('_CHECKPOINTS'!D12),"",'_CHECKPOINTS'!D12)</x:f>
        <x:v>24248</x:v>
      </x:c>
      <x:c r="N12" s="6" t="n">
        <x:f>IF(ISBLANK('_CHECKPOINTS'!G12),"",'_CHECKPOINTS'!G12)</x:f>
        <x:v>24248</x:v>
      </x:c>
      <x:c r="O12" s="6"/>
      <x:c r="P12" s="6" t="str">
        <x:f>IF(COUNTIF('_INSTANCE'!$C$2:$C$601,10)=0,"","F10")</x:f>
      </x:c>
      <x:c r="Q12" s="6" t="str">
        <x:f>IF(P12="","",COUNTIF('_INSTANCE'!$C$2:$C$601,10))</x:f>
      </x:c>
      <x:c r="R12" s="6" t="str">
        <x:f>IF(P12="","",SUMIF('_INSTANCE'!$C$2:$C$601,10,'_INSTANCE'!$D$2:$D$601))</x:f>
      </x:c>
      <x:c r="S12" s="6" t="str">
        <x:f>IF(P12="","",SUMIF('_INSTANCE'!$C$2:$C$601,10,'_INSTANCE'!$I$2:$I$601))</x:f>
      </x:c>
      <x:c r="T12" s="6" t="str">
        <x:f>IF(P12="","",SUMIF('_INSTANCE'!$C$2:$C$601,10,'_INSTANCE'!$J$2:$J$601))</x:f>
      </x:c>
      <x:c r="U12" s="6"/>
      <x:c r="V12" s="6" t="n">
        <x:f>IF(ISBLANK('_INSTANCE'!B12),"",'_INSTANCE'!B12)</x:f>
        <x:v>10</x:v>
      </x:c>
      <x:c r="W12" s="6" t="n">
        <x:f>IF(ISBLANK('_INSTANCE'!F12),"",'_INSTANCE'!F12)</x:f>
        <x:v>5700</x:v>
      </x:c>
      <x:c r="X12" s="6"/>
      <x:c r="Y12" s="6" t="str">
        <x:f>IF(COUNTIF('_INSTANCE'!$C$2:$C$601,10)=0,"","F10")</x:f>
      </x:c>
      <x:c r="Z12" s="6" t="str">
        <x:f>IF(Y12="","",COUNTIFS('_SCHEDULE'!$D$2:$D$601,10,'_SCHEDULE'!$B$2:$B$601,"scheduled"))</x:f>
      </x:c>
      <x:c r="AA12" s="6" t="str">
        <x:f>IF(Y12="","",SUMIF('_SCHEDULE'!$D$2:$D$601,10,'_SCHEDULE'!$N$2:$N$601))</x:f>
      </x:c>
      <x:c r="AB12" s="6" t="str">
        <x:f>IF(Y12="","",SUMIF('_SCHEDULE'!$D$2:$D$601,10,'_SCHEDULE'!$O$2:$O$601))</x:f>
      </x:c>
      <x:c r="AC12" s="6" t="str">
        <x:f>IF(Y12="","",SUMIF('_SCHEDULE'!$D$2:$D$601,10,'_SCHEDULE'!$R$2:$R$601))</x:f>
      </x:c>
      <x:c r="AD12" s="6"/>
      <x:c r="AE12" s="6" t="str">
        <x:f>IF(ISBLANK('_CHARTS'!P12),"",'_CHARTS'!P12)</x:f>
      </x:c>
      <x:c r="AF12" s="6" t="str">
        <x:f>IF(ISBLANK('_CHARTS'!R12),"",'_CHARTS'!R12)</x:f>
      </x:c>
    </x:row>
    <x:row r="13">
      <x:c r="A13" s="6" t="n">
        <x:f>IF(ISBLANK('_CHECKPOINTS'!A13),"",'_CHECKPOINTS'!A13)</x:f>
        <x:v>693</x:v>
      </x:c>
      <x:c r="B13" s="6" t="n">
        <x:f>IF(ISBLANK('_CHECKPOINTS'!B13),"",'_CHECKPOINTS'!B13)</x:f>
        <x:v>24048</x:v>
      </x:c>
      <x:c r="C13" s="6"/>
      <x:c r="D13" s="6"/>
      <x:c r="E13" s="6"/>
      <x:c r="F13" s="6"/>
      <x:c r="G13" s="6" t="str">
        <x:f>IF(ISBLANK('_RUNS'!B13),"",'_RUNS'!B13)</x:f>
      </x:c>
      <x:c r="H13" s="6" t="str">
        <x:f>IF(ISBLANK('_RUNS'!C13),"",'_RUNS'!C13)</x:f>
      </x:c>
      <x:c r="I13" s="6" t="str">
        <x:f>IF(G13="","",IF('_CONFIG'!$B$12="","",'_CONFIG'!$B$12))</x:f>
      </x:c>
      <x:c r="J13" s="6"/>
      <x:c r="K13" s="6" t="n">
        <x:f>IF(ISBLANK('_CHECKPOINTS'!A13),"",'_CHECKPOINTS'!A13)</x:f>
        <x:v>693</x:v>
      </x:c>
      <x:c r="L13" s="6" t="n">
        <x:f>IF(ISBLANK('_CHECKPOINTS'!B13),"",'_CHECKPOINTS'!B13)</x:f>
        <x:v>24048</x:v>
      </x:c>
      <x:c r="M13" s="6" t="n">
        <x:f>IF(ISBLANK('_CHECKPOINTS'!D13),"",'_CHECKPOINTS'!D13)</x:f>
        <x:v>24248</x:v>
      </x:c>
      <x:c r="N13" s="6" t="n">
        <x:f>IF(ISBLANK('_CHECKPOINTS'!G13),"",'_CHECKPOINTS'!G13)</x:f>
        <x:v>24248</x:v>
      </x:c>
      <x:c r="O13" s="6"/>
      <x:c r="P13" s="6"/>
      <x:c r="Q13" s="6"/>
      <x:c r="R13" s="6"/>
      <x:c r="S13" s="6"/>
      <x:c r="T13" s="6"/>
      <x:c r="U13" s="6"/>
      <x:c r="V13" s="6" t="n">
        <x:f>IF(ISBLANK('_INSTANCE'!B13),"",'_INSTANCE'!B13)</x:f>
        <x:v>11</x:v>
      </x:c>
      <x:c r="W13" s="6" t="n">
        <x:f>IF(ISBLANK('_INSTANCE'!F13),"",'_INSTANCE'!F13)</x:f>
        <x:v>3700</x:v>
      </x:c>
      <x:c r="X13" s="6"/>
      <x:c r="Y13" s="6"/>
      <x:c r="Z13" s="6"/>
      <x:c r="AA13" s="6"/>
      <x:c r="AB13" s="6"/>
      <x:c r="AC13" s="6"/>
      <x:c r="AD13" s="6"/>
      <x:c r="AE13" s="6"/>
      <x:c r="AF13" s="6"/>
    </x:row>
    <x:row r="14">
      <x:c r="A14" s="6" t="n">
        <x:f>IF(ISBLANK('_CHECKPOINTS'!A14),"",'_CHECKPOINTS'!A14)</x:f>
        <x:v>756</x:v>
      </x:c>
      <x:c r="B14" s="6" t="n">
        <x:f>IF(ISBLANK('_CHECKPOINTS'!B14),"",'_CHECKPOINTS'!B14)</x:f>
        <x:v>24048</x:v>
      </x:c>
      <x:c r="C14" s="6"/>
      <x:c r="D14" s="6"/>
      <x:c r="E14" s="6"/>
      <x:c r="F14" s="6"/>
      <x:c r="G14" s="6" t="str">
        <x:f>IF(ISBLANK('_RUNS'!B14),"",'_RUNS'!B14)</x:f>
      </x:c>
      <x:c r="H14" s="6" t="str">
        <x:f>IF(ISBLANK('_RUNS'!C14),"",'_RUNS'!C14)</x:f>
      </x:c>
      <x:c r="I14" s="6" t="str">
        <x:f>IF(G14="","",IF('_CONFIG'!$B$12="","",'_CONFIG'!$B$12))</x:f>
      </x:c>
      <x:c r="J14" s="6"/>
      <x:c r="K14" s="6" t="n">
        <x:f>IF(ISBLANK('_CHECKPOINTS'!A14),"",'_CHECKPOINTS'!A14)</x:f>
        <x:v>756</x:v>
      </x:c>
      <x:c r="L14" s="6" t="n">
        <x:f>IF(ISBLANK('_CHECKPOINTS'!B14),"",'_CHECKPOINTS'!B14)</x:f>
        <x:v>24048</x:v>
      </x:c>
      <x:c r="M14" s="6" t="n">
        <x:f>IF(ISBLANK('_CHECKPOINTS'!D14),"",'_CHECKPOINTS'!D14)</x:f>
        <x:v>24244</x:v>
      </x:c>
      <x:c r="N14" s="6" t="n">
        <x:f>IF(ISBLANK('_CHECKPOINTS'!G14),"",'_CHECKPOINTS'!G14)</x:f>
        <x:v>24248</x:v>
      </x:c>
      <x:c r="O14" s="6"/>
      <x:c r="P14" s="6"/>
      <x:c r="Q14" s="6"/>
      <x:c r="R14" s="6"/>
      <x:c r="S14" s="6"/>
      <x:c r="T14" s="6"/>
      <x:c r="U14" s="6"/>
      <x:c r="V14" s="6" t="n">
        <x:f>IF(ISBLANK('_INSTANCE'!B14),"",'_INSTANCE'!B14)</x:f>
        <x:v>12</x:v>
      </x:c>
      <x:c r="W14" s="6" t="n">
        <x:f>IF(ISBLANK('_INSTANCE'!F14),"",'_INSTANCE'!F14)</x:f>
        <x:v>4900</x:v>
      </x:c>
      <x:c r="X14" s="6"/>
      <x:c r="Y14" s="6"/>
      <x:c r="Z14" s="6"/>
      <x:c r="AA14" s="6"/>
      <x:c r="AB14" s="6"/>
      <x:c r="AC14" s="6"/>
      <x:c r="AD14" s="6"/>
      <x:c r="AE14" s="6"/>
      <x:c r="AF14" s="6"/>
    </x:row>
    <x:row r="15">
      <x:c r="A15" s="6" t="n">
        <x:f>IF(ISBLANK('_CHECKPOINTS'!A15),"",'_CHECKPOINTS'!A15)</x:f>
        <x:v>819</x:v>
      </x:c>
      <x:c r="B15" s="6" t="n">
        <x:f>IF(ISBLANK('_CHECKPOINTS'!B15),"",'_CHECKPOINTS'!B15)</x:f>
        <x:v>24048</x:v>
      </x:c>
      <x:c r="C15" s="6"/>
      <x:c r="D15" s="6"/>
      <x:c r="E15" s="6"/>
      <x:c r="F15" s="6"/>
      <x:c r="G15" s="6" t="str">
        <x:f>IF(ISBLANK('_RUNS'!B15),"",'_RUNS'!B15)</x:f>
      </x:c>
      <x:c r="H15" s="6" t="str">
        <x:f>IF(ISBLANK('_RUNS'!C15),"",'_RUNS'!C15)</x:f>
      </x:c>
      <x:c r="I15" s="6" t="str">
        <x:f>IF(G15="","",IF('_CONFIG'!$B$12="","",'_CONFIG'!$B$12))</x:f>
      </x:c>
      <x:c r="J15" s="6"/>
      <x:c r="K15" s="6" t="n">
        <x:f>IF(ISBLANK('_CHECKPOINTS'!A15),"",'_CHECKPOINTS'!A15)</x:f>
        <x:v>819</x:v>
      </x:c>
      <x:c r="L15" s="6" t="n">
        <x:f>IF(ISBLANK('_CHECKPOINTS'!B15),"",'_CHECKPOINTS'!B15)</x:f>
        <x:v>24048</x:v>
      </x:c>
      <x:c r="M15" s="6" t="n">
        <x:f>IF(ISBLANK('_CHECKPOINTS'!D15),"",'_CHECKPOINTS'!D15)</x:f>
        <x:v>24217</x:v>
      </x:c>
      <x:c r="N15" s="6" t="n">
        <x:f>IF(ISBLANK('_CHECKPOINTS'!G15),"",'_CHECKPOINTS'!G15)</x:f>
        <x:v>24248</x:v>
      </x:c>
      <x:c r="O15" s="6"/>
      <x:c r="P15" s="6"/>
      <x:c r="Q15" s="6"/>
      <x:c r="R15" s="6"/>
      <x:c r="S15" s="6"/>
      <x:c r="T15" s="6"/>
      <x:c r="U15" s="6"/>
      <x:c r="V15" s="6" t="n">
        <x:f>IF(ISBLANK('_INSTANCE'!B15),"",'_INSTANCE'!B15)</x:f>
        <x:v>13</x:v>
      </x:c>
      <x:c r="W15" s="6" t="n">
        <x:f>IF(ISBLANK('_INSTANCE'!F15),"",'_INSTANCE'!F15)</x:f>
        <x:v>3700</x:v>
      </x:c>
      <x:c r="X15" s="6"/>
      <x:c r="Y15" s="6"/>
      <x:c r="Z15" s="6"/>
      <x:c r="AA15" s="6"/>
      <x:c r="AB15" s="6"/>
      <x:c r="AC15" s="6"/>
      <x:c r="AD15" s="6"/>
      <x:c r="AE15" s="6"/>
      <x:c r="AF15" s="6"/>
    </x:row>
    <x:row r="16">
      <x:c r="A16" s="6" t="n">
        <x:f>IF(ISBLANK('_CHECKPOINTS'!A16),"",'_CHECKPOINTS'!A16)</x:f>
        <x:v>882</x:v>
      </x:c>
      <x:c r="B16" s="6" t="n">
        <x:f>IF(ISBLANK('_CHECKPOINTS'!B16),"",'_CHECKPOINTS'!B16)</x:f>
        <x:v>24048</x:v>
      </x:c>
      <x:c r="C16" s="6"/>
      <x:c r="D16" s="6"/>
      <x:c r="E16" s="6"/>
      <x:c r="F16" s="6"/>
      <x:c r="G16" s="6" t="str">
        <x:f>IF(ISBLANK('_RUNS'!B16),"",'_RUNS'!B16)</x:f>
      </x:c>
      <x:c r="H16" s="6" t="str">
        <x:f>IF(ISBLANK('_RUNS'!C16),"",'_RUNS'!C16)</x:f>
      </x:c>
      <x:c r="I16" s="6" t="str">
        <x:f>IF(G16="","",IF('_CONFIG'!$B$12="","",'_CONFIG'!$B$12))</x:f>
      </x:c>
      <x:c r="J16" s="6"/>
      <x:c r="K16" s="6" t="n">
        <x:f>IF(ISBLANK('_CHECKPOINTS'!A16),"",'_CHECKPOINTS'!A16)</x:f>
        <x:v>882</x:v>
      </x:c>
      <x:c r="L16" s="6" t="n">
        <x:f>IF(ISBLANK('_CHECKPOINTS'!B16),"",'_CHECKPOINTS'!B16)</x:f>
        <x:v>24048</x:v>
      </x:c>
      <x:c r="M16" s="6" t="n">
        <x:f>IF(ISBLANK('_CHECKPOINTS'!D16),"",'_CHECKPOINTS'!D16)</x:f>
        <x:v>24124</x:v>
      </x:c>
      <x:c r="N16" s="6" t="n">
        <x:f>IF(ISBLANK('_CHECKPOINTS'!G16),"",'_CHECKPOINTS'!G16)</x:f>
        <x:v>24248</x:v>
      </x:c>
      <x:c r="O16" s="6"/>
      <x:c r="P16" s="6"/>
      <x:c r="Q16" s="6"/>
      <x:c r="R16" s="6"/>
      <x:c r="S16" s="6"/>
      <x:c r="T16" s="6"/>
      <x:c r="U16" s="6"/>
      <x:c r="V16" s="6" t="n">
        <x:f>IF(ISBLANK('_INSTANCE'!B16),"",'_INSTANCE'!B16)</x:f>
        <x:v>14</x:v>
      </x:c>
      <x:c r="W16" s="6" t="n">
        <x:f>IF(ISBLANK('_INSTANCE'!F16),"",'_INSTANCE'!F16)</x:f>
        <x:v>4300</x:v>
      </x:c>
      <x:c r="X16" s="6"/>
      <x:c r="Y16" s="6"/>
      <x:c r="Z16" s="6"/>
      <x:c r="AA16" s="6"/>
      <x:c r="AB16" s="6"/>
      <x:c r="AC16" s="6"/>
      <x:c r="AD16" s="6"/>
      <x:c r="AE16" s="6"/>
      <x:c r="AF16" s="6"/>
    </x:row>
    <x:row r="17">
      <x:c r="A17" s="6" t="n">
        <x:f>IF(ISBLANK('_CHECKPOINTS'!A17),"",'_CHECKPOINTS'!A17)</x:f>
        <x:v>945</x:v>
      </x:c>
      <x:c r="B17" s="6" t="n">
        <x:f>IF(ISBLANK('_CHECKPOINTS'!B17),"",'_CHECKPOINTS'!B17)</x:f>
        <x:v>24048</x:v>
      </x:c>
      <x:c r="C17" s="6"/>
      <x:c r="D17" s="6"/>
      <x:c r="E17" s="6"/>
      <x:c r="F17" s="6"/>
      <x:c r="G17" s="6" t="str">
        <x:f>IF(ISBLANK('_RUNS'!B17),"",'_RUNS'!B17)</x:f>
      </x:c>
      <x:c r="H17" s="6" t="str">
        <x:f>IF(ISBLANK('_RUNS'!C17),"",'_RUNS'!C17)</x:f>
      </x:c>
      <x:c r="I17" s="6" t="str">
        <x:f>IF(G17="","",IF('_CONFIG'!$B$12="","",'_CONFIG'!$B$12))</x:f>
      </x:c>
      <x:c r="J17" s="6"/>
      <x:c r="K17" s="6" t="n">
        <x:f>IF(ISBLANK('_CHECKPOINTS'!A17),"",'_CHECKPOINTS'!A17)</x:f>
        <x:v>945</x:v>
      </x:c>
      <x:c r="L17" s="6" t="n">
        <x:f>IF(ISBLANK('_CHECKPOINTS'!B17),"",'_CHECKPOINTS'!B17)</x:f>
        <x:v>24048</x:v>
      </x:c>
      <x:c r="M17" s="6" t="n">
        <x:f>IF(ISBLANK('_CHECKPOINTS'!D17),"",'_CHECKPOINTS'!D17)</x:f>
        <x:v>24054</x:v>
      </x:c>
      <x:c r="N17" s="6" t="n">
        <x:f>IF(ISBLANK('_CHECKPOINTS'!G17),"",'_CHECKPOINTS'!G17)</x:f>
        <x:v>24248</x:v>
      </x:c>
      <x:c r="O17" s="6"/>
      <x:c r="P17" s="6"/>
      <x:c r="Q17" s="6"/>
      <x:c r="R17" s="6"/>
      <x:c r="S17" s="6"/>
      <x:c r="T17" s="6"/>
      <x:c r="U17" s="6"/>
      <x:c r="V17" s="6" t="n">
        <x:f>IF(ISBLANK('_INSTANCE'!B17),"",'_INSTANCE'!B17)</x:f>
        <x:v>15</x:v>
      </x:c>
      <x:c r="W17" s="6" t="n">
        <x:f>IF(ISBLANK('_INSTANCE'!F17),"",'_INSTANCE'!F17)</x:f>
        <x:v>3700</x:v>
      </x:c>
      <x:c r="X17" s="6"/>
      <x:c r="Y17" s="6"/>
      <x:c r="Z17" s="6"/>
      <x:c r="AA17" s="6"/>
      <x:c r="AB17" s="6"/>
      <x:c r="AC17" s="6"/>
      <x:c r="AD17" s="6"/>
      <x:c r="AE17" s="6"/>
      <x:c r="AF17" s="6"/>
    </x:row>
    <x:row r="18">
      <x:c r="A18" s="6" t="n">
        <x:f>IF(ISBLANK('_CHECKPOINTS'!A18),"",'_CHECKPOINTS'!A18)</x:f>
        <x:v>1008</x:v>
      </x:c>
      <x:c r="B18" s="6" t="n">
        <x:f>IF(ISBLANK('_CHECKPOINTS'!B18),"",'_CHECKPOINTS'!B18)</x:f>
        <x:v>24048</x:v>
      </x:c>
      <x:c r="C18" s="6"/>
      <x:c r="D18" s="6"/>
      <x:c r="E18" s="6"/>
      <x:c r="F18" s="6"/>
      <x:c r="G18" s="6" t="str">
        <x:f>IF(ISBLANK('_RUNS'!B18),"",'_RUNS'!B18)</x:f>
      </x:c>
      <x:c r="H18" s="6" t="str">
        <x:f>IF(ISBLANK('_RUNS'!C18),"",'_RUNS'!C18)</x:f>
      </x:c>
      <x:c r="I18" s="6" t="str">
        <x:f>IF(G18="","",IF('_CONFIG'!$B$12="","",'_CONFIG'!$B$12))</x:f>
      </x:c>
      <x:c r="J18" s="6"/>
      <x:c r="K18" s="6" t="n">
        <x:f>IF(ISBLANK('_CHECKPOINTS'!A18),"",'_CHECKPOINTS'!A18)</x:f>
        <x:v>1008</x:v>
      </x:c>
      <x:c r="L18" s="6" t="n">
        <x:f>IF(ISBLANK('_CHECKPOINTS'!B18),"",'_CHECKPOINTS'!B18)</x:f>
        <x:v>24048</x:v>
      </x:c>
      <x:c r="M18" s="6" t="n">
        <x:f>IF(ISBLANK('_CHECKPOINTS'!D18),"",'_CHECKPOINTS'!D18)</x:f>
        <x:v>24054</x:v>
      </x:c>
      <x:c r="N18" s="6" t="n">
        <x:f>IF(ISBLANK('_CHECKPOINTS'!G18),"",'_CHECKPOINTS'!G18)</x:f>
        <x:v>24248</x:v>
      </x:c>
      <x:c r="O18" s="6"/>
      <x:c r="P18" s="6"/>
      <x:c r="Q18" s="6"/>
      <x:c r="R18" s="6"/>
      <x:c r="S18" s="6"/>
      <x:c r="T18" s="6"/>
      <x:c r="U18" s="6"/>
      <x:c r="V18" s="6" t="n">
        <x:f>IF(ISBLANK('_INSTANCE'!B18),"",'_INSTANCE'!B18)</x:f>
        <x:v>16</x:v>
      </x:c>
      <x:c r="W18" s="6" t="n">
        <x:f>IF(ISBLANK('_INSTANCE'!F18),"",'_INSTANCE'!F18)</x:f>
        <x:v>4300</x:v>
      </x:c>
      <x:c r="X18" s="6"/>
      <x:c r="Y18" s="6"/>
      <x:c r="Z18" s="6"/>
      <x:c r="AA18" s="6"/>
      <x:c r="AB18" s="6"/>
      <x:c r="AC18" s="6"/>
      <x:c r="AD18" s="6"/>
      <x:c r="AE18" s="6"/>
      <x:c r="AF18" s="6"/>
    </x:row>
    <x:row r="19">
      <x:c r="A19" s="6" t="n">
        <x:f>IF(ISBLANK('_CHECKPOINTS'!A19),"",'_CHECKPOINTS'!A19)</x:f>
        <x:v>1071</x:v>
      </x:c>
      <x:c r="B19" s="6" t="n">
        <x:f>IF(ISBLANK('_CHECKPOINTS'!B19),"",'_CHECKPOINTS'!B19)</x:f>
        <x:v>24048</x:v>
      </x:c>
      <x:c r="C19" s="6"/>
      <x:c r="D19" s="6"/>
      <x:c r="E19" s="6"/>
      <x:c r="F19" s="6"/>
      <x:c r="G19" s="6" t="str">
        <x:f>IF(ISBLANK('_RUNS'!B19),"",'_RUNS'!B19)</x:f>
      </x:c>
      <x:c r="H19" s="6" t="str">
        <x:f>IF(ISBLANK('_RUNS'!C19),"",'_RUNS'!C19)</x:f>
      </x:c>
      <x:c r="I19" s="6" t="str">
        <x:f>IF(G19="","",IF('_CONFIG'!$B$12="","",'_CONFIG'!$B$12))</x:f>
      </x:c>
      <x:c r="J19" s="6"/>
      <x:c r="K19" s="6" t="n">
        <x:f>IF(ISBLANK('_CHECKPOINTS'!A19),"",'_CHECKPOINTS'!A19)</x:f>
        <x:v>1071</x:v>
      </x:c>
      <x:c r="L19" s="6" t="n">
        <x:f>IF(ISBLANK('_CHECKPOINTS'!B19),"",'_CHECKPOINTS'!B19)</x:f>
        <x:v>24048</x:v>
      </x:c>
      <x:c r="M19" s="6" t="n">
        <x:f>IF(ISBLANK('_CHECKPOINTS'!D19),"",'_CHECKPOINTS'!D19)</x:f>
        <x:v>24054</x:v>
      </x:c>
      <x:c r="N19" s="6" t="n">
        <x:f>IF(ISBLANK('_CHECKPOINTS'!G19),"",'_CHECKPOINTS'!G19)</x:f>
        <x:v>24248</x:v>
      </x:c>
      <x:c r="O19" s="6"/>
      <x:c r="P19" s="6"/>
      <x:c r="Q19" s="6"/>
      <x:c r="R19" s="6"/>
      <x:c r="S19" s="6"/>
      <x:c r="T19" s="6"/>
      <x:c r="U19" s="6"/>
      <x:c r="V19" s="6" t="n">
        <x:f>IF(ISBLANK('_INSTANCE'!B19),"",'_INSTANCE'!B19)</x:f>
        <x:v>17</x:v>
      </x:c>
      <x:c r="W19" s="6" t="n">
        <x:f>IF(ISBLANK('_INSTANCE'!F19),"",'_INSTANCE'!F19)</x:f>
        <x:v>4300</x:v>
      </x:c>
      <x:c r="X19" s="6"/>
      <x:c r="Y19" s="6"/>
      <x:c r="Z19" s="6"/>
      <x:c r="AA19" s="6"/>
      <x:c r="AB19" s="6"/>
      <x:c r="AC19" s="6"/>
      <x:c r="AD19" s="6"/>
      <x:c r="AE19" s="6"/>
      <x:c r="AF19" s="6"/>
    </x:row>
    <x:row r="20">
      <x:c r="A20" s="6" t="n">
        <x:f>IF(ISBLANK('_CHECKPOINTS'!A20),"",'_CHECKPOINTS'!A20)</x:f>
        <x:v>1134</x:v>
      </x:c>
      <x:c r="B20" s="6" t="n">
        <x:f>IF(ISBLANK('_CHECKPOINTS'!B20),"",'_CHECKPOINTS'!B20)</x:f>
        <x:v>24048</x:v>
      </x:c>
      <x:c r="C20" s="6"/>
      <x:c r="D20" s="6"/>
      <x:c r="E20" s="6"/>
      <x:c r="F20" s="6"/>
      <x:c r="G20" s="6" t="str">
        <x:f>IF(ISBLANK('_RUNS'!B20),"",'_RUNS'!B20)</x:f>
      </x:c>
      <x:c r="H20" s="6" t="str">
        <x:f>IF(ISBLANK('_RUNS'!C20),"",'_RUNS'!C20)</x:f>
      </x:c>
      <x:c r="I20" s="6" t="str">
        <x:f>IF(G20="","",IF('_CONFIG'!$B$12="","",'_CONFIG'!$B$12))</x:f>
      </x:c>
      <x:c r="J20" s="6"/>
      <x:c r="K20" s="6" t="n">
        <x:f>IF(ISBLANK('_CHECKPOINTS'!A20),"",'_CHECKPOINTS'!A20)</x:f>
        <x:v>1134</x:v>
      </x:c>
      <x:c r="L20" s="6" t="n">
        <x:f>IF(ISBLANK('_CHECKPOINTS'!B20),"",'_CHECKPOINTS'!B20)</x:f>
        <x:v>24048</x:v>
      </x:c>
      <x:c r="M20" s="6" t="n">
        <x:f>IF(ISBLANK('_CHECKPOINTS'!D20),"",'_CHECKPOINTS'!D20)</x:f>
        <x:v>24054</x:v>
      </x:c>
      <x:c r="N20" s="6" t="n">
        <x:f>IF(ISBLANK('_CHECKPOINTS'!G20),"",'_CHECKPOINTS'!G20)</x:f>
        <x:v>24248</x:v>
      </x:c>
      <x:c r="O20" s="6"/>
      <x:c r="P20" s="6"/>
      <x:c r="Q20" s="6"/>
      <x:c r="R20" s="6"/>
      <x:c r="S20" s="6"/>
      <x:c r="T20" s="6"/>
      <x:c r="U20" s="6"/>
      <x:c r="V20" s="6" t="n">
        <x:f>IF(ISBLANK('_INSTANCE'!B20),"",'_INSTANCE'!B20)</x:f>
        <x:v>18</x:v>
      </x:c>
      <x:c r="W20" s="6" t="n">
        <x:f>IF(ISBLANK('_INSTANCE'!F20),"",'_INSTANCE'!F20)</x:f>
        <x:v>4300</x:v>
      </x:c>
      <x:c r="X20" s="6"/>
      <x:c r="Y20" s="6"/>
      <x:c r="Z20" s="6"/>
      <x:c r="AA20" s="6"/>
      <x:c r="AB20" s="6"/>
      <x:c r="AC20" s="6"/>
      <x:c r="AD20" s="6"/>
      <x:c r="AE20" s="6"/>
      <x:c r="AF20" s="6"/>
    </x:row>
    <x:row r="21">
      <x:c r="A21" s="6" t="n">
        <x:f>IF(ISBLANK('_CHECKPOINTS'!A21),"",'_CHECKPOINTS'!A21)</x:f>
        <x:v>1197</x:v>
      </x:c>
      <x:c r="B21" s="6" t="n">
        <x:f>IF(ISBLANK('_CHECKPOINTS'!B21),"",'_CHECKPOINTS'!B21)</x:f>
        <x:v>24048</x:v>
      </x:c>
      <x:c r="C21" s="6"/>
      <x:c r="D21" s="6"/>
      <x:c r="E21" s="6"/>
      <x:c r="F21" s="6"/>
      <x:c r="G21" s="6" t="str">
        <x:f>IF(ISBLANK('_RUNS'!B21),"",'_RUNS'!B21)</x:f>
      </x:c>
      <x:c r="H21" s="6" t="str">
        <x:f>IF(ISBLANK('_RUNS'!C21),"",'_RUNS'!C21)</x:f>
      </x:c>
      <x:c r="I21" s="6" t="str">
        <x:f>IF(G21="","",IF('_CONFIG'!$B$12="","",'_CONFIG'!$B$12))</x:f>
      </x:c>
      <x:c r="J21" s="6"/>
      <x:c r="K21" s="6" t="n">
        <x:f>IF(ISBLANK('_CHECKPOINTS'!A21),"",'_CHECKPOINTS'!A21)</x:f>
        <x:v>1197</x:v>
      </x:c>
      <x:c r="L21" s="6" t="n">
        <x:f>IF(ISBLANK('_CHECKPOINTS'!B21),"",'_CHECKPOINTS'!B21)</x:f>
        <x:v>24048</x:v>
      </x:c>
      <x:c r="M21" s="6" t="n">
        <x:f>IF(ISBLANK('_CHECKPOINTS'!D21),"",'_CHECKPOINTS'!D21)</x:f>
        <x:v>24054</x:v>
      </x:c>
      <x:c r="N21" s="6" t="n">
        <x:f>IF(ISBLANK('_CHECKPOINTS'!G21),"",'_CHECKPOINTS'!G21)</x:f>
        <x:v>24248</x:v>
      </x:c>
      <x:c r="O21" s="6"/>
      <x:c r="P21" s="6"/>
      <x:c r="Q21" s="6"/>
      <x:c r="R21" s="6"/>
      <x:c r="S21" s="6"/>
      <x:c r="T21" s="6"/>
      <x:c r="U21" s="6"/>
      <x:c r="V21" s="6" t="n">
        <x:f>IF(ISBLANK('_INSTANCE'!B21),"",'_INSTANCE'!B21)</x:f>
        <x:v>19</x:v>
      </x:c>
      <x:c r="W21" s="6" t="n">
        <x:f>IF(ISBLANK('_INSTANCE'!F21),"",'_INSTANCE'!F21)</x:f>
        <x:v>4900</x:v>
      </x:c>
      <x:c r="X21" s="6"/>
      <x:c r="Y21" s="6"/>
      <x:c r="Z21" s="6"/>
      <x:c r="AA21" s="6"/>
      <x:c r="AB21" s="6"/>
      <x:c r="AC21" s="6"/>
      <x:c r="AD21" s="6"/>
      <x:c r="AE21" s="6"/>
      <x:c r="AF21" s="6"/>
    </x:row>
    <x:row r="22">
      <x:c r="A22" s="6" t="n">
        <x:f>IF(ISBLANK('_CHECKPOINTS'!A22),"",'_CHECKPOINTS'!A22)</x:f>
        <x:v>1260</x:v>
      </x:c>
      <x:c r="B22" s="6" t="n">
        <x:f>IF(ISBLANK('_CHECKPOINTS'!B22),"",'_CHECKPOINTS'!B22)</x:f>
        <x:v>24048</x:v>
      </x:c>
      <x:c r="C22" s="6"/>
      <x:c r="D22" s="6"/>
      <x:c r="E22" s="6"/>
      <x:c r="F22" s="6"/>
      <x:c r="G22" s="6" t="str">
        <x:f>IF(ISBLANK('_RUNS'!B22),"",'_RUNS'!B22)</x:f>
      </x:c>
      <x:c r="H22" s="6" t="str">
        <x:f>IF(ISBLANK('_RUNS'!C22),"",'_RUNS'!C22)</x:f>
      </x:c>
      <x:c r="I22" s="6" t="str">
        <x:f>IF(G22="","",IF('_CONFIG'!$B$12="","",'_CONFIG'!$B$12))</x:f>
      </x:c>
      <x:c r="J22" s="6"/>
      <x:c r="K22" s="6" t="n">
        <x:f>IF(ISBLANK('_CHECKPOINTS'!A22),"",'_CHECKPOINTS'!A22)</x:f>
        <x:v>1260</x:v>
      </x:c>
      <x:c r="L22" s="6" t="n">
        <x:f>IF(ISBLANK('_CHECKPOINTS'!B22),"",'_CHECKPOINTS'!B22)</x:f>
        <x:v>24048</x:v>
      </x:c>
      <x:c r="M22" s="6" t="n">
        <x:f>IF(ISBLANK('_CHECKPOINTS'!D22),"",'_CHECKPOINTS'!D22)</x:f>
        <x:v>24054</x:v>
      </x:c>
      <x:c r="N22" s="6" t="n">
        <x:f>IF(ISBLANK('_CHECKPOINTS'!G22),"",'_CHECKPOINTS'!G22)</x:f>
        <x:v>24248</x:v>
      </x:c>
      <x:c r="O22" s="6"/>
      <x:c r="P22" s="6"/>
      <x:c r="Q22" s="6"/>
      <x:c r="R22" s="6"/>
      <x:c r="S22" s="6"/>
      <x:c r="T22" s="6"/>
      <x:c r="U22" s="6"/>
      <x:c r="V22" s="6" t="n">
        <x:f>IF(ISBLANK('_INSTANCE'!B22),"",'_INSTANCE'!B22)</x:f>
        <x:v>20</x:v>
      </x:c>
      <x:c r="W22" s="6" t="n">
        <x:f>IF(ISBLANK('_INSTANCE'!F22),"",'_INSTANCE'!F22)</x:f>
        <x:v>4300</x:v>
      </x:c>
      <x:c r="X22" s="6"/>
      <x:c r="Y22" s="6"/>
      <x:c r="Z22" s="6"/>
      <x:c r="AA22" s="6"/>
      <x:c r="AB22" s="6"/>
      <x:c r="AC22" s="6"/>
      <x:c r="AD22" s="6"/>
      <x:c r="AE22" s="6"/>
      <x:c r="AF22" s="6"/>
    </x:row>
    <x:row r="23">
      <x:c r="A23" s="6" t="n">
        <x:f>IF(ISBLANK('_CHECKPOINTS'!A23),"",'_CHECKPOINTS'!A23)</x:f>
        <x:v>1323</x:v>
      </x:c>
      <x:c r="B23" s="6" t="n">
        <x:f>IF(ISBLANK('_CHECKPOINTS'!B23),"",'_CHECKPOINTS'!B23)</x:f>
        <x:v>24048</x:v>
      </x:c>
      <x:c r="C23" s="6"/>
      <x:c r="D23" s="6"/>
      <x:c r="E23" s="6"/>
      <x:c r="F23" s="6"/>
      <x:c r="G23" s="6" t="str">
        <x:f>IF(ISBLANK('_RUNS'!B23),"",'_RUNS'!B23)</x:f>
      </x:c>
      <x:c r="H23" s="6" t="str">
        <x:f>IF(ISBLANK('_RUNS'!C23),"",'_RUNS'!C23)</x:f>
      </x:c>
      <x:c r="I23" s="6" t="str">
        <x:f>IF(G23="","",IF('_CONFIG'!$B$12="","",'_CONFIG'!$B$12))</x:f>
      </x:c>
      <x:c r="J23" s="6"/>
      <x:c r="K23" s="6" t="n">
        <x:f>IF(ISBLANK('_CHECKPOINTS'!A23),"",'_CHECKPOINTS'!A23)</x:f>
        <x:v>1323</x:v>
      </x:c>
      <x:c r="L23" s="6" t="n">
        <x:f>IF(ISBLANK('_CHECKPOINTS'!B23),"",'_CHECKPOINTS'!B23)</x:f>
        <x:v>24048</x:v>
      </x:c>
      <x:c r="M23" s="6" t="n">
        <x:f>IF(ISBLANK('_CHECKPOINTS'!D23),"",'_CHECKPOINTS'!D23)</x:f>
        <x:v>24054</x:v>
      </x:c>
      <x:c r="N23" s="6" t="n">
        <x:f>IF(ISBLANK('_CHECKPOINTS'!G23),"",'_CHECKPOINTS'!G23)</x:f>
        <x:v>24248</x:v>
      </x:c>
      <x:c r="O23" s="6"/>
      <x:c r="P23" s="6"/>
      <x:c r="Q23" s="6"/>
      <x:c r="R23" s="6"/>
      <x:c r="S23" s="6"/>
      <x:c r="T23" s="6"/>
      <x:c r="U23" s="6"/>
      <x:c r="V23" s="6" t="n">
        <x:f>IF(ISBLANK('_INSTANCE'!B23),"",'_INSTANCE'!B23)</x:f>
        <x:v>21</x:v>
      </x:c>
      <x:c r="W23" s="6" t="n">
        <x:f>IF(ISBLANK('_INSTANCE'!F23),"",'_INSTANCE'!F23)</x:f>
        <x:v>3700</x:v>
      </x:c>
      <x:c r="X23" s="6"/>
      <x:c r="Y23" s="6"/>
      <x:c r="Z23" s="6"/>
      <x:c r="AA23" s="6"/>
      <x:c r="AB23" s="6"/>
      <x:c r="AC23" s="6"/>
      <x:c r="AD23" s="6"/>
      <x:c r="AE23" s="6"/>
      <x:c r="AF23" s="6"/>
    </x:row>
    <x:row r="24">
      <x:c r="A24" s="6" t="n">
        <x:f>IF(ISBLANK('_CHECKPOINTS'!A24),"",'_CHECKPOINTS'!A24)</x:f>
        <x:v>1386</x:v>
      </x:c>
      <x:c r="B24" s="6" t="n">
        <x:f>IF(ISBLANK('_CHECKPOINTS'!B24),"",'_CHECKPOINTS'!B24)</x:f>
        <x:v>24048</x:v>
      </x:c>
      <x:c r="C24" s="6"/>
      <x:c r="D24" s="6"/>
      <x:c r="E24" s="6"/>
      <x:c r="F24" s="6"/>
      <x:c r="G24" s="6" t="str">
        <x:f>IF(ISBLANK('_RUNS'!B24),"",'_RUNS'!B24)</x:f>
      </x:c>
      <x:c r="H24" s="6" t="str">
        <x:f>IF(ISBLANK('_RUNS'!C24),"",'_RUNS'!C24)</x:f>
      </x:c>
      <x:c r="I24" s="6" t="str">
        <x:f>IF(G24="","",IF('_CONFIG'!$B$12="","",'_CONFIG'!$B$12))</x:f>
      </x:c>
      <x:c r="J24" s="6"/>
      <x:c r="K24" s="6" t="n">
        <x:f>IF(ISBLANK('_CHECKPOINTS'!A24),"",'_CHECKPOINTS'!A24)</x:f>
        <x:v>1386</x:v>
      </x:c>
      <x:c r="L24" s="6" t="n">
        <x:f>IF(ISBLANK('_CHECKPOINTS'!B24),"",'_CHECKPOINTS'!B24)</x:f>
        <x:v>24048</x:v>
      </x:c>
      <x:c r="M24" s="6" t="n">
        <x:f>IF(ISBLANK('_CHECKPOINTS'!D24),"",'_CHECKPOINTS'!D24)</x:f>
        <x:v>24054</x:v>
      </x:c>
      <x:c r="N24" s="6" t="n">
        <x:f>IF(ISBLANK('_CHECKPOINTS'!G24),"",'_CHECKPOINTS'!G24)</x:f>
        <x:v>24248</x:v>
      </x:c>
      <x:c r="O24" s="6"/>
      <x:c r="P24" s="6"/>
      <x:c r="Q24" s="6"/>
      <x:c r="R24" s="6"/>
      <x:c r="S24" s="6"/>
      <x:c r="T24" s="6"/>
      <x:c r="U24" s="6"/>
      <x:c r="V24" s="6" t="n">
        <x:f>IF(ISBLANK('_INSTANCE'!B24),"",'_INSTANCE'!B24)</x:f>
        <x:v>22</x:v>
      </x:c>
      <x:c r="W24" s="6" t="n">
        <x:f>IF(ISBLANK('_INSTANCE'!F24),"",'_INSTANCE'!F24)</x:f>
        <x:v>5900</x:v>
      </x:c>
      <x:c r="X24" s="6"/>
      <x:c r="Y24" s="6"/>
      <x:c r="Z24" s="6"/>
      <x:c r="AA24" s="6"/>
      <x:c r="AB24" s="6"/>
      <x:c r="AC24" s="6"/>
      <x:c r="AD24" s="6"/>
      <x:c r="AE24" s="6"/>
      <x:c r="AF24" s="6"/>
    </x:row>
    <x:row r="25">
      <x:c r="A25" s="6" t="n">
        <x:f>IF(ISBLANK('_CHECKPOINTS'!A25),"",'_CHECKPOINTS'!A25)</x:f>
        <x:v>1449</x:v>
      </x:c>
      <x:c r="B25" s="6" t="n">
        <x:f>IF(ISBLANK('_CHECKPOINTS'!B25),"",'_CHECKPOINTS'!B25)</x:f>
        <x:v>24048</x:v>
      </x:c>
      <x:c r="C25" s="6"/>
      <x:c r="D25" s="6"/>
      <x:c r="E25" s="6"/>
      <x:c r="F25" s="6"/>
      <x:c r="G25" s="6" t="str">
        <x:f>IF(ISBLANK('_RUNS'!B25),"",'_RUNS'!B25)</x:f>
      </x:c>
      <x:c r="H25" s="6" t="str">
        <x:f>IF(ISBLANK('_RUNS'!C25),"",'_RUNS'!C25)</x:f>
      </x:c>
      <x:c r="I25" s="6" t="str">
        <x:f>IF(G25="","",IF('_CONFIG'!$B$12="","",'_CONFIG'!$B$12))</x:f>
      </x:c>
      <x:c r="J25" s="6"/>
      <x:c r="K25" s="6" t="n">
        <x:f>IF(ISBLANK('_CHECKPOINTS'!A25),"",'_CHECKPOINTS'!A25)</x:f>
        <x:v>1449</x:v>
      </x:c>
      <x:c r="L25" s="6" t="n">
        <x:f>IF(ISBLANK('_CHECKPOINTS'!B25),"",'_CHECKPOINTS'!B25)</x:f>
        <x:v>24048</x:v>
      </x:c>
      <x:c r="M25" s="6" t="n">
        <x:f>IF(ISBLANK('_CHECKPOINTS'!D25),"",'_CHECKPOINTS'!D25)</x:f>
        <x:v>24054</x:v>
      </x:c>
      <x:c r="N25" s="6" t="n">
        <x:f>IF(ISBLANK('_CHECKPOINTS'!G25),"",'_CHECKPOINTS'!G25)</x:f>
        <x:v>24248</x:v>
      </x:c>
      <x:c r="O25" s="6"/>
      <x:c r="P25" s="6"/>
      <x:c r="Q25" s="6"/>
      <x:c r="R25" s="6"/>
      <x:c r="S25" s="6"/>
      <x:c r="T25" s="6"/>
      <x:c r="U25" s="6"/>
      <x:c r="V25" s="6" t="n">
        <x:f>IF(ISBLANK('_INSTANCE'!B25),"",'_INSTANCE'!B25)</x:f>
        <x:v>23</x:v>
      </x:c>
      <x:c r="W25" s="6" t="n">
        <x:f>IF(ISBLANK('_INSTANCE'!F25),"",'_INSTANCE'!F25)</x:f>
        <x:v>4300</x:v>
      </x:c>
      <x:c r="X25" s="6"/>
      <x:c r="Y25" s="6"/>
      <x:c r="Z25" s="6"/>
      <x:c r="AA25" s="6"/>
      <x:c r="AB25" s="6"/>
      <x:c r="AC25" s="6"/>
      <x:c r="AD25" s="6"/>
      <x:c r="AE25" s="6"/>
      <x:c r="AF25" s="6"/>
    </x:row>
    <x:row r="26">
      <x:c r="A26" s="6" t="n">
        <x:f>IF(ISBLANK('_CHECKPOINTS'!A26),"",'_CHECKPOINTS'!A26)</x:f>
        <x:v>1512</x:v>
      </x:c>
      <x:c r="B26" s="6" t="n">
        <x:f>IF(ISBLANK('_CHECKPOINTS'!B26),"",'_CHECKPOINTS'!B26)</x:f>
        <x:v>24048</x:v>
      </x:c>
      <x:c r="C26" s="6"/>
      <x:c r="D26" s="6"/>
      <x:c r="E26" s="6"/>
      <x:c r="F26" s="6"/>
      <x:c r="G26" s="6" t="str">
        <x:f>IF(ISBLANK('_RUNS'!B26),"",'_RUNS'!B26)</x:f>
      </x:c>
      <x:c r="H26" s="6" t="str">
        <x:f>IF(ISBLANK('_RUNS'!C26),"",'_RUNS'!C26)</x:f>
      </x:c>
      <x:c r="I26" s="6" t="str">
        <x:f>IF(G26="","",IF('_CONFIG'!$B$12="","",'_CONFIG'!$B$12))</x:f>
      </x:c>
      <x:c r="J26" s="6"/>
      <x:c r="K26" s="6" t="n">
        <x:f>IF(ISBLANK('_CHECKPOINTS'!A26),"",'_CHECKPOINTS'!A26)</x:f>
        <x:v>1512</x:v>
      </x:c>
      <x:c r="L26" s="6" t="n">
        <x:f>IF(ISBLANK('_CHECKPOINTS'!B26),"",'_CHECKPOINTS'!B26)</x:f>
        <x:v>24048</x:v>
      </x:c>
      <x:c r="M26" s="6" t="n">
        <x:f>IF(ISBLANK('_CHECKPOINTS'!D26),"",'_CHECKPOINTS'!D26)</x:f>
        <x:v>24054</x:v>
      </x:c>
      <x:c r="N26" s="6" t="n">
        <x:f>IF(ISBLANK('_CHECKPOINTS'!G26),"",'_CHECKPOINTS'!G26)</x:f>
        <x:v>24248</x:v>
      </x:c>
      <x:c r="O26" s="6"/>
      <x:c r="P26" s="6"/>
      <x:c r="Q26" s="6"/>
      <x:c r="R26" s="6"/>
      <x:c r="S26" s="6"/>
      <x:c r="T26" s="6"/>
      <x:c r="U26" s="6"/>
      <x:c r="V26" s="6" t="n">
        <x:f>IF(ISBLANK('_INSTANCE'!B26),"",'_INSTANCE'!B26)</x:f>
        <x:v>24</x:v>
      </x:c>
      <x:c r="W26" s="6" t="n">
        <x:f>IF(ISBLANK('_INSTANCE'!F26),"",'_INSTANCE'!F26)</x:f>
        <x:v>4300</x:v>
      </x:c>
      <x:c r="X26" s="6"/>
      <x:c r="Y26" s="6"/>
      <x:c r="Z26" s="6"/>
      <x:c r="AA26" s="6"/>
      <x:c r="AB26" s="6"/>
      <x:c r="AC26" s="6"/>
      <x:c r="AD26" s="6"/>
      <x:c r="AE26" s="6"/>
      <x:c r="AF26" s="6"/>
    </x:row>
    <x:row r="27">
      <x:c r="A27" s="6" t="n">
        <x:f>IF(ISBLANK('_CHECKPOINTS'!A27),"",'_CHECKPOINTS'!A27)</x:f>
        <x:v>1575</x:v>
      </x:c>
      <x:c r="B27" s="6" t="n">
        <x:f>IF(ISBLANK('_CHECKPOINTS'!B27),"",'_CHECKPOINTS'!B27)</x:f>
        <x:v>24048</x:v>
      </x:c>
      <x:c r="C27" s="6"/>
      <x:c r="D27" s="6"/>
      <x:c r="E27" s="6"/>
      <x:c r="F27" s="6"/>
      <x:c r="G27" s="6" t="str">
        <x:f>IF(ISBLANK('_RUNS'!B27),"",'_RUNS'!B27)</x:f>
      </x:c>
      <x:c r="H27" s="6" t="str">
        <x:f>IF(ISBLANK('_RUNS'!C27),"",'_RUNS'!C27)</x:f>
      </x:c>
      <x:c r="I27" s="6" t="str">
        <x:f>IF(G27="","",IF('_CONFIG'!$B$12="","",'_CONFIG'!$B$12))</x:f>
      </x:c>
      <x:c r="J27" s="6"/>
      <x:c r="K27" s="6" t="n">
        <x:f>IF(ISBLANK('_CHECKPOINTS'!A27),"",'_CHECKPOINTS'!A27)</x:f>
        <x:v>1575</x:v>
      </x:c>
      <x:c r="L27" s="6" t="n">
        <x:f>IF(ISBLANK('_CHECKPOINTS'!B27),"",'_CHECKPOINTS'!B27)</x:f>
        <x:v>24048</x:v>
      </x:c>
      <x:c r="M27" s="6" t="n">
        <x:f>IF(ISBLANK('_CHECKPOINTS'!D27),"",'_CHECKPOINTS'!D27)</x:f>
        <x:v>24054</x:v>
      </x:c>
      <x:c r="N27" s="6" t="n">
        <x:f>IF(ISBLANK('_CHECKPOINTS'!G27),"",'_CHECKPOINTS'!G27)</x:f>
        <x:v>24248</x:v>
      </x:c>
      <x:c r="O27" s="6"/>
      <x:c r="P27" s="6"/>
      <x:c r="Q27" s="6"/>
      <x:c r="R27" s="6"/>
      <x:c r="S27" s="6"/>
      <x:c r="T27" s="6"/>
      <x:c r="U27" s="6"/>
      <x:c r="V27" s="6" t="n">
        <x:f>IF(ISBLANK('_INSTANCE'!B27),"",'_INSTANCE'!B27)</x:f>
        <x:v>25</x:v>
      </x:c>
      <x:c r="W27" s="6" t="n">
        <x:f>IF(ISBLANK('_INSTANCE'!F27),"",'_INSTANCE'!F27)</x:f>
        <x:v>4300</x:v>
      </x:c>
      <x:c r="X27" s="6"/>
      <x:c r="Y27" s="6"/>
      <x:c r="Z27" s="6"/>
      <x:c r="AA27" s="6"/>
      <x:c r="AB27" s="6"/>
      <x:c r="AC27" s="6"/>
      <x:c r="AD27" s="6"/>
      <x:c r="AE27" s="6"/>
      <x:c r="AF27" s="6"/>
    </x:row>
    <x:row r="28">
      <x:c r="A28" s="6" t="n">
        <x:f>IF(ISBLANK('_CHECKPOINTS'!A28),"",'_CHECKPOINTS'!A28)</x:f>
        <x:v>1638</x:v>
      </x:c>
      <x:c r="B28" s="6" t="n">
        <x:f>IF(ISBLANK('_CHECKPOINTS'!B28),"",'_CHECKPOINTS'!B28)</x:f>
        <x:v>24048</x:v>
      </x:c>
      <x:c r="C28" s="6"/>
      <x:c r="D28" s="6"/>
      <x:c r="E28" s="6"/>
      <x:c r="F28" s="6"/>
      <x:c r="G28" s="6" t="str">
        <x:f>IF(ISBLANK('_RUNS'!B28),"",'_RUNS'!B28)</x:f>
      </x:c>
      <x:c r="H28" s="6" t="str">
        <x:f>IF(ISBLANK('_RUNS'!C28),"",'_RUNS'!C28)</x:f>
      </x:c>
      <x:c r="I28" s="6" t="str">
        <x:f>IF(G28="","",IF('_CONFIG'!$B$12="","",'_CONFIG'!$B$12))</x:f>
      </x:c>
      <x:c r="J28" s="6"/>
      <x:c r="K28" s="6" t="n">
        <x:f>IF(ISBLANK('_CHECKPOINTS'!A28),"",'_CHECKPOINTS'!A28)</x:f>
        <x:v>1638</x:v>
      </x:c>
      <x:c r="L28" s="6" t="n">
        <x:f>IF(ISBLANK('_CHECKPOINTS'!B28),"",'_CHECKPOINTS'!B28)</x:f>
        <x:v>24048</x:v>
      </x:c>
      <x:c r="M28" s="6" t="n">
        <x:f>IF(ISBLANK('_CHECKPOINTS'!D28),"",'_CHECKPOINTS'!D28)</x:f>
        <x:v>24054</x:v>
      </x:c>
      <x:c r="N28" s="6" t="n">
        <x:f>IF(ISBLANK('_CHECKPOINTS'!G28),"",'_CHECKPOINTS'!G28)</x:f>
        <x:v>24248</x:v>
      </x:c>
      <x:c r="O28" s="6"/>
      <x:c r="P28" s="6"/>
      <x:c r="Q28" s="6"/>
      <x:c r="R28" s="6"/>
      <x:c r="S28" s="6"/>
      <x:c r="T28" s="6"/>
      <x:c r="U28" s="6"/>
      <x:c r="V28" s="6" t="n">
        <x:f>IF(ISBLANK('_INSTANCE'!B28),"",'_INSTANCE'!B28)</x:f>
        <x:v>26</x:v>
      </x:c>
      <x:c r="W28" s="6" t="n">
        <x:f>IF(ISBLANK('_INSTANCE'!F28),"",'_INSTANCE'!F28)</x:f>
        <x:v>4900</x:v>
      </x:c>
      <x:c r="X28" s="6"/>
      <x:c r="Y28" s="6"/>
      <x:c r="Z28" s="6"/>
      <x:c r="AA28" s="6"/>
      <x:c r="AB28" s="6"/>
      <x:c r="AC28" s="6"/>
      <x:c r="AD28" s="6"/>
      <x:c r="AE28" s="6"/>
      <x:c r="AF28" s="6"/>
    </x:row>
    <x:row r="29">
      <x:c r="A29" s="6" t="n">
        <x:f>IF(ISBLANK('_CHECKPOINTS'!A29),"",'_CHECKPOINTS'!A29)</x:f>
        <x:v>1701</x:v>
      </x:c>
      <x:c r="B29" s="6" t="n">
        <x:f>IF(ISBLANK('_CHECKPOINTS'!B29),"",'_CHECKPOINTS'!B29)</x:f>
        <x:v>24048</x:v>
      </x:c>
      <x:c r="C29" s="6"/>
      <x:c r="D29" s="6"/>
      <x:c r="E29" s="6"/>
      <x:c r="F29" s="6"/>
      <x:c r="G29" s="6" t="str">
        <x:f>IF(ISBLANK('_RUNS'!B29),"",'_RUNS'!B29)</x:f>
      </x:c>
      <x:c r="H29" s="6" t="str">
        <x:f>IF(ISBLANK('_RUNS'!C29),"",'_RUNS'!C29)</x:f>
      </x:c>
      <x:c r="I29" s="6" t="str">
        <x:f>IF(G29="","",IF('_CONFIG'!$B$12="","",'_CONFIG'!$B$12))</x:f>
      </x:c>
      <x:c r="J29" s="6"/>
      <x:c r="K29" s="6" t="n">
        <x:f>IF(ISBLANK('_CHECKPOINTS'!A29),"",'_CHECKPOINTS'!A29)</x:f>
        <x:v>1701</x:v>
      </x:c>
      <x:c r="L29" s="6" t="n">
        <x:f>IF(ISBLANK('_CHECKPOINTS'!B29),"",'_CHECKPOINTS'!B29)</x:f>
        <x:v>24048</x:v>
      </x:c>
      <x:c r="M29" s="6" t="n">
        <x:f>IF(ISBLANK('_CHECKPOINTS'!D29),"",'_CHECKPOINTS'!D29)</x:f>
        <x:v>24054</x:v>
      </x:c>
      <x:c r="N29" s="6" t="n">
        <x:f>IF(ISBLANK('_CHECKPOINTS'!G29),"",'_CHECKPOINTS'!G29)</x:f>
        <x:v>24248</x:v>
      </x:c>
      <x:c r="O29" s="6"/>
      <x:c r="P29" s="6"/>
      <x:c r="Q29" s="6"/>
      <x:c r="R29" s="6"/>
      <x:c r="S29" s="6"/>
      <x:c r="T29" s="6"/>
      <x:c r="U29" s="6"/>
      <x:c r="V29" s="6" t="n">
        <x:f>IF(ISBLANK('_INSTANCE'!B29),"",'_INSTANCE'!B29)</x:f>
        <x:v>27</x:v>
      </x:c>
      <x:c r="W29" s="6" t="n">
        <x:f>IF(ISBLANK('_INSTANCE'!F29),"",'_INSTANCE'!F29)</x:f>
        <x:v>4900</x:v>
      </x:c>
      <x:c r="X29" s="6"/>
      <x:c r="Y29" s="6"/>
      <x:c r="Z29" s="6"/>
      <x:c r="AA29" s="6"/>
      <x:c r="AB29" s="6"/>
      <x:c r="AC29" s="6"/>
      <x:c r="AD29" s="6"/>
      <x:c r="AE29" s="6"/>
      <x:c r="AF29" s="6"/>
    </x:row>
    <x:row r="30">
      <x:c r="A30" s="6" t="n">
        <x:f>IF(ISBLANK('_CHECKPOINTS'!A30),"",'_CHECKPOINTS'!A30)</x:f>
        <x:v>1764</x:v>
      </x:c>
      <x:c r="B30" s="6" t="n">
        <x:f>IF(ISBLANK('_CHECKPOINTS'!B30),"",'_CHECKPOINTS'!B30)</x:f>
        <x:v>24048</x:v>
      </x:c>
      <x:c r="C30" s="6"/>
      <x:c r="D30" s="6"/>
      <x:c r="E30" s="6"/>
      <x:c r="F30" s="6"/>
      <x:c r="G30" s="6" t="str">
        <x:f>IF(ISBLANK('_RUNS'!B30),"",'_RUNS'!B30)</x:f>
      </x:c>
      <x:c r="H30" s="6" t="str">
        <x:f>IF(ISBLANK('_RUNS'!C30),"",'_RUNS'!C30)</x:f>
      </x:c>
      <x:c r="I30" s="6" t="str">
        <x:f>IF(G30="","",IF('_CONFIG'!$B$12="","",'_CONFIG'!$B$12))</x:f>
      </x:c>
      <x:c r="J30" s="6"/>
      <x:c r="K30" s="6" t="n">
        <x:f>IF(ISBLANK('_CHECKPOINTS'!A30),"",'_CHECKPOINTS'!A30)</x:f>
        <x:v>1764</x:v>
      </x:c>
      <x:c r="L30" s="6" t="n">
        <x:f>IF(ISBLANK('_CHECKPOINTS'!B30),"",'_CHECKPOINTS'!B30)</x:f>
        <x:v>24048</x:v>
      </x:c>
      <x:c r="M30" s="6" t="n">
        <x:f>IF(ISBLANK('_CHECKPOINTS'!D30),"",'_CHECKPOINTS'!D30)</x:f>
        <x:v>24051</x:v>
      </x:c>
      <x:c r="N30" s="6" t="n">
        <x:f>IF(ISBLANK('_CHECKPOINTS'!G30),"",'_CHECKPOINTS'!G30)</x:f>
        <x:v>24248</x:v>
      </x:c>
      <x:c r="O30" s="6"/>
      <x:c r="P30" s="6"/>
      <x:c r="Q30" s="6"/>
      <x:c r="R30" s="6"/>
      <x:c r="S30" s="6"/>
      <x:c r="T30" s="6"/>
      <x:c r="U30" s="6"/>
      <x:c r="V30" s="6" t="n">
        <x:f>IF(ISBLANK('_INSTANCE'!B30),"",'_INSTANCE'!B30)</x:f>
        <x:v>28</x:v>
      </x:c>
      <x:c r="W30" s="6" t="n">
        <x:f>IF(ISBLANK('_INSTANCE'!F30),"",'_INSTANCE'!F30)</x:f>
        <x:v>4900</x:v>
      </x:c>
      <x:c r="X30" s="6"/>
      <x:c r="Y30" s="6"/>
      <x:c r="Z30" s="6"/>
      <x:c r="AA30" s="6"/>
      <x:c r="AB30" s="6"/>
      <x:c r="AC30" s="6"/>
      <x:c r="AD30" s="6"/>
      <x:c r="AE30" s="6"/>
      <x:c r="AF30" s="6"/>
    </x:row>
    <x:row r="31">
      <x:c r="A31" s="6" t="n">
        <x:f>IF(ISBLANK('_CHECKPOINTS'!A31),"",'_CHECKPOINTS'!A31)</x:f>
        <x:v>1827</x:v>
      </x:c>
      <x:c r="B31" s="6" t="n">
        <x:f>IF(ISBLANK('_CHECKPOINTS'!B31),"",'_CHECKPOINTS'!B31)</x:f>
        <x:v>24048</x:v>
      </x:c>
      <x:c r="C31" s="6"/>
      <x:c r="D31" s="6"/>
      <x:c r="E31" s="6"/>
      <x:c r="F31" s="6"/>
      <x:c r="G31" s="6" t="str">
        <x:f>IF(ISBLANK('_RUNS'!B31),"",'_RUNS'!B31)</x:f>
      </x:c>
      <x:c r="H31" s="6" t="str">
        <x:f>IF(ISBLANK('_RUNS'!C31),"",'_RUNS'!C31)</x:f>
      </x:c>
      <x:c r="I31" s="6" t="str">
        <x:f>IF(G31="","",IF('_CONFIG'!$B$12="","",'_CONFIG'!$B$12))</x:f>
      </x:c>
      <x:c r="J31" s="6"/>
      <x:c r="K31" s="6" t="n">
        <x:f>IF(ISBLANK('_CHECKPOINTS'!A31),"",'_CHECKPOINTS'!A31)</x:f>
        <x:v>1827</x:v>
      </x:c>
      <x:c r="L31" s="6" t="n">
        <x:f>IF(ISBLANK('_CHECKPOINTS'!B31),"",'_CHECKPOINTS'!B31)</x:f>
        <x:v>24048</x:v>
      </x:c>
      <x:c r="M31" s="6" t="n">
        <x:f>IF(ISBLANK('_CHECKPOINTS'!D31),"",'_CHECKPOINTS'!D31)</x:f>
        <x:v>24051</x:v>
      </x:c>
      <x:c r="N31" s="6" t="n">
        <x:f>IF(ISBLANK('_CHECKPOINTS'!G31),"",'_CHECKPOINTS'!G31)</x:f>
        <x:v>24248</x:v>
      </x:c>
      <x:c r="O31" s="6"/>
      <x:c r="P31" s="6"/>
      <x:c r="Q31" s="6"/>
      <x:c r="R31" s="6"/>
      <x:c r="S31" s="6"/>
      <x:c r="T31" s="6"/>
      <x:c r="U31" s="6"/>
      <x:c r="V31" s="6" t="n">
        <x:f>IF(ISBLANK('_INSTANCE'!B31),"",'_INSTANCE'!B31)</x:f>
        <x:v>29</x:v>
      </x:c>
      <x:c r="W31" s="6" t="n">
        <x:f>IF(ISBLANK('_INSTANCE'!F31),"",'_INSTANCE'!F31)</x:f>
        <x:v>5900</x:v>
      </x:c>
      <x:c r="X31" s="6"/>
      <x:c r="Y31" s="6"/>
      <x:c r="Z31" s="6"/>
      <x:c r="AA31" s="6"/>
      <x:c r="AB31" s="6"/>
      <x:c r="AC31" s="6"/>
      <x:c r="AD31" s="6"/>
      <x:c r="AE31" s="6"/>
      <x:c r="AF31" s="6"/>
    </x:row>
    <x:row r="32">
      <x:c r="A32" s="6" t="n">
        <x:f>IF(ISBLANK('_CHECKPOINTS'!A32),"",'_CHECKPOINTS'!A32)</x:f>
        <x:v>1890</x:v>
      </x:c>
      <x:c r="B32" s="6" t="n">
        <x:f>IF(ISBLANK('_CHECKPOINTS'!B32),"",'_CHECKPOINTS'!B32)</x:f>
        <x:v>24048</x:v>
      </x:c>
      <x:c r="C32" s="6"/>
      <x:c r="D32" s="6"/>
      <x:c r="E32" s="6"/>
      <x:c r="F32" s="6"/>
      <x:c r="G32" s="6" t="str">
        <x:f>IF(ISBLANK('_RUNS'!B32),"",'_RUNS'!B32)</x:f>
      </x:c>
      <x:c r="H32" s="6" t="str">
        <x:f>IF(ISBLANK('_RUNS'!C32),"",'_RUNS'!C32)</x:f>
      </x:c>
      <x:c r="I32" s="6" t="str">
        <x:f>IF(G32="","",IF('_CONFIG'!$B$12="","",'_CONFIG'!$B$12))</x:f>
      </x:c>
      <x:c r="J32" s="6"/>
      <x:c r="K32" s="6" t="n">
        <x:f>IF(ISBLANK('_CHECKPOINTS'!A32),"",'_CHECKPOINTS'!A32)</x:f>
        <x:v>1890</x:v>
      </x:c>
      <x:c r="L32" s="6" t="n">
        <x:f>IF(ISBLANK('_CHECKPOINTS'!B32),"",'_CHECKPOINTS'!B32)</x:f>
        <x:v>24048</x:v>
      </x:c>
      <x:c r="M32" s="6" t="n">
        <x:f>IF(ISBLANK('_CHECKPOINTS'!D32),"",'_CHECKPOINTS'!D32)</x:f>
        <x:v>24051</x:v>
      </x:c>
      <x:c r="N32" s="6" t="n">
        <x:f>IF(ISBLANK('_CHECKPOINTS'!G32),"",'_CHECKPOINTS'!G32)</x:f>
        <x:v>24248</x:v>
      </x:c>
      <x:c r="O32" s="6"/>
      <x:c r="P32" s="6"/>
      <x:c r="Q32" s="6"/>
      <x:c r="R32" s="6"/>
      <x:c r="S32" s="6"/>
      <x:c r="T32" s="6"/>
      <x:c r="U32" s="6"/>
      <x:c r="V32" s="6" t="n">
        <x:f>IF(ISBLANK('_INSTANCE'!B32),"",'_INSTANCE'!B32)</x:f>
        <x:v>30</x:v>
      </x:c>
      <x:c r="W32" s="6" t="n">
        <x:f>IF(ISBLANK('_INSTANCE'!F32),"",'_INSTANCE'!F32)</x:f>
        <x:v>5900</x:v>
      </x:c>
      <x:c r="X32" s="6"/>
      <x:c r="Y32" s="6"/>
      <x:c r="Z32" s="6"/>
      <x:c r="AA32" s="6"/>
      <x:c r="AB32" s="6"/>
      <x:c r="AC32" s="6"/>
      <x:c r="AD32" s="6"/>
      <x:c r="AE32" s="6"/>
      <x:c r="AF32" s="6"/>
    </x:row>
    <x:row r="33">
      <x:c r="A33" s="6" t="n">
        <x:f>IF(ISBLANK('_CHECKPOINTS'!A33),"",'_CHECKPOINTS'!A33)</x:f>
        <x:v>1953</x:v>
      </x:c>
      <x:c r="B33" s="6" t="n">
        <x:f>IF(ISBLANK('_CHECKPOINTS'!B33),"",'_CHECKPOINTS'!B33)</x:f>
        <x:v>24048</x:v>
      </x:c>
      <x:c r="C33" s="6"/>
      <x:c r="D33" s="6"/>
      <x:c r="E33" s="6"/>
      <x:c r="F33" s="6"/>
      <x:c r="G33" s="6" t="str">
        <x:f>IF(ISBLANK('_RUNS'!B33),"",'_RUNS'!B33)</x:f>
      </x:c>
      <x:c r="H33" s="6" t="str">
        <x:f>IF(ISBLANK('_RUNS'!C33),"",'_RUNS'!C33)</x:f>
      </x:c>
      <x:c r="I33" s="6" t="str">
        <x:f>IF(G33="","",IF('_CONFIG'!$B$12="","",'_CONFIG'!$B$12))</x:f>
      </x:c>
      <x:c r="J33" s="6"/>
      <x:c r="K33" s="6" t="n">
        <x:f>IF(ISBLANK('_CHECKPOINTS'!A33),"",'_CHECKPOINTS'!A33)</x:f>
        <x:v>1953</x:v>
      </x:c>
      <x:c r="L33" s="6" t="n">
        <x:f>IF(ISBLANK('_CHECKPOINTS'!B33),"",'_CHECKPOINTS'!B33)</x:f>
        <x:v>24048</x:v>
      </x:c>
      <x:c r="M33" s="6" t="n">
        <x:f>IF(ISBLANK('_CHECKPOINTS'!D33),"",'_CHECKPOINTS'!D33)</x:f>
        <x:v>24051</x:v>
      </x:c>
      <x:c r="N33" s="6" t="n">
        <x:f>IF(ISBLANK('_CHECKPOINTS'!G33),"",'_CHECKPOINTS'!G33)</x:f>
        <x:v>24248</x:v>
      </x:c>
      <x:c r="O33" s="6"/>
      <x:c r="P33" s="6"/>
      <x:c r="Q33" s="6"/>
      <x:c r="R33" s="6"/>
      <x:c r="S33" s="6"/>
      <x:c r="T33" s="6"/>
      <x:c r="U33" s="6"/>
      <x:c r="V33" s="6" t="n">
        <x:f>IF(ISBLANK('_INSTANCE'!B33),"",'_INSTANCE'!B33)</x:f>
        <x:v>31</x:v>
      </x:c>
      <x:c r="W33" s="6" t="n">
        <x:f>IF(ISBLANK('_INSTANCE'!F33),"",'_INSTANCE'!F33)</x:f>
        <x:v>5900</x:v>
      </x:c>
      <x:c r="X33" s="6"/>
      <x:c r="Y33" s="6"/>
      <x:c r="Z33" s="6"/>
      <x:c r="AA33" s="6"/>
      <x:c r="AB33" s="6"/>
      <x:c r="AC33" s="6"/>
      <x:c r="AD33" s="6"/>
      <x:c r="AE33" s="6"/>
      <x:c r="AF33" s="6"/>
    </x:row>
    <x:row r="34">
      <x:c r="A34" s="6" t="n">
        <x:f>IF(ISBLANK('_CHECKPOINTS'!A34),"",'_CHECKPOINTS'!A34)</x:f>
        <x:v>2016</x:v>
      </x:c>
      <x:c r="B34" s="6" t="n">
        <x:f>IF(ISBLANK('_CHECKPOINTS'!B34),"",'_CHECKPOINTS'!B34)</x:f>
        <x:v>24048</x:v>
      </x:c>
      <x:c r="C34" s="6"/>
      <x:c r="D34" s="6"/>
      <x:c r="E34" s="6"/>
      <x:c r="F34" s="6"/>
      <x:c r="G34" s="6" t="str">
        <x:f>IF(ISBLANK('_RUNS'!B34),"",'_RUNS'!B34)</x:f>
      </x:c>
      <x:c r="H34" s="6" t="str">
        <x:f>IF(ISBLANK('_RUNS'!C34),"",'_RUNS'!C34)</x:f>
      </x:c>
      <x:c r="I34" s="6" t="str">
        <x:f>IF(G34="","",IF('_CONFIG'!$B$12="","",'_CONFIG'!$B$12))</x:f>
      </x:c>
      <x:c r="J34" s="6"/>
      <x:c r="K34" s="6" t="n">
        <x:f>IF(ISBLANK('_CHECKPOINTS'!A34),"",'_CHECKPOINTS'!A34)</x:f>
        <x:v>2016</x:v>
      </x:c>
      <x:c r="L34" s="6" t="n">
        <x:f>IF(ISBLANK('_CHECKPOINTS'!B34),"",'_CHECKPOINTS'!B34)</x:f>
        <x:v>24048</x:v>
      </x:c>
      <x:c r="M34" s="6" t="n">
        <x:f>IF(ISBLANK('_CHECKPOINTS'!D34),"",'_CHECKPOINTS'!D34)</x:f>
        <x:v>24051</x:v>
      </x:c>
      <x:c r="N34" s="6" t="n">
        <x:f>IF(ISBLANK('_CHECKPOINTS'!G34),"",'_CHECKPOINTS'!G34)</x:f>
        <x:v>24248</x:v>
      </x:c>
      <x:c r="O34" s="6"/>
      <x:c r="P34" s="6"/>
      <x:c r="Q34" s="6"/>
      <x:c r="R34" s="6"/>
      <x:c r="S34" s="6"/>
      <x:c r="T34" s="6"/>
      <x:c r="U34" s="6"/>
      <x:c r="V34" s="6" t="n">
        <x:f>IF(ISBLANK('_INSTANCE'!B34),"",'_INSTANCE'!B34)</x:f>
        <x:v>32</x:v>
      </x:c>
      <x:c r="W34" s="6" t="n">
        <x:f>IF(ISBLANK('_INSTANCE'!F34),"",'_INSTANCE'!F34)</x:f>
        <x:v>6300</x:v>
      </x:c>
      <x:c r="X34" s="6"/>
      <x:c r="Y34" s="6"/>
      <x:c r="Z34" s="6"/>
      <x:c r="AA34" s="6"/>
      <x:c r="AB34" s="6"/>
      <x:c r="AC34" s="6"/>
      <x:c r="AD34" s="6"/>
      <x:c r="AE34" s="6"/>
      <x:c r="AF34" s="6"/>
    </x:row>
    <x:row r="35">
      <x:c r="A35" s="6" t="n">
        <x:f>IF(ISBLANK('_CHECKPOINTS'!A35),"",'_CHECKPOINTS'!A35)</x:f>
        <x:v>2079</x:v>
      </x:c>
      <x:c r="B35" s="6" t="n">
        <x:f>IF(ISBLANK('_CHECKPOINTS'!B35),"",'_CHECKPOINTS'!B35)</x:f>
        <x:v>24048</x:v>
      </x:c>
      <x:c r="C35" s="6"/>
      <x:c r="D35" s="6"/>
      <x:c r="E35" s="6"/>
      <x:c r="F35" s="6"/>
      <x:c r="G35" s="6" t="str">
        <x:f>IF(ISBLANK('_RUNS'!B35),"",'_RUNS'!B35)</x:f>
      </x:c>
      <x:c r="H35" s="6" t="str">
        <x:f>IF(ISBLANK('_RUNS'!C35),"",'_RUNS'!C35)</x:f>
      </x:c>
      <x:c r="I35" s="6" t="str">
        <x:f>IF(G35="","",IF('_CONFIG'!$B$12="","",'_CONFIG'!$B$12))</x:f>
      </x:c>
      <x:c r="J35" s="6"/>
      <x:c r="K35" s="6" t="n">
        <x:f>IF(ISBLANK('_CHECKPOINTS'!A35),"",'_CHECKPOINTS'!A35)</x:f>
        <x:v>2079</x:v>
      </x:c>
      <x:c r="L35" s="6" t="n">
        <x:f>IF(ISBLANK('_CHECKPOINTS'!B35),"",'_CHECKPOINTS'!B35)</x:f>
        <x:v>24048</x:v>
      </x:c>
      <x:c r="M35" s="6" t="n">
        <x:f>IF(ISBLANK('_CHECKPOINTS'!D35),"",'_CHECKPOINTS'!D35)</x:f>
        <x:v>24051</x:v>
      </x:c>
      <x:c r="N35" s="6" t="n">
        <x:f>IF(ISBLANK('_CHECKPOINTS'!G35),"",'_CHECKPOINTS'!G35)</x:f>
        <x:v>24248</x:v>
      </x:c>
      <x:c r="O35" s="6"/>
      <x:c r="P35" s="6"/>
      <x:c r="Q35" s="6"/>
      <x:c r="R35" s="6"/>
      <x:c r="S35" s="6"/>
      <x:c r="T35" s="6"/>
      <x:c r="U35" s="6"/>
      <x:c r="V35" s="6" t="n">
        <x:f>IF(ISBLANK('_INSTANCE'!B35),"",'_INSTANCE'!B35)</x:f>
        <x:v>33</x:v>
      </x:c>
      <x:c r="W35" s="6" t="n">
        <x:f>IF(ISBLANK('_INSTANCE'!F35),"",'_INSTANCE'!F35)</x:f>
        <x:v>6300</x:v>
      </x:c>
      <x:c r="X35" s="6"/>
      <x:c r="Y35" s="6"/>
      <x:c r="Z35" s="6"/>
      <x:c r="AA35" s="6"/>
      <x:c r="AB35" s="6"/>
      <x:c r="AC35" s="6"/>
      <x:c r="AD35" s="6"/>
      <x:c r="AE35" s="6"/>
      <x:c r="AF35" s="6"/>
    </x:row>
    <x:row r="36">
      <x:c r="A36" s="6" t="n">
        <x:f>IF(ISBLANK('_CHECKPOINTS'!A36),"",'_CHECKPOINTS'!A36)</x:f>
        <x:v>2142</x:v>
      </x:c>
      <x:c r="B36" s="6" t="n">
        <x:f>IF(ISBLANK('_CHECKPOINTS'!B36),"",'_CHECKPOINTS'!B36)</x:f>
        <x:v>24048</x:v>
      </x:c>
      <x:c r="C36" s="6"/>
      <x:c r="D36" s="6"/>
      <x:c r="E36" s="6"/>
      <x:c r="F36" s="6"/>
      <x:c r="G36" s="6" t="str">
        <x:f>IF(ISBLANK('_RUNS'!B36),"",'_RUNS'!B36)</x:f>
      </x:c>
      <x:c r="H36" s="6" t="str">
        <x:f>IF(ISBLANK('_RUNS'!C36),"",'_RUNS'!C36)</x:f>
      </x:c>
      <x:c r="I36" s="6" t="str">
        <x:f>IF(G36="","",IF('_CONFIG'!$B$12="","",'_CONFIG'!$B$12))</x:f>
      </x:c>
      <x:c r="J36" s="6"/>
      <x:c r="K36" s="6" t="n">
        <x:f>IF(ISBLANK('_CHECKPOINTS'!A36),"",'_CHECKPOINTS'!A36)</x:f>
        <x:v>2142</x:v>
      </x:c>
      <x:c r="L36" s="6" t="n">
        <x:f>IF(ISBLANK('_CHECKPOINTS'!B36),"",'_CHECKPOINTS'!B36)</x:f>
        <x:v>24048</x:v>
      </x:c>
      <x:c r="M36" s="6" t="n">
        <x:f>IF(ISBLANK('_CHECKPOINTS'!D36),"",'_CHECKPOINTS'!D36)</x:f>
        <x:v>24051</x:v>
      </x:c>
      <x:c r="N36" s="6" t="n">
        <x:f>IF(ISBLANK('_CHECKPOINTS'!G36),"",'_CHECKPOINTS'!G36)</x:f>
        <x:v>24248</x:v>
      </x:c>
      <x:c r="O36" s="6"/>
      <x:c r="P36" s="6"/>
      <x:c r="Q36" s="6"/>
      <x:c r="R36" s="6"/>
      <x:c r="S36" s="6"/>
      <x:c r="T36" s="6"/>
      <x:c r="U36" s="6"/>
      <x:c r="V36" s="6" t="n">
        <x:f>IF(ISBLANK('_INSTANCE'!B36),"",'_INSTANCE'!B36)</x:f>
        <x:v>34</x:v>
      </x:c>
      <x:c r="W36" s="6" t="n">
        <x:f>IF(ISBLANK('_INSTANCE'!F36),"",'_INSTANCE'!F36)</x:f>
        <x:v>6300</x:v>
      </x:c>
      <x:c r="X36" s="6"/>
      <x:c r="Y36" s="6"/>
      <x:c r="Z36" s="6"/>
      <x:c r="AA36" s="6"/>
      <x:c r="AB36" s="6"/>
      <x:c r="AC36" s="6"/>
      <x:c r="AD36" s="6"/>
      <x:c r="AE36" s="6"/>
      <x:c r="AF36" s="6"/>
    </x:row>
    <x:row r="37">
      <x:c r="A37" s="6" t="n">
        <x:f>IF(ISBLANK('_CHECKPOINTS'!A37),"",'_CHECKPOINTS'!A37)</x:f>
        <x:v>2205</x:v>
      </x:c>
      <x:c r="B37" s="6" t="n">
        <x:f>IF(ISBLANK('_CHECKPOINTS'!B37),"",'_CHECKPOINTS'!B37)</x:f>
        <x:v>24048</x:v>
      </x:c>
      <x:c r="C37" s="6"/>
      <x:c r="D37" s="6"/>
      <x:c r="E37" s="6"/>
      <x:c r="F37" s="6"/>
      <x:c r="G37" s="6" t="str">
        <x:f>IF(ISBLANK('_RUNS'!B37),"",'_RUNS'!B37)</x:f>
      </x:c>
      <x:c r="H37" s="6" t="str">
        <x:f>IF(ISBLANK('_RUNS'!C37),"",'_RUNS'!C37)</x:f>
      </x:c>
      <x:c r="I37" s="6" t="str">
        <x:f>IF(G37="","",IF('_CONFIG'!$B$12="","",'_CONFIG'!$B$12))</x:f>
      </x:c>
      <x:c r="J37" s="6"/>
      <x:c r="K37" s="6" t="n">
        <x:f>IF(ISBLANK('_CHECKPOINTS'!A37),"",'_CHECKPOINTS'!A37)</x:f>
        <x:v>2205</x:v>
      </x:c>
      <x:c r="L37" s="6" t="n">
        <x:f>IF(ISBLANK('_CHECKPOINTS'!B37),"",'_CHECKPOINTS'!B37)</x:f>
        <x:v>24048</x:v>
      </x:c>
      <x:c r="M37" s="6" t="n">
        <x:f>IF(ISBLANK('_CHECKPOINTS'!D37),"",'_CHECKPOINTS'!D37)</x:f>
        <x:v>24051</x:v>
      </x:c>
      <x:c r="N37" s="6" t="n">
        <x:f>IF(ISBLANK('_CHECKPOINTS'!G37),"",'_CHECKPOINTS'!G37)</x:f>
        <x:v>24248</x:v>
      </x:c>
      <x:c r="O37" s="6"/>
      <x:c r="P37" s="6"/>
      <x:c r="Q37" s="6"/>
      <x:c r="R37" s="6"/>
      <x:c r="S37" s="6"/>
      <x:c r="T37" s="6"/>
      <x:c r="U37" s="6"/>
      <x:c r="V37" s="6" t="n">
        <x:f>IF(ISBLANK('_INSTANCE'!B37),"",'_INSTANCE'!B37)</x:f>
        <x:v>35</x:v>
      </x:c>
      <x:c r="W37" s="6" t="n">
        <x:f>IF(ISBLANK('_INSTANCE'!F37),"",'_INSTANCE'!F37)</x:f>
        <x:v>5900</x:v>
      </x:c>
      <x:c r="X37" s="6"/>
      <x:c r="Y37" s="6"/>
      <x:c r="Z37" s="6"/>
      <x:c r="AA37" s="6"/>
      <x:c r="AB37" s="6"/>
      <x:c r="AC37" s="6"/>
      <x:c r="AD37" s="6"/>
      <x:c r="AE37" s="6"/>
      <x:c r="AF37" s="6"/>
    </x:row>
    <x:row r="38">
      <x:c r="A38" s="6" t="n">
        <x:f>IF(ISBLANK('_CHECKPOINTS'!A38),"",'_CHECKPOINTS'!A38)</x:f>
        <x:v>2268</x:v>
      </x:c>
      <x:c r="B38" s="6" t="n">
        <x:f>IF(ISBLANK('_CHECKPOINTS'!B38),"",'_CHECKPOINTS'!B38)</x:f>
        <x:v>24048</x:v>
      </x:c>
      <x:c r="C38" s="6"/>
      <x:c r="D38" s="6"/>
      <x:c r="E38" s="6"/>
      <x:c r="F38" s="6"/>
      <x:c r="G38" s="6" t="str">
        <x:f>IF(ISBLANK('_RUNS'!B38),"",'_RUNS'!B38)</x:f>
      </x:c>
      <x:c r="H38" s="6" t="str">
        <x:f>IF(ISBLANK('_RUNS'!C38),"",'_RUNS'!C38)</x:f>
      </x:c>
      <x:c r="I38" s="6" t="str">
        <x:f>IF(G38="","",IF('_CONFIG'!$B$12="","",'_CONFIG'!$B$12))</x:f>
      </x:c>
      <x:c r="J38" s="6"/>
      <x:c r="K38" s="6" t="n">
        <x:f>IF(ISBLANK('_CHECKPOINTS'!A38),"",'_CHECKPOINTS'!A38)</x:f>
        <x:v>2268</x:v>
      </x:c>
      <x:c r="L38" s="6" t="n">
        <x:f>IF(ISBLANK('_CHECKPOINTS'!B38),"",'_CHECKPOINTS'!B38)</x:f>
        <x:v>24048</x:v>
      </x:c>
      <x:c r="M38" s="6" t="n">
        <x:f>IF(ISBLANK('_CHECKPOINTS'!D38),"",'_CHECKPOINTS'!D38)</x:f>
        <x:v>24051</x:v>
      </x:c>
      <x:c r="N38" s="6" t="n">
        <x:f>IF(ISBLANK('_CHECKPOINTS'!G38),"",'_CHECKPOINTS'!G38)</x:f>
        <x:v>24248</x:v>
      </x:c>
      <x:c r="O38" s="6"/>
      <x:c r="P38" s="6"/>
      <x:c r="Q38" s="6"/>
      <x:c r="R38" s="6"/>
      <x:c r="S38" s="6"/>
      <x:c r="T38" s="6"/>
      <x:c r="U38" s="6"/>
      <x:c r="V38" s="6" t="n">
        <x:f>IF(ISBLANK('_INSTANCE'!B38),"",'_INSTANCE'!B38)</x:f>
        <x:v>36</x:v>
      </x:c>
      <x:c r="W38" s="6" t="n">
        <x:f>IF(ISBLANK('_INSTANCE'!F38),"",'_INSTANCE'!F38)</x:f>
        <x:v>5900</x:v>
      </x:c>
      <x:c r="X38" s="6"/>
      <x:c r="Y38" s="6"/>
      <x:c r="Z38" s="6"/>
      <x:c r="AA38" s="6"/>
      <x:c r="AB38" s="6"/>
      <x:c r="AC38" s="6"/>
      <x:c r="AD38" s="6"/>
      <x:c r="AE38" s="6"/>
      <x:c r="AF38" s="6"/>
    </x:row>
    <x:row r="39">
      <x:c r="A39" s="6" t="n">
        <x:f>IF(ISBLANK('_CHECKPOINTS'!A39),"",'_CHECKPOINTS'!A39)</x:f>
        <x:v>2331</x:v>
      </x:c>
      <x:c r="B39" s="6" t="n">
        <x:f>IF(ISBLANK('_CHECKPOINTS'!B39),"",'_CHECKPOINTS'!B39)</x:f>
        <x:v>24048</x:v>
      </x:c>
      <x:c r="C39" s="6"/>
      <x:c r="D39" s="6"/>
      <x:c r="E39" s="6"/>
      <x:c r="F39" s="6"/>
      <x:c r="G39" s="6" t="str">
        <x:f>IF(ISBLANK('_RUNS'!B39),"",'_RUNS'!B39)</x:f>
      </x:c>
      <x:c r="H39" s="6" t="str">
        <x:f>IF(ISBLANK('_RUNS'!C39),"",'_RUNS'!C39)</x:f>
      </x:c>
      <x:c r="I39" s="6" t="str">
        <x:f>IF(G39="","",IF('_CONFIG'!$B$12="","",'_CONFIG'!$B$12))</x:f>
      </x:c>
      <x:c r="J39" s="6"/>
      <x:c r="K39" s="6" t="n">
        <x:f>IF(ISBLANK('_CHECKPOINTS'!A39),"",'_CHECKPOINTS'!A39)</x:f>
        <x:v>2331</x:v>
      </x:c>
      <x:c r="L39" s="6" t="n">
        <x:f>IF(ISBLANK('_CHECKPOINTS'!B39),"",'_CHECKPOINTS'!B39)</x:f>
        <x:v>24048</x:v>
      </x:c>
      <x:c r="M39" s="6" t="n">
        <x:f>IF(ISBLANK('_CHECKPOINTS'!D39),"",'_CHECKPOINTS'!D39)</x:f>
        <x:v>24051</x:v>
      </x:c>
      <x:c r="N39" s="6" t="n">
        <x:f>IF(ISBLANK('_CHECKPOINTS'!G39),"",'_CHECKPOINTS'!G39)</x:f>
        <x:v>24248</x:v>
      </x:c>
      <x:c r="O39" s="6"/>
      <x:c r="P39" s="6"/>
      <x:c r="Q39" s="6"/>
      <x:c r="R39" s="6"/>
      <x:c r="S39" s="6"/>
      <x:c r="T39" s="6"/>
      <x:c r="U39" s="6"/>
      <x:c r="V39" s="6" t="n">
        <x:f>IF(ISBLANK('_INSTANCE'!B39),"",'_INSTANCE'!B39)</x:f>
        <x:v>37</x:v>
      </x:c>
      <x:c r="W39" s="6" t="n">
        <x:f>IF(ISBLANK('_INSTANCE'!F39),"",'_INSTANCE'!F39)</x:f>
        <x:v>1400</x:v>
      </x:c>
      <x:c r="X39" s="6"/>
      <x:c r="Y39" s="6"/>
      <x:c r="Z39" s="6"/>
      <x:c r="AA39" s="6"/>
      <x:c r="AB39" s="6"/>
      <x:c r="AC39" s="6"/>
      <x:c r="AD39" s="6"/>
      <x:c r="AE39" s="6"/>
      <x:c r="AF39" s="6"/>
    </x:row>
    <x:row r="40">
      <x:c r="A40" s="6" t="n">
        <x:f>IF(ISBLANK('_CHECKPOINTS'!A40),"",'_CHECKPOINTS'!A40)</x:f>
        <x:v>2394</x:v>
      </x:c>
      <x:c r="B40" s="6" t="n">
        <x:f>IF(ISBLANK('_CHECKPOINTS'!B40),"",'_CHECKPOINTS'!B40)</x:f>
        <x:v>24048</x:v>
      </x:c>
      <x:c r="C40" s="6"/>
      <x:c r="D40" s="6"/>
      <x:c r="E40" s="6"/>
      <x:c r="F40" s="6"/>
      <x:c r="G40" s="6" t="str">
        <x:f>IF(ISBLANK('_RUNS'!B40),"",'_RUNS'!B40)</x:f>
      </x:c>
      <x:c r="H40" s="6" t="str">
        <x:f>IF(ISBLANK('_RUNS'!C40),"",'_RUNS'!C40)</x:f>
      </x:c>
      <x:c r="I40" s="6" t="str">
        <x:f>IF(G40="","",IF('_CONFIG'!$B$12="","",'_CONFIG'!$B$12))</x:f>
      </x:c>
      <x:c r="J40" s="6"/>
      <x:c r="K40" s="6" t="n">
        <x:f>IF(ISBLANK('_CHECKPOINTS'!A40),"",'_CHECKPOINTS'!A40)</x:f>
        <x:v>2394</x:v>
      </x:c>
      <x:c r="L40" s="6" t="n">
        <x:f>IF(ISBLANK('_CHECKPOINTS'!B40),"",'_CHECKPOINTS'!B40)</x:f>
        <x:v>24048</x:v>
      </x:c>
      <x:c r="M40" s="6" t="n">
        <x:f>IF(ISBLANK('_CHECKPOINTS'!D40),"",'_CHECKPOINTS'!D40)</x:f>
        <x:v>24051</x:v>
      </x:c>
      <x:c r="N40" s="6" t="n">
        <x:f>IF(ISBLANK('_CHECKPOINTS'!G40),"",'_CHECKPOINTS'!G40)</x:f>
        <x:v>24248</x:v>
      </x:c>
      <x:c r="O40" s="6"/>
      <x:c r="P40" s="6"/>
      <x:c r="Q40" s="6"/>
      <x:c r="R40" s="6"/>
      <x:c r="S40" s="6"/>
      <x:c r="T40" s="6"/>
      <x:c r="U40" s="6"/>
      <x:c r="V40" s="6" t="n">
        <x:f>IF(ISBLANK('_INSTANCE'!B40),"",'_INSTANCE'!B40)</x:f>
        <x:v>38</x:v>
      </x:c>
      <x:c r="W40" s="6" t="n">
        <x:f>IF(ISBLANK('_INSTANCE'!F40),"",'_INSTANCE'!F40)</x:f>
        <x:v>1400</x:v>
      </x:c>
      <x:c r="X40" s="6"/>
      <x:c r="Y40" s="6"/>
      <x:c r="Z40" s="6"/>
      <x:c r="AA40" s="6"/>
      <x:c r="AB40" s="6"/>
      <x:c r="AC40" s="6"/>
      <x:c r="AD40" s="6"/>
      <x:c r="AE40" s="6"/>
      <x:c r="AF40" s="6"/>
    </x:row>
    <x:row r="41">
      <x:c r="A41" s="6" t="n">
        <x:f>IF(ISBLANK('_CHECKPOINTS'!A41),"",'_CHECKPOINTS'!A41)</x:f>
        <x:v>2457</x:v>
      </x:c>
      <x:c r="B41" s="6" t="n">
        <x:f>IF(ISBLANK('_CHECKPOINTS'!B41),"",'_CHECKPOINTS'!B41)</x:f>
        <x:v>24048</x:v>
      </x:c>
      <x:c r="C41" s="6"/>
      <x:c r="D41" s="6"/>
      <x:c r="E41" s="6"/>
      <x:c r="F41" s="6"/>
      <x:c r="G41" s="6" t="str">
        <x:f>IF(ISBLANK('_RUNS'!B41),"",'_RUNS'!B41)</x:f>
      </x:c>
      <x:c r="H41" s="6" t="str">
        <x:f>IF(ISBLANK('_RUNS'!C41),"",'_RUNS'!C41)</x:f>
      </x:c>
      <x:c r="I41" s="6" t="str">
        <x:f>IF(G41="","",IF('_CONFIG'!$B$12="","",'_CONFIG'!$B$12))</x:f>
      </x:c>
      <x:c r="J41" s="6"/>
      <x:c r="K41" s="6" t="n">
        <x:f>IF(ISBLANK('_CHECKPOINTS'!A41),"",'_CHECKPOINTS'!A41)</x:f>
        <x:v>2457</x:v>
      </x:c>
      <x:c r="L41" s="6" t="n">
        <x:f>IF(ISBLANK('_CHECKPOINTS'!B41),"",'_CHECKPOINTS'!B41)</x:f>
        <x:v>24048</x:v>
      </x:c>
      <x:c r="M41" s="6" t="n">
        <x:f>IF(ISBLANK('_CHECKPOINTS'!D41),"",'_CHECKPOINTS'!D41)</x:f>
        <x:v>24051</x:v>
      </x:c>
      <x:c r="N41" s="6" t="n">
        <x:f>IF(ISBLANK('_CHECKPOINTS'!G41),"",'_CHECKPOINTS'!G41)</x:f>
        <x:v>24248</x:v>
      </x:c>
      <x:c r="O41" s="6"/>
      <x:c r="P41" s="6"/>
      <x:c r="Q41" s="6"/>
      <x:c r="R41" s="6"/>
      <x:c r="S41" s="6"/>
      <x:c r="T41" s="6"/>
      <x:c r="U41" s="6"/>
      <x:c r="V41" s="6" t="n">
        <x:f>IF(ISBLANK('_INSTANCE'!B41),"",'_INSTANCE'!B41)</x:f>
        <x:v>39</x:v>
      </x:c>
      <x:c r="W41" s="6" t="n">
        <x:f>IF(ISBLANK('_INSTANCE'!F41),"",'_INSTANCE'!F41)</x:f>
        <x:v>1400</x:v>
      </x:c>
      <x:c r="X41" s="6"/>
      <x:c r="Y41" s="6"/>
      <x:c r="Z41" s="6"/>
      <x:c r="AA41" s="6"/>
      <x:c r="AB41" s="6"/>
      <x:c r="AC41" s="6"/>
      <x:c r="AD41" s="6"/>
      <x:c r="AE41" s="6"/>
      <x:c r="AF41" s="6"/>
    </x:row>
    <x:row r="42">
      <x:c r="A42" s="6" t="n">
        <x:f>IF(ISBLANK('_CHECKPOINTS'!A42),"",'_CHECKPOINTS'!A42)</x:f>
        <x:v>2500</x:v>
      </x:c>
      <x:c r="B42" s="6" t="n">
        <x:f>IF(ISBLANK('_CHECKPOINTS'!B42),"",'_CHECKPOINTS'!B42)</x:f>
        <x:v>24048</x:v>
      </x:c>
      <x:c r="C42" s="6"/>
      <x:c r="D42" s="6"/>
      <x:c r="E42" s="6"/>
      <x:c r="F42" s="6"/>
      <x:c r="G42" s="6" t="str">
        <x:f>IF(ISBLANK('_RUNS'!B42),"",'_RUNS'!B42)</x:f>
      </x:c>
      <x:c r="H42" s="6" t="str">
        <x:f>IF(ISBLANK('_RUNS'!C42),"",'_RUNS'!C42)</x:f>
      </x:c>
      <x:c r="I42" s="6" t="str">
        <x:f>IF(G42="","",IF('_CONFIG'!$B$12="","",'_CONFIG'!$B$12))</x:f>
      </x:c>
      <x:c r="J42" s="6"/>
      <x:c r="K42" s="6" t="n">
        <x:f>IF(ISBLANK('_CHECKPOINTS'!A42),"",'_CHECKPOINTS'!A42)</x:f>
        <x:v>2500</x:v>
      </x:c>
      <x:c r="L42" s="6" t="n">
        <x:f>IF(ISBLANK('_CHECKPOINTS'!B42),"",'_CHECKPOINTS'!B42)</x:f>
        <x:v>24048</x:v>
      </x:c>
      <x:c r="M42" s="6" t="n">
        <x:f>IF(ISBLANK('_CHECKPOINTS'!D42),"",'_CHECKPOINTS'!D42)</x:f>
        <x:v>24051</x:v>
      </x:c>
      <x:c r="N42" s="6" t="n">
        <x:f>IF(ISBLANK('_CHECKPOINTS'!G42),"",'_CHECKPOINTS'!G42)</x:f>
        <x:v>24248</x:v>
      </x:c>
      <x:c r="O42" s="6"/>
      <x:c r="P42" s="6"/>
      <x:c r="Q42" s="6"/>
      <x:c r="R42" s="6"/>
      <x:c r="S42" s="6"/>
      <x:c r="T42" s="6"/>
      <x:c r="U42" s="6"/>
      <x:c r="V42" s="6" t="n">
        <x:f>IF(ISBLANK('_INSTANCE'!B42),"",'_INSTANCE'!B42)</x:f>
        <x:v>40</x:v>
      </x:c>
      <x:c r="W42" s="6" t="n">
        <x:f>IF(ISBLANK('_INSTANCE'!F42),"",'_INSTANCE'!F42)</x:f>
        <x:v>1200</x:v>
      </x:c>
      <x:c r="X42" s="6"/>
      <x:c r="Y42" s="6"/>
      <x:c r="Z42" s="6"/>
      <x:c r="AA42" s="6"/>
      <x:c r="AB42" s="6"/>
      <x:c r="AC42" s="6"/>
      <x:c r="AD42" s="6"/>
      <x:c r="AE42" s="6"/>
      <x:c r="AF42" s="6"/>
    </x:row>
    <x:row r="43">
      <x:c r="A43" s="6" t="str">
        <x:f>IF(ISBLANK('_CHECKPOINTS'!A43),"",'_CHECKPOINTS'!A43)</x:f>
      </x:c>
      <x:c r="B43" s="6" t="str">
        <x:f>IF(ISBLANK('_CHECKPOINTS'!B43),"",'_CHECKPOINTS'!B43)</x:f>
      </x:c>
      <x:c r="C43" s="6"/>
      <x:c r="D43" s="6"/>
      <x:c r="E43" s="6"/>
      <x:c r="F43" s="6"/>
      <x:c r="G43" s="6" t="str">
        <x:f>IF(ISBLANK('_RUNS'!B43),"",'_RUNS'!B43)</x:f>
      </x:c>
      <x:c r="H43" s="6" t="str">
        <x:f>IF(ISBLANK('_RUNS'!C43),"",'_RUNS'!C43)</x:f>
      </x:c>
      <x:c r="I43" s="6" t="str">
        <x:f>IF(G43="","",IF('_CONFIG'!$B$12="","",'_CONFIG'!$B$12))</x:f>
      </x:c>
      <x:c r="J43" s="6"/>
      <x:c r="K43" s="6" t="str">
        <x:f>IF(ISBLANK('_CHECKPOINTS'!A43),"",'_CHECKPOINTS'!A43)</x:f>
      </x:c>
      <x:c r="L43" s="6" t="str">
        <x:f>IF(ISBLANK('_CHECKPOINTS'!B43),"",'_CHECKPOINTS'!B43)</x:f>
      </x:c>
      <x:c r="M43" s="6" t="str">
        <x:f>IF(ISBLANK('_CHECKPOINTS'!D43),"",'_CHECKPOINTS'!D43)</x:f>
      </x:c>
      <x:c r="N43" s="6" t="str">
        <x:f>IF(ISBLANK('_CHECKPOINTS'!G43),"",'_CHECKPOINTS'!G43)</x:f>
      </x:c>
      <x:c r="O43" s="6"/>
      <x:c r="P43" s="6"/>
      <x:c r="Q43" s="6"/>
      <x:c r="R43" s="6"/>
      <x:c r="S43" s="6"/>
      <x:c r="T43" s="6"/>
      <x:c r="U43" s="6"/>
      <x:c r="V43" s="6" t="n">
        <x:f>IF(ISBLANK('_INSTANCE'!B43),"",'_INSTANCE'!B43)</x:f>
        <x:v>41</x:v>
      </x:c>
      <x:c r="W43" s="6" t="n">
        <x:f>IF(ISBLANK('_INSTANCE'!F43),"",'_INSTANCE'!F43)</x:f>
        <x:v>1400</x:v>
      </x:c>
      <x:c r="X43" s="6"/>
      <x:c r="Y43" s="6"/>
      <x:c r="Z43" s="6"/>
      <x:c r="AA43" s="6"/>
      <x:c r="AB43" s="6"/>
      <x:c r="AC43" s="6"/>
      <x:c r="AD43" s="6"/>
      <x:c r="AE43" s="6"/>
      <x:c r="AF43" s="6"/>
    </x:row>
    <x:row r="44">
      <x:c r="A44" s="6" t="str">
        <x:f>IF(ISBLANK('_CHECKPOINTS'!A44),"",'_CHECKPOINTS'!A44)</x:f>
      </x:c>
      <x:c r="B44" s="6" t="str">
        <x:f>IF(ISBLANK('_CHECKPOINTS'!B44),"",'_CHECKPOINTS'!B44)</x:f>
      </x:c>
      <x:c r="C44" s="6"/>
      <x:c r="D44" s="6"/>
      <x:c r="E44" s="6"/>
      <x:c r="F44" s="6"/>
      <x:c r="G44" s="6" t="str">
        <x:f>IF(ISBLANK('_RUNS'!B44),"",'_RUNS'!B44)</x:f>
      </x:c>
      <x:c r="H44" s="6" t="str">
        <x:f>IF(ISBLANK('_RUNS'!C44),"",'_RUNS'!C44)</x:f>
      </x:c>
      <x:c r="I44" s="6" t="str">
        <x:f>IF(G44="","",IF('_CONFIG'!$B$12="","",'_CONFIG'!$B$12))</x:f>
      </x:c>
      <x:c r="J44" s="6"/>
      <x:c r="K44" s="6" t="str">
        <x:f>IF(ISBLANK('_CHECKPOINTS'!A44),"",'_CHECKPOINTS'!A44)</x:f>
      </x:c>
      <x:c r="L44" s="6" t="str">
        <x:f>IF(ISBLANK('_CHECKPOINTS'!B44),"",'_CHECKPOINTS'!B44)</x:f>
      </x:c>
      <x:c r="M44" s="6" t="str">
        <x:f>IF(ISBLANK('_CHECKPOINTS'!D44),"",'_CHECKPOINTS'!D44)</x:f>
      </x:c>
      <x:c r="N44" s="6" t="str">
        <x:f>IF(ISBLANK('_CHECKPOINTS'!G44),"",'_CHECKPOINTS'!G44)</x:f>
      </x:c>
      <x:c r="O44" s="6"/>
      <x:c r="P44" s="6"/>
      <x:c r="Q44" s="6"/>
      <x:c r="R44" s="6"/>
      <x:c r="S44" s="6"/>
      <x:c r="T44" s="6"/>
      <x:c r="U44" s="6"/>
      <x:c r="V44" s="6" t="n">
        <x:f>IF(ISBLANK('_INSTANCE'!B44),"",'_INSTANCE'!B44)</x:f>
        <x:v>42</x:v>
      </x:c>
      <x:c r="W44" s="6" t="n">
        <x:f>IF(ISBLANK('_INSTANCE'!F44),"",'_INSTANCE'!F44)</x:f>
        <x:v>1400</x:v>
      </x:c>
      <x:c r="X44" s="6"/>
      <x:c r="Y44" s="6"/>
      <x:c r="Z44" s="6"/>
      <x:c r="AA44" s="6"/>
      <x:c r="AB44" s="6"/>
      <x:c r="AC44" s="6"/>
      <x:c r="AD44" s="6"/>
      <x:c r="AE44" s="6"/>
      <x:c r="AF44" s="6"/>
    </x:row>
    <x:row r="45">
      <x:c r="A45" s="6" t="str">
        <x:f>IF(ISBLANK('_CHECKPOINTS'!A45),"",'_CHECKPOINTS'!A45)</x:f>
      </x:c>
      <x:c r="B45" s="6" t="str">
        <x:f>IF(ISBLANK('_CHECKPOINTS'!B45),"",'_CHECKPOINTS'!B45)</x:f>
      </x:c>
      <x:c r="C45" s="6"/>
      <x:c r="D45" s="6"/>
      <x:c r="E45" s="6"/>
      <x:c r="F45" s="6"/>
      <x:c r="G45" s="6" t="str">
        <x:f>IF(ISBLANK('_RUNS'!B45),"",'_RUNS'!B45)</x:f>
      </x:c>
      <x:c r="H45" s="6" t="str">
        <x:f>IF(ISBLANK('_RUNS'!C45),"",'_RUNS'!C45)</x:f>
      </x:c>
      <x:c r="I45" s="6" t="str">
        <x:f>IF(G45="","",IF('_CONFIG'!$B$12="","",'_CONFIG'!$B$12))</x:f>
      </x:c>
      <x:c r="J45" s="6"/>
      <x:c r="K45" s="6" t="str">
        <x:f>IF(ISBLANK('_CHECKPOINTS'!A45),"",'_CHECKPOINTS'!A45)</x:f>
      </x:c>
      <x:c r="L45" s="6" t="str">
        <x:f>IF(ISBLANK('_CHECKPOINTS'!B45),"",'_CHECKPOINTS'!B45)</x:f>
      </x:c>
      <x:c r="M45" s="6" t="str">
        <x:f>IF(ISBLANK('_CHECKPOINTS'!D45),"",'_CHECKPOINTS'!D45)</x:f>
      </x:c>
      <x:c r="N45" s="6" t="str">
        <x:f>IF(ISBLANK('_CHECKPOINTS'!G45),"",'_CHECKPOINTS'!G45)</x:f>
      </x:c>
      <x:c r="O45" s="6"/>
      <x:c r="P45" s="6"/>
      <x:c r="Q45" s="6"/>
      <x:c r="R45" s="6"/>
      <x:c r="S45" s="6"/>
      <x:c r="T45" s="6"/>
      <x:c r="U45" s="6"/>
      <x:c r="V45" s="6" t="n">
        <x:f>IF(ISBLANK('_INSTANCE'!B45),"",'_INSTANCE'!B45)</x:f>
        <x:v>43</x:v>
      </x:c>
      <x:c r="W45" s="6" t="n">
        <x:f>IF(ISBLANK('_INSTANCE'!F45),"",'_INSTANCE'!F45)</x:f>
        <x:v>1400</x:v>
      </x:c>
      <x:c r="X45" s="6"/>
      <x:c r="Y45" s="6"/>
      <x:c r="Z45" s="6"/>
      <x:c r="AA45" s="6"/>
      <x:c r="AB45" s="6"/>
      <x:c r="AC45" s="6"/>
      <x:c r="AD45" s="6"/>
      <x:c r="AE45" s="6"/>
      <x:c r="AF45" s="6"/>
    </x:row>
    <x:row r="46">
      <x:c r="A46" s="6" t="str">
        <x:f>IF(ISBLANK('_CHECKPOINTS'!A46),"",'_CHECKPOINTS'!A46)</x:f>
      </x:c>
      <x:c r="B46" s="6" t="str">
        <x:f>IF(ISBLANK('_CHECKPOINTS'!B46),"",'_CHECKPOINTS'!B46)</x:f>
      </x:c>
      <x:c r="C46" s="6"/>
      <x:c r="D46" s="6"/>
      <x:c r="E46" s="6"/>
      <x:c r="F46" s="6"/>
      <x:c r="G46" s="6" t="str">
        <x:f>IF(ISBLANK('_RUNS'!B46),"",'_RUNS'!B46)</x:f>
      </x:c>
      <x:c r="H46" s="6" t="str">
        <x:f>IF(ISBLANK('_RUNS'!C46),"",'_RUNS'!C46)</x:f>
      </x:c>
      <x:c r="I46" s="6" t="str">
        <x:f>IF(G46="","",IF('_CONFIG'!$B$12="","",'_CONFIG'!$B$12))</x:f>
      </x:c>
      <x:c r="J46" s="6"/>
      <x:c r="K46" s="6" t="str">
        <x:f>IF(ISBLANK('_CHECKPOINTS'!A46),"",'_CHECKPOINTS'!A46)</x:f>
      </x:c>
      <x:c r="L46" s="6" t="str">
        <x:f>IF(ISBLANK('_CHECKPOINTS'!B46),"",'_CHECKPOINTS'!B46)</x:f>
      </x:c>
      <x:c r="M46" s="6" t="str">
        <x:f>IF(ISBLANK('_CHECKPOINTS'!D46),"",'_CHECKPOINTS'!D46)</x:f>
      </x:c>
      <x:c r="N46" s="6" t="str">
        <x:f>IF(ISBLANK('_CHECKPOINTS'!G46),"",'_CHECKPOINTS'!G46)</x:f>
      </x:c>
      <x:c r="O46" s="6"/>
      <x:c r="P46" s="6"/>
      <x:c r="Q46" s="6"/>
      <x:c r="R46" s="6"/>
      <x:c r="S46" s="6"/>
      <x:c r="T46" s="6"/>
      <x:c r="U46" s="6"/>
      <x:c r="V46" s="6" t="n">
        <x:f>IF(ISBLANK('_INSTANCE'!B46),"",'_INSTANCE'!B46)</x:f>
        <x:v>44</x:v>
      </x:c>
      <x:c r="W46" s="6" t="n">
        <x:f>IF(ISBLANK('_INSTANCE'!F46),"",'_INSTANCE'!F46)</x:f>
        <x:v>1400</x:v>
      </x:c>
      <x:c r="X46" s="6"/>
      <x:c r="Y46" s="6"/>
      <x:c r="Z46" s="6"/>
      <x:c r="AA46" s="6"/>
      <x:c r="AB46" s="6"/>
      <x:c r="AC46" s="6"/>
      <x:c r="AD46" s="6"/>
      <x:c r="AE46" s="6"/>
      <x:c r="AF46" s="6"/>
    </x:row>
    <x:row r="47">
      <x:c r="A47" s="6" t="str">
        <x:f>IF(ISBLANK('_CHECKPOINTS'!A47),"",'_CHECKPOINTS'!A47)</x:f>
      </x:c>
      <x:c r="B47" s="6" t="str">
        <x:f>IF(ISBLANK('_CHECKPOINTS'!B47),"",'_CHECKPOINTS'!B47)</x:f>
      </x:c>
      <x:c r="C47" s="6"/>
      <x:c r="D47" s="6"/>
      <x:c r="E47" s="6"/>
      <x:c r="F47" s="6"/>
      <x:c r="G47" s="6" t="str">
        <x:f>IF(ISBLANK('_RUNS'!B47),"",'_RUNS'!B47)</x:f>
      </x:c>
      <x:c r="H47" s="6" t="str">
        <x:f>IF(ISBLANK('_RUNS'!C47),"",'_RUNS'!C47)</x:f>
      </x:c>
      <x:c r="I47" s="6" t="str">
        <x:f>IF(G47="","",IF('_CONFIG'!$B$12="","",'_CONFIG'!$B$12))</x:f>
      </x:c>
      <x:c r="J47" s="6"/>
      <x:c r="K47" s="6" t="str">
        <x:f>IF(ISBLANK('_CHECKPOINTS'!A47),"",'_CHECKPOINTS'!A47)</x:f>
      </x:c>
      <x:c r="L47" s="6" t="str">
        <x:f>IF(ISBLANK('_CHECKPOINTS'!B47),"",'_CHECKPOINTS'!B47)</x:f>
      </x:c>
      <x:c r="M47" s="6" t="str">
        <x:f>IF(ISBLANK('_CHECKPOINTS'!D47),"",'_CHECKPOINTS'!D47)</x:f>
      </x:c>
      <x:c r="N47" s="6" t="str">
        <x:f>IF(ISBLANK('_CHECKPOINTS'!G47),"",'_CHECKPOINTS'!G47)</x:f>
      </x:c>
      <x:c r="O47" s="6"/>
      <x:c r="P47" s="6"/>
      <x:c r="Q47" s="6"/>
      <x:c r="R47" s="6"/>
      <x:c r="S47" s="6"/>
      <x:c r="T47" s="6"/>
      <x:c r="U47" s="6"/>
      <x:c r="V47" s="6" t="n">
        <x:f>IF(ISBLANK('_INSTANCE'!B47),"",'_INSTANCE'!B47)</x:f>
        <x:v>45</x:v>
      </x:c>
      <x:c r="W47" s="6" t="n">
        <x:f>IF(ISBLANK('_INSTANCE'!F47),"",'_INSTANCE'!F47)</x:f>
        <x:v>1200</x:v>
      </x:c>
      <x:c r="X47" s="6"/>
      <x:c r="Y47" s="6"/>
      <x:c r="Z47" s="6"/>
      <x:c r="AA47" s="6"/>
      <x:c r="AB47" s="6"/>
      <x:c r="AC47" s="6"/>
      <x:c r="AD47" s="6"/>
      <x:c r="AE47" s="6"/>
      <x:c r="AF47" s="6"/>
    </x:row>
    <x:row r="48">
      <x:c r="A48" s="6" t="str">
        <x:f>IF(ISBLANK('_CHECKPOINTS'!A48),"",'_CHECKPOINTS'!A48)</x:f>
      </x:c>
      <x:c r="B48" s="6" t="str">
        <x:f>IF(ISBLANK('_CHECKPOINTS'!B48),"",'_CHECKPOINTS'!B48)</x:f>
      </x:c>
      <x:c r="C48" s="6"/>
      <x:c r="D48" s="6"/>
      <x:c r="E48" s="6"/>
      <x:c r="F48" s="6"/>
      <x:c r="G48" s="6" t="str">
        <x:f>IF(ISBLANK('_RUNS'!B48),"",'_RUNS'!B48)</x:f>
      </x:c>
      <x:c r="H48" s="6" t="str">
        <x:f>IF(ISBLANK('_RUNS'!C48),"",'_RUNS'!C48)</x:f>
      </x:c>
      <x:c r="I48" s="6" t="str">
        <x:f>IF(G48="","",IF('_CONFIG'!$B$12="","",'_CONFIG'!$B$12))</x:f>
      </x:c>
      <x:c r="J48" s="6"/>
      <x:c r="K48" s="6" t="str">
        <x:f>IF(ISBLANK('_CHECKPOINTS'!A48),"",'_CHECKPOINTS'!A48)</x:f>
      </x:c>
      <x:c r="L48" s="6" t="str">
        <x:f>IF(ISBLANK('_CHECKPOINTS'!B48),"",'_CHECKPOINTS'!B48)</x:f>
      </x:c>
      <x:c r="M48" s="6" t="str">
        <x:f>IF(ISBLANK('_CHECKPOINTS'!D48),"",'_CHECKPOINTS'!D48)</x:f>
      </x:c>
      <x:c r="N48" s="6" t="str">
        <x:f>IF(ISBLANK('_CHECKPOINTS'!G48),"",'_CHECKPOINTS'!G48)</x:f>
      </x:c>
      <x:c r="O48" s="6"/>
      <x:c r="P48" s="6"/>
      <x:c r="Q48" s="6"/>
      <x:c r="R48" s="6"/>
      <x:c r="S48" s="6"/>
      <x:c r="T48" s="6"/>
      <x:c r="U48" s="6"/>
      <x:c r="V48" s="6" t="n">
        <x:f>IF(ISBLANK('_INSTANCE'!B48),"",'_INSTANCE'!B48)</x:f>
        <x:v>46</x:v>
      </x:c>
      <x:c r="W48" s="6" t="n">
        <x:f>IF(ISBLANK('_INSTANCE'!F48),"",'_INSTANCE'!F48)</x:f>
        <x:v>1400</x:v>
      </x:c>
      <x:c r="X48" s="6"/>
      <x:c r="Y48" s="6"/>
      <x:c r="Z48" s="6"/>
      <x:c r="AA48" s="6"/>
      <x:c r="AB48" s="6"/>
      <x:c r="AC48" s="6"/>
      <x:c r="AD48" s="6"/>
      <x:c r="AE48" s="6"/>
      <x:c r="AF48" s="6"/>
    </x:row>
    <x:row r="49">
      <x:c r="A49" s="6" t="str">
        <x:f>IF(ISBLANK('_CHECKPOINTS'!A49),"",'_CHECKPOINTS'!A49)</x:f>
      </x:c>
      <x:c r="B49" s="6" t="str">
        <x:f>IF(ISBLANK('_CHECKPOINTS'!B49),"",'_CHECKPOINTS'!B49)</x:f>
      </x:c>
      <x:c r="C49" s="6"/>
      <x:c r="D49" s="6"/>
      <x:c r="E49" s="6"/>
      <x:c r="F49" s="6"/>
      <x:c r="G49" s="6" t="str">
        <x:f>IF(ISBLANK('_RUNS'!B49),"",'_RUNS'!B49)</x:f>
      </x:c>
      <x:c r="H49" s="6" t="str">
        <x:f>IF(ISBLANK('_RUNS'!C49),"",'_RUNS'!C49)</x:f>
      </x:c>
      <x:c r="I49" s="6" t="str">
        <x:f>IF(G49="","",IF('_CONFIG'!$B$12="","",'_CONFIG'!$B$12))</x:f>
      </x:c>
      <x:c r="J49" s="6"/>
      <x:c r="K49" s="6" t="str">
        <x:f>IF(ISBLANK('_CHECKPOINTS'!A49),"",'_CHECKPOINTS'!A49)</x:f>
      </x:c>
      <x:c r="L49" s="6" t="str">
        <x:f>IF(ISBLANK('_CHECKPOINTS'!B49),"",'_CHECKPOINTS'!B49)</x:f>
      </x:c>
      <x:c r="M49" s="6" t="str">
        <x:f>IF(ISBLANK('_CHECKPOINTS'!D49),"",'_CHECKPOINTS'!D49)</x:f>
      </x:c>
      <x:c r="N49" s="6" t="str">
        <x:f>IF(ISBLANK('_CHECKPOINTS'!G49),"",'_CHECKPOINTS'!G49)</x:f>
      </x:c>
      <x:c r="O49" s="6"/>
      <x:c r="P49" s="6"/>
      <x:c r="Q49" s="6"/>
      <x:c r="R49" s="6"/>
      <x:c r="S49" s="6"/>
      <x:c r="T49" s="6"/>
      <x:c r="U49" s="6"/>
      <x:c r="V49" s="6" t="n">
        <x:f>IF(ISBLANK('_INSTANCE'!B49),"",'_INSTANCE'!B49)</x:f>
        <x:v>47</x:v>
      </x:c>
      <x:c r="W49" s="6" t="n">
        <x:f>IF(ISBLANK('_INSTANCE'!F49),"",'_INSTANCE'!F49)</x:f>
        <x:v>1200</x:v>
      </x:c>
      <x:c r="X49" s="6"/>
      <x:c r="Y49" s="6"/>
      <x:c r="Z49" s="6"/>
      <x:c r="AA49" s="6"/>
      <x:c r="AB49" s="6"/>
      <x:c r="AC49" s="6"/>
      <x:c r="AD49" s="6"/>
      <x:c r="AE49" s="6"/>
      <x:c r="AF49" s="6"/>
    </x:row>
    <x:row r="50">
      <x:c r="A50" s="6" t="str">
        <x:f>IF(ISBLANK('_CHECKPOINTS'!A50),"",'_CHECKPOINTS'!A50)</x:f>
      </x:c>
      <x:c r="B50" s="6" t="str">
        <x:f>IF(ISBLANK('_CHECKPOINTS'!B50),"",'_CHECKPOINTS'!B50)</x:f>
      </x:c>
      <x:c r="C50" s="6"/>
      <x:c r="D50" s="6"/>
      <x:c r="E50" s="6"/>
      <x:c r="F50" s="6"/>
      <x:c r="G50" s="6" t="str">
        <x:f>IF(ISBLANK('_RUNS'!B50),"",'_RUNS'!B50)</x:f>
      </x:c>
      <x:c r="H50" s="6" t="str">
        <x:f>IF(ISBLANK('_RUNS'!C50),"",'_RUNS'!C50)</x:f>
      </x:c>
      <x:c r="I50" s="6" t="str">
        <x:f>IF(G50="","",IF('_CONFIG'!$B$12="","",'_CONFIG'!$B$12))</x:f>
      </x:c>
      <x:c r="J50" s="6"/>
      <x:c r="K50" s="6" t="str">
        <x:f>IF(ISBLANK('_CHECKPOINTS'!A50),"",'_CHECKPOINTS'!A50)</x:f>
      </x:c>
      <x:c r="L50" s="6" t="str">
        <x:f>IF(ISBLANK('_CHECKPOINTS'!B50),"",'_CHECKPOINTS'!B50)</x:f>
      </x:c>
      <x:c r="M50" s="6" t="str">
        <x:f>IF(ISBLANK('_CHECKPOINTS'!D50),"",'_CHECKPOINTS'!D50)</x:f>
      </x:c>
      <x:c r="N50" s="6" t="str">
        <x:f>IF(ISBLANK('_CHECKPOINTS'!G50),"",'_CHECKPOINTS'!G50)</x:f>
      </x:c>
      <x:c r="O50" s="6"/>
      <x:c r="P50" s="6"/>
      <x:c r="Q50" s="6"/>
      <x:c r="R50" s="6"/>
      <x:c r="S50" s="6"/>
      <x:c r="T50" s="6"/>
      <x:c r="U50" s="6"/>
      <x:c r="V50" s="6" t="n">
        <x:f>IF(ISBLANK('_INSTANCE'!B50),"",'_INSTANCE'!B50)</x:f>
        <x:v>48</x:v>
      </x:c>
      <x:c r="W50" s="6" t="n">
        <x:f>IF(ISBLANK('_INSTANCE'!F50),"",'_INSTANCE'!F50)</x:f>
        <x:v>700</x:v>
      </x:c>
      <x:c r="X50" s="6"/>
      <x:c r="Y50" s="6"/>
      <x:c r="Z50" s="6"/>
      <x:c r="AA50" s="6"/>
      <x:c r="AB50" s="6"/>
      <x:c r="AC50" s="6"/>
      <x:c r="AD50" s="6"/>
      <x:c r="AE50" s="6"/>
      <x:c r="AF50" s="6"/>
    </x:row>
    <x:row r="51">
      <x:c r="A51" s="6" t="str">
        <x:f>IF(ISBLANK('_CHECKPOINTS'!A51),"",'_CHECKPOINTS'!A51)</x:f>
      </x:c>
      <x:c r="B51" s="6" t="str">
        <x:f>IF(ISBLANK('_CHECKPOINTS'!B51),"",'_CHECKPOINTS'!B51)</x:f>
      </x:c>
      <x:c r="C51" s="6"/>
      <x:c r="D51" s="6"/>
      <x:c r="E51" s="6"/>
      <x:c r="F51" s="6"/>
      <x:c r="G51" s="6" t="str">
        <x:f>IF(ISBLANK('_RUNS'!B51),"",'_RUNS'!B51)</x:f>
      </x:c>
      <x:c r="H51" s="6" t="str">
        <x:f>IF(ISBLANK('_RUNS'!C51),"",'_RUNS'!C51)</x:f>
      </x:c>
      <x:c r="I51" s="6" t="str">
        <x:f>IF(G51="","",IF('_CONFIG'!$B$12="","",'_CONFIG'!$B$12))</x:f>
      </x:c>
      <x:c r="J51" s="6"/>
      <x:c r="K51" s="6" t="str">
        <x:f>IF(ISBLANK('_CHECKPOINTS'!A51),"",'_CHECKPOINTS'!A51)</x:f>
      </x:c>
      <x:c r="L51" s="6" t="str">
        <x:f>IF(ISBLANK('_CHECKPOINTS'!B51),"",'_CHECKPOINTS'!B51)</x:f>
      </x:c>
      <x:c r="M51" s="6" t="str">
        <x:f>IF(ISBLANK('_CHECKPOINTS'!D51),"",'_CHECKPOINTS'!D51)</x:f>
      </x:c>
      <x:c r="N51" s="6" t="str">
        <x:f>IF(ISBLANK('_CHECKPOINTS'!G51),"",'_CHECKPOINTS'!G51)</x:f>
      </x:c>
      <x:c r="O51" s="6"/>
      <x:c r="P51" s="6"/>
      <x:c r="Q51" s="6"/>
      <x:c r="R51" s="6"/>
      <x:c r="S51" s="6"/>
      <x:c r="T51" s="6"/>
      <x:c r="U51" s="6"/>
      <x:c r="V51" s="6" t="n">
        <x:f>IF(ISBLANK('_INSTANCE'!B51),"",'_INSTANCE'!B51)</x:f>
        <x:v>49</x:v>
      </x:c>
      <x:c r="W51" s="6" t="n">
        <x:f>IF(ISBLANK('_INSTANCE'!F51),"",'_INSTANCE'!F51)</x:f>
        <x:v>700</x:v>
      </x:c>
      <x:c r="X51" s="6"/>
      <x:c r="Y51" s="6"/>
      <x:c r="Z51" s="6"/>
      <x:c r="AA51" s="6"/>
      <x:c r="AB51" s="6"/>
      <x:c r="AC51" s="6"/>
      <x:c r="AD51" s="6"/>
      <x:c r="AE51" s="6"/>
      <x:c r="AF51" s="6"/>
    </x:row>
    <x:row r="52">
      <x:c r="A52" s="6" t="str">
        <x:f>IF(ISBLANK('_CHECKPOINTS'!A52),"",'_CHECKPOINTS'!A52)</x:f>
      </x:c>
      <x:c r="B52" s="6" t="str">
        <x:f>IF(ISBLANK('_CHECKPOINTS'!B52),"",'_CHECKPOINTS'!B52)</x:f>
      </x:c>
      <x:c r="C52" s="6"/>
      <x:c r="D52" s="6"/>
      <x:c r="E52" s="6"/>
      <x:c r="F52" s="6"/>
      <x:c r="G52" s="6" t="str">
        <x:f>IF(ISBLANK('_RUNS'!B52),"",'_RUNS'!B52)</x:f>
      </x:c>
      <x:c r="H52" s="6" t="str">
        <x:f>IF(ISBLANK('_RUNS'!C52),"",'_RUNS'!C52)</x:f>
      </x:c>
      <x:c r="I52" s="6" t="str">
        <x:f>IF(G52="","",IF('_CONFIG'!$B$12="","",'_CONFIG'!$B$12))</x:f>
      </x:c>
      <x:c r="J52" s="6"/>
      <x:c r="K52" s="6" t="str">
        <x:f>IF(ISBLANK('_CHECKPOINTS'!A52),"",'_CHECKPOINTS'!A52)</x:f>
      </x:c>
      <x:c r="L52" s="6" t="str">
        <x:f>IF(ISBLANK('_CHECKPOINTS'!B52),"",'_CHECKPOINTS'!B52)</x:f>
      </x:c>
      <x:c r="M52" s="6" t="str">
        <x:f>IF(ISBLANK('_CHECKPOINTS'!D52),"",'_CHECKPOINTS'!D52)</x:f>
      </x:c>
      <x:c r="N52" s="6" t="str">
        <x:f>IF(ISBLANK('_CHECKPOINTS'!G52),"",'_CHECKPOINTS'!G52)</x:f>
      </x:c>
      <x:c r="O52" s="6"/>
      <x:c r="P52" s="6"/>
      <x:c r="Q52" s="6"/>
      <x:c r="R52" s="6"/>
      <x:c r="S52" s="6"/>
      <x:c r="T52" s="6"/>
      <x:c r="U52" s="6"/>
      <x:c r="V52" s="6" t="n">
        <x:f>IF(ISBLANK('_INSTANCE'!B52),"",'_INSTANCE'!B52)</x:f>
        <x:v>50</x:v>
      </x:c>
      <x:c r="W52" s="6" t="n">
        <x:f>IF(ISBLANK('_INSTANCE'!F52),"",'_INSTANCE'!F52)</x:f>
        <x:v>700</x:v>
      </x:c>
      <x:c r="X52" s="6"/>
      <x:c r="Y52" s="6"/>
      <x:c r="Z52" s="6"/>
      <x:c r="AA52" s="6"/>
      <x:c r="AB52" s="6"/>
      <x:c r="AC52" s="6"/>
      <x:c r="AD52" s="6"/>
      <x:c r="AE52" s="6"/>
      <x:c r="AF52" s="6"/>
    </x:row>
    <x:row r="53">
      <x:c r="A53" s="6" t="str">
        <x:f>IF(ISBLANK('_CHECKPOINTS'!A53),"",'_CHECKPOINTS'!A53)</x:f>
      </x:c>
      <x:c r="B53" s="6" t="str">
        <x:f>IF(ISBLANK('_CHECKPOINTS'!B53),"",'_CHECKPOINTS'!B53)</x:f>
      </x:c>
      <x:c r="C53" s="6"/>
      <x:c r="D53" s="6"/>
      <x:c r="E53" s="6"/>
      <x:c r="F53" s="6"/>
      <x:c r="G53" s="6" t="str">
        <x:f>IF(ISBLANK('_RUNS'!B53),"",'_RUNS'!B53)</x:f>
      </x:c>
      <x:c r="H53" s="6" t="str">
        <x:f>IF(ISBLANK('_RUNS'!C53),"",'_RUNS'!C53)</x:f>
      </x:c>
      <x:c r="I53" s="6" t="str">
        <x:f>IF(G53="","",IF('_CONFIG'!$B$12="","",'_CONFIG'!$B$12))</x:f>
      </x:c>
      <x:c r="J53" s="6"/>
      <x:c r="K53" s="6" t="str">
        <x:f>IF(ISBLANK('_CHECKPOINTS'!A53),"",'_CHECKPOINTS'!A53)</x:f>
      </x:c>
      <x:c r="L53" s="6" t="str">
        <x:f>IF(ISBLANK('_CHECKPOINTS'!B53),"",'_CHECKPOINTS'!B53)</x:f>
      </x:c>
      <x:c r="M53" s="6" t="str">
        <x:f>IF(ISBLANK('_CHECKPOINTS'!D53),"",'_CHECKPOINTS'!D53)</x:f>
      </x:c>
      <x:c r="N53" s="6" t="str">
        <x:f>IF(ISBLANK('_CHECKPOINTS'!G53),"",'_CHECKPOINTS'!G53)</x:f>
      </x:c>
      <x:c r="O53" s="6"/>
      <x:c r="P53" s="6"/>
      <x:c r="Q53" s="6"/>
      <x:c r="R53" s="6"/>
      <x:c r="S53" s="6"/>
      <x:c r="T53" s="6"/>
      <x:c r="U53" s="6"/>
      <x:c r="V53" s="6" t="n">
        <x:f>IF(ISBLANK('_INSTANCE'!B53),"",'_INSTANCE'!B53)</x:f>
        <x:v>51</x:v>
      </x:c>
      <x:c r="W53" s="6" t="n">
        <x:f>IF(ISBLANK('_INSTANCE'!F53),"",'_INSTANCE'!F53)</x:f>
        <x:v>700</x:v>
      </x:c>
      <x:c r="X53" s="6"/>
      <x:c r="Y53" s="6"/>
      <x:c r="Z53" s="6"/>
      <x:c r="AA53" s="6"/>
      <x:c r="AB53" s="6"/>
      <x:c r="AC53" s="6"/>
      <x:c r="AD53" s="6"/>
      <x:c r="AE53" s="6"/>
      <x:c r="AF53" s="6"/>
    </x:row>
    <x:row r="54">
      <x:c r="A54" s="6" t="str">
        <x:f>IF(ISBLANK('_CHECKPOINTS'!A54),"",'_CHECKPOINTS'!A54)</x:f>
      </x:c>
      <x:c r="B54" s="6" t="str">
        <x:f>IF(ISBLANK('_CHECKPOINTS'!B54),"",'_CHECKPOINTS'!B54)</x:f>
      </x:c>
      <x:c r="C54" s="6"/>
      <x:c r="D54" s="6"/>
      <x:c r="E54" s="6"/>
      <x:c r="F54" s="6"/>
      <x:c r="G54" s="6" t="str">
        <x:f>IF(ISBLANK('_RUNS'!B54),"",'_RUNS'!B54)</x:f>
      </x:c>
      <x:c r="H54" s="6" t="str">
        <x:f>IF(ISBLANK('_RUNS'!C54),"",'_RUNS'!C54)</x:f>
      </x:c>
      <x:c r="I54" s="6" t="str">
        <x:f>IF(G54="","",IF('_CONFIG'!$B$12="","",'_CONFIG'!$B$12))</x:f>
      </x:c>
      <x:c r="J54" s="6"/>
      <x:c r="K54" s="6" t="str">
        <x:f>IF(ISBLANK('_CHECKPOINTS'!A54),"",'_CHECKPOINTS'!A54)</x:f>
      </x:c>
      <x:c r="L54" s="6" t="str">
        <x:f>IF(ISBLANK('_CHECKPOINTS'!B54),"",'_CHECKPOINTS'!B54)</x:f>
      </x:c>
      <x:c r="M54" s="6" t="str">
        <x:f>IF(ISBLANK('_CHECKPOINTS'!D54),"",'_CHECKPOINTS'!D54)</x:f>
      </x:c>
      <x:c r="N54" s="6" t="str">
        <x:f>IF(ISBLANK('_CHECKPOINTS'!G54),"",'_CHECKPOINTS'!G54)</x:f>
      </x:c>
      <x:c r="O54" s="6"/>
      <x:c r="P54" s="6"/>
      <x:c r="Q54" s="6"/>
      <x:c r="R54" s="6"/>
      <x:c r="S54" s="6"/>
      <x:c r="T54" s="6"/>
      <x:c r="U54" s="6"/>
      <x:c r="V54" s="6" t="n">
        <x:f>IF(ISBLANK('_INSTANCE'!B54),"",'_INSTANCE'!B54)</x:f>
        <x:v>52</x:v>
      </x:c>
      <x:c r="W54" s="6" t="n">
        <x:f>IF(ISBLANK('_INSTANCE'!F54),"",'_INSTANCE'!F54)</x:f>
        <x:v>800</x:v>
      </x:c>
      <x:c r="X54" s="6"/>
      <x:c r="Y54" s="6"/>
      <x:c r="Z54" s="6"/>
      <x:c r="AA54" s="6"/>
      <x:c r="AB54" s="6"/>
      <x:c r="AC54" s="6"/>
      <x:c r="AD54" s="6"/>
      <x:c r="AE54" s="6"/>
      <x:c r="AF54" s="6"/>
    </x:row>
    <x:row r="55">
      <x:c r="A55" s="6" t="str">
        <x:f>IF(ISBLANK('_CHECKPOINTS'!A55),"",'_CHECKPOINTS'!A55)</x:f>
      </x:c>
      <x:c r="B55" s="6" t="str">
        <x:f>IF(ISBLANK('_CHECKPOINTS'!B55),"",'_CHECKPOINTS'!B55)</x:f>
      </x:c>
      <x:c r="C55" s="6"/>
      <x:c r="D55" s="6"/>
      <x:c r="E55" s="6"/>
      <x:c r="F55" s="6"/>
      <x:c r="G55" s="6" t="str">
        <x:f>IF(ISBLANK('_RUNS'!B55),"",'_RUNS'!B55)</x:f>
      </x:c>
      <x:c r="H55" s="6" t="str">
        <x:f>IF(ISBLANK('_RUNS'!C55),"",'_RUNS'!C55)</x:f>
      </x:c>
      <x:c r="I55" s="6" t="str">
        <x:f>IF(G55="","",IF('_CONFIG'!$B$12="","",'_CONFIG'!$B$12))</x:f>
      </x:c>
      <x:c r="J55" s="6"/>
      <x:c r="K55" s="6" t="str">
        <x:f>IF(ISBLANK('_CHECKPOINTS'!A55),"",'_CHECKPOINTS'!A55)</x:f>
      </x:c>
      <x:c r="L55" s="6" t="str">
        <x:f>IF(ISBLANK('_CHECKPOINTS'!B55),"",'_CHECKPOINTS'!B55)</x:f>
      </x:c>
      <x:c r="M55" s="6" t="str">
        <x:f>IF(ISBLANK('_CHECKPOINTS'!D55),"",'_CHECKPOINTS'!D55)</x:f>
      </x:c>
      <x:c r="N55" s="6" t="str">
        <x:f>IF(ISBLANK('_CHECKPOINTS'!G55),"",'_CHECKPOINTS'!G55)</x:f>
      </x:c>
      <x:c r="O55" s="6"/>
      <x:c r="P55" s="6"/>
      <x:c r="Q55" s="6"/>
      <x:c r="R55" s="6"/>
      <x:c r="S55" s="6"/>
      <x:c r="T55" s="6"/>
      <x:c r="U55" s="6"/>
      <x:c r="V55" s="6" t="n">
        <x:f>IF(ISBLANK('_INSTANCE'!B55),"",'_INSTANCE'!B55)</x:f>
        <x:v>53</x:v>
      </x:c>
      <x:c r="W55" s="6" t="n">
        <x:f>IF(ISBLANK('_INSTANCE'!F55),"",'_INSTANCE'!F55)</x:f>
        <x:v>800</x:v>
      </x:c>
      <x:c r="X55" s="6"/>
      <x:c r="Y55" s="6"/>
      <x:c r="Z55" s="6"/>
      <x:c r="AA55" s="6"/>
      <x:c r="AB55" s="6"/>
      <x:c r="AC55" s="6"/>
      <x:c r="AD55" s="6"/>
      <x:c r="AE55" s="6"/>
      <x:c r="AF55" s="6"/>
    </x:row>
    <x:row r="56">
      <x:c r="A56" s="6" t="str">
        <x:f>IF(ISBLANK('_CHECKPOINTS'!A56),"",'_CHECKPOINTS'!A56)</x:f>
      </x:c>
      <x:c r="B56" s="6" t="str">
        <x:f>IF(ISBLANK('_CHECKPOINTS'!B56),"",'_CHECKPOINTS'!B56)</x:f>
      </x:c>
      <x:c r="C56" s="6"/>
      <x:c r="D56" s="6"/>
      <x:c r="E56" s="6"/>
      <x:c r="F56" s="6"/>
      <x:c r="G56" s="6" t="str">
        <x:f>IF(ISBLANK('_RUNS'!B56),"",'_RUNS'!B56)</x:f>
      </x:c>
      <x:c r="H56" s="6" t="str">
        <x:f>IF(ISBLANK('_RUNS'!C56),"",'_RUNS'!C56)</x:f>
      </x:c>
      <x:c r="I56" s="6" t="str">
        <x:f>IF(G56="","",IF('_CONFIG'!$B$12="","",'_CONFIG'!$B$12))</x:f>
      </x:c>
      <x:c r="J56" s="6"/>
      <x:c r="K56" s="6" t="str">
        <x:f>IF(ISBLANK('_CHECKPOINTS'!A56),"",'_CHECKPOINTS'!A56)</x:f>
      </x:c>
      <x:c r="L56" s="6" t="str">
        <x:f>IF(ISBLANK('_CHECKPOINTS'!B56),"",'_CHECKPOINTS'!B56)</x:f>
      </x:c>
      <x:c r="M56" s="6" t="str">
        <x:f>IF(ISBLANK('_CHECKPOINTS'!D56),"",'_CHECKPOINTS'!D56)</x:f>
      </x:c>
      <x:c r="N56" s="6" t="str">
        <x:f>IF(ISBLANK('_CHECKPOINTS'!G56),"",'_CHECKPOINTS'!G56)</x:f>
      </x:c>
      <x:c r="O56" s="6"/>
      <x:c r="P56" s="6"/>
      <x:c r="Q56" s="6"/>
      <x:c r="R56" s="6"/>
      <x:c r="S56" s="6"/>
      <x:c r="T56" s="6"/>
      <x:c r="U56" s="6"/>
      <x:c r="V56" s="6" t="n">
        <x:f>IF(ISBLANK('_INSTANCE'!B56),"",'_INSTANCE'!B56)</x:f>
        <x:v>54</x:v>
      </x:c>
      <x:c r="W56" s="6" t="n">
        <x:f>IF(ISBLANK('_INSTANCE'!F56),"",'_INSTANCE'!F56)</x:f>
        <x:v>800</x:v>
      </x:c>
      <x:c r="X56" s="6"/>
      <x:c r="Y56" s="6"/>
      <x:c r="Z56" s="6"/>
      <x:c r="AA56" s="6"/>
      <x:c r="AB56" s="6"/>
      <x:c r="AC56" s="6"/>
      <x:c r="AD56" s="6"/>
      <x:c r="AE56" s="6"/>
      <x:c r="AF56" s="6"/>
    </x:row>
    <x:row r="57">
      <x:c r="A57" s="6" t="str">
        <x:f>IF(ISBLANK('_CHECKPOINTS'!A57),"",'_CHECKPOINTS'!A57)</x:f>
      </x:c>
      <x:c r="B57" s="6" t="str">
        <x:f>IF(ISBLANK('_CHECKPOINTS'!B57),"",'_CHECKPOINTS'!B57)</x:f>
      </x:c>
      <x:c r="C57" s="6"/>
      <x:c r="D57" s="6"/>
      <x:c r="E57" s="6"/>
      <x:c r="F57" s="6"/>
      <x:c r="G57" s="6" t="str">
        <x:f>IF(ISBLANK('_RUNS'!B57),"",'_RUNS'!B57)</x:f>
      </x:c>
      <x:c r="H57" s="6" t="str">
        <x:f>IF(ISBLANK('_RUNS'!C57),"",'_RUNS'!C57)</x:f>
      </x:c>
      <x:c r="I57" s="6" t="str">
        <x:f>IF(G57="","",IF('_CONFIG'!$B$12="","",'_CONFIG'!$B$12))</x:f>
      </x:c>
      <x:c r="J57" s="6"/>
      <x:c r="K57" s="6" t="str">
        <x:f>IF(ISBLANK('_CHECKPOINTS'!A57),"",'_CHECKPOINTS'!A57)</x:f>
      </x:c>
      <x:c r="L57" s="6" t="str">
        <x:f>IF(ISBLANK('_CHECKPOINTS'!B57),"",'_CHECKPOINTS'!B57)</x:f>
      </x:c>
      <x:c r="M57" s="6" t="str">
        <x:f>IF(ISBLANK('_CHECKPOINTS'!D57),"",'_CHECKPOINTS'!D57)</x:f>
      </x:c>
      <x:c r="N57" s="6" t="str">
        <x:f>IF(ISBLANK('_CHECKPOINTS'!G57),"",'_CHECKPOINTS'!G57)</x:f>
      </x:c>
      <x:c r="O57" s="6"/>
      <x:c r="P57" s="6"/>
      <x:c r="Q57" s="6"/>
      <x:c r="R57" s="6"/>
      <x:c r="S57" s="6"/>
      <x:c r="T57" s="6"/>
      <x:c r="U57" s="6"/>
      <x:c r="V57" s="6" t="n">
        <x:f>IF(ISBLANK('_INSTANCE'!B57),"",'_INSTANCE'!B57)</x:f>
        <x:v>55</x:v>
      </x:c>
      <x:c r="W57" s="6" t="n">
        <x:f>IF(ISBLANK('_INSTANCE'!F57),"",'_INSTANCE'!F57)</x:f>
        <x:v>800</x:v>
      </x:c>
      <x:c r="X57" s="6"/>
      <x:c r="Y57" s="6"/>
      <x:c r="Z57" s="6"/>
      <x:c r="AA57" s="6"/>
      <x:c r="AB57" s="6"/>
      <x:c r="AC57" s="6"/>
      <x:c r="AD57" s="6"/>
      <x:c r="AE57" s="6"/>
      <x:c r="AF57" s="6"/>
    </x:row>
    <x:row r="58">
      <x:c r="A58" s="6" t="str">
        <x:f>IF(ISBLANK('_CHECKPOINTS'!A58),"",'_CHECKPOINTS'!A58)</x:f>
      </x:c>
      <x:c r="B58" s="6" t="str">
        <x:f>IF(ISBLANK('_CHECKPOINTS'!B58),"",'_CHECKPOINTS'!B58)</x:f>
      </x:c>
      <x:c r="C58" s="6"/>
      <x:c r="D58" s="6"/>
      <x:c r="E58" s="6"/>
      <x:c r="F58" s="6"/>
      <x:c r="G58" s="6" t="str">
        <x:f>IF(ISBLANK('_RUNS'!B58),"",'_RUNS'!B58)</x:f>
      </x:c>
      <x:c r="H58" s="6" t="str">
        <x:f>IF(ISBLANK('_RUNS'!C58),"",'_RUNS'!C58)</x:f>
      </x:c>
      <x:c r="I58" s="6" t="str">
        <x:f>IF(G58="","",IF('_CONFIG'!$B$12="","",'_CONFIG'!$B$12))</x:f>
      </x:c>
      <x:c r="J58" s="6"/>
      <x:c r="K58" s="6" t="str">
        <x:f>IF(ISBLANK('_CHECKPOINTS'!A58),"",'_CHECKPOINTS'!A58)</x:f>
      </x:c>
      <x:c r="L58" s="6" t="str">
        <x:f>IF(ISBLANK('_CHECKPOINTS'!B58),"",'_CHECKPOINTS'!B58)</x:f>
      </x:c>
      <x:c r="M58" s="6" t="str">
        <x:f>IF(ISBLANK('_CHECKPOINTS'!D58),"",'_CHECKPOINTS'!D58)</x:f>
      </x:c>
      <x:c r="N58" s="6" t="str">
        <x:f>IF(ISBLANK('_CHECKPOINTS'!G58),"",'_CHECKPOINTS'!G58)</x:f>
      </x:c>
      <x:c r="O58" s="6"/>
      <x:c r="P58" s="6"/>
      <x:c r="Q58" s="6"/>
      <x:c r="R58" s="6"/>
      <x:c r="S58" s="6"/>
      <x:c r="T58" s="6"/>
      <x:c r="U58" s="6"/>
      <x:c r="V58" s="6" t="n">
        <x:f>IF(ISBLANK('_INSTANCE'!B58),"",'_INSTANCE'!B58)</x:f>
        <x:v>56</x:v>
      </x:c>
      <x:c r="W58" s="6" t="n">
        <x:f>IF(ISBLANK('_INSTANCE'!F58),"",'_INSTANCE'!F58)</x:f>
        <x:v>1900</x:v>
      </x:c>
      <x:c r="X58" s="6"/>
      <x:c r="Y58" s="6"/>
      <x:c r="Z58" s="6"/>
      <x:c r="AA58" s="6"/>
      <x:c r="AB58" s="6"/>
      <x:c r="AC58" s="6"/>
      <x:c r="AD58" s="6"/>
      <x:c r="AE58" s="6"/>
      <x:c r="AF58" s="6"/>
    </x:row>
    <x:row r="59">
      <x:c r="A59" s="6" t="str">
        <x:f>IF(ISBLANK('_CHECKPOINTS'!A59),"",'_CHECKPOINTS'!A59)</x:f>
      </x:c>
      <x:c r="B59" s="6" t="str">
        <x:f>IF(ISBLANK('_CHECKPOINTS'!B59),"",'_CHECKPOINTS'!B59)</x:f>
      </x:c>
      <x:c r="C59" s="6"/>
      <x:c r="D59" s="6"/>
      <x:c r="E59" s="6"/>
      <x:c r="F59" s="6"/>
      <x:c r="G59" s="6" t="str">
        <x:f>IF(ISBLANK('_RUNS'!B59),"",'_RUNS'!B59)</x:f>
      </x:c>
      <x:c r="H59" s="6" t="str">
        <x:f>IF(ISBLANK('_RUNS'!C59),"",'_RUNS'!C59)</x:f>
      </x:c>
      <x:c r="I59" s="6" t="str">
        <x:f>IF(G59="","",IF('_CONFIG'!$B$12="","",'_CONFIG'!$B$12))</x:f>
      </x:c>
      <x:c r="J59" s="6"/>
      <x:c r="K59" s="6" t="str">
        <x:f>IF(ISBLANK('_CHECKPOINTS'!A59),"",'_CHECKPOINTS'!A59)</x:f>
      </x:c>
      <x:c r="L59" s="6" t="str">
        <x:f>IF(ISBLANK('_CHECKPOINTS'!B59),"",'_CHECKPOINTS'!B59)</x:f>
      </x:c>
      <x:c r="M59" s="6" t="str">
        <x:f>IF(ISBLANK('_CHECKPOINTS'!D59),"",'_CHECKPOINTS'!D59)</x:f>
      </x:c>
      <x:c r="N59" s="6" t="str">
        <x:f>IF(ISBLANK('_CHECKPOINTS'!G59),"",'_CHECKPOINTS'!G59)</x:f>
      </x:c>
      <x:c r="O59" s="6"/>
      <x:c r="P59" s="6"/>
      <x:c r="Q59" s="6"/>
      <x:c r="R59" s="6"/>
      <x:c r="S59" s="6"/>
      <x:c r="T59" s="6"/>
      <x:c r="U59" s="6"/>
      <x:c r="V59" s="6" t="n">
        <x:f>IF(ISBLANK('_INSTANCE'!B59),"",'_INSTANCE'!B59)</x:f>
        <x:v>57</x:v>
      </x:c>
      <x:c r="W59" s="6" t="n">
        <x:f>IF(ISBLANK('_INSTANCE'!F59),"",'_INSTANCE'!F59)</x:f>
        <x:v>1900</x:v>
      </x:c>
      <x:c r="X59" s="6"/>
      <x:c r="Y59" s="6"/>
      <x:c r="Z59" s="6"/>
      <x:c r="AA59" s="6"/>
      <x:c r="AB59" s="6"/>
      <x:c r="AC59" s="6"/>
      <x:c r="AD59" s="6"/>
      <x:c r="AE59" s="6"/>
      <x:c r="AF59" s="6"/>
    </x:row>
    <x:row r="60">
      <x:c r="A60" s="6" t="str">
        <x:f>IF(ISBLANK('_CHECKPOINTS'!A60),"",'_CHECKPOINTS'!A60)</x:f>
      </x:c>
      <x:c r="B60" s="6" t="str">
        <x:f>IF(ISBLANK('_CHECKPOINTS'!B60),"",'_CHECKPOINTS'!B60)</x:f>
      </x:c>
      <x:c r="C60" s="6"/>
      <x:c r="D60" s="6"/>
      <x:c r="E60" s="6"/>
      <x:c r="F60" s="6"/>
      <x:c r="G60" s="6" t="str">
        <x:f>IF(ISBLANK('_RUNS'!B60),"",'_RUNS'!B60)</x:f>
      </x:c>
      <x:c r="H60" s="6" t="str">
        <x:f>IF(ISBLANK('_RUNS'!C60),"",'_RUNS'!C60)</x:f>
      </x:c>
      <x:c r="I60" s="6" t="str">
        <x:f>IF(G60="","",IF('_CONFIG'!$B$12="","",'_CONFIG'!$B$12))</x:f>
      </x:c>
      <x:c r="J60" s="6"/>
      <x:c r="K60" s="6" t="str">
        <x:f>IF(ISBLANK('_CHECKPOINTS'!A60),"",'_CHECKPOINTS'!A60)</x:f>
      </x:c>
      <x:c r="L60" s="6" t="str">
        <x:f>IF(ISBLANK('_CHECKPOINTS'!B60),"",'_CHECKPOINTS'!B60)</x:f>
      </x:c>
      <x:c r="M60" s="6" t="str">
        <x:f>IF(ISBLANK('_CHECKPOINTS'!D60),"",'_CHECKPOINTS'!D60)</x:f>
      </x:c>
      <x:c r="N60" s="6" t="str">
        <x:f>IF(ISBLANK('_CHECKPOINTS'!G60),"",'_CHECKPOINTS'!G60)</x:f>
      </x:c>
      <x:c r="O60" s="6"/>
      <x:c r="P60" s="6"/>
      <x:c r="Q60" s="6"/>
      <x:c r="R60" s="6"/>
      <x:c r="S60" s="6"/>
      <x:c r="T60" s="6"/>
      <x:c r="U60" s="6"/>
      <x:c r="V60" s="6" t="n">
        <x:f>IF(ISBLANK('_INSTANCE'!B60),"",'_INSTANCE'!B60)</x:f>
        <x:v>58</x:v>
      </x:c>
      <x:c r="W60" s="6" t="n">
        <x:f>IF(ISBLANK('_INSTANCE'!F60),"",'_INSTANCE'!F60)</x:f>
        <x:v>1900</x:v>
      </x:c>
      <x:c r="X60" s="6"/>
      <x:c r="Y60" s="6"/>
      <x:c r="Z60" s="6"/>
      <x:c r="AA60" s="6"/>
      <x:c r="AB60" s="6"/>
      <x:c r="AC60" s="6"/>
      <x:c r="AD60" s="6"/>
      <x:c r="AE60" s="6"/>
      <x:c r="AF60" s="6"/>
    </x:row>
    <x:row r="61">
      <x:c r="A61" s="6" t="str">
        <x:f>IF(ISBLANK('_CHECKPOINTS'!A61),"",'_CHECKPOINTS'!A61)</x:f>
      </x:c>
      <x:c r="B61" s="6" t="str">
        <x:f>IF(ISBLANK('_CHECKPOINTS'!B61),"",'_CHECKPOINTS'!B61)</x:f>
      </x:c>
      <x:c r="C61" s="6"/>
      <x:c r="D61" s="6"/>
      <x:c r="E61" s="6"/>
      <x:c r="F61" s="6"/>
      <x:c r="G61" s="6" t="str">
        <x:f>IF(ISBLANK('_RUNS'!B61),"",'_RUNS'!B61)</x:f>
      </x:c>
      <x:c r="H61" s="6" t="str">
        <x:f>IF(ISBLANK('_RUNS'!C61),"",'_RUNS'!C61)</x:f>
      </x:c>
      <x:c r="I61" s="6" t="str">
        <x:f>IF(G61="","",IF('_CONFIG'!$B$12="","",'_CONFIG'!$B$12))</x:f>
      </x:c>
      <x:c r="J61" s="6"/>
      <x:c r="K61" s="6" t="str">
        <x:f>IF(ISBLANK('_CHECKPOINTS'!A61),"",'_CHECKPOINTS'!A61)</x:f>
      </x:c>
      <x:c r="L61" s="6" t="str">
        <x:f>IF(ISBLANK('_CHECKPOINTS'!B61),"",'_CHECKPOINTS'!B61)</x:f>
      </x:c>
      <x:c r="M61" s="6" t="str">
        <x:f>IF(ISBLANK('_CHECKPOINTS'!D61),"",'_CHECKPOINTS'!D61)</x:f>
      </x:c>
      <x:c r="N61" s="6" t="str">
        <x:f>IF(ISBLANK('_CHECKPOINTS'!G61),"",'_CHECKPOINTS'!G61)</x:f>
      </x:c>
      <x:c r="O61" s="6"/>
      <x:c r="P61" s="6"/>
      <x:c r="Q61" s="6"/>
      <x:c r="R61" s="6"/>
      <x:c r="S61" s="6"/>
      <x:c r="T61" s="6"/>
      <x:c r="U61" s="6"/>
      <x:c r="V61" s="6" t="n">
        <x:f>IF(ISBLANK('_INSTANCE'!B61),"",'_INSTANCE'!B61)</x:f>
        <x:v>59</x:v>
      </x:c>
      <x:c r="W61" s="6" t="n">
        <x:f>IF(ISBLANK('_INSTANCE'!F61),"",'_INSTANCE'!F61)</x:f>
        <x:v>1900</x:v>
      </x:c>
      <x:c r="X61" s="6"/>
      <x:c r="Y61" s="6"/>
      <x:c r="Z61" s="6"/>
      <x:c r="AA61" s="6"/>
      <x:c r="AB61" s="6"/>
      <x:c r="AC61" s="6"/>
      <x:c r="AD61" s="6"/>
      <x:c r="AE61" s="6"/>
      <x:c r="AF61" s="6"/>
    </x:row>
    <x:row r="62">
      <x:c r="A62" s="6" t="str">
        <x:f>IF(ISBLANK('_CHECKPOINTS'!A62),"",'_CHECKPOINTS'!A62)</x:f>
      </x:c>
      <x:c r="B62" s="6" t="str">
        <x:f>IF(ISBLANK('_CHECKPOINTS'!B62),"",'_CHECKPOINTS'!B62)</x:f>
      </x:c>
      <x:c r="C62" s="6"/>
      <x:c r="D62" s="6"/>
      <x:c r="E62" s="6"/>
      <x:c r="F62" s="6"/>
      <x:c r="G62" s="6" t="str">
        <x:f>IF(ISBLANK('_RUNS'!B62),"",'_RUNS'!B62)</x:f>
      </x:c>
      <x:c r="H62" s="6" t="str">
        <x:f>IF(ISBLANK('_RUNS'!C62),"",'_RUNS'!C62)</x:f>
      </x:c>
      <x:c r="I62" s="6" t="str">
        <x:f>IF(G62="","",IF('_CONFIG'!$B$12="","",'_CONFIG'!$B$12))</x:f>
      </x:c>
      <x:c r="J62" s="6"/>
      <x:c r="K62" s="6" t="str">
        <x:f>IF(ISBLANK('_CHECKPOINTS'!A62),"",'_CHECKPOINTS'!A62)</x:f>
      </x:c>
      <x:c r="L62" s="6" t="str">
        <x:f>IF(ISBLANK('_CHECKPOINTS'!B62),"",'_CHECKPOINTS'!B62)</x:f>
      </x:c>
      <x:c r="M62" s="6" t="str">
        <x:f>IF(ISBLANK('_CHECKPOINTS'!D62),"",'_CHECKPOINTS'!D62)</x:f>
      </x:c>
      <x:c r="N62" s="6" t="str">
        <x:f>IF(ISBLANK('_CHECKPOINTS'!G62),"",'_CHECKPOINTS'!G62)</x:f>
      </x:c>
      <x:c r="O62" s="6"/>
      <x:c r="P62" s="6"/>
      <x:c r="Q62" s="6"/>
      <x:c r="R62" s="6"/>
      <x:c r="S62" s="6"/>
      <x:c r="T62" s="6"/>
      <x:c r="U62" s="6"/>
      <x:c r="V62" s="6" t="n">
        <x:f>IF(ISBLANK('_INSTANCE'!B62),"",'_INSTANCE'!B62)</x:f>
        <x:v>60</x:v>
      </x:c>
      <x:c r="W62" s="6" t="n">
        <x:f>IF(ISBLANK('_INSTANCE'!F62),"",'_INSTANCE'!F62)</x:f>
        <x:v>2000</x:v>
      </x:c>
      <x:c r="X62" s="6"/>
      <x:c r="Y62" s="6"/>
      <x:c r="Z62" s="6"/>
      <x:c r="AA62" s="6"/>
      <x:c r="AB62" s="6"/>
      <x:c r="AC62" s="6"/>
      <x:c r="AD62" s="6"/>
      <x:c r="AE62" s="6"/>
      <x:c r="AF62" s="6"/>
    </x:row>
    <x:row r="63">
      <x:c r="A63" s="6" t="str">
        <x:f>IF(ISBLANK('_CHECKPOINTS'!A63),"",'_CHECKPOINTS'!A63)</x:f>
      </x:c>
      <x:c r="B63" s="6" t="str">
        <x:f>IF(ISBLANK('_CHECKPOINTS'!B63),"",'_CHECKPOINTS'!B63)</x:f>
      </x:c>
      <x:c r="C63" s="6"/>
      <x:c r="D63" s="6"/>
      <x:c r="E63" s="6"/>
      <x:c r="F63" s="6"/>
      <x:c r="G63" s="6" t="str">
        <x:f>IF(ISBLANK('_RUNS'!B63),"",'_RUNS'!B63)</x:f>
      </x:c>
      <x:c r="H63" s="6" t="str">
        <x:f>IF(ISBLANK('_RUNS'!C63),"",'_RUNS'!C63)</x:f>
      </x:c>
      <x:c r="I63" s="6" t="str">
        <x:f>IF(G63="","",IF('_CONFIG'!$B$12="","",'_CONFIG'!$B$12))</x:f>
      </x:c>
      <x:c r="J63" s="6"/>
      <x:c r="K63" s="6" t="str">
        <x:f>IF(ISBLANK('_CHECKPOINTS'!A63),"",'_CHECKPOINTS'!A63)</x:f>
      </x:c>
      <x:c r="L63" s="6" t="str">
        <x:f>IF(ISBLANK('_CHECKPOINTS'!B63),"",'_CHECKPOINTS'!B63)</x:f>
      </x:c>
      <x:c r="M63" s="6" t="str">
        <x:f>IF(ISBLANK('_CHECKPOINTS'!D63),"",'_CHECKPOINTS'!D63)</x:f>
      </x:c>
      <x:c r="N63" s="6" t="str">
        <x:f>IF(ISBLANK('_CHECKPOINTS'!G63),"",'_CHECKPOINTS'!G63)</x:f>
      </x:c>
      <x:c r="O63" s="6"/>
      <x:c r="P63" s="6"/>
      <x:c r="Q63" s="6"/>
      <x:c r="R63" s="6"/>
      <x:c r="S63" s="6"/>
      <x:c r="T63" s="6"/>
      <x:c r="U63" s="6"/>
      <x:c r="V63" s="6" t="n">
        <x:f>IF(ISBLANK('_INSTANCE'!B63),"",'_INSTANCE'!B63)</x:f>
        <x:v>61</x:v>
      </x:c>
      <x:c r="W63" s="6" t="n">
        <x:f>IF(ISBLANK('_INSTANCE'!F63),"",'_INSTANCE'!F63)</x:f>
        <x:v>2000</x:v>
      </x:c>
      <x:c r="X63" s="6"/>
      <x:c r="Y63" s="6"/>
      <x:c r="Z63" s="6"/>
      <x:c r="AA63" s="6"/>
      <x:c r="AB63" s="6"/>
      <x:c r="AC63" s="6"/>
      <x:c r="AD63" s="6"/>
      <x:c r="AE63" s="6"/>
      <x:c r="AF63" s="6"/>
    </x:row>
    <x:row r="64">
      <x:c r="A64" s="6" t="str">
        <x:f>IF(ISBLANK('_CHECKPOINTS'!A64),"",'_CHECKPOINTS'!A64)</x:f>
      </x:c>
      <x:c r="B64" s="6" t="str">
        <x:f>IF(ISBLANK('_CHECKPOINTS'!B64),"",'_CHECKPOINTS'!B64)</x:f>
      </x:c>
      <x:c r="C64" s="6"/>
      <x:c r="D64" s="6"/>
      <x:c r="E64" s="6"/>
      <x:c r="F64" s="6"/>
      <x:c r="G64" s="6" t="str">
        <x:f>IF(ISBLANK('_RUNS'!B64),"",'_RUNS'!B64)</x:f>
      </x:c>
      <x:c r="H64" s="6" t="str">
        <x:f>IF(ISBLANK('_RUNS'!C64),"",'_RUNS'!C64)</x:f>
      </x:c>
      <x:c r="I64" s="6" t="str">
        <x:f>IF(G64="","",IF('_CONFIG'!$B$12="","",'_CONFIG'!$B$12))</x:f>
      </x:c>
      <x:c r="J64" s="6"/>
      <x:c r="K64" s="6" t="str">
        <x:f>IF(ISBLANK('_CHECKPOINTS'!A64),"",'_CHECKPOINTS'!A64)</x:f>
      </x:c>
      <x:c r="L64" s="6" t="str">
        <x:f>IF(ISBLANK('_CHECKPOINTS'!B64),"",'_CHECKPOINTS'!B64)</x:f>
      </x:c>
      <x:c r="M64" s="6" t="str">
        <x:f>IF(ISBLANK('_CHECKPOINTS'!D64),"",'_CHECKPOINTS'!D64)</x:f>
      </x:c>
      <x:c r="N64" s="6" t="str">
        <x:f>IF(ISBLANK('_CHECKPOINTS'!G64),"",'_CHECKPOINTS'!G64)</x:f>
      </x:c>
      <x:c r="O64" s="6"/>
      <x:c r="P64" s="6"/>
      <x:c r="Q64" s="6"/>
      <x:c r="R64" s="6"/>
      <x:c r="S64" s="6"/>
      <x:c r="T64" s="6"/>
      <x:c r="U64" s="6"/>
      <x:c r="V64" s="6" t="n">
        <x:f>IF(ISBLANK('_INSTANCE'!B64),"",'_INSTANCE'!B64)</x:f>
        <x:v>62</x:v>
      </x:c>
      <x:c r="W64" s="6" t="n">
        <x:f>IF(ISBLANK('_INSTANCE'!F64),"",'_INSTANCE'!F64)</x:f>
        <x:v>2000</x:v>
      </x:c>
      <x:c r="X64" s="6"/>
      <x:c r="Y64" s="6"/>
      <x:c r="Z64" s="6"/>
      <x:c r="AA64" s="6"/>
      <x:c r="AB64" s="6"/>
      <x:c r="AC64" s="6"/>
      <x:c r="AD64" s="6"/>
      <x:c r="AE64" s="6"/>
      <x:c r="AF64" s="6"/>
    </x:row>
    <x:row r="65">
      <x:c r="A65" s="6" t="str">
        <x:f>IF(ISBLANK('_CHECKPOINTS'!A65),"",'_CHECKPOINTS'!A65)</x:f>
      </x:c>
      <x:c r="B65" s="6" t="str">
        <x:f>IF(ISBLANK('_CHECKPOINTS'!B65),"",'_CHECKPOINTS'!B65)</x:f>
      </x:c>
      <x:c r="C65" s="6"/>
      <x:c r="D65" s="6"/>
      <x:c r="E65" s="6"/>
      <x:c r="F65" s="6"/>
      <x:c r="G65" s="6" t="str">
        <x:f>IF(ISBLANK('_RUNS'!B65),"",'_RUNS'!B65)</x:f>
      </x:c>
      <x:c r="H65" s="6" t="str">
        <x:f>IF(ISBLANK('_RUNS'!C65),"",'_RUNS'!C65)</x:f>
      </x:c>
      <x:c r="I65" s="6" t="str">
        <x:f>IF(G65="","",IF('_CONFIG'!$B$12="","",'_CONFIG'!$B$12))</x:f>
      </x:c>
      <x:c r="J65" s="6"/>
      <x:c r="K65" s="6" t="str">
        <x:f>IF(ISBLANK('_CHECKPOINTS'!A65),"",'_CHECKPOINTS'!A65)</x:f>
      </x:c>
      <x:c r="L65" s="6" t="str">
        <x:f>IF(ISBLANK('_CHECKPOINTS'!B65),"",'_CHECKPOINTS'!B65)</x:f>
      </x:c>
      <x:c r="M65" s="6" t="str">
        <x:f>IF(ISBLANK('_CHECKPOINTS'!D65),"",'_CHECKPOINTS'!D65)</x:f>
      </x:c>
      <x:c r="N65" s="6" t="str">
        <x:f>IF(ISBLANK('_CHECKPOINTS'!G65),"",'_CHECKPOINTS'!G65)</x:f>
      </x:c>
      <x:c r="O65" s="6"/>
      <x:c r="P65" s="6"/>
      <x:c r="Q65" s="6"/>
      <x:c r="R65" s="6"/>
      <x:c r="S65" s="6"/>
      <x:c r="T65" s="6"/>
      <x:c r="U65" s="6"/>
      <x:c r="V65" s="6" t="n">
        <x:f>IF(ISBLANK('_INSTANCE'!B65),"",'_INSTANCE'!B65)</x:f>
        <x:v>63</x:v>
      </x:c>
      <x:c r="W65" s="6" t="n">
        <x:f>IF(ISBLANK('_INSTANCE'!F65),"",'_INSTANCE'!F65)</x:f>
        <x:v>2000</x:v>
      </x:c>
      <x:c r="X65" s="6"/>
      <x:c r="Y65" s="6"/>
      <x:c r="Z65" s="6"/>
      <x:c r="AA65" s="6"/>
      <x:c r="AB65" s="6"/>
      <x:c r="AC65" s="6"/>
      <x:c r="AD65" s="6"/>
      <x:c r="AE65" s="6"/>
      <x:c r="AF65" s="6"/>
    </x:row>
    <x:row r="66">
      <x:c r="A66" s="6" t="str">
        <x:f>IF(ISBLANK('_CHECKPOINTS'!A66),"",'_CHECKPOINTS'!A66)</x:f>
      </x:c>
      <x:c r="B66" s="6" t="str">
        <x:f>IF(ISBLANK('_CHECKPOINTS'!B66),"",'_CHECKPOINTS'!B66)</x:f>
      </x:c>
      <x:c r="C66" s="6"/>
      <x:c r="D66" s="6"/>
      <x:c r="E66" s="6"/>
      <x:c r="F66" s="6"/>
      <x:c r="G66" s="6" t="str">
        <x:f>IF(ISBLANK('_RUNS'!B66),"",'_RUNS'!B66)</x:f>
      </x:c>
      <x:c r="H66" s="6" t="str">
        <x:f>IF(ISBLANK('_RUNS'!C66),"",'_RUNS'!C66)</x:f>
      </x:c>
      <x:c r="I66" s="6" t="str">
        <x:f>IF(G66="","",IF('_CONFIG'!$B$12="","",'_CONFIG'!$B$12))</x:f>
      </x:c>
      <x:c r="J66" s="6"/>
      <x:c r="K66" s="6" t="str">
        <x:f>IF(ISBLANK('_CHECKPOINTS'!A66),"",'_CHECKPOINTS'!A66)</x:f>
      </x:c>
      <x:c r="L66" s="6" t="str">
        <x:f>IF(ISBLANK('_CHECKPOINTS'!B66),"",'_CHECKPOINTS'!B66)</x:f>
      </x:c>
      <x:c r="M66" s="6" t="str">
        <x:f>IF(ISBLANK('_CHECKPOINTS'!D66),"",'_CHECKPOINTS'!D66)</x:f>
      </x:c>
      <x:c r="N66" s="6" t="str">
        <x:f>IF(ISBLANK('_CHECKPOINTS'!G66),"",'_CHECKPOINTS'!G66)</x:f>
      </x:c>
      <x:c r="O66" s="6"/>
      <x:c r="P66" s="6"/>
      <x:c r="Q66" s="6"/>
      <x:c r="R66" s="6"/>
      <x:c r="S66" s="6"/>
      <x:c r="T66" s="6"/>
      <x:c r="U66" s="6"/>
      <x:c r="V66" s="6" t="n">
        <x:f>IF(ISBLANK('_INSTANCE'!B66),"",'_INSTANCE'!B66)</x:f>
        <x:v>64</x:v>
      </x:c>
      <x:c r="W66" s="6" t="n">
        <x:f>IF(ISBLANK('_INSTANCE'!F66),"",'_INSTANCE'!F66)</x:f>
        <x:v>2000</x:v>
      </x:c>
      <x:c r="X66" s="6"/>
      <x:c r="Y66" s="6"/>
      <x:c r="Z66" s="6"/>
      <x:c r="AA66" s="6"/>
      <x:c r="AB66" s="6"/>
      <x:c r="AC66" s="6"/>
      <x:c r="AD66" s="6"/>
      <x:c r="AE66" s="6"/>
      <x:c r="AF66" s="6"/>
    </x:row>
    <x:row r="67">
      <x:c r="A67" s="6" t="str">
        <x:f>IF(ISBLANK('_CHECKPOINTS'!A67),"",'_CHECKPOINTS'!A67)</x:f>
      </x:c>
      <x:c r="B67" s="6" t="str">
        <x:f>IF(ISBLANK('_CHECKPOINTS'!B67),"",'_CHECKPOINTS'!B67)</x:f>
      </x:c>
      <x:c r="C67" s="6"/>
      <x:c r="D67" s="6"/>
      <x:c r="E67" s="6"/>
      <x:c r="F67" s="6"/>
      <x:c r="G67" s="6" t="str">
        <x:f>IF(ISBLANK('_RUNS'!B67),"",'_RUNS'!B67)</x:f>
      </x:c>
      <x:c r="H67" s="6" t="str">
        <x:f>IF(ISBLANK('_RUNS'!C67),"",'_RUNS'!C67)</x:f>
      </x:c>
      <x:c r="I67" s="6" t="str">
        <x:f>IF(G67="","",IF('_CONFIG'!$B$12="","",'_CONFIG'!$B$12))</x:f>
      </x:c>
      <x:c r="J67" s="6"/>
      <x:c r="K67" s="6" t="str">
        <x:f>IF(ISBLANK('_CHECKPOINTS'!A67),"",'_CHECKPOINTS'!A67)</x:f>
      </x:c>
      <x:c r="L67" s="6" t="str">
        <x:f>IF(ISBLANK('_CHECKPOINTS'!B67),"",'_CHECKPOINTS'!B67)</x:f>
      </x:c>
      <x:c r="M67" s="6" t="str">
        <x:f>IF(ISBLANK('_CHECKPOINTS'!D67),"",'_CHECKPOINTS'!D67)</x:f>
      </x:c>
      <x:c r="N67" s="6" t="str">
        <x:f>IF(ISBLANK('_CHECKPOINTS'!G67),"",'_CHECKPOINTS'!G67)</x:f>
      </x:c>
      <x:c r="O67" s="6"/>
      <x:c r="P67" s="6"/>
      <x:c r="Q67" s="6"/>
      <x:c r="R67" s="6"/>
      <x:c r="S67" s="6"/>
      <x:c r="T67" s="6"/>
      <x:c r="U67" s="6"/>
      <x:c r="V67" s="6" t="n">
        <x:f>IF(ISBLANK('_INSTANCE'!B67),"",'_INSTANCE'!B67)</x:f>
        <x:v>65</x:v>
      </x:c>
      <x:c r="W67" s="6" t="n">
        <x:f>IF(ISBLANK('_INSTANCE'!F67),"",'_INSTANCE'!F67)</x:f>
        <x:v>2000</x:v>
      </x:c>
      <x:c r="X67" s="6"/>
      <x:c r="Y67" s="6"/>
      <x:c r="Z67" s="6"/>
      <x:c r="AA67" s="6"/>
      <x:c r="AB67" s="6"/>
      <x:c r="AC67" s="6"/>
      <x:c r="AD67" s="6"/>
      <x:c r="AE67" s="6"/>
      <x:c r="AF67" s="6"/>
    </x:row>
    <x:row r="68">
      <x:c r="A68" s="6" t="str">
        <x:f>IF(ISBLANK('_CHECKPOINTS'!A68),"",'_CHECKPOINTS'!A68)</x:f>
      </x:c>
      <x:c r="B68" s="6" t="str">
        <x:f>IF(ISBLANK('_CHECKPOINTS'!B68),"",'_CHECKPOINTS'!B68)</x:f>
      </x:c>
      <x:c r="C68" s="6"/>
      <x:c r="D68" s="6"/>
      <x:c r="E68" s="6"/>
      <x:c r="F68" s="6"/>
      <x:c r="G68" s="6" t="str">
        <x:f>IF(ISBLANK('_RUNS'!B68),"",'_RUNS'!B68)</x:f>
      </x:c>
      <x:c r="H68" s="6" t="str">
        <x:f>IF(ISBLANK('_RUNS'!C68),"",'_RUNS'!C68)</x:f>
      </x:c>
      <x:c r="I68" s="6" t="str">
        <x:f>IF(G68="","",IF('_CONFIG'!$B$12="","",'_CONFIG'!$B$12))</x:f>
      </x:c>
      <x:c r="J68" s="6"/>
      <x:c r="K68" s="6" t="str">
        <x:f>IF(ISBLANK('_CHECKPOINTS'!A68),"",'_CHECKPOINTS'!A68)</x:f>
      </x:c>
      <x:c r="L68" s="6" t="str">
        <x:f>IF(ISBLANK('_CHECKPOINTS'!B68),"",'_CHECKPOINTS'!B68)</x:f>
      </x:c>
      <x:c r="M68" s="6" t="str">
        <x:f>IF(ISBLANK('_CHECKPOINTS'!D68),"",'_CHECKPOINTS'!D68)</x:f>
      </x:c>
      <x:c r="N68" s="6" t="str">
        <x:f>IF(ISBLANK('_CHECKPOINTS'!G68),"",'_CHECKPOINTS'!G68)</x:f>
      </x:c>
      <x:c r="O68" s="6"/>
      <x:c r="P68" s="6"/>
      <x:c r="Q68" s="6"/>
      <x:c r="R68" s="6"/>
      <x:c r="S68" s="6"/>
      <x:c r="T68" s="6"/>
      <x:c r="U68" s="6"/>
      <x:c r="V68" s="6" t="n">
        <x:f>IF(ISBLANK('_INSTANCE'!B68),"",'_INSTANCE'!B68)</x:f>
        <x:v>66</x:v>
      </x:c>
      <x:c r="W68" s="6" t="n">
        <x:f>IF(ISBLANK('_INSTANCE'!F68),"",'_INSTANCE'!F68)</x:f>
        <x:v>2000</x:v>
      </x:c>
      <x:c r="X68" s="6"/>
      <x:c r="Y68" s="6"/>
      <x:c r="Z68" s="6"/>
      <x:c r="AA68" s="6"/>
      <x:c r="AB68" s="6"/>
      <x:c r="AC68" s="6"/>
      <x:c r="AD68" s="6"/>
      <x:c r="AE68" s="6"/>
      <x:c r="AF68" s="6"/>
    </x:row>
    <x:row r="69">
      <x:c r="A69" s="6" t="str">
        <x:f>IF(ISBLANK('_CHECKPOINTS'!A69),"",'_CHECKPOINTS'!A69)</x:f>
      </x:c>
      <x:c r="B69" s="6" t="str">
        <x:f>IF(ISBLANK('_CHECKPOINTS'!B69),"",'_CHECKPOINTS'!B69)</x:f>
      </x:c>
      <x:c r="C69" s="6"/>
      <x:c r="D69" s="6"/>
      <x:c r="E69" s="6"/>
      <x:c r="F69" s="6"/>
      <x:c r="G69" s="6" t="str">
        <x:f>IF(ISBLANK('_RUNS'!B69),"",'_RUNS'!B69)</x:f>
      </x:c>
      <x:c r="H69" s="6" t="str">
        <x:f>IF(ISBLANK('_RUNS'!C69),"",'_RUNS'!C69)</x:f>
      </x:c>
      <x:c r="I69" s="6" t="str">
        <x:f>IF(G69="","",IF('_CONFIG'!$B$12="","",'_CONFIG'!$B$12))</x:f>
      </x:c>
      <x:c r="J69" s="6"/>
      <x:c r="K69" s="6" t="str">
        <x:f>IF(ISBLANK('_CHECKPOINTS'!A69),"",'_CHECKPOINTS'!A69)</x:f>
      </x:c>
      <x:c r="L69" s="6" t="str">
        <x:f>IF(ISBLANK('_CHECKPOINTS'!B69),"",'_CHECKPOINTS'!B69)</x:f>
      </x:c>
      <x:c r="M69" s="6" t="str">
        <x:f>IF(ISBLANK('_CHECKPOINTS'!D69),"",'_CHECKPOINTS'!D69)</x:f>
      </x:c>
      <x:c r="N69" s="6" t="str">
        <x:f>IF(ISBLANK('_CHECKPOINTS'!G69),"",'_CHECKPOINTS'!G69)</x:f>
      </x:c>
      <x:c r="O69" s="6"/>
      <x:c r="P69" s="6"/>
      <x:c r="Q69" s="6"/>
      <x:c r="R69" s="6"/>
      <x:c r="S69" s="6"/>
      <x:c r="T69" s="6"/>
      <x:c r="U69" s="6"/>
      <x:c r="V69" s="6" t="n">
        <x:f>IF(ISBLANK('_INSTANCE'!B69),"",'_INSTANCE'!B69)</x:f>
        <x:v>67</x:v>
      </x:c>
      <x:c r="W69" s="6" t="n">
        <x:f>IF(ISBLANK('_INSTANCE'!F69),"",'_INSTANCE'!F69)</x:f>
        <x:v>2000</x:v>
      </x:c>
      <x:c r="X69" s="6"/>
      <x:c r="Y69" s="6"/>
      <x:c r="Z69" s="6"/>
      <x:c r="AA69" s="6"/>
      <x:c r="AB69" s="6"/>
      <x:c r="AC69" s="6"/>
      <x:c r="AD69" s="6"/>
      <x:c r="AE69" s="6"/>
      <x:c r="AF69" s="6"/>
    </x:row>
    <x:row r="70">
      <x:c r="A70" s="6" t="str">
        <x:f>IF(ISBLANK('_CHECKPOINTS'!A70),"",'_CHECKPOINTS'!A70)</x:f>
      </x:c>
      <x:c r="B70" s="6" t="str">
        <x:f>IF(ISBLANK('_CHECKPOINTS'!B70),"",'_CHECKPOINTS'!B70)</x:f>
      </x:c>
      <x:c r="C70" s="6"/>
      <x:c r="D70" s="6"/>
      <x:c r="E70" s="6"/>
      <x:c r="F70" s="6"/>
      <x:c r="G70" s="6" t="str">
        <x:f>IF(ISBLANK('_RUNS'!B70),"",'_RUNS'!B70)</x:f>
      </x:c>
      <x:c r="H70" s="6" t="str">
        <x:f>IF(ISBLANK('_RUNS'!C70),"",'_RUNS'!C70)</x:f>
      </x:c>
      <x:c r="I70" s="6" t="str">
        <x:f>IF(G70="","",IF('_CONFIG'!$B$12="","",'_CONFIG'!$B$12))</x:f>
      </x:c>
      <x:c r="J70" s="6"/>
      <x:c r="K70" s="6" t="str">
        <x:f>IF(ISBLANK('_CHECKPOINTS'!A70),"",'_CHECKPOINTS'!A70)</x:f>
      </x:c>
      <x:c r="L70" s="6" t="str">
        <x:f>IF(ISBLANK('_CHECKPOINTS'!B70),"",'_CHECKPOINTS'!B70)</x:f>
      </x:c>
      <x:c r="M70" s="6" t="str">
        <x:f>IF(ISBLANK('_CHECKPOINTS'!D70),"",'_CHECKPOINTS'!D70)</x:f>
      </x:c>
      <x:c r="N70" s="6" t="str">
        <x:f>IF(ISBLANK('_CHECKPOINTS'!G70),"",'_CHECKPOINTS'!G70)</x:f>
      </x:c>
      <x:c r="O70" s="6"/>
      <x:c r="P70" s="6"/>
      <x:c r="Q70" s="6"/>
      <x:c r="R70" s="6"/>
      <x:c r="S70" s="6"/>
      <x:c r="T70" s="6"/>
      <x:c r="U70" s="6"/>
      <x:c r="V70" s="6" t="n">
        <x:f>IF(ISBLANK('_INSTANCE'!B70),"",'_INSTANCE'!B70)</x:f>
        <x:v>68</x:v>
      </x:c>
      <x:c r="W70" s="6" t="n">
        <x:f>IF(ISBLANK('_INSTANCE'!F70),"",'_INSTANCE'!F70)</x:f>
        <x:v>2000</x:v>
      </x:c>
      <x:c r="X70" s="6"/>
      <x:c r="Y70" s="6"/>
      <x:c r="Z70" s="6"/>
      <x:c r="AA70" s="6"/>
      <x:c r="AB70" s="6"/>
      <x:c r="AC70" s="6"/>
      <x:c r="AD70" s="6"/>
      <x:c r="AE70" s="6"/>
      <x:c r="AF70" s="6"/>
    </x:row>
    <x:row r="71">
      <x:c r="A71" s="6" t="str">
        <x:f>IF(ISBLANK('_CHECKPOINTS'!A71),"",'_CHECKPOINTS'!A71)</x:f>
      </x:c>
      <x:c r="B71" s="6" t="str">
        <x:f>IF(ISBLANK('_CHECKPOINTS'!B71),"",'_CHECKPOINTS'!B71)</x:f>
      </x:c>
      <x:c r="C71" s="6"/>
      <x:c r="D71" s="6"/>
      <x:c r="E71" s="6"/>
      <x:c r="F71" s="6"/>
      <x:c r="G71" s="6" t="str">
        <x:f>IF(ISBLANK('_RUNS'!B71),"",'_RUNS'!B71)</x:f>
      </x:c>
      <x:c r="H71" s="6" t="str">
        <x:f>IF(ISBLANK('_RUNS'!C71),"",'_RUNS'!C71)</x:f>
      </x:c>
      <x:c r="I71" s="6" t="str">
        <x:f>IF(G71="","",IF('_CONFIG'!$B$12="","",'_CONFIG'!$B$12))</x:f>
      </x:c>
      <x:c r="J71" s="6"/>
      <x:c r="K71" s="6" t="str">
        <x:f>IF(ISBLANK('_CHECKPOINTS'!A71),"",'_CHECKPOINTS'!A71)</x:f>
      </x:c>
      <x:c r="L71" s="6" t="str">
        <x:f>IF(ISBLANK('_CHECKPOINTS'!B71),"",'_CHECKPOINTS'!B71)</x:f>
      </x:c>
      <x:c r="M71" s="6" t="str">
        <x:f>IF(ISBLANK('_CHECKPOINTS'!D71),"",'_CHECKPOINTS'!D71)</x:f>
      </x:c>
      <x:c r="N71" s="6" t="str">
        <x:f>IF(ISBLANK('_CHECKPOINTS'!G71),"",'_CHECKPOINTS'!G71)</x:f>
      </x:c>
      <x:c r="O71" s="6"/>
      <x:c r="P71" s="6"/>
      <x:c r="Q71" s="6"/>
      <x:c r="R71" s="6"/>
      <x:c r="S71" s="6"/>
      <x:c r="T71" s="6"/>
      <x:c r="U71" s="6"/>
      <x:c r="V71" s="6" t="n">
        <x:f>IF(ISBLANK('_INSTANCE'!B71),"",'_INSTANCE'!B71)</x:f>
        <x:v>69</x:v>
      </x:c>
      <x:c r="W71" s="6" t="n">
        <x:f>IF(ISBLANK('_INSTANCE'!F71),"",'_INSTANCE'!F71)</x:f>
        <x:v>2000</x:v>
      </x:c>
      <x:c r="X71" s="6"/>
      <x:c r="Y71" s="6"/>
      <x:c r="Z71" s="6"/>
      <x:c r="AA71" s="6"/>
      <x:c r="AB71" s="6"/>
      <x:c r="AC71" s="6"/>
      <x:c r="AD71" s="6"/>
      <x:c r="AE71" s="6"/>
      <x:c r="AF71" s="6"/>
    </x:row>
    <x:row r="72">
      <x:c r="A72" s="6" t="str">
        <x:f>IF(ISBLANK('_CHECKPOINTS'!A72),"",'_CHECKPOINTS'!A72)</x:f>
      </x:c>
      <x:c r="B72" s="6" t="str">
        <x:f>IF(ISBLANK('_CHECKPOINTS'!B72),"",'_CHECKPOINTS'!B72)</x:f>
      </x:c>
      <x:c r="C72" s="6"/>
      <x:c r="D72" s="6"/>
      <x:c r="E72" s="6"/>
      <x:c r="F72" s="6"/>
      <x:c r="G72" s="6" t="str">
        <x:f>IF(ISBLANK('_RUNS'!B72),"",'_RUNS'!B72)</x:f>
      </x:c>
      <x:c r="H72" s="6" t="str">
        <x:f>IF(ISBLANK('_RUNS'!C72),"",'_RUNS'!C72)</x:f>
      </x:c>
      <x:c r="I72" s="6" t="str">
        <x:f>IF(G72="","",IF('_CONFIG'!$B$12="","",'_CONFIG'!$B$12))</x:f>
      </x:c>
      <x:c r="J72" s="6"/>
      <x:c r="K72" s="6" t="str">
        <x:f>IF(ISBLANK('_CHECKPOINTS'!A72),"",'_CHECKPOINTS'!A72)</x:f>
      </x:c>
      <x:c r="L72" s="6" t="str">
        <x:f>IF(ISBLANK('_CHECKPOINTS'!B72),"",'_CHECKPOINTS'!B72)</x:f>
      </x:c>
      <x:c r="M72" s="6" t="str">
        <x:f>IF(ISBLANK('_CHECKPOINTS'!D72),"",'_CHECKPOINTS'!D72)</x:f>
      </x:c>
      <x:c r="N72" s="6" t="str">
        <x:f>IF(ISBLANK('_CHECKPOINTS'!G72),"",'_CHECKPOINTS'!G72)</x:f>
      </x:c>
      <x:c r="O72" s="6"/>
      <x:c r="P72" s="6"/>
      <x:c r="Q72" s="6"/>
      <x:c r="R72" s="6"/>
      <x:c r="S72" s="6"/>
      <x:c r="T72" s="6"/>
      <x:c r="U72" s="6"/>
      <x:c r="V72" s="6" t="n">
        <x:f>IF(ISBLANK('_INSTANCE'!B72),"",'_INSTANCE'!B72)</x:f>
        <x:v>70</x:v>
      </x:c>
      <x:c r="W72" s="6" t="n">
        <x:f>IF(ISBLANK('_INSTANCE'!F72),"",'_INSTANCE'!F72)</x:f>
        <x:v>2000</x:v>
      </x:c>
      <x:c r="X72" s="6"/>
      <x:c r="Y72" s="6"/>
      <x:c r="Z72" s="6"/>
      <x:c r="AA72" s="6"/>
      <x:c r="AB72" s="6"/>
      <x:c r="AC72" s="6"/>
      <x:c r="AD72" s="6"/>
      <x:c r="AE72" s="6"/>
      <x:c r="AF72" s="6"/>
    </x:row>
    <x:row r="73">
      <x:c r="A73" s="6" t="str">
        <x:f>IF(ISBLANK('_CHECKPOINTS'!A73),"",'_CHECKPOINTS'!A73)</x:f>
      </x:c>
      <x:c r="B73" s="6" t="str">
        <x:f>IF(ISBLANK('_CHECKPOINTS'!B73),"",'_CHECKPOINTS'!B73)</x:f>
      </x:c>
      <x:c r="C73" s="6"/>
      <x:c r="D73" s="6"/>
      <x:c r="E73" s="6"/>
      <x:c r="F73" s="6"/>
      <x:c r="G73" s="6" t="str">
        <x:f>IF(ISBLANK('_RUNS'!B73),"",'_RUNS'!B73)</x:f>
      </x:c>
      <x:c r="H73" s="6" t="str">
        <x:f>IF(ISBLANK('_RUNS'!C73),"",'_RUNS'!C73)</x:f>
      </x:c>
      <x:c r="I73" s="6" t="str">
        <x:f>IF(G73="","",IF('_CONFIG'!$B$12="","",'_CONFIG'!$B$12))</x:f>
      </x:c>
      <x:c r="J73" s="6"/>
      <x:c r="K73" s="6" t="str">
        <x:f>IF(ISBLANK('_CHECKPOINTS'!A73),"",'_CHECKPOINTS'!A73)</x:f>
      </x:c>
      <x:c r="L73" s="6" t="str">
        <x:f>IF(ISBLANK('_CHECKPOINTS'!B73),"",'_CHECKPOINTS'!B73)</x:f>
      </x:c>
      <x:c r="M73" s="6" t="str">
        <x:f>IF(ISBLANK('_CHECKPOINTS'!D73),"",'_CHECKPOINTS'!D73)</x:f>
      </x:c>
      <x:c r="N73" s="6" t="str">
        <x:f>IF(ISBLANK('_CHECKPOINTS'!G73),"",'_CHECKPOINTS'!G73)</x:f>
      </x:c>
      <x:c r="O73" s="6"/>
      <x:c r="P73" s="6"/>
      <x:c r="Q73" s="6"/>
      <x:c r="R73" s="6"/>
      <x:c r="S73" s="6"/>
      <x:c r="T73" s="6"/>
      <x:c r="U73" s="6"/>
      <x:c r="V73" s="6" t="n">
        <x:f>IF(ISBLANK('_INSTANCE'!B73),"",'_INSTANCE'!B73)</x:f>
        <x:v>71</x:v>
      </x:c>
      <x:c r="W73" s="6" t="n">
        <x:f>IF(ISBLANK('_INSTANCE'!F73),"",'_INSTANCE'!F73)</x:f>
        <x:v>2000</x:v>
      </x:c>
      <x:c r="X73" s="6"/>
      <x:c r="Y73" s="6"/>
      <x:c r="Z73" s="6"/>
      <x:c r="AA73" s="6"/>
      <x:c r="AB73" s="6"/>
      <x:c r="AC73" s="6"/>
      <x:c r="AD73" s="6"/>
      <x:c r="AE73" s="6"/>
      <x:c r="AF73" s="6"/>
    </x:row>
    <x:row r="74">
      <x:c r="A74" s="6" t="str">
        <x:f>IF(ISBLANK('_CHECKPOINTS'!A74),"",'_CHECKPOINTS'!A74)</x:f>
      </x:c>
      <x:c r="B74" s="6" t="str">
        <x:f>IF(ISBLANK('_CHECKPOINTS'!B74),"",'_CHECKPOINTS'!B74)</x:f>
      </x:c>
      <x:c r="C74" s="6"/>
      <x:c r="D74" s="6"/>
      <x:c r="E74" s="6"/>
      <x:c r="F74" s="6"/>
      <x:c r="G74" s="6" t="str">
        <x:f>IF(ISBLANK('_RUNS'!B74),"",'_RUNS'!B74)</x:f>
      </x:c>
      <x:c r="H74" s="6" t="str">
        <x:f>IF(ISBLANK('_RUNS'!C74),"",'_RUNS'!C74)</x:f>
      </x:c>
      <x:c r="I74" s="6" t="str">
        <x:f>IF(G74="","",IF('_CONFIG'!$B$12="","",'_CONFIG'!$B$12))</x:f>
      </x:c>
      <x:c r="J74" s="6"/>
      <x:c r="K74" s="6" t="str">
        <x:f>IF(ISBLANK('_CHECKPOINTS'!A74),"",'_CHECKPOINTS'!A74)</x:f>
      </x:c>
      <x:c r="L74" s="6" t="str">
        <x:f>IF(ISBLANK('_CHECKPOINTS'!B74),"",'_CHECKPOINTS'!B74)</x:f>
      </x:c>
      <x:c r="M74" s="6" t="str">
        <x:f>IF(ISBLANK('_CHECKPOINTS'!D74),"",'_CHECKPOINTS'!D74)</x:f>
      </x:c>
      <x:c r="N74" s="6" t="str">
        <x:f>IF(ISBLANK('_CHECKPOINTS'!G74),"",'_CHECKPOINTS'!G74)</x:f>
      </x:c>
      <x:c r="O74" s="6"/>
      <x:c r="P74" s="6"/>
      <x:c r="Q74" s="6"/>
      <x:c r="R74" s="6"/>
      <x:c r="S74" s="6"/>
      <x:c r="T74" s="6"/>
      <x:c r="U74" s="6"/>
      <x:c r="V74" s="6" t="n">
        <x:f>IF(ISBLANK('_INSTANCE'!B74),"",'_INSTANCE'!B74)</x:f>
        <x:v>72</x:v>
      </x:c>
      <x:c r="W74" s="6" t="n">
        <x:f>IF(ISBLANK('_INSTANCE'!F74),"",'_INSTANCE'!F74)</x:f>
        <x:v>2000</x:v>
      </x:c>
      <x:c r="X74" s="6"/>
      <x:c r="Y74" s="6"/>
      <x:c r="Z74" s="6"/>
      <x:c r="AA74" s="6"/>
      <x:c r="AB74" s="6"/>
      <x:c r="AC74" s="6"/>
      <x:c r="AD74" s="6"/>
      <x:c r="AE74" s="6"/>
      <x:c r="AF74" s="6"/>
    </x:row>
    <x:row r="75">
      <x:c r="A75" s="6" t="str">
        <x:f>IF(ISBLANK('_CHECKPOINTS'!A75),"",'_CHECKPOINTS'!A75)</x:f>
      </x:c>
      <x:c r="B75" s="6" t="str">
        <x:f>IF(ISBLANK('_CHECKPOINTS'!B75),"",'_CHECKPOINTS'!B75)</x:f>
      </x:c>
      <x:c r="C75" s="6"/>
      <x:c r="D75" s="6"/>
      <x:c r="E75" s="6"/>
      <x:c r="F75" s="6"/>
      <x:c r="G75" s="6" t="str">
        <x:f>IF(ISBLANK('_RUNS'!B75),"",'_RUNS'!B75)</x:f>
      </x:c>
      <x:c r="H75" s="6" t="str">
        <x:f>IF(ISBLANK('_RUNS'!C75),"",'_RUNS'!C75)</x:f>
      </x:c>
      <x:c r="I75" s="6" t="str">
        <x:f>IF(G75="","",IF('_CONFIG'!$B$12="","",'_CONFIG'!$B$12))</x:f>
      </x:c>
      <x:c r="J75" s="6"/>
      <x:c r="K75" s="6" t="str">
        <x:f>IF(ISBLANK('_CHECKPOINTS'!A75),"",'_CHECKPOINTS'!A75)</x:f>
      </x:c>
      <x:c r="L75" s="6" t="str">
        <x:f>IF(ISBLANK('_CHECKPOINTS'!B75),"",'_CHECKPOINTS'!B75)</x:f>
      </x:c>
      <x:c r="M75" s="6" t="str">
        <x:f>IF(ISBLANK('_CHECKPOINTS'!D75),"",'_CHECKPOINTS'!D75)</x:f>
      </x:c>
      <x:c r="N75" s="6" t="str">
        <x:f>IF(ISBLANK('_CHECKPOINTS'!G75),"",'_CHECKPOINTS'!G75)</x:f>
      </x:c>
      <x:c r="O75" s="6"/>
      <x:c r="P75" s="6"/>
      <x:c r="Q75" s="6"/>
      <x:c r="R75" s="6"/>
      <x:c r="S75" s="6"/>
      <x:c r="T75" s="6"/>
      <x:c r="U75" s="6"/>
      <x:c r="V75" s="6" t="n">
        <x:f>IF(ISBLANK('_INSTANCE'!B75),"",'_INSTANCE'!B75)</x:f>
        <x:v>73</x:v>
      </x:c>
      <x:c r="W75" s="6" t="n">
        <x:f>IF(ISBLANK('_INSTANCE'!F75),"",'_INSTANCE'!F75)</x:f>
        <x:v>2500</x:v>
      </x:c>
      <x:c r="X75" s="6"/>
      <x:c r="Y75" s="6"/>
      <x:c r="Z75" s="6"/>
      <x:c r="AA75" s="6"/>
      <x:c r="AB75" s="6"/>
      <x:c r="AC75" s="6"/>
      <x:c r="AD75" s="6"/>
      <x:c r="AE75" s="6"/>
      <x:c r="AF75" s="6"/>
    </x:row>
    <x:row r="76">
      <x:c r="A76" s="6" t="str">
        <x:f>IF(ISBLANK('_CHECKPOINTS'!A76),"",'_CHECKPOINTS'!A76)</x:f>
      </x:c>
      <x:c r="B76" s="6" t="str">
        <x:f>IF(ISBLANK('_CHECKPOINTS'!B76),"",'_CHECKPOINTS'!B76)</x:f>
      </x:c>
      <x:c r="C76" s="6"/>
      <x:c r="D76" s="6"/>
      <x:c r="E76" s="6"/>
      <x:c r="F76" s="6"/>
      <x:c r="G76" s="6" t="str">
        <x:f>IF(ISBLANK('_RUNS'!B76),"",'_RUNS'!B76)</x:f>
      </x:c>
      <x:c r="H76" s="6" t="str">
        <x:f>IF(ISBLANK('_RUNS'!C76),"",'_RUNS'!C76)</x:f>
      </x:c>
      <x:c r="I76" s="6" t="str">
        <x:f>IF(G76="","",IF('_CONFIG'!$B$12="","",'_CONFIG'!$B$12))</x:f>
      </x:c>
      <x:c r="J76" s="6"/>
      <x:c r="K76" s="6" t="str">
        <x:f>IF(ISBLANK('_CHECKPOINTS'!A76),"",'_CHECKPOINTS'!A76)</x:f>
      </x:c>
      <x:c r="L76" s="6" t="str">
        <x:f>IF(ISBLANK('_CHECKPOINTS'!B76),"",'_CHECKPOINTS'!B76)</x:f>
      </x:c>
      <x:c r="M76" s="6" t="str">
        <x:f>IF(ISBLANK('_CHECKPOINTS'!D76),"",'_CHECKPOINTS'!D76)</x:f>
      </x:c>
      <x:c r="N76" s="6" t="str">
        <x:f>IF(ISBLANK('_CHECKPOINTS'!G76),"",'_CHECKPOINTS'!G76)</x:f>
      </x:c>
      <x:c r="O76" s="6"/>
      <x:c r="P76" s="6"/>
      <x:c r="Q76" s="6"/>
      <x:c r="R76" s="6"/>
      <x:c r="S76" s="6"/>
      <x:c r="T76" s="6"/>
      <x:c r="U76" s="6"/>
      <x:c r="V76" s="6" t="n">
        <x:f>IF(ISBLANK('_INSTANCE'!B76),"",'_INSTANCE'!B76)</x:f>
        <x:v>74</x:v>
      </x:c>
      <x:c r="W76" s="6" t="n">
        <x:f>IF(ISBLANK('_INSTANCE'!F76),"",'_INSTANCE'!F76)</x:f>
        <x:v>2500</x:v>
      </x:c>
      <x:c r="X76" s="6"/>
      <x:c r="Y76" s="6"/>
      <x:c r="Z76" s="6"/>
      <x:c r="AA76" s="6"/>
      <x:c r="AB76" s="6"/>
      <x:c r="AC76" s="6"/>
      <x:c r="AD76" s="6"/>
      <x:c r="AE76" s="6"/>
      <x:c r="AF76" s="6"/>
    </x:row>
    <x:row r="77">
      <x:c r="A77" s="6" t="str">
        <x:f>IF(ISBLANK('_CHECKPOINTS'!A77),"",'_CHECKPOINTS'!A77)</x:f>
      </x:c>
      <x:c r="B77" s="6" t="str">
        <x:f>IF(ISBLANK('_CHECKPOINTS'!B77),"",'_CHECKPOINTS'!B77)</x:f>
      </x:c>
      <x:c r="C77" s="6"/>
      <x:c r="D77" s="6"/>
      <x:c r="E77" s="6"/>
      <x:c r="F77" s="6"/>
      <x:c r="G77" s="6" t="str">
        <x:f>IF(ISBLANK('_RUNS'!B77),"",'_RUNS'!B77)</x:f>
      </x:c>
      <x:c r="H77" s="6" t="str">
        <x:f>IF(ISBLANK('_RUNS'!C77),"",'_RUNS'!C77)</x:f>
      </x:c>
      <x:c r="I77" s="6" t="str">
        <x:f>IF(G77="","",IF('_CONFIG'!$B$12="","",'_CONFIG'!$B$12))</x:f>
      </x:c>
      <x:c r="J77" s="6"/>
      <x:c r="K77" s="6" t="str">
        <x:f>IF(ISBLANK('_CHECKPOINTS'!A77),"",'_CHECKPOINTS'!A77)</x:f>
      </x:c>
      <x:c r="L77" s="6" t="str">
        <x:f>IF(ISBLANK('_CHECKPOINTS'!B77),"",'_CHECKPOINTS'!B77)</x:f>
      </x:c>
      <x:c r="M77" s="6" t="str">
        <x:f>IF(ISBLANK('_CHECKPOINTS'!D77),"",'_CHECKPOINTS'!D77)</x:f>
      </x:c>
      <x:c r="N77" s="6" t="str">
        <x:f>IF(ISBLANK('_CHECKPOINTS'!G77),"",'_CHECKPOINTS'!G77)</x:f>
      </x:c>
      <x:c r="O77" s="6"/>
      <x:c r="P77" s="6"/>
      <x:c r="Q77" s="6"/>
      <x:c r="R77" s="6"/>
      <x:c r="S77" s="6"/>
      <x:c r="T77" s="6"/>
      <x:c r="U77" s="6"/>
      <x:c r="V77" s="6" t="str">
        <x:f>IF(ISBLANK('_INSTANCE'!B77),"",'_INSTANCE'!B77)</x:f>
      </x:c>
      <x:c r="W77" s="6" t="str">
        <x:f>IF(ISBLANK('_INSTANCE'!F77),"",'_INSTANCE'!F77)</x:f>
      </x:c>
      <x:c r="X77" s="6"/>
      <x:c r="Y77" s="6"/>
      <x:c r="Z77" s="6"/>
      <x:c r="AA77" s="6"/>
      <x:c r="AB77" s="6"/>
      <x:c r="AC77" s="6"/>
      <x:c r="AD77" s="6"/>
      <x:c r="AE77" s="6"/>
      <x:c r="AF77" s="6"/>
    </x:row>
    <x:row r="78">
      <x:c r="A78" s="6" t="str">
        <x:f>IF(ISBLANK('_CHECKPOINTS'!A78),"",'_CHECKPOINTS'!A78)</x:f>
      </x:c>
      <x:c r="B78" s="6" t="str">
        <x:f>IF(ISBLANK('_CHECKPOINTS'!B78),"",'_CHECKPOINTS'!B78)</x:f>
      </x:c>
      <x:c r="C78" s="6"/>
      <x:c r="D78" s="6"/>
      <x:c r="E78" s="6"/>
      <x:c r="F78" s="6"/>
      <x:c r="G78" s="6" t="str">
        <x:f>IF(ISBLANK('_RUNS'!B78),"",'_RUNS'!B78)</x:f>
      </x:c>
      <x:c r="H78" s="6" t="str">
        <x:f>IF(ISBLANK('_RUNS'!C78),"",'_RUNS'!C78)</x:f>
      </x:c>
      <x:c r="I78" s="6" t="str">
        <x:f>IF(G78="","",IF('_CONFIG'!$B$12="","",'_CONFIG'!$B$12))</x:f>
      </x:c>
      <x:c r="J78" s="6"/>
      <x:c r="K78" s="6" t="str">
        <x:f>IF(ISBLANK('_CHECKPOINTS'!A78),"",'_CHECKPOINTS'!A78)</x:f>
      </x:c>
      <x:c r="L78" s="6" t="str">
        <x:f>IF(ISBLANK('_CHECKPOINTS'!B78),"",'_CHECKPOINTS'!B78)</x:f>
      </x:c>
      <x:c r="M78" s="6" t="str">
        <x:f>IF(ISBLANK('_CHECKPOINTS'!D78),"",'_CHECKPOINTS'!D78)</x:f>
      </x:c>
      <x:c r="N78" s="6" t="str">
        <x:f>IF(ISBLANK('_CHECKPOINTS'!G78),"",'_CHECKPOINTS'!G78)</x:f>
      </x:c>
      <x:c r="O78" s="6"/>
      <x:c r="P78" s="6"/>
      <x:c r="Q78" s="6"/>
      <x:c r="R78" s="6"/>
      <x:c r="S78" s="6"/>
      <x:c r="T78" s="6"/>
      <x:c r="U78" s="6"/>
      <x:c r="V78" s="6" t="str">
        <x:f>IF(ISBLANK('_INSTANCE'!B78),"",'_INSTANCE'!B78)</x:f>
      </x:c>
      <x:c r="W78" s="6" t="str">
        <x:f>IF(ISBLANK('_INSTANCE'!F78),"",'_INSTANCE'!F78)</x:f>
      </x:c>
      <x:c r="X78" s="6"/>
      <x:c r="Y78" s="6"/>
      <x:c r="Z78" s="6"/>
      <x:c r="AA78" s="6"/>
      <x:c r="AB78" s="6"/>
      <x:c r="AC78" s="6"/>
      <x:c r="AD78" s="6"/>
      <x:c r="AE78" s="6"/>
      <x:c r="AF78" s="6"/>
    </x:row>
    <x:row r="79">
      <x:c r="A79" s="6" t="str">
        <x:f>IF(ISBLANK('_CHECKPOINTS'!A79),"",'_CHECKPOINTS'!A79)</x:f>
      </x:c>
      <x:c r="B79" s="6" t="str">
        <x:f>IF(ISBLANK('_CHECKPOINTS'!B79),"",'_CHECKPOINTS'!B79)</x:f>
      </x:c>
      <x:c r="C79" s="6"/>
      <x:c r="D79" s="6"/>
      <x:c r="E79" s="6"/>
      <x:c r="F79" s="6"/>
      <x:c r="G79" s="6" t="str">
        <x:f>IF(ISBLANK('_RUNS'!B79),"",'_RUNS'!B79)</x:f>
      </x:c>
      <x:c r="H79" s="6" t="str">
        <x:f>IF(ISBLANK('_RUNS'!C79),"",'_RUNS'!C79)</x:f>
      </x:c>
      <x:c r="I79" s="6" t="str">
        <x:f>IF(G79="","",IF('_CONFIG'!$B$12="","",'_CONFIG'!$B$12))</x:f>
      </x:c>
      <x:c r="J79" s="6"/>
      <x:c r="K79" s="6" t="str">
        <x:f>IF(ISBLANK('_CHECKPOINTS'!A79),"",'_CHECKPOINTS'!A79)</x:f>
      </x:c>
      <x:c r="L79" s="6" t="str">
        <x:f>IF(ISBLANK('_CHECKPOINTS'!B79),"",'_CHECKPOINTS'!B79)</x:f>
      </x:c>
      <x:c r="M79" s="6" t="str">
        <x:f>IF(ISBLANK('_CHECKPOINTS'!D79),"",'_CHECKPOINTS'!D79)</x:f>
      </x:c>
      <x:c r="N79" s="6" t="str">
        <x:f>IF(ISBLANK('_CHECKPOINTS'!G79),"",'_CHECKPOINTS'!G79)</x:f>
      </x:c>
      <x:c r="O79" s="6"/>
      <x:c r="P79" s="6"/>
      <x:c r="Q79" s="6"/>
      <x:c r="R79" s="6"/>
      <x:c r="S79" s="6"/>
      <x:c r="T79" s="6"/>
      <x:c r="U79" s="6"/>
      <x:c r="V79" s="6" t="str">
        <x:f>IF(ISBLANK('_INSTANCE'!B79),"",'_INSTANCE'!B79)</x:f>
      </x:c>
      <x:c r="W79" s="6" t="str">
        <x:f>IF(ISBLANK('_INSTANCE'!F79),"",'_INSTANCE'!F79)</x:f>
      </x:c>
      <x:c r="X79" s="6"/>
      <x:c r="Y79" s="6"/>
      <x:c r="Z79" s="6"/>
      <x:c r="AA79" s="6"/>
      <x:c r="AB79" s="6"/>
      <x:c r="AC79" s="6"/>
      <x:c r="AD79" s="6"/>
      <x:c r="AE79" s="6"/>
      <x:c r="AF79" s="6"/>
    </x:row>
    <x:row r="80">
      <x:c r="A80" s="6" t="str">
        <x:f>IF(ISBLANK('_CHECKPOINTS'!A80),"",'_CHECKPOINTS'!A80)</x:f>
      </x:c>
      <x:c r="B80" s="6" t="str">
        <x:f>IF(ISBLANK('_CHECKPOINTS'!B80),"",'_CHECKPOINTS'!B80)</x:f>
      </x:c>
      <x:c r="C80" s="6"/>
      <x:c r="D80" s="6"/>
      <x:c r="E80" s="6"/>
      <x:c r="F80" s="6"/>
      <x:c r="G80" s="6" t="str">
        <x:f>IF(ISBLANK('_RUNS'!B80),"",'_RUNS'!B80)</x:f>
      </x:c>
      <x:c r="H80" s="6" t="str">
        <x:f>IF(ISBLANK('_RUNS'!C80),"",'_RUNS'!C80)</x:f>
      </x:c>
      <x:c r="I80" s="6" t="str">
        <x:f>IF(G80="","",IF('_CONFIG'!$B$12="","",'_CONFIG'!$B$12))</x:f>
      </x:c>
      <x:c r="J80" s="6"/>
      <x:c r="K80" s="6" t="str">
        <x:f>IF(ISBLANK('_CHECKPOINTS'!A80),"",'_CHECKPOINTS'!A80)</x:f>
      </x:c>
      <x:c r="L80" s="6" t="str">
        <x:f>IF(ISBLANK('_CHECKPOINTS'!B80),"",'_CHECKPOINTS'!B80)</x:f>
      </x:c>
      <x:c r="M80" s="6" t="str">
        <x:f>IF(ISBLANK('_CHECKPOINTS'!D80),"",'_CHECKPOINTS'!D80)</x:f>
      </x:c>
      <x:c r="N80" s="6" t="str">
        <x:f>IF(ISBLANK('_CHECKPOINTS'!G80),"",'_CHECKPOINTS'!G80)</x:f>
      </x:c>
      <x:c r="O80" s="6"/>
      <x:c r="P80" s="6"/>
      <x:c r="Q80" s="6"/>
      <x:c r="R80" s="6"/>
      <x:c r="S80" s="6"/>
      <x:c r="T80" s="6"/>
      <x:c r="U80" s="6"/>
      <x:c r="V80" s="6" t="str">
        <x:f>IF(ISBLANK('_INSTANCE'!B80),"",'_INSTANCE'!B80)</x:f>
      </x:c>
      <x:c r="W80" s="6" t="str">
        <x:f>IF(ISBLANK('_INSTANCE'!F80),"",'_INSTANCE'!F80)</x:f>
      </x:c>
      <x:c r="X80" s="6"/>
      <x:c r="Y80" s="6"/>
      <x:c r="Z80" s="6"/>
      <x:c r="AA80" s="6"/>
      <x:c r="AB80" s="6"/>
      <x:c r="AC80" s="6"/>
      <x:c r="AD80" s="6"/>
      <x:c r="AE80" s="6"/>
      <x:c r="AF80" s="6"/>
    </x:row>
    <x:row r="81">
      <x:c r="A81" s="6" t="str">
        <x:f>IF(ISBLANK('_CHECKPOINTS'!A81),"",'_CHECKPOINTS'!A81)</x:f>
      </x:c>
      <x:c r="B81" s="6" t="str">
        <x:f>IF(ISBLANK('_CHECKPOINTS'!B81),"",'_CHECKPOINTS'!B81)</x:f>
      </x:c>
      <x:c r="C81" s="6"/>
      <x:c r="D81" s="6"/>
      <x:c r="E81" s="6"/>
      <x:c r="F81" s="6"/>
      <x:c r="G81" s="6" t="str">
        <x:f>IF(ISBLANK('_RUNS'!B81),"",'_RUNS'!B81)</x:f>
      </x:c>
      <x:c r="H81" s="6" t="str">
        <x:f>IF(ISBLANK('_RUNS'!C81),"",'_RUNS'!C81)</x:f>
      </x:c>
      <x:c r="I81" s="6" t="str">
        <x:f>IF(G81="","",IF('_CONFIG'!$B$12="","",'_CONFIG'!$B$12))</x:f>
      </x:c>
      <x:c r="J81" s="6"/>
      <x:c r="K81" s="6" t="str">
        <x:f>IF(ISBLANK('_CHECKPOINTS'!A81),"",'_CHECKPOINTS'!A81)</x:f>
      </x:c>
      <x:c r="L81" s="6" t="str">
        <x:f>IF(ISBLANK('_CHECKPOINTS'!B81),"",'_CHECKPOINTS'!B81)</x:f>
      </x:c>
      <x:c r="M81" s="6" t="str">
        <x:f>IF(ISBLANK('_CHECKPOINTS'!D81),"",'_CHECKPOINTS'!D81)</x:f>
      </x:c>
      <x:c r="N81" s="6" t="str">
        <x:f>IF(ISBLANK('_CHECKPOINTS'!G81),"",'_CHECKPOINTS'!G81)</x:f>
      </x:c>
      <x:c r="O81" s="6"/>
      <x:c r="P81" s="6"/>
      <x:c r="Q81" s="6"/>
      <x:c r="R81" s="6"/>
      <x:c r="S81" s="6"/>
      <x:c r="T81" s="6"/>
      <x:c r="U81" s="6"/>
      <x:c r="V81" s="6" t="str">
        <x:f>IF(ISBLANK('_INSTANCE'!B81),"",'_INSTANCE'!B81)</x:f>
      </x:c>
      <x:c r="W81" s="6" t="str">
        <x:f>IF(ISBLANK('_INSTANCE'!F81),"",'_INSTANCE'!F81)</x:f>
      </x:c>
      <x:c r="X81" s="6"/>
      <x:c r="Y81" s="6"/>
      <x:c r="Z81" s="6"/>
      <x:c r="AA81" s="6"/>
      <x:c r="AB81" s="6"/>
      <x:c r="AC81" s="6"/>
      <x:c r="AD81" s="6"/>
      <x:c r="AE81" s="6"/>
      <x:c r="AF81" s="6"/>
    </x:row>
    <x:row r="82">
      <x:c r="A82" s="6" t="str">
        <x:f>IF(ISBLANK('_CHECKPOINTS'!A82),"",'_CHECKPOINTS'!A82)</x:f>
      </x:c>
      <x:c r="B82" s="6" t="str">
        <x:f>IF(ISBLANK('_CHECKPOINTS'!B82),"",'_CHECKPOINTS'!B82)</x:f>
      </x:c>
      <x:c r="C82" s="6"/>
      <x:c r="D82" s="6"/>
      <x:c r="E82" s="6"/>
      <x:c r="F82" s="6"/>
      <x:c r="G82" s="6" t="str">
        <x:f>IF(ISBLANK('_RUNS'!B82),"",'_RUNS'!B82)</x:f>
      </x:c>
      <x:c r="H82" s="6" t="str">
        <x:f>IF(ISBLANK('_RUNS'!C82),"",'_RUNS'!C82)</x:f>
      </x:c>
      <x:c r="I82" s="6" t="str">
        <x:f>IF(G82="","",IF('_CONFIG'!$B$12="","",'_CONFIG'!$B$12))</x:f>
      </x:c>
      <x:c r="J82" s="6"/>
      <x:c r="K82" s="6" t="str">
        <x:f>IF(ISBLANK('_CHECKPOINTS'!A82),"",'_CHECKPOINTS'!A82)</x:f>
      </x:c>
      <x:c r="L82" s="6" t="str">
        <x:f>IF(ISBLANK('_CHECKPOINTS'!B82),"",'_CHECKPOINTS'!B82)</x:f>
      </x:c>
      <x:c r="M82" s="6" t="str">
        <x:f>IF(ISBLANK('_CHECKPOINTS'!D82),"",'_CHECKPOINTS'!D82)</x:f>
      </x:c>
      <x:c r="N82" s="6" t="str">
        <x:f>IF(ISBLANK('_CHECKPOINTS'!G82),"",'_CHECKPOINTS'!G82)</x:f>
      </x:c>
      <x:c r="O82" s="6"/>
      <x:c r="P82" s="6"/>
      <x:c r="Q82" s="6"/>
      <x:c r="R82" s="6"/>
      <x:c r="S82" s="6"/>
      <x:c r="T82" s="6"/>
      <x:c r="U82" s="6"/>
      <x:c r="V82" s="6" t="str">
        <x:f>IF(ISBLANK('_INSTANCE'!B82),"",'_INSTANCE'!B82)</x:f>
      </x:c>
      <x:c r="W82" s="6" t="str">
        <x:f>IF(ISBLANK('_INSTANCE'!F82),"",'_INSTANCE'!F82)</x:f>
      </x:c>
      <x:c r="X82" s="6"/>
      <x:c r="Y82" s="6"/>
      <x:c r="Z82" s="6"/>
      <x:c r="AA82" s="6"/>
      <x:c r="AB82" s="6"/>
      <x:c r="AC82" s="6"/>
      <x:c r="AD82" s="6"/>
      <x:c r="AE82" s="6"/>
      <x:c r="AF82" s="6"/>
    </x:row>
    <x:row r="83">
      <x:c r="A83" s="6" t="str">
        <x:f>IF(ISBLANK('_CHECKPOINTS'!A83),"",'_CHECKPOINTS'!A83)</x:f>
      </x:c>
      <x:c r="B83" s="6" t="str">
        <x:f>IF(ISBLANK('_CHECKPOINTS'!B83),"",'_CHECKPOINTS'!B83)</x:f>
      </x:c>
      <x:c r="C83" s="6"/>
      <x:c r="D83" s="6"/>
      <x:c r="E83" s="6"/>
      <x:c r="F83" s="6"/>
      <x:c r="G83" s="6" t="str">
        <x:f>IF(ISBLANK('_RUNS'!B83),"",'_RUNS'!B83)</x:f>
      </x:c>
      <x:c r="H83" s="6" t="str">
        <x:f>IF(ISBLANK('_RUNS'!C83),"",'_RUNS'!C83)</x:f>
      </x:c>
      <x:c r="I83" s="6" t="str">
        <x:f>IF(G83="","",IF('_CONFIG'!$B$12="","",'_CONFIG'!$B$12))</x:f>
      </x:c>
      <x:c r="J83" s="6"/>
      <x:c r="K83" s="6" t="str">
        <x:f>IF(ISBLANK('_CHECKPOINTS'!A83),"",'_CHECKPOINTS'!A83)</x:f>
      </x:c>
      <x:c r="L83" s="6" t="str">
        <x:f>IF(ISBLANK('_CHECKPOINTS'!B83),"",'_CHECKPOINTS'!B83)</x:f>
      </x:c>
      <x:c r="M83" s="6" t="str">
        <x:f>IF(ISBLANK('_CHECKPOINTS'!D83),"",'_CHECKPOINTS'!D83)</x:f>
      </x:c>
      <x:c r="N83" s="6" t="str">
        <x:f>IF(ISBLANK('_CHECKPOINTS'!G83),"",'_CHECKPOINTS'!G83)</x:f>
      </x:c>
      <x:c r="O83" s="6"/>
      <x:c r="P83" s="6"/>
      <x:c r="Q83" s="6"/>
      <x:c r="R83" s="6"/>
      <x:c r="S83" s="6"/>
      <x:c r="T83" s="6"/>
      <x:c r="U83" s="6"/>
      <x:c r="V83" s="6" t="str">
        <x:f>IF(ISBLANK('_INSTANCE'!B83),"",'_INSTANCE'!B83)</x:f>
      </x:c>
      <x:c r="W83" s="6" t="str">
        <x:f>IF(ISBLANK('_INSTANCE'!F83),"",'_INSTANCE'!F83)</x:f>
      </x:c>
      <x:c r="X83" s="6"/>
      <x:c r="Y83" s="6"/>
      <x:c r="Z83" s="6"/>
      <x:c r="AA83" s="6"/>
      <x:c r="AB83" s="6"/>
      <x:c r="AC83" s="6"/>
      <x:c r="AD83" s="6"/>
      <x:c r="AE83" s="6"/>
      <x:c r="AF83" s="6"/>
    </x:row>
    <x:row r="84">
      <x:c r="A84" s="6" t="str">
        <x:f>IF(ISBLANK('_CHECKPOINTS'!A84),"",'_CHECKPOINTS'!A84)</x:f>
      </x:c>
      <x:c r="B84" s="6" t="str">
        <x:f>IF(ISBLANK('_CHECKPOINTS'!B84),"",'_CHECKPOINTS'!B84)</x:f>
      </x:c>
      <x:c r="C84" s="6"/>
      <x:c r="D84" s="6"/>
      <x:c r="E84" s="6"/>
      <x:c r="F84" s="6"/>
      <x:c r="G84" s="6" t="str">
        <x:f>IF(ISBLANK('_RUNS'!B84),"",'_RUNS'!B84)</x:f>
      </x:c>
      <x:c r="H84" s="6" t="str">
        <x:f>IF(ISBLANK('_RUNS'!C84),"",'_RUNS'!C84)</x:f>
      </x:c>
      <x:c r="I84" s="6" t="str">
        <x:f>IF(G84="","",IF('_CONFIG'!$B$12="","",'_CONFIG'!$B$12))</x:f>
      </x:c>
      <x:c r="J84" s="6"/>
      <x:c r="K84" s="6" t="str">
        <x:f>IF(ISBLANK('_CHECKPOINTS'!A84),"",'_CHECKPOINTS'!A84)</x:f>
      </x:c>
      <x:c r="L84" s="6" t="str">
        <x:f>IF(ISBLANK('_CHECKPOINTS'!B84),"",'_CHECKPOINTS'!B84)</x:f>
      </x:c>
      <x:c r="M84" s="6" t="str">
        <x:f>IF(ISBLANK('_CHECKPOINTS'!D84),"",'_CHECKPOINTS'!D84)</x:f>
      </x:c>
      <x:c r="N84" s="6" t="str">
        <x:f>IF(ISBLANK('_CHECKPOINTS'!G84),"",'_CHECKPOINTS'!G84)</x:f>
      </x:c>
      <x:c r="O84" s="6"/>
      <x:c r="P84" s="6"/>
      <x:c r="Q84" s="6"/>
      <x:c r="R84" s="6"/>
      <x:c r="S84" s="6"/>
      <x:c r="T84" s="6"/>
      <x:c r="U84" s="6"/>
      <x:c r="V84" s="6" t="str">
        <x:f>IF(ISBLANK('_INSTANCE'!B84),"",'_INSTANCE'!B84)</x:f>
      </x:c>
      <x:c r="W84" s="6" t="str">
        <x:f>IF(ISBLANK('_INSTANCE'!F84),"",'_INSTANCE'!F84)</x:f>
      </x:c>
      <x:c r="X84" s="6"/>
      <x:c r="Y84" s="6"/>
      <x:c r="Z84" s="6"/>
      <x:c r="AA84" s="6"/>
      <x:c r="AB84" s="6"/>
      <x:c r="AC84" s="6"/>
      <x:c r="AD84" s="6"/>
      <x:c r="AE84" s="6"/>
      <x:c r="AF84" s="6"/>
    </x:row>
    <x:row r="85">
      <x:c r="A85" s="6" t="str">
        <x:f>IF(ISBLANK('_CHECKPOINTS'!A85),"",'_CHECKPOINTS'!A85)</x:f>
      </x:c>
      <x:c r="B85" s="6" t="str">
        <x:f>IF(ISBLANK('_CHECKPOINTS'!B85),"",'_CHECKPOINTS'!B85)</x:f>
      </x:c>
      <x:c r="C85" s="6"/>
      <x:c r="D85" s="6"/>
      <x:c r="E85" s="6"/>
      <x:c r="F85" s="6"/>
      <x:c r="G85" s="6" t="str">
        <x:f>IF(ISBLANK('_RUNS'!B85),"",'_RUNS'!B85)</x:f>
      </x:c>
      <x:c r="H85" s="6" t="str">
        <x:f>IF(ISBLANK('_RUNS'!C85),"",'_RUNS'!C85)</x:f>
      </x:c>
      <x:c r="I85" s="6" t="str">
        <x:f>IF(G85="","",IF('_CONFIG'!$B$12="","",'_CONFIG'!$B$12))</x:f>
      </x:c>
      <x:c r="J85" s="6"/>
      <x:c r="K85" s="6" t="str">
        <x:f>IF(ISBLANK('_CHECKPOINTS'!A85),"",'_CHECKPOINTS'!A85)</x:f>
      </x:c>
      <x:c r="L85" s="6" t="str">
        <x:f>IF(ISBLANK('_CHECKPOINTS'!B85),"",'_CHECKPOINTS'!B85)</x:f>
      </x:c>
      <x:c r="M85" s="6" t="str">
        <x:f>IF(ISBLANK('_CHECKPOINTS'!D85),"",'_CHECKPOINTS'!D85)</x:f>
      </x:c>
      <x:c r="N85" s="6" t="str">
        <x:f>IF(ISBLANK('_CHECKPOINTS'!G85),"",'_CHECKPOINTS'!G85)</x:f>
      </x:c>
      <x:c r="O85" s="6"/>
      <x:c r="P85" s="6"/>
      <x:c r="Q85" s="6"/>
      <x:c r="R85" s="6"/>
      <x:c r="S85" s="6"/>
      <x:c r="T85" s="6"/>
      <x:c r="U85" s="6"/>
      <x:c r="V85" s="6" t="str">
        <x:f>IF(ISBLANK('_INSTANCE'!B85),"",'_INSTANCE'!B85)</x:f>
      </x:c>
      <x:c r="W85" s="6" t="str">
        <x:f>IF(ISBLANK('_INSTANCE'!F85),"",'_INSTANCE'!F85)</x:f>
      </x:c>
      <x:c r="X85" s="6"/>
      <x:c r="Y85" s="6"/>
      <x:c r="Z85" s="6"/>
      <x:c r="AA85" s="6"/>
      <x:c r="AB85" s="6"/>
      <x:c r="AC85" s="6"/>
      <x:c r="AD85" s="6"/>
      <x:c r="AE85" s="6"/>
      <x:c r="AF85" s="6"/>
    </x:row>
    <x:row r="86">
      <x:c r="A86" s="6" t="str">
        <x:f>IF(ISBLANK('_CHECKPOINTS'!A86),"",'_CHECKPOINTS'!A86)</x:f>
      </x:c>
      <x:c r="B86" s="6" t="str">
        <x:f>IF(ISBLANK('_CHECKPOINTS'!B86),"",'_CHECKPOINTS'!B86)</x:f>
      </x:c>
      <x:c r="C86" s="6"/>
      <x:c r="D86" s="6"/>
      <x:c r="E86" s="6"/>
      <x:c r="F86" s="6"/>
      <x:c r="G86" s="6" t="str">
        <x:f>IF(ISBLANK('_RUNS'!B86),"",'_RUNS'!B86)</x:f>
      </x:c>
      <x:c r="H86" s="6" t="str">
        <x:f>IF(ISBLANK('_RUNS'!C86),"",'_RUNS'!C86)</x:f>
      </x:c>
      <x:c r="I86" s="6" t="str">
        <x:f>IF(G86="","",IF('_CONFIG'!$B$12="","",'_CONFIG'!$B$12))</x:f>
      </x:c>
      <x:c r="J86" s="6"/>
      <x:c r="K86" s="6" t="str">
        <x:f>IF(ISBLANK('_CHECKPOINTS'!A86),"",'_CHECKPOINTS'!A86)</x:f>
      </x:c>
      <x:c r="L86" s="6" t="str">
        <x:f>IF(ISBLANK('_CHECKPOINTS'!B86),"",'_CHECKPOINTS'!B86)</x:f>
      </x:c>
      <x:c r="M86" s="6" t="str">
        <x:f>IF(ISBLANK('_CHECKPOINTS'!D86),"",'_CHECKPOINTS'!D86)</x:f>
      </x:c>
      <x:c r="N86" s="6" t="str">
        <x:f>IF(ISBLANK('_CHECKPOINTS'!G86),"",'_CHECKPOINTS'!G86)</x:f>
      </x:c>
      <x:c r="O86" s="6"/>
      <x:c r="P86" s="6"/>
      <x:c r="Q86" s="6"/>
      <x:c r="R86" s="6"/>
      <x:c r="S86" s="6"/>
      <x:c r="T86" s="6"/>
      <x:c r="U86" s="6"/>
      <x:c r="V86" s="6" t="str">
        <x:f>IF(ISBLANK('_INSTANCE'!B86),"",'_INSTANCE'!B86)</x:f>
      </x:c>
      <x:c r="W86" s="6" t="str">
        <x:f>IF(ISBLANK('_INSTANCE'!F86),"",'_INSTANCE'!F86)</x:f>
      </x:c>
      <x:c r="X86" s="6"/>
      <x:c r="Y86" s="6"/>
      <x:c r="Z86" s="6"/>
      <x:c r="AA86" s="6"/>
      <x:c r="AB86" s="6"/>
      <x:c r="AC86" s="6"/>
      <x:c r="AD86" s="6"/>
      <x:c r="AE86" s="6"/>
      <x:c r="AF86" s="6"/>
    </x:row>
    <x:row r="87">
      <x:c r="A87" s="6" t="str">
        <x:f>IF(ISBLANK('_CHECKPOINTS'!A87),"",'_CHECKPOINTS'!A87)</x:f>
      </x:c>
      <x:c r="B87" s="6" t="str">
        <x:f>IF(ISBLANK('_CHECKPOINTS'!B87),"",'_CHECKPOINTS'!B87)</x:f>
      </x:c>
      <x:c r="C87" s="6"/>
      <x:c r="D87" s="6"/>
      <x:c r="E87" s="6"/>
      <x:c r="F87" s="6"/>
      <x:c r="G87" s="6" t="str">
        <x:f>IF(ISBLANK('_RUNS'!B87),"",'_RUNS'!B87)</x:f>
      </x:c>
      <x:c r="H87" s="6" t="str">
        <x:f>IF(ISBLANK('_RUNS'!C87),"",'_RUNS'!C87)</x:f>
      </x:c>
      <x:c r="I87" s="6" t="str">
        <x:f>IF(G87="","",IF('_CONFIG'!$B$12="","",'_CONFIG'!$B$12))</x:f>
      </x:c>
      <x:c r="J87" s="6"/>
      <x:c r="K87" s="6" t="str">
        <x:f>IF(ISBLANK('_CHECKPOINTS'!A87),"",'_CHECKPOINTS'!A87)</x:f>
      </x:c>
      <x:c r="L87" s="6" t="str">
        <x:f>IF(ISBLANK('_CHECKPOINTS'!B87),"",'_CHECKPOINTS'!B87)</x:f>
      </x:c>
      <x:c r="M87" s="6" t="str">
        <x:f>IF(ISBLANK('_CHECKPOINTS'!D87),"",'_CHECKPOINTS'!D87)</x:f>
      </x:c>
      <x:c r="N87" s="6" t="str">
        <x:f>IF(ISBLANK('_CHECKPOINTS'!G87),"",'_CHECKPOINTS'!G87)</x:f>
      </x:c>
      <x:c r="O87" s="6"/>
      <x:c r="P87" s="6"/>
      <x:c r="Q87" s="6"/>
      <x:c r="R87" s="6"/>
      <x:c r="S87" s="6"/>
      <x:c r="T87" s="6"/>
      <x:c r="U87" s="6"/>
      <x:c r="V87" s="6" t="str">
        <x:f>IF(ISBLANK('_INSTANCE'!B87),"",'_INSTANCE'!B87)</x:f>
      </x:c>
      <x:c r="W87" s="6" t="str">
        <x:f>IF(ISBLANK('_INSTANCE'!F87),"",'_INSTANCE'!F87)</x:f>
      </x:c>
      <x:c r="X87" s="6"/>
      <x:c r="Y87" s="6"/>
      <x:c r="Z87" s="6"/>
      <x:c r="AA87" s="6"/>
      <x:c r="AB87" s="6"/>
      <x:c r="AC87" s="6"/>
      <x:c r="AD87" s="6"/>
      <x:c r="AE87" s="6"/>
      <x:c r="AF87" s="6"/>
    </x:row>
    <x:row r="88">
      <x:c r="A88" s="6" t="str">
        <x:f>IF(ISBLANK('_CHECKPOINTS'!A88),"",'_CHECKPOINTS'!A88)</x:f>
      </x:c>
      <x:c r="B88" s="6" t="str">
        <x:f>IF(ISBLANK('_CHECKPOINTS'!B88),"",'_CHECKPOINTS'!B88)</x:f>
      </x:c>
      <x:c r="C88" s="6"/>
      <x:c r="D88" s="6"/>
      <x:c r="E88" s="6"/>
      <x:c r="F88" s="6"/>
      <x:c r="G88" s="6" t="str">
        <x:f>IF(ISBLANK('_RUNS'!B88),"",'_RUNS'!B88)</x:f>
      </x:c>
      <x:c r="H88" s="6" t="str">
        <x:f>IF(ISBLANK('_RUNS'!C88),"",'_RUNS'!C88)</x:f>
      </x:c>
      <x:c r="I88" s="6" t="str">
        <x:f>IF(G88="","",IF('_CONFIG'!$B$12="","",'_CONFIG'!$B$12))</x:f>
      </x:c>
      <x:c r="J88" s="6"/>
      <x:c r="K88" s="6" t="str">
        <x:f>IF(ISBLANK('_CHECKPOINTS'!A88),"",'_CHECKPOINTS'!A88)</x:f>
      </x:c>
      <x:c r="L88" s="6" t="str">
        <x:f>IF(ISBLANK('_CHECKPOINTS'!B88),"",'_CHECKPOINTS'!B88)</x:f>
      </x:c>
      <x:c r="M88" s="6" t="str">
        <x:f>IF(ISBLANK('_CHECKPOINTS'!D88),"",'_CHECKPOINTS'!D88)</x:f>
      </x:c>
      <x:c r="N88" s="6" t="str">
        <x:f>IF(ISBLANK('_CHECKPOINTS'!G88),"",'_CHECKPOINTS'!G88)</x:f>
      </x:c>
      <x:c r="O88" s="6"/>
      <x:c r="P88" s="6"/>
      <x:c r="Q88" s="6"/>
      <x:c r="R88" s="6"/>
      <x:c r="S88" s="6"/>
      <x:c r="T88" s="6"/>
      <x:c r="U88" s="6"/>
      <x:c r="V88" s="6" t="str">
        <x:f>IF(ISBLANK('_INSTANCE'!B88),"",'_INSTANCE'!B88)</x:f>
      </x:c>
      <x:c r="W88" s="6" t="str">
        <x:f>IF(ISBLANK('_INSTANCE'!F88),"",'_INSTANCE'!F88)</x:f>
      </x:c>
      <x:c r="X88" s="6"/>
      <x:c r="Y88" s="6"/>
      <x:c r="Z88" s="6"/>
      <x:c r="AA88" s="6"/>
      <x:c r="AB88" s="6"/>
      <x:c r="AC88" s="6"/>
      <x:c r="AD88" s="6"/>
      <x:c r="AE88" s="6"/>
      <x:c r="AF88" s="6"/>
    </x:row>
    <x:row r="89">
      <x:c r="A89" s="6" t="str">
        <x:f>IF(ISBLANK('_CHECKPOINTS'!A89),"",'_CHECKPOINTS'!A89)</x:f>
      </x:c>
      <x:c r="B89" s="6" t="str">
        <x:f>IF(ISBLANK('_CHECKPOINTS'!B89),"",'_CHECKPOINTS'!B89)</x:f>
      </x:c>
      <x:c r="C89" s="6"/>
      <x:c r="D89" s="6"/>
      <x:c r="E89" s="6"/>
      <x:c r="F89" s="6"/>
      <x:c r="G89" s="6" t="str">
        <x:f>IF(ISBLANK('_RUNS'!B89),"",'_RUNS'!B89)</x:f>
      </x:c>
      <x:c r="H89" s="6" t="str">
        <x:f>IF(ISBLANK('_RUNS'!C89),"",'_RUNS'!C89)</x:f>
      </x:c>
      <x:c r="I89" s="6" t="str">
        <x:f>IF(G89="","",IF('_CONFIG'!$B$12="","",'_CONFIG'!$B$12))</x:f>
      </x:c>
      <x:c r="J89" s="6"/>
      <x:c r="K89" s="6" t="str">
        <x:f>IF(ISBLANK('_CHECKPOINTS'!A89),"",'_CHECKPOINTS'!A89)</x:f>
      </x:c>
      <x:c r="L89" s="6" t="str">
        <x:f>IF(ISBLANK('_CHECKPOINTS'!B89),"",'_CHECKPOINTS'!B89)</x:f>
      </x:c>
      <x:c r="M89" s="6" t="str">
        <x:f>IF(ISBLANK('_CHECKPOINTS'!D89),"",'_CHECKPOINTS'!D89)</x:f>
      </x:c>
      <x:c r="N89" s="6" t="str">
        <x:f>IF(ISBLANK('_CHECKPOINTS'!G89),"",'_CHECKPOINTS'!G89)</x:f>
      </x:c>
      <x:c r="O89" s="6"/>
      <x:c r="P89" s="6"/>
      <x:c r="Q89" s="6"/>
      <x:c r="R89" s="6"/>
      <x:c r="S89" s="6"/>
      <x:c r="T89" s="6"/>
      <x:c r="U89" s="6"/>
      <x:c r="V89" s="6" t="str">
        <x:f>IF(ISBLANK('_INSTANCE'!B89),"",'_INSTANCE'!B89)</x:f>
      </x:c>
      <x:c r="W89" s="6" t="str">
        <x:f>IF(ISBLANK('_INSTANCE'!F89),"",'_INSTANCE'!F89)</x:f>
      </x:c>
      <x:c r="X89" s="6"/>
      <x:c r="Y89" s="6"/>
      <x:c r="Z89" s="6"/>
      <x:c r="AA89" s="6"/>
      <x:c r="AB89" s="6"/>
      <x:c r="AC89" s="6"/>
      <x:c r="AD89" s="6"/>
      <x:c r="AE89" s="6"/>
      <x:c r="AF89" s="6"/>
    </x:row>
    <x:row r="90">
      <x:c r="A90" s="6" t="str">
        <x:f>IF(ISBLANK('_CHECKPOINTS'!A90),"",'_CHECKPOINTS'!A90)</x:f>
      </x:c>
      <x:c r="B90" s="6" t="str">
        <x:f>IF(ISBLANK('_CHECKPOINTS'!B90),"",'_CHECKPOINTS'!B90)</x:f>
      </x:c>
      <x:c r="C90" s="6"/>
      <x:c r="D90" s="6"/>
      <x:c r="E90" s="6"/>
      <x:c r="F90" s="6"/>
      <x:c r="G90" s="6" t="str">
        <x:f>IF(ISBLANK('_RUNS'!B90),"",'_RUNS'!B90)</x:f>
      </x:c>
      <x:c r="H90" s="6" t="str">
        <x:f>IF(ISBLANK('_RUNS'!C90),"",'_RUNS'!C90)</x:f>
      </x:c>
      <x:c r="I90" s="6" t="str">
        <x:f>IF(G90="","",IF('_CONFIG'!$B$12="","",'_CONFIG'!$B$12))</x:f>
      </x:c>
      <x:c r="J90" s="6"/>
      <x:c r="K90" s="6" t="str">
        <x:f>IF(ISBLANK('_CHECKPOINTS'!A90),"",'_CHECKPOINTS'!A90)</x:f>
      </x:c>
      <x:c r="L90" s="6" t="str">
        <x:f>IF(ISBLANK('_CHECKPOINTS'!B90),"",'_CHECKPOINTS'!B90)</x:f>
      </x:c>
      <x:c r="M90" s="6" t="str">
        <x:f>IF(ISBLANK('_CHECKPOINTS'!D90),"",'_CHECKPOINTS'!D90)</x:f>
      </x:c>
      <x:c r="N90" s="6" t="str">
        <x:f>IF(ISBLANK('_CHECKPOINTS'!G90),"",'_CHECKPOINTS'!G90)</x:f>
      </x:c>
      <x:c r="O90" s="6"/>
      <x:c r="P90" s="6"/>
      <x:c r="Q90" s="6"/>
      <x:c r="R90" s="6"/>
      <x:c r="S90" s="6"/>
      <x:c r="T90" s="6"/>
      <x:c r="U90" s="6"/>
      <x:c r="V90" s="6" t="str">
        <x:f>IF(ISBLANK('_INSTANCE'!B90),"",'_INSTANCE'!B90)</x:f>
      </x:c>
      <x:c r="W90" s="6" t="str">
        <x:f>IF(ISBLANK('_INSTANCE'!F90),"",'_INSTANCE'!F90)</x:f>
      </x:c>
      <x:c r="X90" s="6"/>
      <x:c r="Y90" s="6"/>
      <x:c r="Z90" s="6"/>
      <x:c r="AA90" s="6"/>
      <x:c r="AB90" s="6"/>
      <x:c r="AC90" s="6"/>
      <x:c r="AD90" s="6"/>
      <x:c r="AE90" s="6"/>
      <x:c r="AF90" s="6"/>
    </x:row>
    <x:row r="91">
      <x:c r="A91" s="6" t="str">
        <x:f>IF(ISBLANK('_CHECKPOINTS'!A91),"",'_CHECKPOINTS'!A91)</x:f>
      </x:c>
      <x:c r="B91" s="6" t="str">
        <x:f>IF(ISBLANK('_CHECKPOINTS'!B91),"",'_CHECKPOINTS'!B91)</x:f>
      </x:c>
      <x:c r="C91" s="6"/>
      <x:c r="D91" s="6"/>
      <x:c r="E91" s="6"/>
      <x:c r="F91" s="6"/>
      <x:c r="G91" s="6" t="str">
        <x:f>IF(ISBLANK('_RUNS'!B91),"",'_RUNS'!B91)</x:f>
      </x:c>
      <x:c r="H91" s="6" t="str">
        <x:f>IF(ISBLANK('_RUNS'!C91),"",'_RUNS'!C91)</x:f>
      </x:c>
      <x:c r="I91" s="6" t="str">
        <x:f>IF(G91="","",IF('_CONFIG'!$B$12="","",'_CONFIG'!$B$12))</x:f>
      </x:c>
      <x:c r="J91" s="6"/>
      <x:c r="K91" s="6" t="str">
        <x:f>IF(ISBLANK('_CHECKPOINTS'!A91),"",'_CHECKPOINTS'!A91)</x:f>
      </x:c>
      <x:c r="L91" s="6" t="str">
        <x:f>IF(ISBLANK('_CHECKPOINTS'!B91),"",'_CHECKPOINTS'!B91)</x:f>
      </x:c>
      <x:c r="M91" s="6" t="str">
        <x:f>IF(ISBLANK('_CHECKPOINTS'!D91),"",'_CHECKPOINTS'!D91)</x:f>
      </x:c>
      <x:c r="N91" s="6" t="str">
        <x:f>IF(ISBLANK('_CHECKPOINTS'!G91),"",'_CHECKPOINTS'!G91)</x:f>
      </x:c>
      <x:c r="O91" s="6"/>
      <x:c r="P91" s="6"/>
      <x:c r="Q91" s="6"/>
      <x:c r="R91" s="6"/>
      <x:c r="S91" s="6"/>
      <x:c r="T91" s="6"/>
      <x:c r="U91" s="6"/>
      <x:c r="V91" s="6" t="str">
        <x:f>IF(ISBLANK('_INSTANCE'!B91),"",'_INSTANCE'!B91)</x:f>
      </x:c>
      <x:c r="W91" s="6" t="str">
        <x:f>IF(ISBLANK('_INSTANCE'!F91),"",'_INSTANCE'!F91)</x:f>
      </x:c>
      <x:c r="X91" s="6"/>
      <x:c r="Y91" s="6"/>
      <x:c r="Z91" s="6"/>
      <x:c r="AA91" s="6"/>
      <x:c r="AB91" s="6"/>
      <x:c r="AC91" s="6"/>
      <x:c r="AD91" s="6"/>
      <x:c r="AE91" s="6"/>
      <x:c r="AF91" s="6"/>
    </x:row>
    <x:row r="92">
      <x:c r="A92" s="6" t="str">
        <x:f>IF(ISBLANK('_CHECKPOINTS'!A92),"",'_CHECKPOINTS'!A92)</x:f>
      </x:c>
      <x:c r="B92" s="6" t="str">
        <x:f>IF(ISBLANK('_CHECKPOINTS'!B92),"",'_CHECKPOINTS'!B92)</x:f>
      </x:c>
      <x:c r="C92" s="6"/>
      <x:c r="D92" s="6"/>
      <x:c r="E92" s="6"/>
      <x:c r="F92" s="6"/>
      <x:c r="G92" s="6" t="str">
        <x:f>IF(ISBLANK('_RUNS'!B92),"",'_RUNS'!B92)</x:f>
      </x:c>
      <x:c r="H92" s="6" t="str">
        <x:f>IF(ISBLANK('_RUNS'!C92),"",'_RUNS'!C92)</x:f>
      </x:c>
      <x:c r="I92" s="6" t="str">
        <x:f>IF(G92="","",IF('_CONFIG'!$B$12="","",'_CONFIG'!$B$12))</x:f>
      </x:c>
      <x:c r="J92" s="6"/>
      <x:c r="K92" s="6" t="str">
        <x:f>IF(ISBLANK('_CHECKPOINTS'!A92),"",'_CHECKPOINTS'!A92)</x:f>
      </x:c>
      <x:c r="L92" s="6" t="str">
        <x:f>IF(ISBLANK('_CHECKPOINTS'!B92),"",'_CHECKPOINTS'!B92)</x:f>
      </x:c>
      <x:c r="M92" s="6" t="str">
        <x:f>IF(ISBLANK('_CHECKPOINTS'!D92),"",'_CHECKPOINTS'!D92)</x:f>
      </x:c>
      <x:c r="N92" s="6" t="str">
        <x:f>IF(ISBLANK('_CHECKPOINTS'!G92),"",'_CHECKPOINTS'!G92)</x:f>
      </x:c>
      <x:c r="O92" s="6"/>
      <x:c r="P92" s="6"/>
      <x:c r="Q92" s="6"/>
      <x:c r="R92" s="6"/>
      <x:c r="S92" s="6"/>
      <x:c r="T92" s="6"/>
      <x:c r="U92" s="6"/>
      <x:c r="V92" s="6" t="str">
        <x:f>IF(ISBLANK('_INSTANCE'!B92),"",'_INSTANCE'!B92)</x:f>
      </x:c>
      <x:c r="W92" s="6" t="str">
        <x:f>IF(ISBLANK('_INSTANCE'!F92),"",'_INSTANCE'!F92)</x:f>
      </x:c>
      <x:c r="X92" s="6"/>
      <x:c r="Y92" s="6"/>
      <x:c r="Z92" s="6"/>
      <x:c r="AA92" s="6"/>
      <x:c r="AB92" s="6"/>
      <x:c r="AC92" s="6"/>
      <x:c r="AD92" s="6"/>
      <x:c r="AE92" s="6"/>
      <x:c r="AF92" s="6"/>
    </x:row>
    <x:row r="93">
      <x:c r="A93" s="6" t="str">
        <x:f>IF(ISBLANK('_CHECKPOINTS'!A93),"",'_CHECKPOINTS'!A93)</x:f>
      </x:c>
      <x:c r="B93" s="6" t="str">
        <x:f>IF(ISBLANK('_CHECKPOINTS'!B93),"",'_CHECKPOINTS'!B93)</x:f>
      </x:c>
      <x:c r="C93" s="6"/>
      <x:c r="D93" s="6"/>
      <x:c r="E93" s="6"/>
      <x:c r="F93" s="6"/>
      <x:c r="G93" s="6" t="str">
        <x:f>IF(ISBLANK('_RUNS'!B93),"",'_RUNS'!B93)</x:f>
      </x:c>
      <x:c r="H93" s="6" t="str">
        <x:f>IF(ISBLANK('_RUNS'!C93),"",'_RUNS'!C93)</x:f>
      </x:c>
      <x:c r="I93" s="6" t="str">
        <x:f>IF(G93="","",IF('_CONFIG'!$B$12="","",'_CONFIG'!$B$12))</x:f>
      </x:c>
      <x:c r="J93" s="6"/>
      <x:c r="K93" s="6" t="str">
        <x:f>IF(ISBLANK('_CHECKPOINTS'!A93),"",'_CHECKPOINTS'!A93)</x:f>
      </x:c>
      <x:c r="L93" s="6" t="str">
        <x:f>IF(ISBLANK('_CHECKPOINTS'!B93),"",'_CHECKPOINTS'!B93)</x:f>
      </x:c>
      <x:c r="M93" s="6" t="str">
        <x:f>IF(ISBLANK('_CHECKPOINTS'!D93),"",'_CHECKPOINTS'!D93)</x:f>
      </x:c>
      <x:c r="N93" s="6" t="str">
        <x:f>IF(ISBLANK('_CHECKPOINTS'!G93),"",'_CHECKPOINTS'!G93)</x:f>
      </x:c>
      <x:c r="O93" s="6"/>
      <x:c r="P93" s="6"/>
      <x:c r="Q93" s="6"/>
      <x:c r="R93" s="6"/>
      <x:c r="S93" s="6"/>
      <x:c r="T93" s="6"/>
      <x:c r="U93" s="6"/>
      <x:c r="V93" s="6" t="str">
        <x:f>IF(ISBLANK('_INSTANCE'!B93),"",'_INSTANCE'!B93)</x:f>
      </x:c>
      <x:c r="W93" s="6" t="str">
        <x:f>IF(ISBLANK('_INSTANCE'!F93),"",'_INSTANCE'!F93)</x:f>
      </x:c>
      <x:c r="X93" s="6"/>
      <x:c r="Y93" s="6"/>
      <x:c r="Z93" s="6"/>
      <x:c r="AA93" s="6"/>
      <x:c r="AB93" s="6"/>
      <x:c r="AC93" s="6"/>
      <x:c r="AD93" s="6"/>
      <x:c r="AE93" s="6"/>
      <x:c r="AF93" s="6"/>
    </x:row>
    <x:row r="94">
      <x:c r="A94" s="6" t="str">
        <x:f>IF(ISBLANK('_CHECKPOINTS'!A94),"",'_CHECKPOINTS'!A94)</x:f>
      </x:c>
      <x:c r="B94" s="6" t="str">
        <x:f>IF(ISBLANK('_CHECKPOINTS'!B94),"",'_CHECKPOINTS'!B94)</x:f>
      </x:c>
      <x:c r="C94" s="6"/>
      <x:c r="D94" s="6"/>
      <x:c r="E94" s="6"/>
      <x:c r="F94" s="6"/>
      <x:c r="G94" s="6" t="str">
        <x:f>IF(ISBLANK('_RUNS'!B94),"",'_RUNS'!B94)</x:f>
      </x:c>
      <x:c r="H94" s="6" t="str">
        <x:f>IF(ISBLANK('_RUNS'!C94),"",'_RUNS'!C94)</x:f>
      </x:c>
      <x:c r="I94" s="6" t="str">
        <x:f>IF(G94="","",IF('_CONFIG'!$B$12="","",'_CONFIG'!$B$12))</x:f>
      </x:c>
      <x:c r="J94" s="6"/>
      <x:c r="K94" s="6" t="str">
        <x:f>IF(ISBLANK('_CHECKPOINTS'!A94),"",'_CHECKPOINTS'!A94)</x:f>
      </x:c>
      <x:c r="L94" s="6" t="str">
        <x:f>IF(ISBLANK('_CHECKPOINTS'!B94),"",'_CHECKPOINTS'!B94)</x:f>
      </x:c>
      <x:c r="M94" s="6" t="str">
        <x:f>IF(ISBLANK('_CHECKPOINTS'!D94),"",'_CHECKPOINTS'!D94)</x:f>
      </x:c>
      <x:c r="N94" s="6" t="str">
        <x:f>IF(ISBLANK('_CHECKPOINTS'!G94),"",'_CHECKPOINTS'!G94)</x:f>
      </x:c>
      <x:c r="O94" s="6"/>
      <x:c r="P94" s="6"/>
      <x:c r="Q94" s="6"/>
      <x:c r="R94" s="6"/>
      <x:c r="S94" s="6"/>
      <x:c r="T94" s="6"/>
      <x:c r="U94" s="6"/>
      <x:c r="V94" s="6" t="str">
        <x:f>IF(ISBLANK('_INSTANCE'!B94),"",'_INSTANCE'!B94)</x:f>
      </x:c>
      <x:c r="W94" s="6" t="str">
        <x:f>IF(ISBLANK('_INSTANCE'!F94),"",'_INSTANCE'!F94)</x:f>
      </x:c>
      <x:c r="X94" s="6"/>
      <x:c r="Y94" s="6"/>
      <x:c r="Z94" s="6"/>
      <x:c r="AA94" s="6"/>
      <x:c r="AB94" s="6"/>
      <x:c r="AC94" s="6"/>
      <x:c r="AD94" s="6"/>
      <x:c r="AE94" s="6"/>
      <x:c r="AF94" s="6"/>
    </x:row>
    <x:row r="95">
      <x:c r="A95" s="6" t="str">
        <x:f>IF(ISBLANK('_CHECKPOINTS'!A95),"",'_CHECKPOINTS'!A95)</x:f>
      </x:c>
      <x:c r="B95" s="6" t="str">
        <x:f>IF(ISBLANK('_CHECKPOINTS'!B95),"",'_CHECKPOINTS'!B95)</x:f>
      </x:c>
      <x:c r="C95" s="6"/>
      <x:c r="D95" s="6"/>
      <x:c r="E95" s="6"/>
      <x:c r="F95" s="6"/>
      <x:c r="G95" s="6" t="str">
        <x:f>IF(ISBLANK('_RUNS'!B95),"",'_RUNS'!B95)</x:f>
      </x:c>
      <x:c r="H95" s="6" t="str">
        <x:f>IF(ISBLANK('_RUNS'!C95),"",'_RUNS'!C95)</x:f>
      </x:c>
      <x:c r="I95" s="6" t="str">
        <x:f>IF(G95="","",IF('_CONFIG'!$B$12="","",'_CONFIG'!$B$12))</x:f>
      </x:c>
      <x:c r="J95" s="6"/>
      <x:c r="K95" s="6" t="str">
        <x:f>IF(ISBLANK('_CHECKPOINTS'!A95),"",'_CHECKPOINTS'!A95)</x:f>
      </x:c>
      <x:c r="L95" s="6" t="str">
        <x:f>IF(ISBLANK('_CHECKPOINTS'!B95),"",'_CHECKPOINTS'!B95)</x:f>
      </x:c>
      <x:c r="M95" s="6" t="str">
        <x:f>IF(ISBLANK('_CHECKPOINTS'!D95),"",'_CHECKPOINTS'!D95)</x:f>
      </x:c>
      <x:c r="N95" s="6" t="str">
        <x:f>IF(ISBLANK('_CHECKPOINTS'!G95),"",'_CHECKPOINTS'!G95)</x:f>
      </x:c>
      <x:c r="O95" s="6"/>
      <x:c r="P95" s="6"/>
      <x:c r="Q95" s="6"/>
      <x:c r="R95" s="6"/>
      <x:c r="S95" s="6"/>
      <x:c r="T95" s="6"/>
      <x:c r="U95" s="6"/>
      <x:c r="V95" s="6" t="str">
        <x:f>IF(ISBLANK('_INSTANCE'!B95),"",'_INSTANCE'!B95)</x:f>
      </x:c>
      <x:c r="W95" s="6" t="str">
        <x:f>IF(ISBLANK('_INSTANCE'!F95),"",'_INSTANCE'!F95)</x:f>
      </x:c>
      <x:c r="X95" s="6"/>
      <x:c r="Y95" s="6"/>
      <x:c r="Z95" s="6"/>
      <x:c r="AA95" s="6"/>
      <x:c r="AB95" s="6"/>
      <x:c r="AC95" s="6"/>
      <x:c r="AD95" s="6"/>
      <x:c r="AE95" s="6"/>
      <x:c r="AF95" s="6"/>
    </x:row>
    <x:row r="96">
      <x:c r="A96" s="6" t="str">
        <x:f>IF(ISBLANK('_CHECKPOINTS'!A96),"",'_CHECKPOINTS'!A96)</x:f>
      </x:c>
      <x:c r="B96" s="6" t="str">
        <x:f>IF(ISBLANK('_CHECKPOINTS'!B96),"",'_CHECKPOINTS'!B96)</x:f>
      </x:c>
      <x:c r="C96" s="6"/>
      <x:c r="D96" s="6"/>
      <x:c r="E96" s="6"/>
      <x:c r="F96" s="6"/>
      <x:c r="G96" s="6" t="str">
        <x:f>IF(ISBLANK('_RUNS'!B96),"",'_RUNS'!B96)</x:f>
      </x:c>
      <x:c r="H96" s="6" t="str">
        <x:f>IF(ISBLANK('_RUNS'!C96),"",'_RUNS'!C96)</x:f>
      </x:c>
      <x:c r="I96" s="6" t="str">
        <x:f>IF(G96="","",IF('_CONFIG'!$B$12="","",'_CONFIG'!$B$12))</x:f>
      </x:c>
      <x:c r="J96" s="6"/>
      <x:c r="K96" s="6" t="str">
        <x:f>IF(ISBLANK('_CHECKPOINTS'!A96),"",'_CHECKPOINTS'!A96)</x:f>
      </x:c>
      <x:c r="L96" s="6" t="str">
        <x:f>IF(ISBLANK('_CHECKPOINTS'!B96),"",'_CHECKPOINTS'!B96)</x:f>
      </x:c>
      <x:c r="M96" s="6" t="str">
        <x:f>IF(ISBLANK('_CHECKPOINTS'!D96),"",'_CHECKPOINTS'!D96)</x:f>
      </x:c>
      <x:c r="N96" s="6" t="str">
        <x:f>IF(ISBLANK('_CHECKPOINTS'!G96),"",'_CHECKPOINTS'!G96)</x:f>
      </x:c>
      <x:c r="O96" s="6"/>
      <x:c r="P96" s="6"/>
      <x:c r="Q96" s="6"/>
      <x:c r="R96" s="6"/>
      <x:c r="S96" s="6"/>
      <x:c r="T96" s="6"/>
      <x:c r="U96" s="6"/>
      <x:c r="V96" s="6" t="str">
        <x:f>IF(ISBLANK('_INSTANCE'!B96),"",'_INSTANCE'!B96)</x:f>
      </x:c>
      <x:c r="W96" s="6" t="str">
        <x:f>IF(ISBLANK('_INSTANCE'!F96),"",'_INSTANCE'!F96)</x:f>
      </x:c>
      <x:c r="X96" s="6"/>
      <x:c r="Y96" s="6"/>
      <x:c r="Z96" s="6"/>
      <x:c r="AA96" s="6"/>
      <x:c r="AB96" s="6"/>
      <x:c r="AC96" s="6"/>
      <x:c r="AD96" s="6"/>
      <x:c r="AE96" s="6"/>
      <x:c r="AF96" s="6"/>
    </x:row>
    <x:row r="97">
      <x:c r="A97" s="6" t="str">
        <x:f>IF(ISBLANK('_CHECKPOINTS'!A97),"",'_CHECKPOINTS'!A97)</x:f>
      </x:c>
      <x:c r="B97" s="6" t="str">
        <x:f>IF(ISBLANK('_CHECKPOINTS'!B97),"",'_CHECKPOINTS'!B97)</x:f>
      </x:c>
      <x:c r="C97" s="6"/>
      <x:c r="D97" s="6"/>
      <x:c r="E97" s="6"/>
      <x:c r="F97" s="6"/>
      <x:c r="G97" s="6" t="str">
        <x:f>IF(ISBLANK('_RUNS'!B97),"",'_RUNS'!B97)</x:f>
      </x:c>
      <x:c r="H97" s="6" t="str">
        <x:f>IF(ISBLANK('_RUNS'!C97),"",'_RUNS'!C97)</x:f>
      </x:c>
      <x:c r="I97" s="6" t="str">
        <x:f>IF(G97="","",IF('_CONFIG'!$B$12="","",'_CONFIG'!$B$12))</x:f>
      </x:c>
      <x:c r="J97" s="6"/>
      <x:c r="K97" s="6" t="str">
        <x:f>IF(ISBLANK('_CHECKPOINTS'!A97),"",'_CHECKPOINTS'!A97)</x:f>
      </x:c>
      <x:c r="L97" s="6" t="str">
        <x:f>IF(ISBLANK('_CHECKPOINTS'!B97),"",'_CHECKPOINTS'!B97)</x:f>
      </x:c>
      <x:c r="M97" s="6" t="str">
        <x:f>IF(ISBLANK('_CHECKPOINTS'!D97),"",'_CHECKPOINTS'!D97)</x:f>
      </x:c>
      <x:c r="N97" s="6" t="str">
        <x:f>IF(ISBLANK('_CHECKPOINTS'!G97),"",'_CHECKPOINTS'!G97)</x:f>
      </x:c>
      <x:c r="O97" s="6"/>
      <x:c r="P97" s="6"/>
      <x:c r="Q97" s="6"/>
      <x:c r="R97" s="6"/>
      <x:c r="S97" s="6"/>
      <x:c r="T97" s="6"/>
      <x:c r="U97" s="6"/>
      <x:c r="V97" s="6" t="str">
        <x:f>IF(ISBLANK('_INSTANCE'!B97),"",'_INSTANCE'!B97)</x:f>
      </x:c>
      <x:c r="W97" s="6" t="str">
        <x:f>IF(ISBLANK('_INSTANCE'!F97),"",'_INSTANCE'!F97)</x:f>
      </x:c>
      <x:c r="X97" s="6"/>
      <x:c r="Y97" s="6"/>
      <x:c r="Z97" s="6"/>
      <x:c r="AA97" s="6"/>
      <x:c r="AB97" s="6"/>
      <x:c r="AC97" s="6"/>
      <x:c r="AD97" s="6"/>
      <x:c r="AE97" s="6"/>
      <x:c r="AF97" s="6"/>
    </x:row>
    <x:row r="98">
      <x:c r="A98" s="6" t="str">
        <x:f>IF(ISBLANK('_CHECKPOINTS'!A98),"",'_CHECKPOINTS'!A98)</x:f>
      </x:c>
      <x:c r="B98" s="6" t="str">
        <x:f>IF(ISBLANK('_CHECKPOINTS'!B98),"",'_CHECKPOINTS'!B98)</x:f>
      </x:c>
      <x:c r="C98" s="6"/>
      <x:c r="D98" s="6"/>
      <x:c r="E98" s="6"/>
      <x:c r="F98" s="6"/>
      <x:c r="G98" s="6" t="str">
        <x:f>IF(ISBLANK('_RUNS'!B98),"",'_RUNS'!B98)</x:f>
      </x:c>
      <x:c r="H98" s="6" t="str">
        <x:f>IF(ISBLANK('_RUNS'!C98),"",'_RUNS'!C98)</x:f>
      </x:c>
      <x:c r="I98" s="6" t="str">
        <x:f>IF(G98="","",IF('_CONFIG'!$B$12="","",'_CONFIG'!$B$12))</x:f>
      </x:c>
      <x:c r="J98" s="6"/>
      <x:c r="K98" s="6" t="str">
        <x:f>IF(ISBLANK('_CHECKPOINTS'!A98),"",'_CHECKPOINTS'!A98)</x:f>
      </x:c>
      <x:c r="L98" s="6" t="str">
        <x:f>IF(ISBLANK('_CHECKPOINTS'!B98),"",'_CHECKPOINTS'!B98)</x:f>
      </x:c>
      <x:c r="M98" s="6" t="str">
        <x:f>IF(ISBLANK('_CHECKPOINTS'!D98),"",'_CHECKPOINTS'!D98)</x:f>
      </x:c>
      <x:c r="N98" s="6" t="str">
        <x:f>IF(ISBLANK('_CHECKPOINTS'!G98),"",'_CHECKPOINTS'!G98)</x:f>
      </x:c>
      <x:c r="O98" s="6"/>
      <x:c r="P98" s="6"/>
      <x:c r="Q98" s="6"/>
      <x:c r="R98" s="6"/>
      <x:c r="S98" s="6"/>
      <x:c r="T98" s="6"/>
      <x:c r="U98" s="6"/>
      <x:c r="V98" s="6" t="str">
        <x:f>IF(ISBLANK('_INSTANCE'!B98),"",'_INSTANCE'!B98)</x:f>
      </x:c>
      <x:c r="W98" s="6" t="str">
        <x:f>IF(ISBLANK('_INSTANCE'!F98),"",'_INSTANCE'!F98)</x:f>
      </x:c>
      <x:c r="X98" s="6"/>
      <x:c r="Y98" s="6"/>
      <x:c r="Z98" s="6"/>
      <x:c r="AA98" s="6"/>
      <x:c r="AB98" s="6"/>
      <x:c r="AC98" s="6"/>
      <x:c r="AD98" s="6"/>
      <x:c r="AE98" s="6"/>
      <x:c r="AF98" s="6"/>
    </x:row>
    <x:row r="99">
      <x:c r="A99" s="6" t="str">
        <x:f>IF(ISBLANK('_CHECKPOINTS'!A99),"",'_CHECKPOINTS'!A99)</x:f>
      </x:c>
      <x:c r="B99" s="6" t="str">
        <x:f>IF(ISBLANK('_CHECKPOINTS'!B99),"",'_CHECKPOINTS'!B99)</x:f>
      </x:c>
      <x:c r="C99" s="6"/>
      <x:c r="D99" s="6"/>
      <x:c r="E99" s="6"/>
      <x:c r="F99" s="6"/>
      <x:c r="G99" s="6" t="str">
        <x:f>IF(ISBLANK('_RUNS'!B99),"",'_RUNS'!B99)</x:f>
      </x:c>
      <x:c r="H99" s="6" t="str">
        <x:f>IF(ISBLANK('_RUNS'!C99),"",'_RUNS'!C99)</x:f>
      </x:c>
      <x:c r="I99" s="6" t="str">
        <x:f>IF(G99="","",IF('_CONFIG'!$B$12="","",'_CONFIG'!$B$12))</x:f>
      </x:c>
      <x:c r="J99" s="6"/>
      <x:c r="K99" s="6" t="str">
        <x:f>IF(ISBLANK('_CHECKPOINTS'!A99),"",'_CHECKPOINTS'!A99)</x:f>
      </x:c>
      <x:c r="L99" s="6" t="str">
        <x:f>IF(ISBLANK('_CHECKPOINTS'!B99),"",'_CHECKPOINTS'!B99)</x:f>
      </x:c>
      <x:c r="M99" s="6" t="str">
        <x:f>IF(ISBLANK('_CHECKPOINTS'!D99),"",'_CHECKPOINTS'!D99)</x:f>
      </x:c>
      <x:c r="N99" s="6" t="str">
        <x:f>IF(ISBLANK('_CHECKPOINTS'!G99),"",'_CHECKPOINTS'!G99)</x:f>
      </x:c>
      <x:c r="O99" s="6"/>
      <x:c r="P99" s="6"/>
      <x:c r="Q99" s="6"/>
      <x:c r="R99" s="6"/>
      <x:c r="S99" s="6"/>
      <x:c r="T99" s="6"/>
      <x:c r="U99" s="6"/>
      <x:c r="V99" s="6" t="str">
        <x:f>IF(ISBLANK('_INSTANCE'!B99),"",'_INSTANCE'!B99)</x:f>
      </x:c>
      <x:c r="W99" s="6" t="str">
        <x:f>IF(ISBLANK('_INSTANCE'!F99),"",'_INSTANCE'!F99)</x:f>
      </x:c>
      <x:c r="X99" s="6"/>
      <x:c r="Y99" s="6"/>
      <x:c r="Z99" s="6"/>
      <x:c r="AA99" s="6"/>
      <x:c r="AB99" s="6"/>
      <x:c r="AC99" s="6"/>
      <x:c r="AD99" s="6"/>
      <x:c r="AE99" s="6"/>
      <x:c r="AF99" s="6"/>
    </x:row>
    <x:row r="100">
      <x:c r="A100" s="6" t="str">
        <x:f>IF(ISBLANK('_CHECKPOINTS'!A100),"",'_CHECKPOINTS'!A100)</x:f>
      </x:c>
      <x:c r="B100" s="6" t="str">
        <x:f>IF(ISBLANK('_CHECKPOINTS'!B100),"",'_CHECKPOINTS'!B100)</x:f>
      </x:c>
      <x:c r="C100" s="6"/>
      <x:c r="D100" s="6"/>
      <x:c r="E100" s="6"/>
      <x:c r="F100" s="6"/>
      <x:c r="G100" s="6" t="str">
        <x:f>IF(ISBLANK('_RUNS'!B100),"",'_RUNS'!B100)</x:f>
      </x:c>
      <x:c r="H100" s="6" t="str">
        <x:f>IF(ISBLANK('_RUNS'!C100),"",'_RUNS'!C100)</x:f>
      </x:c>
      <x:c r="I100" s="6" t="str">
        <x:f>IF(G100="","",IF('_CONFIG'!$B$12="","",'_CONFIG'!$B$12))</x:f>
      </x:c>
      <x:c r="J100" s="6"/>
      <x:c r="K100" s="6" t="str">
        <x:f>IF(ISBLANK('_CHECKPOINTS'!A100),"",'_CHECKPOINTS'!A100)</x:f>
      </x:c>
      <x:c r="L100" s="6" t="str">
        <x:f>IF(ISBLANK('_CHECKPOINTS'!B100),"",'_CHECKPOINTS'!B100)</x:f>
      </x:c>
      <x:c r="M100" s="6" t="str">
        <x:f>IF(ISBLANK('_CHECKPOINTS'!D100),"",'_CHECKPOINTS'!D100)</x:f>
      </x:c>
      <x:c r="N100" s="6" t="str">
        <x:f>IF(ISBLANK('_CHECKPOINTS'!G100),"",'_CHECKPOINTS'!G100)</x:f>
      </x:c>
      <x:c r="O100" s="6"/>
      <x:c r="P100" s="6"/>
      <x:c r="Q100" s="6"/>
      <x:c r="R100" s="6"/>
      <x:c r="S100" s="6"/>
      <x:c r="T100" s="6"/>
      <x:c r="U100" s="6"/>
      <x:c r="V100" s="6" t="str">
        <x:f>IF(ISBLANK('_INSTANCE'!B100),"",'_INSTANCE'!B100)</x:f>
      </x:c>
      <x:c r="W100" s="6" t="str">
        <x:f>IF(ISBLANK('_INSTANCE'!F100),"",'_INSTANCE'!F100)</x:f>
      </x:c>
      <x:c r="X100" s="6"/>
      <x:c r="Y100" s="6"/>
      <x:c r="Z100" s="6"/>
      <x:c r="AA100" s="6"/>
      <x:c r="AB100" s="6"/>
      <x:c r="AC100" s="6"/>
      <x:c r="AD100" s="6"/>
      <x:c r="AE100" s="6"/>
      <x:c r="AF100" s="6"/>
    </x:row>
    <x:row r="101">
      <x:c r="A101" s="6" t="str">
        <x:f>IF(ISBLANK('_CHECKPOINTS'!A101),"",'_CHECKPOINTS'!A101)</x:f>
      </x:c>
      <x:c r="B101" s="6" t="str">
        <x:f>IF(ISBLANK('_CHECKPOINTS'!B101),"",'_CHECKPOINTS'!B101)</x:f>
      </x:c>
      <x:c r="C101" s="6"/>
      <x:c r="D101" s="6"/>
      <x:c r="E101" s="6"/>
      <x:c r="F101" s="6"/>
      <x:c r="G101" s="6" t="str">
        <x:f>IF(ISBLANK('_RUNS'!B101),"",'_RUNS'!B101)</x:f>
      </x:c>
      <x:c r="H101" s="6" t="str">
        <x:f>IF(ISBLANK('_RUNS'!C101),"",'_RUNS'!C101)</x:f>
      </x:c>
      <x:c r="I101" s="6" t="str">
        <x:f>IF(G101="","",IF('_CONFIG'!$B$12="","",'_CONFIG'!$B$12))</x:f>
      </x:c>
      <x:c r="J101" s="6"/>
      <x:c r="K101" s="6" t="str">
        <x:f>IF(ISBLANK('_CHECKPOINTS'!A101),"",'_CHECKPOINTS'!A101)</x:f>
      </x:c>
      <x:c r="L101" s="6" t="str">
        <x:f>IF(ISBLANK('_CHECKPOINTS'!B101),"",'_CHECKPOINTS'!B101)</x:f>
      </x:c>
      <x:c r="M101" s="6" t="str">
        <x:f>IF(ISBLANK('_CHECKPOINTS'!D101),"",'_CHECKPOINTS'!D101)</x:f>
      </x:c>
      <x:c r="N101" s="6" t="str">
        <x:f>IF(ISBLANK('_CHECKPOINTS'!G101),"",'_CHECKPOINTS'!G101)</x:f>
      </x:c>
      <x:c r="O101" s="6"/>
      <x:c r="P101" s="6"/>
      <x:c r="Q101" s="6"/>
      <x:c r="R101" s="6"/>
      <x:c r="S101" s="6"/>
      <x:c r="T101" s="6"/>
      <x:c r="U101" s="6"/>
      <x:c r="V101" s="6" t="str">
        <x:f>IF(ISBLANK('_INSTANCE'!B101),"",'_INSTANCE'!B101)</x:f>
      </x:c>
      <x:c r="W101" s="6" t="str">
        <x:f>IF(ISBLANK('_INSTANCE'!F101),"",'_INSTANCE'!F101)</x:f>
      </x:c>
      <x:c r="X101" s="6"/>
      <x:c r="Y101" s="6"/>
      <x:c r="Z101" s="6"/>
      <x:c r="AA101" s="6"/>
      <x:c r="AB101" s="6"/>
      <x:c r="AC101" s="6"/>
      <x:c r="AD101" s="6"/>
      <x:c r="AE101" s="6"/>
      <x:c r="AF101" s="6"/>
    </x:row>
    <x:row r="102">
      <x:c r="A102" s="6" t="str">
        <x:f>IF(ISBLANK('_CHECKPOINTS'!A102),"",'_CHECKPOINTS'!A102)</x:f>
      </x:c>
      <x:c r="B102" s="6" t="str">
        <x:f>IF(ISBLANK('_CHECKPOINTS'!B102),"",'_CHECKPOINTS'!B102)</x:f>
      </x:c>
      <x:c r="C102" s="6"/>
      <x:c r="D102" s="6"/>
      <x:c r="E102" s="6"/>
      <x:c r="F102" s="6"/>
      <x:c r="G102" s="6"/>
      <x:c r="H102" s="6"/>
      <x:c r="I102" s="6"/>
      <x:c r="J102" s="6"/>
      <x:c r="K102" s="6" t="str">
        <x:f>IF(ISBLANK('_CHECKPOINTS'!A102),"",'_CHECKPOINTS'!A102)</x:f>
      </x:c>
      <x:c r="L102" s="6" t="str">
        <x:f>IF(ISBLANK('_CHECKPOINTS'!B102),"",'_CHECKPOINTS'!B102)</x:f>
      </x:c>
      <x:c r="M102" s="6" t="str">
        <x:f>IF(ISBLANK('_CHECKPOINTS'!D102),"",'_CHECKPOINTS'!D102)</x:f>
      </x:c>
      <x:c r="N102" s="6" t="str">
        <x:f>IF(ISBLANK('_CHECKPOINTS'!G102),"",'_CHECKPOINTS'!G102)</x:f>
      </x:c>
      <x:c r="O102" s="6"/>
      <x:c r="P102" s="6"/>
      <x:c r="Q102" s="6"/>
      <x:c r="R102" s="6"/>
      <x:c r="S102" s="6"/>
      <x:c r="T102" s="6"/>
      <x:c r="U102" s="6"/>
      <x:c r="V102" s="6" t="str">
        <x:f>IF(ISBLANK('_INSTANCE'!B102),"",'_INSTANCE'!B102)</x:f>
      </x:c>
      <x:c r="W102" s="6" t="str">
        <x:f>IF(ISBLANK('_INSTANCE'!F102),"",'_INSTANCE'!F102)</x:f>
      </x:c>
      <x:c r="X102" s="6"/>
      <x:c r="Y102" s="6"/>
      <x:c r="Z102" s="6"/>
      <x:c r="AA102" s="6"/>
      <x:c r="AB102" s="6"/>
      <x:c r="AC102" s="6"/>
      <x:c r="AD102" s="6"/>
      <x:c r="AE102" s="6"/>
      <x:c r="AF102" s="6"/>
    </x:row>
    <x:row r="103">
      <x:c r="A103" s="6" t="str">
        <x:f>IF(ISBLANK('_CHECKPOINTS'!A103),"",'_CHECKPOINTS'!A103)</x:f>
      </x:c>
      <x:c r="B103" s="6" t="str">
        <x:f>IF(ISBLANK('_CHECKPOINTS'!B103),"",'_CHECKPOINTS'!B103)</x:f>
      </x:c>
      <x:c r="C103" s="6"/>
      <x:c r="D103" s="6"/>
      <x:c r="E103" s="6"/>
      <x:c r="F103" s="6"/>
      <x:c r="G103" s="6"/>
      <x:c r="H103" s="6"/>
      <x:c r="I103" s="6"/>
      <x:c r="J103" s="6"/>
      <x:c r="K103" s="6" t="str">
        <x:f>IF(ISBLANK('_CHECKPOINTS'!A103),"",'_CHECKPOINTS'!A103)</x:f>
      </x:c>
      <x:c r="L103" s="6" t="str">
        <x:f>IF(ISBLANK('_CHECKPOINTS'!B103),"",'_CHECKPOINTS'!B103)</x:f>
      </x:c>
      <x:c r="M103" s="6" t="str">
        <x:f>IF(ISBLANK('_CHECKPOINTS'!D103),"",'_CHECKPOINTS'!D103)</x:f>
      </x:c>
      <x:c r="N103" s="6" t="str">
        <x:f>IF(ISBLANK('_CHECKPOINTS'!G103),"",'_CHECKPOINTS'!G103)</x:f>
      </x:c>
      <x:c r="O103" s="6"/>
      <x:c r="P103" s="6"/>
      <x:c r="Q103" s="6"/>
      <x:c r="R103" s="6"/>
      <x:c r="S103" s="6"/>
      <x:c r="T103" s="6"/>
      <x:c r="U103" s="6"/>
      <x:c r="V103" s="6" t="str">
        <x:f>IF(ISBLANK('_INSTANCE'!B103),"",'_INSTANCE'!B103)</x:f>
      </x:c>
      <x:c r="W103" s="6" t="str">
        <x:f>IF(ISBLANK('_INSTANCE'!F103),"",'_INSTANCE'!F103)</x:f>
      </x:c>
      <x:c r="X103" s="6"/>
      <x:c r="Y103" s="6"/>
      <x:c r="Z103" s="6"/>
      <x:c r="AA103" s="6"/>
      <x:c r="AB103" s="6"/>
      <x:c r="AC103" s="6"/>
      <x:c r="AD103" s="6"/>
      <x:c r="AE103" s="6"/>
      <x:c r="AF103" s="6"/>
    </x:row>
    <x:row r="104">
      <x:c r="A104" s="6" t="str">
        <x:f>IF(ISBLANK('_CHECKPOINTS'!A104),"",'_CHECKPOINTS'!A104)</x:f>
      </x:c>
      <x:c r="B104" s="6" t="str">
        <x:f>IF(ISBLANK('_CHECKPOINTS'!B104),"",'_CHECKPOINTS'!B104)</x:f>
      </x:c>
      <x:c r="C104" s="6"/>
      <x:c r="D104" s="6"/>
      <x:c r="E104" s="6"/>
      <x:c r="F104" s="6"/>
      <x:c r="G104" s="6"/>
      <x:c r="H104" s="6"/>
      <x:c r="I104" s="6"/>
      <x:c r="J104" s="6"/>
      <x:c r="K104" s="6" t="str">
        <x:f>IF(ISBLANK('_CHECKPOINTS'!A104),"",'_CHECKPOINTS'!A104)</x:f>
      </x:c>
      <x:c r="L104" s="6" t="str">
        <x:f>IF(ISBLANK('_CHECKPOINTS'!B104),"",'_CHECKPOINTS'!B104)</x:f>
      </x:c>
      <x:c r="M104" s="6" t="str">
        <x:f>IF(ISBLANK('_CHECKPOINTS'!D104),"",'_CHECKPOINTS'!D104)</x:f>
      </x:c>
      <x:c r="N104" s="6" t="str">
        <x:f>IF(ISBLANK('_CHECKPOINTS'!G104),"",'_CHECKPOINTS'!G104)</x:f>
      </x:c>
      <x:c r="O104" s="6"/>
      <x:c r="P104" s="6"/>
      <x:c r="Q104" s="6"/>
      <x:c r="R104" s="6"/>
      <x:c r="S104" s="6"/>
      <x:c r="T104" s="6"/>
      <x:c r="U104" s="6"/>
      <x:c r="V104" s="6" t="str">
        <x:f>IF(ISBLANK('_INSTANCE'!B104),"",'_INSTANCE'!B104)</x:f>
      </x:c>
      <x:c r="W104" s="6" t="str">
        <x:f>IF(ISBLANK('_INSTANCE'!F104),"",'_INSTANCE'!F104)</x:f>
      </x:c>
      <x:c r="X104" s="6"/>
      <x:c r="Y104" s="6"/>
      <x:c r="Z104" s="6"/>
      <x:c r="AA104" s="6"/>
      <x:c r="AB104" s="6"/>
      <x:c r="AC104" s="6"/>
      <x:c r="AD104" s="6"/>
      <x:c r="AE104" s="6"/>
      <x:c r="AF104" s="6"/>
    </x:row>
    <x:row r="105">
      <x:c r="A105" s="6" t="str">
        <x:f>IF(ISBLANK('_CHECKPOINTS'!A105),"",'_CHECKPOINTS'!A105)</x:f>
      </x:c>
      <x:c r="B105" s="6" t="str">
        <x:f>IF(ISBLANK('_CHECKPOINTS'!B105),"",'_CHECKPOINTS'!B105)</x:f>
      </x:c>
      <x:c r="C105" s="6"/>
      <x:c r="D105" s="6"/>
      <x:c r="E105" s="6"/>
      <x:c r="F105" s="6"/>
      <x:c r="G105" s="6"/>
      <x:c r="H105" s="6"/>
      <x:c r="I105" s="6"/>
      <x:c r="J105" s="6"/>
      <x:c r="K105" s="6" t="str">
        <x:f>IF(ISBLANK('_CHECKPOINTS'!A105),"",'_CHECKPOINTS'!A105)</x:f>
      </x:c>
      <x:c r="L105" s="6" t="str">
        <x:f>IF(ISBLANK('_CHECKPOINTS'!B105),"",'_CHECKPOINTS'!B105)</x:f>
      </x:c>
      <x:c r="M105" s="6" t="str">
        <x:f>IF(ISBLANK('_CHECKPOINTS'!D105),"",'_CHECKPOINTS'!D105)</x:f>
      </x:c>
      <x:c r="N105" s="6" t="str">
        <x:f>IF(ISBLANK('_CHECKPOINTS'!G105),"",'_CHECKPOINTS'!G105)</x:f>
      </x:c>
      <x:c r="O105" s="6"/>
      <x:c r="P105" s="6"/>
      <x:c r="Q105" s="6"/>
      <x:c r="R105" s="6"/>
      <x:c r="S105" s="6"/>
      <x:c r="T105" s="6"/>
      <x:c r="U105" s="6"/>
      <x:c r="V105" s="6" t="str">
        <x:f>IF(ISBLANK('_INSTANCE'!B105),"",'_INSTANCE'!B105)</x:f>
      </x:c>
      <x:c r="W105" s="6" t="str">
        <x:f>IF(ISBLANK('_INSTANCE'!F105),"",'_INSTANCE'!F105)</x:f>
      </x:c>
      <x:c r="X105" s="6"/>
      <x:c r="Y105" s="6"/>
      <x:c r="Z105" s="6"/>
      <x:c r="AA105" s="6"/>
      <x:c r="AB105" s="6"/>
      <x:c r="AC105" s="6"/>
      <x:c r="AD105" s="6"/>
      <x:c r="AE105" s="6"/>
      <x:c r="AF105" s="6"/>
    </x:row>
    <x:row r="106">
      <x:c r="A106" s="6" t="str">
        <x:f>IF(ISBLANK('_CHECKPOINTS'!A106),"",'_CHECKPOINTS'!A106)</x:f>
      </x:c>
      <x:c r="B106" s="6" t="str">
        <x:f>IF(ISBLANK('_CHECKPOINTS'!B106),"",'_CHECKPOINTS'!B106)</x:f>
      </x:c>
      <x:c r="C106" s="6"/>
      <x:c r="D106" s="6"/>
      <x:c r="E106" s="6"/>
      <x:c r="F106" s="6"/>
      <x:c r="G106" s="6"/>
      <x:c r="H106" s="6"/>
      <x:c r="I106" s="6"/>
      <x:c r="J106" s="6"/>
      <x:c r="K106" s="6" t="str">
        <x:f>IF(ISBLANK('_CHECKPOINTS'!A106),"",'_CHECKPOINTS'!A106)</x:f>
      </x:c>
      <x:c r="L106" s="6" t="str">
        <x:f>IF(ISBLANK('_CHECKPOINTS'!B106),"",'_CHECKPOINTS'!B106)</x:f>
      </x:c>
      <x:c r="M106" s="6" t="str">
        <x:f>IF(ISBLANK('_CHECKPOINTS'!D106),"",'_CHECKPOINTS'!D106)</x:f>
      </x:c>
      <x:c r="N106" s="6" t="str">
        <x:f>IF(ISBLANK('_CHECKPOINTS'!G106),"",'_CHECKPOINTS'!G106)</x:f>
      </x:c>
      <x:c r="O106" s="6"/>
      <x:c r="P106" s="6"/>
      <x:c r="Q106" s="6"/>
      <x:c r="R106" s="6"/>
      <x:c r="S106" s="6"/>
      <x:c r="T106" s="6"/>
      <x:c r="U106" s="6"/>
      <x:c r="V106" s="6" t="str">
        <x:f>IF(ISBLANK('_INSTANCE'!B106),"",'_INSTANCE'!B106)</x:f>
      </x:c>
      <x:c r="W106" s="6" t="str">
        <x:f>IF(ISBLANK('_INSTANCE'!F106),"",'_INSTANCE'!F106)</x:f>
      </x:c>
      <x:c r="X106" s="6"/>
      <x:c r="Y106" s="6"/>
      <x:c r="Z106" s="6"/>
      <x:c r="AA106" s="6"/>
      <x:c r="AB106" s="6"/>
      <x:c r="AC106" s="6"/>
      <x:c r="AD106" s="6"/>
      <x:c r="AE106" s="6"/>
      <x:c r="AF106" s="6"/>
    </x:row>
    <x:row r="107">
      <x:c r="A107" s="6" t="str">
        <x:f>IF(ISBLANK('_CHECKPOINTS'!A107),"",'_CHECKPOINTS'!A107)</x:f>
      </x:c>
      <x:c r="B107" s="6" t="str">
        <x:f>IF(ISBLANK('_CHECKPOINTS'!B107),"",'_CHECKPOINTS'!B107)</x:f>
      </x:c>
      <x:c r="C107" s="6"/>
      <x:c r="D107" s="6"/>
      <x:c r="E107" s="6"/>
      <x:c r="F107" s="6"/>
      <x:c r="G107" s="6"/>
      <x:c r="H107" s="6"/>
      <x:c r="I107" s="6"/>
      <x:c r="J107" s="6"/>
      <x:c r="K107" s="6" t="str">
        <x:f>IF(ISBLANK('_CHECKPOINTS'!A107),"",'_CHECKPOINTS'!A107)</x:f>
      </x:c>
      <x:c r="L107" s="6" t="str">
        <x:f>IF(ISBLANK('_CHECKPOINTS'!B107),"",'_CHECKPOINTS'!B107)</x:f>
      </x:c>
      <x:c r="M107" s="6" t="str">
        <x:f>IF(ISBLANK('_CHECKPOINTS'!D107),"",'_CHECKPOINTS'!D107)</x:f>
      </x:c>
      <x:c r="N107" s="6" t="str">
        <x:f>IF(ISBLANK('_CHECKPOINTS'!G107),"",'_CHECKPOINTS'!G107)</x:f>
      </x:c>
      <x:c r="O107" s="6"/>
      <x:c r="P107" s="6"/>
      <x:c r="Q107" s="6"/>
      <x:c r="R107" s="6"/>
      <x:c r="S107" s="6"/>
      <x:c r="T107" s="6"/>
      <x:c r="U107" s="6"/>
      <x:c r="V107" s="6" t="str">
        <x:f>IF(ISBLANK('_INSTANCE'!B107),"",'_INSTANCE'!B107)</x:f>
      </x:c>
      <x:c r="W107" s="6" t="str">
        <x:f>IF(ISBLANK('_INSTANCE'!F107),"",'_INSTANCE'!F107)</x:f>
      </x:c>
      <x:c r="X107" s="6"/>
      <x:c r="Y107" s="6"/>
      <x:c r="Z107" s="6"/>
      <x:c r="AA107" s="6"/>
      <x:c r="AB107" s="6"/>
      <x:c r="AC107" s="6"/>
      <x:c r="AD107" s="6"/>
      <x:c r="AE107" s="6"/>
      <x:c r="AF107" s="6"/>
    </x:row>
    <x:row r="108">
      <x:c r="A108" s="6" t="str">
        <x:f>IF(ISBLANK('_CHECKPOINTS'!A108),"",'_CHECKPOINTS'!A108)</x:f>
      </x:c>
      <x:c r="B108" s="6" t="str">
        <x:f>IF(ISBLANK('_CHECKPOINTS'!B108),"",'_CHECKPOINTS'!B108)</x:f>
      </x:c>
      <x:c r="C108" s="6"/>
      <x:c r="D108" s="6"/>
      <x:c r="E108" s="6"/>
      <x:c r="F108" s="6"/>
      <x:c r="G108" s="6"/>
      <x:c r="H108" s="6"/>
      <x:c r="I108" s="6"/>
      <x:c r="J108" s="6"/>
      <x:c r="K108" s="6" t="str">
        <x:f>IF(ISBLANK('_CHECKPOINTS'!A108),"",'_CHECKPOINTS'!A108)</x:f>
      </x:c>
      <x:c r="L108" s="6" t="str">
        <x:f>IF(ISBLANK('_CHECKPOINTS'!B108),"",'_CHECKPOINTS'!B108)</x:f>
      </x:c>
      <x:c r="M108" s="6" t="str">
        <x:f>IF(ISBLANK('_CHECKPOINTS'!D108),"",'_CHECKPOINTS'!D108)</x:f>
      </x:c>
      <x:c r="N108" s="6" t="str">
        <x:f>IF(ISBLANK('_CHECKPOINTS'!G108),"",'_CHECKPOINTS'!G108)</x:f>
      </x:c>
      <x:c r="O108" s="6"/>
      <x:c r="P108" s="6"/>
      <x:c r="Q108" s="6"/>
      <x:c r="R108" s="6"/>
      <x:c r="S108" s="6"/>
      <x:c r="T108" s="6"/>
      <x:c r="U108" s="6"/>
      <x:c r="V108" s="6" t="str">
        <x:f>IF(ISBLANK('_INSTANCE'!B108),"",'_INSTANCE'!B108)</x:f>
      </x:c>
      <x:c r="W108" s="6" t="str">
        <x:f>IF(ISBLANK('_INSTANCE'!F108),"",'_INSTANCE'!F108)</x:f>
      </x:c>
      <x:c r="X108" s="6"/>
      <x:c r="Y108" s="6"/>
      <x:c r="Z108" s="6"/>
      <x:c r="AA108" s="6"/>
      <x:c r="AB108" s="6"/>
      <x:c r="AC108" s="6"/>
      <x:c r="AD108" s="6"/>
      <x:c r="AE108" s="6"/>
      <x:c r="AF108" s="6"/>
    </x:row>
    <x:row r="109">
      <x:c r="A109" s="6" t="str">
        <x:f>IF(ISBLANK('_CHECKPOINTS'!A109),"",'_CHECKPOINTS'!A109)</x:f>
      </x:c>
      <x:c r="B109" s="6" t="str">
        <x:f>IF(ISBLANK('_CHECKPOINTS'!B109),"",'_CHECKPOINTS'!B109)</x:f>
      </x:c>
      <x:c r="C109" s="6"/>
      <x:c r="D109" s="6"/>
      <x:c r="E109" s="6"/>
      <x:c r="F109" s="6"/>
      <x:c r="G109" s="6"/>
      <x:c r="H109" s="6"/>
      <x:c r="I109" s="6"/>
      <x:c r="J109" s="6"/>
      <x:c r="K109" s="6" t="str">
        <x:f>IF(ISBLANK('_CHECKPOINTS'!A109),"",'_CHECKPOINTS'!A109)</x:f>
      </x:c>
      <x:c r="L109" s="6" t="str">
        <x:f>IF(ISBLANK('_CHECKPOINTS'!B109),"",'_CHECKPOINTS'!B109)</x:f>
      </x:c>
      <x:c r="M109" s="6" t="str">
        <x:f>IF(ISBLANK('_CHECKPOINTS'!D109),"",'_CHECKPOINTS'!D109)</x:f>
      </x:c>
      <x:c r="N109" s="6" t="str">
        <x:f>IF(ISBLANK('_CHECKPOINTS'!G109),"",'_CHECKPOINTS'!G109)</x:f>
      </x:c>
      <x:c r="O109" s="6"/>
      <x:c r="P109" s="6"/>
      <x:c r="Q109" s="6"/>
      <x:c r="R109" s="6"/>
      <x:c r="S109" s="6"/>
      <x:c r="T109" s="6"/>
      <x:c r="U109" s="6"/>
      <x:c r="V109" s="6" t="str">
        <x:f>IF(ISBLANK('_INSTANCE'!B109),"",'_INSTANCE'!B109)</x:f>
      </x:c>
      <x:c r="W109" s="6" t="str">
        <x:f>IF(ISBLANK('_INSTANCE'!F109),"",'_INSTANCE'!F109)</x:f>
      </x:c>
      <x:c r="X109" s="6"/>
      <x:c r="Y109" s="6"/>
      <x:c r="Z109" s="6"/>
      <x:c r="AA109" s="6"/>
      <x:c r="AB109" s="6"/>
      <x:c r="AC109" s="6"/>
      <x:c r="AD109" s="6"/>
      <x:c r="AE109" s="6"/>
      <x:c r="AF109" s="6"/>
    </x:row>
    <x:row r="110">
      <x:c r="A110" s="6" t="str">
        <x:f>IF(ISBLANK('_CHECKPOINTS'!A110),"",'_CHECKPOINTS'!A110)</x:f>
      </x:c>
      <x:c r="B110" s="6" t="str">
        <x:f>IF(ISBLANK('_CHECKPOINTS'!B110),"",'_CHECKPOINTS'!B110)</x:f>
      </x:c>
      <x:c r="C110" s="6"/>
      <x:c r="D110" s="6"/>
      <x:c r="E110" s="6"/>
      <x:c r="F110" s="6"/>
      <x:c r="G110" s="6"/>
      <x:c r="H110" s="6"/>
      <x:c r="I110" s="6"/>
      <x:c r="J110" s="6"/>
      <x:c r="K110" s="6" t="str">
        <x:f>IF(ISBLANK('_CHECKPOINTS'!A110),"",'_CHECKPOINTS'!A110)</x:f>
      </x:c>
      <x:c r="L110" s="6" t="str">
        <x:f>IF(ISBLANK('_CHECKPOINTS'!B110),"",'_CHECKPOINTS'!B110)</x:f>
      </x:c>
      <x:c r="M110" s="6" t="str">
        <x:f>IF(ISBLANK('_CHECKPOINTS'!D110),"",'_CHECKPOINTS'!D110)</x:f>
      </x:c>
      <x:c r="N110" s="6" t="str">
        <x:f>IF(ISBLANK('_CHECKPOINTS'!G110),"",'_CHECKPOINTS'!G110)</x:f>
      </x:c>
      <x:c r="O110" s="6"/>
      <x:c r="P110" s="6"/>
      <x:c r="Q110" s="6"/>
      <x:c r="R110" s="6"/>
      <x:c r="S110" s="6"/>
      <x:c r="T110" s="6"/>
      <x:c r="U110" s="6"/>
      <x:c r="V110" s="6" t="str">
        <x:f>IF(ISBLANK('_INSTANCE'!B110),"",'_INSTANCE'!B110)</x:f>
      </x:c>
      <x:c r="W110" s="6" t="str">
        <x:f>IF(ISBLANK('_INSTANCE'!F110),"",'_INSTANCE'!F110)</x:f>
      </x:c>
      <x:c r="X110" s="6"/>
      <x:c r="Y110" s="6"/>
      <x:c r="Z110" s="6"/>
      <x:c r="AA110" s="6"/>
      <x:c r="AB110" s="6"/>
      <x:c r="AC110" s="6"/>
      <x:c r="AD110" s="6"/>
      <x:c r="AE110" s="6"/>
      <x:c r="AF110" s="6"/>
    </x:row>
    <x:row r="111">
      <x:c r="A111" s="6" t="str">
        <x:f>IF(ISBLANK('_CHECKPOINTS'!A111),"",'_CHECKPOINTS'!A111)</x:f>
      </x:c>
      <x:c r="B111" s="6" t="str">
        <x:f>IF(ISBLANK('_CHECKPOINTS'!B111),"",'_CHECKPOINTS'!B111)</x:f>
      </x:c>
      <x:c r="C111" s="6"/>
      <x:c r="D111" s="6"/>
      <x:c r="E111" s="6"/>
      <x:c r="F111" s="6"/>
      <x:c r="G111" s="6"/>
      <x:c r="H111" s="6"/>
      <x:c r="I111" s="6"/>
      <x:c r="J111" s="6"/>
      <x:c r="K111" s="6" t="str">
        <x:f>IF(ISBLANK('_CHECKPOINTS'!A111),"",'_CHECKPOINTS'!A111)</x:f>
      </x:c>
      <x:c r="L111" s="6" t="str">
        <x:f>IF(ISBLANK('_CHECKPOINTS'!B111),"",'_CHECKPOINTS'!B111)</x:f>
      </x:c>
      <x:c r="M111" s="6" t="str">
        <x:f>IF(ISBLANK('_CHECKPOINTS'!D111),"",'_CHECKPOINTS'!D111)</x:f>
      </x:c>
      <x:c r="N111" s="6" t="str">
        <x:f>IF(ISBLANK('_CHECKPOINTS'!G111),"",'_CHECKPOINTS'!G111)</x:f>
      </x:c>
      <x:c r="O111" s="6"/>
      <x:c r="P111" s="6"/>
      <x:c r="Q111" s="6"/>
      <x:c r="R111" s="6"/>
      <x:c r="S111" s="6"/>
      <x:c r="T111" s="6"/>
      <x:c r="U111" s="6"/>
      <x:c r="V111" s="6" t="str">
        <x:f>IF(ISBLANK('_INSTANCE'!B111),"",'_INSTANCE'!B111)</x:f>
      </x:c>
      <x:c r="W111" s="6" t="str">
        <x:f>IF(ISBLANK('_INSTANCE'!F111),"",'_INSTANCE'!F111)</x:f>
      </x:c>
      <x:c r="X111" s="6"/>
      <x:c r="Y111" s="6"/>
      <x:c r="Z111" s="6"/>
      <x:c r="AA111" s="6"/>
      <x:c r="AB111" s="6"/>
      <x:c r="AC111" s="6"/>
      <x:c r="AD111" s="6"/>
      <x:c r="AE111" s="6"/>
      <x:c r="AF111" s="6"/>
    </x:row>
    <x:row r="112">
      <x:c r="A112" s="6" t="str">
        <x:f>IF(ISBLANK('_CHECKPOINTS'!A112),"",'_CHECKPOINTS'!A112)</x:f>
      </x:c>
      <x:c r="B112" s="6" t="str">
        <x:f>IF(ISBLANK('_CHECKPOINTS'!B112),"",'_CHECKPOINTS'!B112)</x:f>
      </x:c>
      <x:c r="C112" s="6"/>
      <x:c r="D112" s="6"/>
      <x:c r="E112" s="6"/>
      <x:c r="F112" s="6"/>
      <x:c r="G112" s="6"/>
      <x:c r="H112" s="6"/>
      <x:c r="I112" s="6"/>
      <x:c r="J112" s="6"/>
      <x:c r="K112" s="6" t="str">
        <x:f>IF(ISBLANK('_CHECKPOINTS'!A112),"",'_CHECKPOINTS'!A112)</x:f>
      </x:c>
      <x:c r="L112" s="6" t="str">
        <x:f>IF(ISBLANK('_CHECKPOINTS'!B112),"",'_CHECKPOINTS'!B112)</x:f>
      </x:c>
      <x:c r="M112" s="6" t="str">
        <x:f>IF(ISBLANK('_CHECKPOINTS'!D112),"",'_CHECKPOINTS'!D112)</x:f>
      </x:c>
      <x:c r="N112" s="6" t="str">
        <x:f>IF(ISBLANK('_CHECKPOINTS'!G112),"",'_CHECKPOINTS'!G112)</x:f>
      </x:c>
      <x:c r="O112" s="6"/>
      <x:c r="P112" s="6"/>
      <x:c r="Q112" s="6"/>
      <x:c r="R112" s="6"/>
      <x:c r="S112" s="6"/>
      <x:c r="T112" s="6"/>
      <x:c r="U112" s="6"/>
      <x:c r="V112" s="6" t="str">
        <x:f>IF(ISBLANK('_INSTANCE'!B112),"",'_INSTANCE'!B112)</x:f>
      </x:c>
      <x:c r="W112" s="6" t="str">
        <x:f>IF(ISBLANK('_INSTANCE'!F112),"",'_INSTANCE'!F112)</x:f>
      </x:c>
      <x:c r="X112" s="6"/>
      <x:c r="Y112" s="6"/>
      <x:c r="Z112" s="6"/>
      <x:c r="AA112" s="6"/>
      <x:c r="AB112" s="6"/>
      <x:c r="AC112" s="6"/>
      <x:c r="AD112" s="6"/>
      <x:c r="AE112" s="6"/>
      <x:c r="AF112" s="6"/>
    </x:row>
    <x:row r="113">
      <x:c r="A113" s="6" t="str">
        <x:f>IF(ISBLANK('_CHECKPOINTS'!A113),"",'_CHECKPOINTS'!A113)</x:f>
      </x:c>
      <x:c r="B113" s="6" t="str">
        <x:f>IF(ISBLANK('_CHECKPOINTS'!B113),"",'_CHECKPOINTS'!B113)</x:f>
      </x:c>
      <x:c r="C113" s="6"/>
      <x:c r="D113" s="6"/>
      <x:c r="E113" s="6"/>
      <x:c r="F113" s="6"/>
      <x:c r="G113" s="6"/>
      <x:c r="H113" s="6"/>
      <x:c r="I113" s="6"/>
      <x:c r="J113" s="6"/>
      <x:c r="K113" s="6" t="str">
        <x:f>IF(ISBLANK('_CHECKPOINTS'!A113),"",'_CHECKPOINTS'!A113)</x:f>
      </x:c>
      <x:c r="L113" s="6" t="str">
        <x:f>IF(ISBLANK('_CHECKPOINTS'!B113),"",'_CHECKPOINTS'!B113)</x:f>
      </x:c>
      <x:c r="M113" s="6" t="str">
        <x:f>IF(ISBLANK('_CHECKPOINTS'!D113),"",'_CHECKPOINTS'!D113)</x:f>
      </x:c>
      <x:c r="N113" s="6" t="str">
        <x:f>IF(ISBLANK('_CHECKPOINTS'!G113),"",'_CHECKPOINTS'!G113)</x:f>
      </x:c>
      <x:c r="O113" s="6"/>
      <x:c r="P113" s="6"/>
      <x:c r="Q113" s="6"/>
      <x:c r="R113" s="6"/>
      <x:c r="S113" s="6"/>
      <x:c r="T113" s="6"/>
      <x:c r="U113" s="6"/>
      <x:c r="V113" s="6" t="str">
        <x:f>IF(ISBLANK('_INSTANCE'!B113),"",'_INSTANCE'!B113)</x:f>
      </x:c>
      <x:c r="W113" s="6" t="str">
        <x:f>IF(ISBLANK('_INSTANCE'!F113),"",'_INSTANCE'!F113)</x:f>
      </x:c>
      <x:c r="X113" s="6"/>
      <x:c r="Y113" s="6"/>
      <x:c r="Z113" s="6"/>
      <x:c r="AA113" s="6"/>
      <x:c r="AB113" s="6"/>
      <x:c r="AC113" s="6"/>
      <x:c r="AD113" s="6"/>
      <x:c r="AE113" s="6"/>
      <x:c r="AF113" s="6"/>
    </x:row>
    <x:row r="114">
      <x:c r="A114" s="6" t="str">
        <x:f>IF(ISBLANK('_CHECKPOINTS'!A114),"",'_CHECKPOINTS'!A114)</x:f>
      </x:c>
      <x:c r="B114" s="6" t="str">
        <x:f>IF(ISBLANK('_CHECKPOINTS'!B114),"",'_CHECKPOINTS'!B114)</x:f>
      </x:c>
      <x:c r="C114" s="6"/>
      <x:c r="D114" s="6"/>
      <x:c r="E114" s="6"/>
      <x:c r="F114" s="6"/>
      <x:c r="G114" s="6"/>
      <x:c r="H114" s="6"/>
      <x:c r="I114" s="6"/>
      <x:c r="J114" s="6"/>
      <x:c r="K114" s="6" t="str">
        <x:f>IF(ISBLANK('_CHECKPOINTS'!A114),"",'_CHECKPOINTS'!A114)</x:f>
      </x:c>
      <x:c r="L114" s="6" t="str">
        <x:f>IF(ISBLANK('_CHECKPOINTS'!B114),"",'_CHECKPOINTS'!B114)</x:f>
      </x:c>
      <x:c r="M114" s="6" t="str">
        <x:f>IF(ISBLANK('_CHECKPOINTS'!D114),"",'_CHECKPOINTS'!D114)</x:f>
      </x:c>
      <x:c r="N114" s="6" t="str">
        <x:f>IF(ISBLANK('_CHECKPOINTS'!G114),"",'_CHECKPOINTS'!G114)</x:f>
      </x:c>
      <x:c r="O114" s="6"/>
      <x:c r="P114" s="6"/>
      <x:c r="Q114" s="6"/>
      <x:c r="R114" s="6"/>
      <x:c r="S114" s="6"/>
      <x:c r="T114" s="6"/>
      <x:c r="U114" s="6"/>
      <x:c r="V114" s="6" t="str">
        <x:f>IF(ISBLANK('_INSTANCE'!B114),"",'_INSTANCE'!B114)</x:f>
      </x:c>
      <x:c r="W114" s="6" t="str">
        <x:f>IF(ISBLANK('_INSTANCE'!F114),"",'_INSTANCE'!F114)</x:f>
      </x:c>
      <x:c r="X114" s="6"/>
      <x:c r="Y114" s="6"/>
      <x:c r="Z114" s="6"/>
      <x:c r="AA114" s="6"/>
      <x:c r="AB114" s="6"/>
      <x:c r="AC114" s="6"/>
      <x:c r="AD114" s="6"/>
      <x:c r="AE114" s="6"/>
      <x:c r="AF114" s="6"/>
    </x:row>
    <x:row r="115">
      <x:c r="A115" s="6" t="str">
        <x:f>IF(ISBLANK('_CHECKPOINTS'!A115),"",'_CHECKPOINTS'!A115)</x:f>
      </x:c>
      <x:c r="B115" s="6" t="str">
        <x:f>IF(ISBLANK('_CHECKPOINTS'!B115),"",'_CHECKPOINTS'!B115)</x:f>
      </x:c>
      <x:c r="C115" s="6"/>
      <x:c r="D115" s="6"/>
      <x:c r="E115" s="6"/>
      <x:c r="F115" s="6"/>
      <x:c r="G115" s="6"/>
      <x:c r="H115" s="6"/>
      <x:c r="I115" s="6"/>
      <x:c r="J115" s="6"/>
      <x:c r="K115" s="6" t="str">
        <x:f>IF(ISBLANK('_CHECKPOINTS'!A115),"",'_CHECKPOINTS'!A115)</x:f>
      </x:c>
      <x:c r="L115" s="6" t="str">
        <x:f>IF(ISBLANK('_CHECKPOINTS'!B115),"",'_CHECKPOINTS'!B115)</x:f>
      </x:c>
      <x:c r="M115" s="6" t="str">
        <x:f>IF(ISBLANK('_CHECKPOINTS'!D115),"",'_CHECKPOINTS'!D115)</x:f>
      </x:c>
      <x:c r="N115" s="6" t="str">
        <x:f>IF(ISBLANK('_CHECKPOINTS'!G115),"",'_CHECKPOINTS'!G115)</x:f>
      </x:c>
      <x:c r="O115" s="6"/>
      <x:c r="P115" s="6"/>
      <x:c r="Q115" s="6"/>
      <x:c r="R115" s="6"/>
      <x:c r="S115" s="6"/>
      <x:c r="T115" s="6"/>
      <x:c r="U115" s="6"/>
      <x:c r="V115" s="6" t="str">
        <x:f>IF(ISBLANK('_INSTANCE'!B115),"",'_INSTANCE'!B115)</x:f>
      </x:c>
      <x:c r="W115" s="6" t="str">
        <x:f>IF(ISBLANK('_INSTANCE'!F115),"",'_INSTANCE'!F115)</x:f>
      </x:c>
      <x:c r="X115" s="6"/>
      <x:c r="Y115" s="6"/>
      <x:c r="Z115" s="6"/>
      <x:c r="AA115" s="6"/>
      <x:c r="AB115" s="6"/>
      <x:c r="AC115" s="6"/>
      <x:c r="AD115" s="6"/>
      <x:c r="AE115" s="6"/>
      <x:c r="AF115" s="6"/>
    </x:row>
    <x:row r="116">
      <x:c r="A116" s="6" t="str">
        <x:f>IF(ISBLANK('_CHECKPOINTS'!A116),"",'_CHECKPOINTS'!A116)</x:f>
      </x:c>
      <x:c r="B116" s="6" t="str">
        <x:f>IF(ISBLANK('_CHECKPOINTS'!B116),"",'_CHECKPOINTS'!B116)</x:f>
      </x:c>
      <x:c r="C116" s="6"/>
      <x:c r="D116" s="6"/>
      <x:c r="E116" s="6"/>
      <x:c r="F116" s="6"/>
      <x:c r="G116" s="6"/>
      <x:c r="H116" s="6"/>
      <x:c r="I116" s="6"/>
      <x:c r="J116" s="6"/>
      <x:c r="K116" s="6" t="str">
        <x:f>IF(ISBLANK('_CHECKPOINTS'!A116),"",'_CHECKPOINTS'!A116)</x:f>
      </x:c>
      <x:c r="L116" s="6" t="str">
        <x:f>IF(ISBLANK('_CHECKPOINTS'!B116),"",'_CHECKPOINTS'!B116)</x:f>
      </x:c>
      <x:c r="M116" s="6" t="str">
        <x:f>IF(ISBLANK('_CHECKPOINTS'!D116),"",'_CHECKPOINTS'!D116)</x:f>
      </x:c>
      <x:c r="N116" s="6" t="str">
        <x:f>IF(ISBLANK('_CHECKPOINTS'!G116),"",'_CHECKPOINTS'!G116)</x:f>
      </x:c>
      <x:c r="O116" s="6"/>
      <x:c r="P116" s="6"/>
      <x:c r="Q116" s="6"/>
      <x:c r="R116" s="6"/>
      <x:c r="S116" s="6"/>
      <x:c r="T116" s="6"/>
      <x:c r="U116" s="6"/>
      <x:c r="V116" s="6" t="str">
        <x:f>IF(ISBLANK('_INSTANCE'!B116),"",'_INSTANCE'!B116)</x:f>
      </x:c>
      <x:c r="W116" s="6" t="str">
        <x:f>IF(ISBLANK('_INSTANCE'!F116),"",'_INSTANCE'!F116)</x:f>
      </x:c>
      <x:c r="X116" s="6"/>
      <x:c r="Y116" s="6"/>
      <x:c r="Z116" s="6"/>
      <x:c r="AA116" s="6"/>
      <x:c r="AB116" s="6"/>
      <x:c r="AC116" s="6"/>
      <x:c r="AD116" s="6"/>
      <x:c r="AE116" s="6"/>
      <x:c r="AF116" s="6"/>
    </x:row>
    <x:row r="117">
      <x:c r="A117" s="6" t="str">
        <x:f>IF(ISBLANK('_CHECKPOINTS'!A117),"",'_CHECKPOINTS'!A117)</x:f>
      </x:c>
      <x:c r="B117" s="6" t="str">
        <x:f>IF(ISBLANK('_CHECKPOINTS'!B117),"",'_CHECKPOINTS'!B117)</x:f>
      </x:c>
      <x:c r="C117" s="6"/>
      <x:c r="D117" s="6"/>
      <x:c r="E117" s="6"/>
      <x:c r="F117" s="6"/>
      <x:c r="G117" s="6"/>
      <x:c r="H117" s="6"/>
      <x:c r="I117" s="6"/>
      <x:c r="J117" s="6"/>
      <x:c r="K117" s="6" t="str">
        <x:f>IF(ISBLANK('_CHECKPOINTS'!A117),"",'_CHECKPOINTS'!A117)</x:f>
      </x:c>
      <x:c r="L117" s="6" t="str">
        <x:f>IF(ISBLANK('_CHECKPOINTS'!B117),"",'_CHECKPOINTS'!B117)</x:f>
      </x:c>
      <x:c r="M117" s="6" t="str">
        <x:f>IF(ISBLANK('_CHECKPOINTS'!D117),"",'_CHECKPOINTS'!D117)</x:f>
      </x:c>
      <x:c r="N117" s="6" t="str">
        <x:f>IF(ISBLANK('_CHECKPOINTS'!G117),"",'_CHECKPOINTS'!G117)</x:f>
      </x:c>
      <x:c r="O117" s="6"/>
      <x:c r="P117" s="6"/>
      <x:c r="Q117" s="6"/>
      <x:c r="R117" s="6"/>
      <x:c r="S117" s="6"/>
      <x:c r="T117" s="6"/>
      <x:c r="U117" s="6"/>
      <x:c r="V117" s="6" t="str">
        <x:f>IF(ISBLANK('_INSTANCE'!B117),"",'_INSTANCE'!B117)</x:f>
      </x:c>
      <x:c r="W117" s="6" t="str">
        <x:f>IF(ISBLANK('_INSTANCE'!F117),"",'_INSTANCE'!F117)</x:f>
      </x:c>
      <x:c r="X117" s="6"/>
      <x:c r="Y117" s="6"/>
      <x:c r="Z117" s="6"/>
      <x:c r="AA117" s="6"/>
      <x:c r="AB117" s="6"/>
      <x:c r="AC117" s="6"/>
      <x:c r="AD117" s="6"/>
      <x:c r="AE117" s="6"/>
      <x:c r="AF117" s="6"/>
    </x:row>
    <x:row r="118">
      <x:c r="A118" s="6" t="str">
        <x:f>IF(ISBLANK('_CHECKPOINTS'!A118),"",'_CHECKPOINTS'!A118)</x:f>
      </x:c>
      <x:c r="B118" s="6" t="str">
        <x:f>IF(ISBLANK('_CHECKPOINTS'!B118),"",'_CHECKPOINTS'!B118)</x:f>
      </x:c>
      <x:c r="C118" s="6"/>
      <x:c r="D118" s="6"/>
      <x:c r="E118" s="6"/>
      <x:c r="F118" s="6"/>
      <x:c r="G118" s="6"/>
      <x:c r="H118" s="6"/>
      <x:c r="I118" s="6"/>
      <x:c r="J118" s="6"/>
      <x:c r="K118" s="6" t="str">
        <x:f>IF(ISBLANK('_CHECKPOINTS'!A118),"",'_CHECKPOINTS'!A118)</x:f>
      </x:c>
      <x:c r="L118" s="6" t="str">
        <x:f>IF(ISBLANK('_CHECKPOINTS'!B118),"",'_CHECKPOINTS'!B118)</x:f>
      </x:c>
      <x:c r="M118" s="6" t="str">
        <x:f>IF(ISBLANK('_CHECKPOINTS'!D118),"",'_CHECKPOINTS'!D118)</x:f>
      </x:c>
      <x:c r="N118" s="6" t="str">
        <x:f>IF(ISBLANK('_CHECKPOINTS'!G118),"",'_CHECKPOINTS'!G118)</x:f>
      </x:c>
      <x:c r="O118" s="6"/>
      <x:c r="P118" s="6"/>
      <x:c r="Q118" s="6"/>
      <x:c r="R118" s="6"/>
      <x:c r="S118" s="6"/>
      <x:c r="T118" s="6"/>
      <x:c r="U118" s="6"/>
      <x:c r="V118" s="6" t="str">
        <x:f>IF(ISBLANK('_INSTANCE'!B118),"",'_INSTANCE'!B118)</x:f>
      </x:c>
      <x:c r="W118" s="6" t="str">
        <x:f>IF(ISBLANK('_INSTANCE'!F118),"",'_INSTANCE'!F118)</x:f>
      </x:c>
      <x:c r="X118" s="6"/>
      <x:c r="Y118" s="6"/>
      <x:c r="Z118" s="6"/>
      <x:c r="AA118" s="6"/>
      <x:c r="AB118" s="6"/>
      <x:c r="AC118" s="6"/>
      <x:c r="AD118" s="6"/>
      <x:c r="AE118" s="6"/>
      <x:c r="AF118" s="6"/>
    </x:row>
    <x:row r="119">
      <x:c r="A119" s="6" t="str">
        <x:f>IF(ISBLANK('_CHECKPOINTS'!A119),"",'_CHECKPOINTS'!A119)</x:f>
      </x:c>
      <x:c r="B119" s="6" t="str">
        <x:f>IF(ISBLANK('_CHECKPOINTS'!B119),"",'_CHECKPOINTS'!B119)</x:f>
      </x:c>
      <x:c r="C119" s="6"/>
      <x:c r="D119" s="6"/>
      <x:c r="E119" s="6"/>
      <x:c r="F119" s="6"/>
      <x:c r="G119" s="6"/>
      <x:c r="H119" s="6"/>
      <x:c r="I119" s="6"/>
      <x:c r="J119" s="6"/>
      <x:c r="K119" s="6" t="str">
        <x:f>IF(ISBLANK('_CHECKPOINTS'!A119),"",'_CHECKPOINTS'!A119)</x:f>
      </x:c>
      <x:c r="L119" s="6" t="str">
        <x:f>IF(ISBLANK('_CHECKPOINTS'!B119),"",'_CHECKPOINTS'!B119)</x:f>
      </x:c>
      <x:c r="M119" s="6" t="str">
        <x:f>IF(ISBLANK('_CHECKPOINTS'!D119),"",'_CHECKPOINTS'!D119)</x:f>
      </x:c>
      <x:c r="N119" s="6" t="str">
        <x:f>IF(ISBLANK('_CHECKPOINTS'!G119),"",'_CHECKPOINTS'!G119)</x:f>
      </x:c>
      <x:c r="O119" s="6"/>
      <x:c r="P119" s="6"/>
      <x:c r="Q119" s="6"/>
      <x:c r="R119" s="6"/>
      <x:c r="S119" s="6"/>
      <x:c r="T119" s="6"/>
      <x:c r="U119" s="6"/>
      <x:c r="V119" s="6" t="str">
        <x:f>IF(ISBLANK('_INSTANCE'!B119),"",'_INSTANCE'!B119)</x:f>
      </x:c>
      <x:c r="W119" s="6" t="str">
        <x:f>IF(ISBLANK('_INSTANCE'!F119),"",'_INSTANCE'!F119)</x:f>
      </x:c>
      <x:c r="X119" s="6"/>
      <x:c r="Y119" s="6"/>
      <x:c r="Z119" s="6"/>
      <x:c r="AA119" s="6"/>
      <x:c r="AB119" s="6"/>
      <x:c r="AC119" s="6"/>
      <x:c r="AD119" s="6"/>
      <x:c r="AE119" s="6"/>
      <x:c r="AF119" s="6"/>
    </x:row>
    <x:row r="120">
      <x:c r="A120" s="6" t="str">
        <x:f>IF(ISBLANK('_CHECKPOINTS'!A120),"",'_CHECKPOINTS'!A120)</x:f>
      </x:c>
      <x:c r="B120" s="6" t="str">
        <x:f>IF(ISBLANK('_CHECKPOINTS'!B120),"",'_CHECKPOINTS'!B120)</x:f>
      </x:c>
      <x:c r="C120" s="6"/>
      <x:c r="D120" s="6"/>
      <x:c r="E120" s="6"/>
      <x:c r="F120" s="6"/>
      <x:c r="G120" s="6"/>
      <x:c r="H120" s="6"/>
      <x:c r="I120" s="6"/>
      <x:c r="J120" s="6"/>
      <x:c r="K120" s="6" t="str">
        <x:f>IF(ISBLANK('_CHECKPOINTS'!A120),"",'_CHECKPOINTS'!A120)</x:f>
      </x:c>
      <x:c r="L120" s="6" t="str">
        <x:f>IF(ISBLANK('_CHECKPOINTS'!B120),"",'_CHECKPOINTS'!B120)</x:f>
      </x:c>
      <x:c r="M120" s="6" t="str">
        <x:f>IF(ISBLANK('_CHECKPOINTS'!D120),"",'_CHECKPOINTS'!D120)</x:f>
      </x:c>
      <x:c r="N120" s="6" t="str">
        <x:f>IF(ISBLANK('_CHECKPOINTS'!G120),"",'_CHECKPOINTS'!G120)</x:f>
      </x:c>
      <x:c r="O120" s="6"/>
      <x:c r="P120" s="6"/>
      <x:c r="Q120" s="6"/>
      <x:c r="R120" s="6"/>
      <x:c r="S120" s="6"/>
      <x:c r="T120" s="6"/>
      <x:c r="U120" s="6"/>
      <x:c r="V120" s="6" t="str">
        <x:f>IF(ISBLANK('_INSTANCE'!B120),"",'_INSTANCE'!B120)</x:f>
      </x:c>
      <x:c r="W120" s="6" t="str">
        <x:f>IF(ISBLANK('_INSTANCE'!F120),"",'_INSTANCE'!F120)</x:f>
      </x:c>
      <x:c r="X120" s="6"/>
      <x:c r="Y120" s="6"/>
      <x:c r="Z120" s="6"/>
      <x:c r="AA120" s="6"/>
      <x:c r="AB120" s="6"/>
      <x:c r="AC120" s="6"/>
      <x:c r="AD120" s="6"/>
      <x:c r="AE120" s="6"/>
      <x:c r="AF120" s="6"/>
    </x:row>
    <x:row r="121">
      <x:c r="A121" s="6" t="str">
        <x:f>IF(ISBLANK('_CHECKPOINTS'!A121),"",'_CHECKPOINTS'!A121)</x:f>
      </x:c>
      <x:c r="B121" s="6" t="str">
        <x:f>IF(ISBLANK('_CHECKPOINTS'!B121),"",'_CHECKPOINTS'!B121)</x:f>
      </x:c>
      <x:c r="C121" s="6"/>
      <x:c r="D121" s="6"/>
      <x:c r="E121" s="6"/>
      <x:c r="F121" s="6"/>
      <x:c r="G121" s="6"/>
      <x:c r="H121" s="6"/>
      <x:c r="I121" s="6"/>
      <x:c r="J121" s="6"/>
      <x:c r="K121" s="6" t="str">
        <x:f>IF(ISBLANK('_CHECKPOINTS'!A121),"",'_CHECKPOINTS'!A121)</x:f>
      </x:c>
      <x:c r="L121" s="6" t="str">
        <x:f>IF(ISBLANK('_CHECKPOINTS'!B121),"",'_CHECKPOINTS'!B121)</x:f>
      </x:c>
      <x:c r="M121" s="6" t="str">
        <x:f>IF(ISBLANK('_CHECKPOINTS'!D121),"",'_CHECKPOINTS'!D121)</x:f>
      </x:c>
      <x:c r="N121" s="6" t="str">
        <x:f>IF(ISBLANK('_CHECKPOINTS'!G121),"",'_CHECKPOINTS'!G121)</x:f>
      </x:c>
      <x:c r="O121" s="6"/>
      <x:c r="P121" s="6"/>
      <x:c r="Q121" s="6"/>
      <x:c r="R121" s="6"/>
      <x:c r="S121" s="6"/>
      <x:c r="T121" s="6"/>
      <x:c r="U121" s="6"/>
      <x:c r="V121" s="6" t="str">
        <x:f>IF(ISBLANK('_INSTANCE'!B121),"",'_INSTANCE'!B121)</x:f>
      </x:c>
      <x:c r="W121" s="6" t="str">
        <x:f>IF(ISBLANK('_INSTANCE'!F121),"",'_INSTANCE'!F121)</x:f>
      </x:c>
      <x:c r="X121" s="6"/>
      <x:c r="Y121" s="6"/>
      <x:c r="Z121" s="6"/>
      <x:c r="AA121" s="6"/>
      <x:c r="AB121" s="6"/>
      <x:c r="AC121" s="6"/>
      <x:c r="AD121" s="6"/>
      <x:c r="AE121" s="6"/>
      <x:c r="AF121" s="6"/>
    </x:row>
    <x:row r="122">
      <x:c r="A122" s="6" t="str">
        <x:f>IF(ISBLANK('_CHECKPOINTS'!A122),"",'_CHECKPOINTS'!A122)</x:f>
      </x:c>
      <x:c r="B122" s="6" t="str">
        <x:f>IF(ISBLANK('_CHECKPOINTS'!B122),"",'_CHECKPOINTS'!B122)</x:f>
      </x:c>
      <x:c r="C122" s="6"/>
      <x:c r="D122" s="6"/>
      <x:c r="E122" s="6"/>
      <x:c r="F122" s="6"/>
      <x:c r="G122" s="6"/>
      <x:c r="H122" s="6"/>
      <x:c r="I122" s="6"/>
      <x:c r="J122" s="6"/>
      <x:c r="K122" s="6" t="str">
        <x:f>IF(ISBLANK('_CHECKPOINTS'!A122),"",'_CHECKPOINTS'!A122)</x:f>
      </x:c>
      <x:c r="L122" s="6" t="str">
        <x:f>IF(ISBLANK('_CHECKPOINTS'!B122),"",'_CHECKPOINTS'!B122)</x:f>
      </x:c>
      <x:c r="M122" s="6" t="str">
        <x:f>IF(ISBLANK('_CHECKPOINTS'!D122),"",'_CHECKPOINTS'!D122)</x:f>
      </x:c>
      <x:c r="N122" s="6" t="str">
        <x:f>IF(ISBLANK('_CHECKPOINTS'!G122),"",'_CHECKPOINTS'!G122)</x:f>
      </x:c>
      <x:c r="O122" s="6"/>
      <x:c r="P122" s="6"/>
      <x:c r="Q122" s="6"/>
      <x:c r="R122" s="6"/>
      <x:c r="S122" s="6"/>
      <x:c r="T122" s="6"/>
      <x:c r="U122" s="6"/>
      <x:c r="V122" s="6" t="str">
        <x:f>IF(ISBLANK('_INSTANCE'!B122),"",'_INSTANCE'!B122)</x:f>
      </x:c>
      <x:c r="W122" s="6" t="str">
        <x:f>IF(ISBLANK('_INSTANCE'!F122),"",'_INSTANCE'!F122)</x:f>
      </x:c>
      <x:c r="X122" s="6"/>
      <x:c r="Y122" s="6"/>
      <x:c r="Z122" s="6"/>
      <x:c r="AA122" s="6"/>
      <x:c r="AB122" s="6"/>
      <x:c r="AC122" s="6"/>
      <x:c r="AD122" s="6"/>
      <x:c r="AE122" s="6"/>
      <x:c r="AF122" s="6"/>
    </x:row>
    <x:row r="123">
      <x:c r="A123" s="6" t="str">
        <x:f>IF(ISBLANK('_CHECKPOINTS'!A123),"",'_CHECKPOINTS'!A123)</x:f>
      </x:c>
      <x:c r="B123" s="6" t="str">
        <x:f>IF(ISBLANK('_CHECKPOINTS'!B123),"",'_CHECKPOINTS'!B123)</x:f>
      </x:c>
      <x:c r="C123" s="6"/>
      <x:c r="D123" s="6"/>
      <x:c r="E123" s="6"/>
      <x:c r="F123" s="6"/>
      <x:c r="G123" s="6"/>
      <x:c r="H123" s="6"/>
      <x:c r="I123" s="6"/>
      <x:c r="J123" s="6"/>
      <x:c r="K123" s="6" t="str">
        <x:f>IF(ISBLANK('_CHECKPOINTS'!A123),"",'_CHECKPOINTS'!A123)</x:f>
      </x:c>
      <x:c r="L123" s="6" t="str">
        <x:f>IF(ISBLANK('_CHECKPOINTS'!B123),"",'_CHECKPOINTS'!B123)</x:f>
      </x:c>
      <x:c r="M123" s="6" t="str">
        <x:f>IF(ISBLANK('_CHECKPOINTS'!D123),"",'_CHECKPOINTS'!D123)</x:f>
      </x:c>
      <x:c r="N123" s="6" t="str">
        <x:f>IF(ISBLANK('_CHECKPOINTS'!G123),"",'_CHECKPOINTS'!G123)</x:f>
      </x:c>
      <x:c r="O123" s="6"/>
      <x:c r="P123" s="6"/>
      <x:c r="Q123" s="6"/>
      <x:c r="R123" s="6"/>
      <x:c r="S123" s="6"/>
      <x:c r="T123" s="6"/>
      <x:c r="U123" s="6"/>
      <x:c r="V123" s="6" t="str">
        <x:f>IF(ISBLANK('_INSTANCE'!B123),"",'_INSTANCE'!B123)</x:f>
      </x:c>
      <x:c r="W123" s="6" t="str">
        <x:f>IF(ISBLANK('_INSTANCE'!F123),"",'_INSTANCE'!F123)</x:f>
      </x:c>
      <x:c r="X123" s="6"/>
      <x:c r="Y123" s="6"/>
      <x:c r="Z123" s="6"/>
      <x:c r="AA123" s="6"/>
      <x:c r="AB123" s="6"/>
      <x:c r="AC123" s="6"/>
      <x:c r="AD123" s="6"/>
      <x:c r="AE123" s="6"/>
      <x:c r="AF123" s="6"/>
    </x:row>
    <x:row r="124">
      <x:c r="A124" s="6" t="str">
        <x:f>IF(ISBLANK('_CHECKPOINTS'!A124),"",'_CHECKPOINTS'!A124)</x:f>
      </x:c>
      <x:c r="B124" s="6" t="str">
        <x:f>IF(ISBLANK('_CHECKPOINTS'!B124),"",'_CHECKPOINTS'!B124)</x:f>
      </x:c>
      <x:c r="C124" s="6"/>
      <x:c r="D124" s="6"/>
      <x:c r="E124" s="6"/>
      <x:c r="F124" s="6"/>
      <x:c r="G124" s="6"/>
      <x:c r="H124" s="6"/>
      <x:c r="I124" s="6"/>
      <x:c r="J124" s="6"/>
      <x:c r="K124" s="6" t="str">
        <x:f>IF(ISBLANK('_CHECKPOINTS'!A124),"",'_CHECKPOINTS'!A124)</x:f>
      </x:c>
      <x:c r="L124" s="6" t="str">
        <x:f>IF(ISBLANK('_CHECKPOINTS'!B124),"",'_CHECKPOINTS'!B124)</x:f>
      </x:c>
      <x:c r="M124" s="6" t="str">
        <x:f>IF(ISBLANK('_CHECKPOINTS'!D124),"",'_CHECKPOINTS'!D124)</x:f>
      </x:c>
      <x:c r="N124" s="6" t="str">
        <x:f>IF(ISBLANK('_CHECKPOINTS'!G124),"",'_CHECKPOINTS'!G124)</x:f>
      </x:c>
      <x:c r="O124" s="6"/>
      <x:c r="P124" s="6"/>
      <x:c r="Q124" s="6"/>
      <x:c r="R124" s="6"/>
      <x:c r="S124" s="6"/>
      <x:c r="T124" s="6"/>
      <x:c r="U124" s="6"/>
      <x:c r="V124" s="6" t="str">
        <x:f>IF(ISBLANK('_INSTANCE'!B124),"",'_INSTANCE'!B124)</x:f>
      </x:c>
      <x:c r="W124" s="6" t="str">
        <x:f>IF(ISBLANK('_INSTANCE'!F124),"",'_INSTANCE'!F124)</x:f>
      </x:c>
      <x:c r="X124" s="6"/>
      <x:c r="Y124" s="6"/>
      <x:c r="Z124" s="6"/>
      <x:c r="AA124" s="6"/>
      <x:c r="AB124" s="6"/>
      <x:c r="AC124" s="6"/>
      <x:c r="AD124" s="6"/>
      <x:c r="AE124" s="6"/>
      <x:c r="AF124" s="6"/>
    </x:row>
    <x:row r="125">
      <x:c r="A125" s="6" t="str">
        <x:f>IF(ISBLANK('_CHECKPOINTS'!A125),"",'_CHECKPOINTS'!A125)</x:f>
      </x:c>
      <x:c r="B125" s="6" t="str">
        <x:f>IF(ISBLANK('_CHECKPOINTS'!B125),"",'_CHECKPOINTS'!B125)</x:f>
      </x:c>
      <x:c r="C125" s="6"/>
      <x:c r="D125" s="6"/>
      <x:c r="E125" s="6"/>
      <x:c r="F125" s="6"/>
      <x:c r="G125" s="6"/>
      <x:c r="H125" s="6"/>
      <x:c r="I125" s="6"/>
      <x:c r="J125" s="6"/>
      <x:c r="K125" s="6" t="str">
        <x:f>IF(ISBLANK('_CHECKPOINTS'!A125),"",'_CHECKPOINTS'!A125)</x:f>
      </x:c>
      <x:c r="L125" s="6" t="str">
        <x:f>IF(ISBLANK('_CHECKPOINTS'!B125),"",'_CHECKPOINTS'!B125)</x:f>
      </x:c>
      <x:c r="M125" s="6" t="str">
        <x:f>IF(ISBLANK('_CHECKPOINTS'!D125),"",'_CHECKPOINTS'!D125)</x:f>
      </x:c>
      <x:c r="N125" s="6" t="str">
        <x:f>IF(ISBLANK('_CHECKPOINTS'!G125),"",'_CHECKPOINTS'!G125)</x:f>
      </x:c>
      <x:c r="O125" s="6"/>
      <x:c r="P125" s="6"/>
      <x:c r="Q125" s="6"/>
      <x:c r="R125" s="6"/>
      <x:c r="S125" s="6"/>
      <x:c r="T125" s="6"/>
      <x:c r="U125" s="6"/>
      <x:c r="V125" s="6" t="str">
        <x:f>IF(ISBLANK('_INSTANCE'!B125),"",'_INSTANCE'!B125)</x:f>
      </x:c>
      <x:c r="W125" s="6" t="str">
        <x:f>IF(ISBLANK('_INSTANCE'!F125),"",'_INSTANCE'!F125)</x:f>
      </x:c>
      <x:c r="X125" s="6"/>
      <x:c r="Y125" s="6"/>
      <x:c r="Z125" s="6"/>
      <x:c r="AA125" s="6"/>
      <x:c r="AB125" s="6"/>
      <x:c r="AC125" s="6"/>
      <x:c r="AD125" s="6"/>
      <x:c r="AE125" s="6"/>
      <x:c r="AF125" s="6"/>
    </x:row>
    <x:row r="126">
      <x:c r="A126" s="6" t="str">
        <x:f>IF(ISBLANK('_CHECKPOINTS'!A126),"",'_CHECKPOINTS'!A126)</x:f>
      </x:c>
      <x:c r="B126" s="6" t="str">
        <x:f>IF(ISBLANK('_CHECKPOINTS'!B126),"",'_CHECKPOINTS'!B126)</x:f>
      </x:c>
      <x:c r="C126" s="6"/>
      <x:c r="D126" s="6"/>
      <x:c r="E126" s="6"/>
      <x:c r="F126" s="6"/>
      <x:c r="G126" s="6"/>
      <x:c r="H126" s="6"/>
      <x:c r="I126" s="6"/>
      <x:c r="J126" s="6"/>
      <x:c r="K126" s="6" t="str">
        <x:f>IF(ISBLANK('_CHECKPOINTS'!A126),"",'_CHECKPOINTS'!A126)</x:f>
      </x:c>
      <x:c r="L126" s="6" t="str">
        <x:f>IF(ISBLANK('_CHECKPOINTS'!B126),"",'_CHECKPOINTS'!B126)</x:f>
      </x:c>
      <x:c r="M126" s="6" t="str">
        <x:f>IF(ISBLANK('_CHECKPOINTS'!D126),"",'_CHECKPOINTS'!D126)</x:f>
      </x:c>
      <x:c r="N126" s="6" t="str">
        <x:f>IF(ISBLANK('_CHECKPOINTS'!G126),"",'_CHECKPOINTS'!G126)</x:f>
      </x:c>
      <x:c r="O126" s="6"/>
      <x:c r="P126" s="6"/>
      <x:c r="Q126" s="6"/>
      <x:c r="R126" s="6"/>
      <x:c r="S126" s="6"/>
      <x:c r="T126" s="6"/>
      <x:c r="U126" s="6"/>
      <x:c r="V126" s="6" t="str">
        <x:f>IF(ISBLANK('_INSTANCE'!B126),"",'_INSTANCE'!B126)</x:f>
      </x:c>
      <x:c r="W126" s="6" t="str">
        <x:f>IF(ISBLANK('_INSTANCE'!F126),"",'_INSTANCE'!F126)</x:f>
      </x:c>
      <x:c r="X126" s="6"/>
      <x:c r="Y126" s="6"/>
      <x:c r="Z126" s="6"/>
      <x:c r="AA126" s="6"/>
      <x:c r="AB126" s="6"/>
      <x:c r="AC126" s="6"/>
      <x:c r="AD126" s="6"/>
      <x:c r="AE126" s="6"/>
      <x:c r="AF126" s="6"/>
    </x:row>
    <x:row r="127">
      <x:c r="A127" s="6" t="str">
        <x:f>IF(ISBLANK('_CHECKPOINTS'!A127),"",'_CHECKPOINTS'!A127)</x:f>
      </x:c>
      <x:c r="B127" s="6" t="str">
        <x:f>IF(ISBLANK('_CHECKPOINTS'!B127),"",'_CHECKPOINTS'!B127)</x:f>
      </x:c>
      <x:c r="C127" s="6"/>
      <x:c r="D127" s="6"/>
      <x:c r="E127" s="6"/>
      <x:c r="F127" s="6"/>
      <x:c r="G127" s="6"/>
      <x:c r="H127" s="6"/>
      <x:c r="I127" s="6"/>
      <x:c r="J127" s="6"/>
      <x:c r="K127" s="6" t="str">
        <x:f>IF(ISBLANK('_CHECKPOINTS'!A127),"",'_CHECKPOINTS'!A127)</x:f>
      </x:c>
      <x:c r="L127" s="6" t="str">
        <x:f>IF(ISBLANK('_CHECKPOINTS'!B127),"",'_CHECKPOINTS'!B127)</x:f>
      </x:c>
      <x:c r="M127" s="6" t="str">
        <x:f>IF(ISBLANK('_CHECKPOINTS'!D127),"",'_CHECKPOINTS'!D127)</x:f>
      </x:c>
      <x:c r="N127" s="6" t="str">
        <x:f>IF(ISBLANK('_CHECKPOINTS'!G127),"",'_CHECKPOINTS'!G127)</x:f>
      </x:c>
      <x:c r="O127" s="6"/>
      <x:c r="P127" s="6"/>
      <x:c r="Q127" s="6"/>
      <x:c r="R127" s="6"/>
      <x:c r="S127" s="6"/>
      <x:c r="T127" s="6"/>
      <x:c r="U127" s="6"/>
      <x:c r="V127" s="6" t="str">
        <x:f>IF(ISBLANK('_INSTANCE'!B127),"",'_INSTANCE'!B127)</x:f>
      </x:c>
      <x:c r="W127" s="6" t="str">
        <x:f>IF(ISBLANK('_INSTANCE'!F127),"",'_INSTANCE'!F127)</x:f>
      </x:c>
      <x:c r="X127" s="6"/>
      <x:c r="Y127" s="6"/>
      <x:c r="Z127" s="6"/>
      <x:c r="AA127" s="6"/>
      <x:c r="AB127" s="6"/>
      <x:c r="AC127" s="6"/>
      <x:c r="AD127" s="6"/>
      <x:c r="AE127" s="6"/>
      <x:c r="AF127" s="6"/>
    </x:row>
    <x:row r="128">
      <x:c r="A128" s="6" t="str">
        <x:f>IF(ISBLANK('_CHECKPOINTS'!A128),"",'_CHECKPOINTS'!A128)</x:f>
      </x:c>
      <x:c r="B128" s="6" t="str">
        <x:f>IF(ISBLANK('_CHECKPOINTS'!B128),"",'_CHECKPOINTS'!B128)</x:f>
      </x:c>
      <x:c r="C128" s="6"/>
      <x:c r="D128" s="6"/>
      <x:c r="E128" s="6"/>
      <x:c r="F128" s="6"/>
      <x:c r="G128" s="6"/>
      <x:c r="H128" s="6"/>
      <x:c r="I128" s="6"/>
      <x:c r="J128" s="6"/>
      <x:c r="K128" s="6" t="str">
        <x:f>IF(ISBLANK('_CHECKPOINTS'!A128),"",'_CHECKPOINTS'!A128)</x:f>
      </x:c>
      <x:c r="L128" s="6" t="str">
        <x:f>IF(ISBLANK('_CHECKPOINTS'!B128),"",'_CHECKPOINTS'!B128)</x:f>
      </x:c>
      <x:c r="M128" s="6" t="str">
        <x:f>IF(ISBLANK('_CHECKPOINTS'!D128),"",'_CHECKPOINTS'!D128)</x:f>
      </x:c>
      <x:c r="N128" s="6" t="str">
        <x:f>IF(ISBLANK('_CHECKPOINTS'!G128),"",'_CHECKPOINTS'!G128)</x:f>
      </x:c>
      <x:c r="O128" s="6"/>
      <x:c r="P128" s="6"/>
      <x:c r="Q128" s="6"/>
      <x:c r="R128" s="6"/>
      <x:c r="S128" s="6"/>
      <x:c r="T128" s="6"/>
      <x:c r="U128" s="6"/>
      <x:c r="V128" s="6" t="str">
        <x:f>IF(ISBLANK('_INSTANCE'!B128),"",'_INSTANCE'!B128)</x:f>
      </x:c>
      <x:c r="W128" s="6" t="str">
        <x:f>IF(ISBLANK('_INSTANCE'!F128),"",'_INSTANCE'!F128)</x:f>
      </x:c>
      <x:c r="X128" s="6"/>
      <x:c r="Y128" s="6"/>
      <x:c r="Z128" s="6"/>
      <x:c r="AA128" s="6"/>
      <x:c r="AB128" s="6"/>
      <x:c r="AC128" s="6"/>
      <x:c r="AD128" s="6"/>
      <x:c r="AE128" s="6"/>
      <x:c r="AF128" s="6"/>
    </x:row>
    <x:row r="129">
      <x:c r="A129" s="6" t="str">
        <x:f>IF(ISBLANK('_CHECKPOINTS'!A129),"",'_CHECKPOINTS'!A129)</x:f>
      </x:c>
      <x:c r="B129" s="6" t="str">
        <x:f>IF(ISBLANK('_CHECKPOINTS'!B129),"",'_CHECKPOINTS'!B129)</x:f>
      </x:c>
      <x:c r="C129" s="6"/>
      <x:c r="D129" s="6"/>
      <x:c r="E129" s="6"/>
      <x:c r="F129" s="6"/>
      <x:c r="G129" s="6"/>
      <x:c r="H129" s="6"/>
      <x:c r="I129" s="6"/>
      <x:c r="J129" s="6"/>
      <x:c r="K129" s="6" t="str">
        <x:f>IF(ISBLANK('_CHECKPOINTS'!A129),"",'_CHECKPOINTS'!A129)</x:f>
      </x:c>
      <x:c r="L129" s="6" t="str">
        <x:f>IF(ISBLANK('_CHECKPOINTS'!B129),"",'_CHECKPOINTS'!B129)</x:f>
      </x:c>
      <x:c r="M129" s="6" t="str">
        <x:f>IF(ISBLANK('_CHECKPOINTS'!D129),"",'_CHECKPOINTS'!D129)</x:f>
      </x:c>
      <x:c r="N129" s="6" t="str">
        <x:f>IF(ISBLANK('_CHECKPOINTS'!G129),"",'_CHECKPOINTS'!G129)</x:f>
      </x:c>
      <x:c r="O129" s="6"/>
      <x:c r="P129" s="6"/>
      <x:c r="Q129" s="6"/>
      <x:c r="R129" s="6"/>
      <x:c r="S129" s="6"/>
      <x:c r="T129" s="6"/>
      <x:c r="U129" s="6"/>
      <x:c r="V129" s="6" t="str">
        <x:f>IF(ISBLANK('_INSTANCE'!B129),"",'_INSTANCE'!B129)</x:f>
      </x:c>
      <x:c r="W129" s="6" t="str">
        <x:f>IF(ISBLANK('_INSTANCE'!F129),"",'_INSTANCE'!F129)</x:f>
      </x:c>
      <x:c r="X129" s="6"/>
      <x:c r="Y129" s="6"/>
      <x:c r="Z129" s="6"/>
      <x:c r="AA129" s="6"/>
      <x:c r="AB129" s="6"/>
      <x:c r="AC129" s="6"/>
      <x:c r="AD129" s="6"/>
      <x:c r="AE129" s="6"/>
      <x:c r="AF129" s="6"/>
    </x:row>
    <x:row r="130">
      <x:c r="A130" s="6" t="str">
        <x:f>IF(ISBLANK('_CHECKPOINTS'!A130),"",'_CHECKPOINTS'!A130)</x:f>
      </x:c>
      <x:c r="B130" s="6" t="str">
        <x:f>IF(ISBLANK('_CHECKPOINTS'!B130),"",'_CHECKPOINTS'!B130)</x:f>
      </x:c>
      <x:c r="C130" s="6"/>
      <x:c r="D130" s="6"/>
      <x:c r="E130" s="6"/>
      <x:c r="F130" s="6"/>
      <x:c r="G130" s="6"/>
      <x:c r="H130" s="6"/>
      <x:c r="I130" s="6"/>
      <x:c r="J130" s="6"/>
      <x:c r="K130" s="6" t="str">
        <x:f>IF(ISBLANK('_CHECKPOINTS'!A130),"",'_CHECKPOINTS'!A130)</x:f>
      </x:c>
      <x:c r="L130" s="6" t="str">
        <x:f>IF(ISBLANK('_CHECKPOINTS'!B130),"",'_CHECKPOINTS'!B130)</x:f>
      </x:c>
      <x:c r="M130" s="6" t="str">
        <x:f>IF(ISBLANK('_CHECKPOINTS'!D130),"",'_CHECKPOINTS'!D130)</x:f>
      </x:c>
      <x:c r="N130" s="6" t="str">
        <x:f>IF(ISBLANK('_CHECKPOINTS'!G130),"",'_CHECKPOINTS'!G130)</x:f>
      </x:c>
      <x:c r="O130" s="6"/>
      <x:c r="P130" s="6"/>
      <x:c r="Q130" s="6"/>
      <x:c r="R130" s="6"/>
      <x:c r="S130" s="6"/>
      <x:c r="T130" s="6"/>
      <x:c r="U130" s="6"/>
      <x:c r="V130" s="6" t="str">
        <x:f>IF(ISBLANK('_INSTANCE'!B130),"",'_INSTANCE'!B130)</x:f>
      </x:c>
      <x:c r="W130" s="6" t="str">
        <x:f>IF(ISBLANK('_INSTANCE'!F130),"",'_INSTANCE'!F130)</x:f>
      </x:c>
      <x:c r="X130" s="6"/>
      <x:c r="Y130" s="6"/>
      <x:c r="Z130" s="6"/>
      <x:c r="AA130" s="6"/>
      <x:c r="AB130" s="6"/>
      <x:c r="AC130" s="6"/>
      <x:c r="AD130" s="6"/>
      <x:c r="AE130" s="6"/>
      <x:c r="AF130" s="6"/>
    </x:row>
    <x:row r="131">
      <x:c r="A131" s="6" t="str">
        <x:f>IF(ISBLANK('_CHECKPOINTS'!A131),"",'_CHECKPOINTS'!A131)</x:f>
      </x:c>
      <x:c r="B131" s="6" t="str">
        <x:f>IF(ISBLANK('_CHECKPOINTS'!B131),"",'_CHECKPOINTS'!B131)</x:f>
      </x:c>
      <x:c r="C131" s="6"/>
      <x:c r="D131" s="6"/>
      <x:c r="E131" s="6"/>
      <x:c r="F131" s="6"/>
      <x:c r="G131" s="6"/>
      <x:c r="H131" s="6"/>
      <x:c r="I131" s="6"/>
      <x:c r="J131" s="6"/>
      <x:c r="K131" s="6" t="str">
        <x:f>IF(ISBLANK('_CHECKPOINTS'!A131),"",'_CHECKPOINTS'!A131)</x:f>
      </x:c>
      <x:c r="L131" s="6" t="str">
        <x:f>IF(ISBLANK('_CHECKPOINTS'!B131),"",'_CHECKPOINTS'!B131)</x:f>
      </x:c>
      <x:c r="M131" s="6" t="str">
        <x:f>IF(ISBLANK('_CHECKPOINTS'!D131),"",'_CHECKPOINTS'!D131)</x:f>
      </x:c>
      <x:c r="N131" s="6" t="str">
        <x:f>IF(ISBLANK('_CHECKPOINTS'!G131),"",'_CHECKPOINTS'!G131)</x:f>
      </x:c>
      <x:c r="O131" s="6"/>
      <x:c r="P131" s="6"/>
      <x:c r="Q131" s="6"/>
      <x:c r="R131" s="6"/>
      <x:c r="S131" s="6"/>
      <x:c r="T131" s="6"/>
      <x:c r="U131" s="6"/>
      <x:c r="V131" s="6" t="str">
        <x:f>IF(ISBLANK('_INSTANCE'!B131),"",'_INSTANCE'!B131)</x:f>
      </x:c>
      <x:c r="W131" s="6" t="str">
        <x:f>IF(ISBLANK('_INSTANCE'!F131),"",'_INSTANCE'!F131)</x:f>
      </x:c>
      <x:c r="X131" s="6"/>
      <x:c r="Y131" s="6"/>
      <x:c r="Z131" s="6"/>
      <x:c r="AA131" s="6"/>
      <x:c r="AB131" s="6"/>
      <x:c r="AC131" s="6"/>
      <x:c r="AD131" s="6"/>
      <x:c r="AE131" s="6"/>
      <x:c r="AF131" s="6"/>
    </x:row>
    <x:row r="132">
      <x:c r="A132" s="6" t="str">
        <x:f>IF(ISBLANK('_CHECKPOINTS'!A132),"",'_CHECKPOINTS'!A132)</x:f>
      </x:c>
      <x:c r="B132" s="6" t="str">
        <x:f>IF(ISBLANK('_CHECKPOINTS'!B132),"",'_CHECKPOINTS'!B132)</x:f>
      </x:c>
      <x:c r="C132" s="6"/>
      <x:c r="D132" s="6"/>
      <x:c r="E132" s="6"/>
      <x:c r="F132" s="6"/>
      <x:c r="G132" s="6"/>
      <x:c r="H132" s="6"/>
      <x:c r="I132" s="6"/>
      <x:c r="J132" s="6"/>
      <x:c r="K132" s="6" t="str">
        <x:f>IF(ISBLANK('_CHECKPOINTS'!A132),"",'_CHECKPOINTS'!A132)</x:f>
      </x:c>
      <x:c r="L132" s="6" t="str">
        <x:f>IF(ISBLANK('_CHECKPOINTS'!B132),"",'_CHECKPOINTS'!B132)</x:f>
      </x:c>
      <x:c r="M132" s="6" t="str">
        <x:f>IF(ISBLANK('_CHECKPOINTS'!D132),"",'_CHECKPOINTS'!D132)</x:f>
      </x:c>
      <x:c r="N132" s="6" t="str">
        <x:f>IF(ISBLANK('_CHECKPOINTS'!G132),"",'_CHECKPOINTS'!G132)</x:f>
      </x:c>
      <x:c r="O132" s="6"/>
      <x:c r="P132" s="6"/>
      <x:c r="Q132" s="6"/>
      <x:c r="R132" s="6"/>
      <x:c r="S132" s="6"/>
      <x:c r="T132" s="6"/>
      <x:c r="U132" s="6"/>
      <x:c r="V132" s="6" t="str">
        <x:f>IF(ISBLANK('_INSTANCE'!B132),"",'_INSTANCE'!B132)</x:f>
      </x:c>
      <x:c r="W132" s="6" t="str">
        <x:f>IF(ISBLANK('_INSTANCE'!F132),"",'_INSTANCE'!F132)</x:f>
      </x:c>
      <x:c r="X132" s="6"/>
      <x:c r="Y132" s="6"/>
      <x:c r="Z132" s="6"/>
      <x:c r="AA132" s="6"/>
      <x:c r="AB132" s="6"/>
      <x:c r="AC132" s="6"/>
      <x:c r="AD132" s="6"/>
      <x:c r="AE132" s="6"/>
      <x:c r="AF132" s="6"/>
    </x:row>
    <x:row r="133">
      <x:c r="A133" s="6" t="str">
        <x:f>IF(ISBLANK('_CHECKPOINTS'!A133),"",'_CHECKPOINTS'!A133)</x:f>
      </x:c>
      <x:c r="B133" s="6" t="str">
        <x:f>IF(ISBLANK('_CHECKPOINTS'!B133),"",'_CHECKPOINTS'!B133)</x:f>
      </x:c>
      <x:c r="C133" s="6"/>
      <x:c r="D133" s="6"/>
      <x:c r="E133" s="6"/>
      <x:c r="F133" s="6"/>
      <x:c r="G133" s="6"/>
      <x:c r="H133" s="6"/>
      <x:c r="I133" s="6"/>
      <x:c r="J133" s="6"/>
      <x:c r="K133" s="6" t="str">
        <x:f>IF(ISBLANK('_CHECKPOINTS'!A133),"",'_CHECKPOINTS'!A133)</x:f>
      </x:c>
      <x:c r="L133" s="6" t="str">
        <x:f>IF(ISBLANK('_CHECKPOINTS'!B133),"",'_CHECKPOINTS'!B133)</x:f>
      </x:c>
      <x:c r="M133" s="6" t="str">
        <x:f>IF(ISBLANK('_CHECKPOINTS'!D133),"",'_CHECKPOINTS'!D133)</x:f>
      </x:c>
      <x:c r="N133" s="6" t="str">
        <x:f>IF(ISBLANK('_CHECKPOINTS'!G133),"",'_CHECKPOINTS'!G133)</x:f>
      </x:c>
      <x:c r="O133" s="6"/>
      <x:c r="P133" s="6"/>
      <x:c r="Q133" s="6"/>
      <x:c r="R133" s="6"/>
      <x:c r="S133" s="6"/>
      <x:c r="T133" s="6"/>
      <x:c r="U133" s="6"/>
      <x:c r="V133" s="6" t="str">
        <x:f>IF(ISBLANK('_INSTANCE'!B133),"",'_INSTANCE'!B133)</x:f>
      </x:c>
      <x:c r="W133" s="6" t="str">
        <x:f>IF(ISBLANK('_INSTANCE'!F133),"",'_INSTANCE'!F133)</x:f>
      </x:c>
      <x:c r="X133" s="6"/>
      <x:c r="Y133" s="6"/>
      <x:c r="Z133" s="6"/>
      <x:c r="AA133" s="6"/>
      <x:c r="AB133" s="6"/>
      <x:c r="AC133" s="6"/>
      <x:c r="AD133" s="6"/>
      <x:c r="AE133" s="6"/>
      <x:c r="AF133" s="6"/>
    </x:row>
    <x:row r="134">
      <x:c r="A134" s="6" t="str">
        <x:f>IF(ISBLANK('_CHECKPOINTS'!A134),"",'_CHECKPOINTS'!A134)</x:f>
      </x:c>
      <x:c r="B134" s="6" t="str">
        <x:f>IF(ISBLANK('_CHECKPOINTS'!B134),"",'_CHECKPOINTS'!B134)</x:f>
      </x:c>
      <x:c r="C134" s="6"/>
      <x:c r="D134" s="6"/>
      <x:c r="E134" s="6"/>
      <x:c r="F134" s="6"/>
      <x:c r="G134" s="6"/>
      <x:c r="H134" s="6"/>
      <x:c r="I134" s="6"/>
      <x:c r="J134" s="6"/>
      <x:c r="K134" s="6" t="str">
        <x:f>IF(ISBLANK('_CHECKPOINTS'!A134),"",'_CHECKPOINTS'!A134)</x:f>
      </x:c>
      <x:c r="L134" s="6" t="str">
        <x:f>IF(ISBLANK('_CHECKPOINTS'!B134),"",'_CHECKPOINTS'!B134)</x:f>
      </x:c>
      <x:c r="M134" s="6" t="str">
        <x:f>IF(ISBLANK('_CHECKPOINTS'!D134),"",'_CHECKPOINTS'!D134)</x:f>
      </x:c>
      <x:c r="N134" s="6" t="str">
        <x:f>IF(ISBLANK('_CHECKPOINTS'!G134),"",'_CHECKPOINTS'!G134)</x:f>
      </x:c>
      <x:c r="O134" s="6"/>
      <x:c r="P134" s="6"/>
      <x:c r="Q134" s="6"/>
      <x:c r="R134" s="6"/>
      <x:c r="S134" s="6"/>
      <x:c r="T134" s="6"/>
      <x:c r="U134" s="6"/>
      <x:c r="V134" s="6" t="str">
        <x:f>IF(ISBLANK('_INSTANCE'!B134),"",'_INSTANCE'!B134)</x:f>
      </x:c>
      <x:c r="W134" s="6" t="str">
        <x:f>IF(ISBLANK('_INSTANCE'!F134),"",'_INSTANCE'!F134)</x:f>
      </x:c>
      <x:c r="X134" s="6"/>
      <x:c r="Y134" s="6"/>
      <x:c r="Z134" s="6"/>
      <x:c r="AA134" s="6"/>
      <x:c r="AB134" s="6"/>
      <x:c r="AC134" s="6"/>
      <x:c r="AD134" s="6"/>
      <x:c r="AE134" s="6"/>
      <x:c r="AF134" s="6"/>
    </x:row>
    <x:row r="135">
      <x:c r="A135" s="6" t="str">
        <x:f>IF(ISBLANK('_CHECKPOINTS'!A135),"",'_CHECKPOINTS'!A135)</x:f>
      </x:c>
      <x:c r="B135" s="6" t="str">
        <x:f>IF(ISBLANK('_CHECKPOINTS'!B135),"",'_CHECKPOINTS'!B135)</x:f>
      </x:c>
      <x:c r="C135" s="6"/>
      <x:c r="D135" s="6"/>
      <x:c r="E135" s="6"/>
      <x:c r="F135" s="6"/>
      <x:c r="G135" s="6"/>
      <x:c r="H135" s="6"/>
      <x:c r="I135" s="6"/>
      <x:c r="J135" s="6"/>
      <x:c r="K135" s="6" t="str">
        <x:f>IF(ISBLANK('_CHECKPOINTS'!A135),"",'_CHECKPOINTS'!A135)</x:f>
      </x:c>
      <x:c r="L135" s="6" t="str">
        <x:f>IF(ISBLANK('_CHECKPOINTS'!B135),"",'_CHECKPOINTS'!B135)</x:f>
      </x:c>
      <x:c r="M135" s="6" t="str">
        <x:f>IF(ISBLANK('_CHECKPOINTS'!D135),"",'_CHECKPOINTS'!D135)</x:f>
      </x:c>
      <x:c r="N135" s="6" t="str">
        <x:f>IF(ISBLANK('_CHECKPOINTS'!G135),"",'_CHECKPOINTS'!G135)</x:f>
      </x:c>
      <x:c r="O135" s="6"/>
      <x:c r="P135" s="6"/>
      <x:c r="Q135" s="6"/>
      <x:c r="R135" s="6"/>
      <x:c r="S135" s="6"/>
      <x:c r="T135" s="6"/>
      <x:c r="U135" s="6"/>
      <x:c r="V135" s="6" t="str">
        <x:f>IF(ISBLANK('_INSTANCE'!B135),"",'_INSTANCE'!B135)</x:f>
      </x:c>
      <x:c r="W135" s="6" t="str">
        <x:f>IF(ISBLANK('_INSTANCE'!F135),"",'_INSTANCE'!F135)</x:f>
      </x:c>
      <x:c r="X135" s="6"/>
      <x:c r="Y135" s="6"/>
      <x:c r="Z135" s="6"/>
      <x:c r="AA135" s="6"/>
      <x:c r="AB135" s="6"/>
      <x:c r="AC135" s="6"/>
      <x:c r="AD135" s="6"/>
      <x:c r="AE135" s="6"/>
      <x:c r="AF135" s="6"/>
    </x:row>
    <x:row r="136">
      <x:c r="A136" s="6" t="str">
        <x:f>IF(ISBLANK('_CHECKPOINTS'!A136),"",'_CHECKPOINTS'!A136)</x:f>
      </x:c>
      <x:c r="B136" s="6" t="str">
        <x:f>IF(ISBLANK('_CHECKPOINTS'!B136),"",'_CHECKPOINTS'!B136)</x:f>
      </x:c>
      <x:c r="C136" s="6"/>
      <x:c r="D136" s="6"/>
      <x:c r="E136" s="6"/>
      <x:c r="F136" s="6"/>
      <x:c r="G136" s="6"/>
      <x:c r="H136" s="6"/>
      <x:c r="I136" s="6"/>
      <x:c r="J136" s="6"/>
      <x:c r="K136" s="6" t="str">
        <x:f>IF(ISBLANK('_CHECKPOINTS'!A136),"",'_CHECKPOINTS'!A136)</x:f>
      </x:c>
      <x:c r="L136" s="6" t="str">
        <x:f>IF(ISBLANK('_CHECKPOINTS'!B136),"",'_CHECKPOINTS'!B136)</x:f>
      </x:c>
      <x:c r="M136" s="6" t="str">
        <x:f>IF(ISBLANK('_CHECKPOINTS'!D136),"",'_CHECKPOINTS'!D136)</x:f>
      </x:c>
      <x:c r="N136" s="6" t="str">
        <x:f>IF(ISBLANK('_CHECKPOINTS'!G136),"",'_CHECKPOINTS'!G136)</x:f>
      </x:c>
      <x:c r="O136" s="6"/>
      <x:c r="P136" s="6"/>
      <x:c r="Q136" s="6"/>
      <x:c r="R136" s="6"/>
      <x:c r="S136" s="6"/>
      <x:c r="T136" s="6"/>
      <x:c r="U136" s="6"/>
      <x:c r="V136" s="6" t="str">
        <x:f>IF(ISBLANK('_INSTANCE'!B136),"",'_INSTANCE'!B136)</x:f>
      </x:c>
      <x:c r="W136" s="6" t="str">
        <x:f>IF(ISBLANK('_INSTANCE'!F136),"",'_INSTANCE'!F136)</x:f>
      </x:c>
      <x:c r="X136" s="6"/>
      <x:c r="Y136" s="6"/>
      <x:c r="Z136" s="6"/>
      <x:c r="AA136" s="6"/>
      <x:c r="AB136" s="6"/>
      <x:c r="AC136" s="6"/>
      <x:c r="AD136" s="6"/>
      <x:c r="AE136" s="6"/>
      <x:c r="AF136" s="6"/>
    </x:row>
    <x:row r="137">
      <x:c r="A137" s="6" t="str">
        <x:f>IF(ISBLANK('_CHECKPOINTS'!A137),"",'_CHECKPOINTS'!A137)</x:f>
      </x:c>
      <x:c r="B137" s="6" t="str">
        <x:f>IF(ISBLANK('_CHECKPOINTS'!B137),"",'_CHECKPOINTS'!B137)</x:f>
      </x:c>
      <x:c r="C137" s="6"/>
      <x:c r="D137" s="6"/>
      <x:c r="E137" s="6"/>
      <x:c r="F137" s="6"/>
      <x:c r="G137" s="6"/>
      <x:c r="H137" s="6"/>
      <x:c r="I137" s="6"/>
      <x:c r="J137" s="6"/>
      <x:c r="K137" s="6" t="str">
        <x:f>IF(ISBLANK('_CHECKPOINTS'!A137),"",'_CHECKPOINTS'!A137)</x:f>
      </x:c>
      <x:c r="L137" s="6" t="str">
        <x:f>IF(ISBLANK('_CHECKPOINTS'!B137),"",'_CHECKPOINTS'!B137)</x:f>
      </x:c>
      <x:c r="M137" s="6" t="str">
        <x:f>IF(ISBLANK('_CHECKPOINTS'!D137),"",'_CHECKPOINTS'!D137)</x:f>
      </x:c>
      <x:c r="N137" s="6" t="str">
        <x:f>IF(ISBLANK('_CHECKPOINTS'!G137),"",'_CHECKPOINTS'!G137)</x:f>
      </x:c>
      <x:c r="O137" s="6"/>
      <x:c r="P137" s="6"/>
      <x:c r="Q137" s="6"/>
      <x:c r="R137" s="6"/>
      <x:c r="S137" s="6"/>
      <x:c r="T137" s="6"/>
      <x:c r="U137" s="6"/>
      <x:c r="V137" s="6" t="str">
        <x:f>IF(ISBLANK('_INSTANCE'!B137),"",'_INSTANCE'!B137)</x:f>
      </x:c>
      <x:c r="W137" s="6" t="str">
        <x:f>IF(ISBLANK('_INSTANCE'!F137),"",'_INSTANCE'!F137)</x:f>
      </x:c>
      <x:c r="X137" s="6"/>
      <x:c r="Y137" s="6"/>
      <x:c r="Z137" s="6"/>
      <x:c r="AA137" s="6"/>
      <x:c r="AB137" s="6"/>
      <x:c r="AC137" s="6"/>
      <x:c r="AD137" s="6"/>
      <x:c r="AE137" s="6"/>
      <x:c r="AF137" s="6"/>
    </x:row>
    <x:row r="138">
      <x:c r="A138" s="6" t="str">
        <x:f>IF(ISBLANK('_CHECKPOINTS'!A138),"",'_CHECKPOINTS'!A138)</x:f>
      </x:c>
      <x:c r="B138" s="6" t="str">
        <x:f>IF(ISBLANK('_CHECKPOINTS'!B138),"",'_CHECKPOINTS'!B138)</x:f>
      </x:c>
      <x:c r="C138" s="6"/>
      <x:c r="D138" s="6"/>
      <x:c r="E138" s="6"/>
      <x:c r="F138" s="6"/>
      <x:c r="G138" s="6"/>
      <x:c r="H138" s="6"/>
      <x:c r="I138" s="6"/>
      <x:c r="J138" s="6"/>
      <x:c r="K138" s="6" t="str">
        <x:f>IF(ISBLANK('_CHECKPOINTS'!A138),"",'_CHECKPOINTS'!A138)</x:f>
      </x:c>
      <x:c r="L138" s="6" t="str">
        <x:f>IF(ISBLANK('_CHECKPOINTS'!B138),"",'_CHECKPOINTS'!B138)</x:f>
      </x:c>
      <x:c r="M138" s="6" t="str">
        <x:f>IF(ISBLANK('_CHECKPOINTS'!D138),"",'_CHECKPOINTS'!D138)</x:f>
      </x:c>
      <x:c r="N138" s="6" t="str">
        <x:f>IF(ISBLANK('_CHECKPOINTS'!G138),"",'_CHECKPOINTS'!G138)</x:f>
      </x:c>
      <x:c r="O138" s="6"/>
      <x:c r="P138" s="6"/>
      <x:c r="Q138" s="6"/>
      <x:c r="R138" s="6"/>
      <x:c r="S138" s="6"/>
      <x:c r="T138" s="6"/>
      <x:c r="U138" s="6"/>
      <x:c r="V138" s="6" t="str">
        <x:f>IF(ISBLANK('_INSTANCE'!B138),"",'_INSTANCE'!B138)</x:f>
      </x:c>
      <x:c r="W138" s="6" t="str">
        <x:f>IF(ISBLANK('_INSTANCE'!F138),"",'_INSTANCE'!F138)</x:f>
      </x:c>
      <x:c r="X138" s="6"/>
      <x:c r="Y138" s="6"/>
      <x:c r="Z138" s="6"/>
      <x:c r="AA138" s="6"/>
      <x:c r="AB138" s="6"/>
      <x:c r="AC138" s="6"/>
      <x:c r="AD138" s="6"/>
      <x:c r="AE138" s="6"/>
      <x:c r="AF138" s="6"/>
    </x:row>
    <x:row r="139">
      <x:c r="A139" s="6" t="str">
        <x:f>IF(ISBLANK('_CHECKPOINTS'!A139),"",'_CHECKPOINTS'!A139)</x:f>
      </x:c>
      <x:c r="B139" s="6" t="str">
        <x:f>IF(ISBLANK('_CHECKPOINTS'!B139),"",'_CHECKPOINTS'!B139)</x:f>
      </x:c>
      <x:c r="C139" s="6"/>
      <x:c r="D139" s="6"/>
      <x:c r="E139" s="6"/>
      <x:c r="F139" s="6"/>
      <x:c r="G139" s="6"/>
      <x:c r="H139" s="6"/>
      <x:c r="I139" s="6"/>
      <x:c r="J139" s="6"/>
      <x:c r="K139" s="6" t="str">
        <x:f>IF(ISBLANK('_CHECKPOINTS'!A139),"",'_CHECKPOINTS'!A139)</x:f>
      </x:c>
      <x:c r="L139" s="6" t="str">
        <x:f>IF(ISBLANK('_CHECKPOINTS'!B139),"",'_CHECKPOINTS'!B139)</x:f>
      </x:c>
      <x:c r="M139" s="6" t="str">
        <x:f>IF(ISBLANK('_CHECKPOINTS'!D139),"",'_CHECKPOINTS'!D139)</x:f>
      </x:c>
      <x:c r="N139" s="6" t="str">
        <x:f>IF(ISBLANK('_CHECKPOINTS'!G139),"",'_CHECKPOINTS'!G139)</x:f>
      </x:c>
      <x:c r="O139" s="6"/>
      <x:c r="P139" s="6"/>
      <x:c r="Q139" s="6"/>
      <x:c r="R139" s="6"/>
      <x:c r="S139" s="6"/>
      <x:c r="T139" s="6"/>
      <x:c r="U139" s="6"/>
      <x:c r="V139" s="6" t="str">
        <x:f>IF(ISBLANK('_INSTANCE'!B139),"",'_INSTANCE'!B139)</x:f>
      </x:c>
      <x:c r="W139" s="6" t="str">
        <x:f>IF(ISBLANK('_INSTANCE'!F139),"",'_INSTANCE'!F139)</x:f>
      </x:c>
      <x:c r="X139" s="6"/>
      <x:c r="Y139" s="6"/>
      <x:c r="Z139" s="6"/>
      <x:c r="AA139" s="6"/>
      <x:c r="AB139" s="6"/>
      <x:c r="AC139" s="6"/>
      <x:c r="AD139" s="6"/>
      <x:c r="AE139" s="6"/>
      <x:c r="AF139" s="6"/>
    </x:row>
    <x:row r="140">
      <x:c r="A140" s="6" t="str">
        <x:f>IF(ISBLANK('_CHECKPOINTS'!A140),"",'_CHECKPOINTS'!A140)</x:f>
      </x:c>
      <x:c r="B140" s="6" t="str">
        <x:f>IF(ISBLANK('_CHECKPOINTS'!B140),"",'_CHECKPOINTS'!B140)</x:f>
      </x:c>
      <x:c r="C140" s="6"/>
      <x:c r="D140" s="6"/>
      <x:c r="E140" s="6"/>
      <x:c r="F140" s="6"/>
      <x:c r="G140" s="6"/>
      <x:c r="H140" s="6"/>
      <x:c r="I140" s="6"/>
      <x:c r="J140" s="6"/>
      <x:c r="K140" s="6" t="str">
        <x:f>IF(ISBLANK('_CHECKPOINTS'!A140),"",'_CHECKPOINTS'!A140)</x:f>
      </x:c>
      <x:c r="L140" s="6" t="str">
        <x:f>IF(ISBLANK('_CHECKPOINTS'!B140),"",'_CHECKPOINTS'!B140)</x:f>
      </x:c>
      <x:c r="M140" s="6" t="str">
        <x:f>IF(ISBLANK('_CHECKPOINTS'!D140),"",'_CHECKPOINTS'!D140)</x:f>
      </x:c>
      <x:c r="N140" s="6" t="str">
        <x:f>IF(ISBLANK('_CHECKPOINTS'!G140),"",'_CHECKPOINTS'!G140)</x:f>
      </x:c>
      <x:c r="O140" s="6"/>
      <x:c r="P140" s="6"/>
      <x:c r="Q140" s="6"/>
      <x:c r="R140" s="6"/>
      <x:c r="S140" s="6"/>
      <x:c r="T140" s="6"/>
      <x:c r="U140" s="6"/>
      <x:c r="V140" s="6" t="str">
        <x:f>IF(ISBLANK('_INSTANCE'!B140),"",'_INSTANCE'!B140)</x:f>
      </x:c>
      <x:c r="W140" s="6" t="str">
        <x:f>IF(ISBLANK('_INSTANCE'!F140),"",'_INSTANCE'!F140)</x:f>
      </x:c>
      <x:c r="X140" s="6"/>
      <x:c r="Y140" s="6"/>
      <x:c r="Z140" s="6"/>
      <x:c r="AA140" s="6"/>
      <x:c r="AB140" s="6"/>
      <x:c r="AC140" s="6"/>
      <x:c r="AD140" s="6"/>
      <x:c r="AE140" s="6"/>
      <x:c r="AF140" s="6"/>
    </x:row>
    <x:row r="141">
      <x:c r="A141" s="6" t="str">
        <x:f>IF(ISBLANK('_CHECKPOINTS'!A141),"",'_CHECKPOINTS'!A141)</x:f>
      </x:c>
      <x:c r="B141" s="6" t="str">
        <x:f>IF(ISBLANK('_CHECKPOINTS'!B141),"",'_CHECKPOINTS'!B141)</x:f>
      </x:c>
      <x:c r="C141" s="6"/>
      <x:c r="D141" s="6"/>
      <x:c r="E141" s="6"/>
      <x:c r="F141" s="6"/>
      <x:c r="G141" s="6"/>
      <x:c r="H141" s="6"/>
      <x:c r="I141" s="6"/>
      <x:c r="J141" s="6"/>
      <x:c r="K141" s="6" t="str">
        <x:f>IF(ISBLANK('_CHECKPOINTS'!A141),"",'_CHECKPOINTS'!A141)</x:f>
      </x:c>
      <x:c r="L141" s="6" t="str">
        <x:f>IF(ISBLANK('_CHECKPOINTS'!B141),"",'_CHECKPOINTS'!B141)</x:f>
      </x:c>
      <x:c r="M141" s="6" t="str">
        <x:f>IF(ISBLANK('_CHECKPOINTS'!D141),"",'_CHECKPOINTS'!D141)</x:f>
      </x:c>
      <x:c r="N141" s="6" t="str">
        <x:f>IF(ISBLANK('_CHECKPOINTS'!G141),"",'_CHECKPOINTS'!G141)</x:f>
      </x:c>
      <x:c r="O141" s="6"/>
      <x:c r="P141" s="6"/>
      <x:c r="Q141" s="6"/>
      <x:c r="R141" s="6"/>
      <x:c r="S141" s="6"/>
      <x:c r="T141" s="6"/>
      <x:c r="U141" s="6"/>
      <x:c r="V141" s="6" t="str">
        <x:f>IF(ISBLANK('_INSTANCE'!B141),"",'_INSTANCE'!B141)</x:f>
      </x:c>
      <x:c r="W141" s="6" t="str">
        <x:f>IF(ISBLANK('_INSTANCE'!F141),"",'_INSTANCE'!F141)</x:f>
      </x:c>
      <x:c r="X141" s="6"/>
      <x:c r="Y141" s="6"/>
      <x:c r="Z141" s="6"/>
      <x:c r="AA141" s="6"/>
      <x:c r="AB141" s="6"/>
      <x:c r="AC141" s="6"/>
      <x:c r="AD141" s="6"/>
      <x:c r="AE141" s="6"/>
      <x:c r="AF141" s="6"/>
    </x:row>
    <x:row r="142">
      <x:c r="A142" s="6" t="str">
        <x:f>IF(ISBLANK('_CHECKPOINTS'!A142),"",'_CHECKPOINTS'!A142)</x:f>
      </x:c>
      <x:c r="B142" s="6" t="str">
        <x:f>IF(ISBLANK('_CHECKPOINTS'!B142),"",'_CHECKPOINTS'!B142)</x:f>
      </x:c>
      <x:c r="C142" s="6"/>
      <x:c r="D142" s="6"/>
      <x:c r="E142" s="6"/>
      <x:c r="F142" s="6"/>
      <x:c r="G142" s="6"/>
      <x:c r="H142" s="6"/>
      <x:c r="I142" s="6"/>
      <x:c r="J142" s="6"/>
      <x:c r="K142" s="6" t="str">
        <x:f>IF(ISBLANK('_CHECKPOINTS'!A142),"",'_CHECKPOINTS'!A142)</x:f>
      </x:c>
      <x:c r="L142" s="6" t="str">
        <x:f>IF(ISBLANK('_CHECKPOINTS'!B142),"",'_CHECKPOINTS'!B142)</x:f>
      </x:c>
      <x:c r="M142" s="6" t="str">
        <x:f>IF(ISBLANK('_CHECKPOINTS'!D142),"",'_CHECKPOINTS'!D142)</x:f>
      </x:c>
      <x:c r="N142" s="6" t="str">
        <x:f>IF(ISBLANK('_CHECKPOINTS'!G142),"",'_CHECKPOINTS'!G142)</x:f>
      </x:c>
      <x:c r="O142" s="6"/>
      <x:c r="P142" s="6"/>
      <x:c r="Q142" s="6"/>
      <x:c r="R142" s="6"/>
      <x:c r="S142" s="6"/>
      <x:c r="T142" s="6"/>
      <x:c r="U142" s="6"/>
      <x:c r="V142" s="6" t="str">
        <x:f>IF(ISBLANK('_INSTANCE'!B142),"",'_INSTANCE'!B142)</x:f>
      </x:c>
      <x:c r="W142" s="6" t="str">
        <x:f>IF(ISBLANK('_INSTANCE'!F142),"",'_INSTANCE'!F142)</x:f>
      </x:c>
      <x:c r="X142" s="6"/>
      <x:c r="Y142" s="6"/>
      <x:c r="Z142" s="6"/>
      <x:c r="AA142" s="6"/>
      <x:c r="AB142" s="6"/>
      <x:c r="AC142" s="6"/>
      <x:c r="AD142" s="6"/>
      <x:c r="AE142" s="6"/>
      <x:c r="AF142" s="6"/>
    </x:row>
    <x:row r="143">
      <x:c r="A143" s="6" t="str">
        <x:f>IF(ISBLANK('_CHECKPOINTS'!A143),"",'_CHECKPOINTS'!A143)</x:f>
      </x:c>
      <x:c r="B143" s="6" t="str">
        <x:f>IF(ISBLANK('_CHECKPOINTS'!B143),"",'_CHECKPOINTS'!B143)</x:f>
      </x:c>
      <x:c r="C143" s="6"/>
      <x:c r="D143" s="6"/>
      <x:c r="E143" s="6"/>
      <x:c r="F143" s="6"/>
      <x:c r="G143" s="6"/>
      <x:c r="H143" s="6"/>
      <x:c r="I143" s="6"/>
      <x:c r="J143" s="6"/>
      <x:c r="K143" s="6" t="str">
        <x:f>IF(ISBLANK('_CHECKPOINTS'!A143),"",'_CHECKPOINTS'!A143)</x:f>
      </x:c>
      <x:c r="L143" s="6" t="str">
        <x:f>IF(ISBLANK('_CHECKPOINTS'!B143),"",'_CHECKPOINTS'!B143)</x:f>
      </x:c>
      <x:c r="M143" s="6" t="str">
        <x:f>IF(ISBLANK('_CHECKPOINTS'!D143),"",'_CHECKPOINTS'!D143)</x:f>
      </x:c>
      <x:c r="N143" s="6" t="str">
        <x:f>IF(ISBLANK('_CHECKPOINTS'!G143),"",'_CHECKPOINTS'!G143)</x:f>
      </x:c>
      <x:c r="O143" s="6"/>
      <x:c r="P143" s="6"/>
      <x:c r="Q143" s="6"/>
      <x:c r="R143" s="6"/>
      <x:c r="S143" s="6"/>
      <x:c r="T143" s="6"/>
      <x:c r="U143" s="6"/>
      <x:c r="V143" s="6" t="str">
        <x:f>IF(ISBLANK('_INSTANCE'!B143),"",'_INSTANCE'!B143)</x:f>
      </x:c>
      <x:c r="W143" s="6" t="str">
        <x:f>IF(ISBLANK('_INSTANCE'!F143),"",'_INSTANCE'!F143)</x:f>
      </x:c>
      <x:c r="X143" s="6"/>
      <x:c r="Y143" s="6"/>
      <x:c r="Z143" s="6"/>
      <x:c r="AA143" s="6"/>
      <x:c r="AB143" s="6"/>
      <x:c r="AC143" s="6"/>
      <x:c r="AD143" s="6"/>
      <x:c r="AE143" s="6"/>
      <x:c r="AF143" s="6"/>
    </x:row>
    <x:row r="144">
      <x:c r="A144" s="6" t="str">
        <x:f>IF(ISBLANK('_CHECKPOINTS'!A144),"",'_CHECKPOINTS'!A144)</x:f>
      </x:c>
      <x:c r="B144" s="6" t="str">
        <x:f>IF(ISBLANK('_CHECKPOINTS'!B144),"",'_CHECKPOINTS'!B144)</x:f>
      </x:c>
      <x:c r="C144" s="6"/>
      <x:c r="D144" s="6"/>
      <x:c r="E144" s="6"/>
      <x:c r="F144" s="6"/>
      <x:c r="G144" s="6"/>
      <x:c r="H144" s="6"/>
      <x:c r="I144" s="6"/>
      <x:c r="J144" s="6"/>
      <x:c r="K144" s="6" t="str">
        <x:f>IF(ISBLANK('_CHECKPOINTS'!A144),"",'_CHECKPOINTS'!A144)</x:f>
      </x:c>
      <x:c r="L144" s="6" t="str">
        <x:f>IF(ISBLANK('_CHECKPOINTS'!B144),"",'_CHECKPOINTS'!B144)</x:f>
      </x:c>
      <x:c r="M144" s="6" t="str">
        <x:f>IF(ISBLANK('_CHECKPOINTS'!D144),"",'_CHECKPOINTS'!D144)</x:f>
      </x:c>
      <x:c r="N144" s="6" t="str">
        <x:f>IF(ISBLANK('_CHECKPOINTS'!G144),"",'_CHECKPOINTS'!G144)</x:f>
      </x:c>
      <x:c r="O144" s="6"/>
      <x:c r="P144" s="6"/>
      <x:c r="Q144" s="6"/>
      <x:c r="R144" s="6"/>
      <x:c r="S144" s="6"/>
      <x:c r="T144" s="6"/>
      <x:c r="U144" s="6"/>
      <x:c r="V144" s="6" t="str">
        <x:f>IF(ISBLANK('_INSTANCE'!B144),"",'_INSTANCE'!B144)</x:f>
      </x:c>
      <x:c r="W144" s="6" t="str">
        <x:f>IF(ISBLANK('_INSTANCE'!F144),"",'_INSTANCE'!F144)</x:f>
      </x:c>
      <x:c r="X144" s="6"/>
      <x:c r="Y144" s="6"/>
      <x:c r="Z144" s="6"/>
      <x:c r="AA144" s="6"/>
      <x:c r="AB144" s="6"/>
      <x:c r="AC144" s="6"/>
      <x:c r="AD144" s="6"/>
      <x:c r="AE144" s="6"/>
      <x:c r="AF144" s="6"/>
    </x:row>
    <x:row r="145">
      <x:c r="A145" s="6" t="str">
        <x:f>IF(ISBLANK('_CHECKPOINTS'!A145),"",'_CHECKPOINTS'!A145)</x:f>
      </x:c>
      <x:c r="B145" s="6" t="str">
        <x:f>IF(ISBLANK('_CHECKPOINTS'!B145),"",'_CHECKPOINTS'!B145)</x:f>
      </x:c>
      <x:c r="C145" s="6"/>
      <x:c r="D145" s="6"/>
      <x:c r="E145" s="6"/>
      <x:c r="F145" s="6"/>
      <x:c r="G145" s="6"/>
      <x:c r="H145" s="6"/>
      <x:c r="I145" s="6"/>
      <x:c r="J145" s="6"/>
      <x:c r="K145" s="6" t="str">
        <x:f>IF(ISBLANK('_CHECKPOINTS'!A145),"",'_CHECKPOINTS'!A145)</x:f>
      </x:c>
      <x:c r="L145" s="6" t="str">
        <x:f>IF(ISBLANK('_CHECKPOINTS'!B145),"",'_CHECKPOINTS'!B145)</x:f>
      </x:c>
      <x:c r="M145" s="6" t="str">
        <x:f>IF(ISBLANK('_CHECKPOINTS'!D145),"",'_CHECKPOINTS'!D145)</x:f>
      </x:c>
      <x:c r="N145" s="6" t="str">
        <x:f>IF(ISBLANK('_CHECKPOINTS'!G145),"",'_CHECKPOINTS'!G145)</x:f>
      </x:c>
      <x:c r="O145" s="6"/>
      <x:c r="P145" s="6"/>
      <x:c r="Q145" s="6"/>
      <x:c r="R145" s="6"/>
      <x:c r="S145" s="6"/>
      <x:c r="T145" s="6"/>
      <x:c r="U145" s="6"/>
      <x:c r="V145" s="6" t="str">
        <x:f>IF(ISBLANK('_INSTANCE'!B145),"",'_INSTANCE'!B145)</x:f>
      </x:c>
      <x:c r="W145" s="6" t="str">
        <x:f>IF(ISBLANK('_INSTANCE'!F145),"",'_INSTANCE'!F145)</x:f>
      </x:c>
      <x:c r="X145" s="6"/>
      <x:c r="Y145" s="6"/>
      <x:c r="Z145" s="6"/>
      <x:c r="AA145" s="6"/>
      <x:c r="AB145" s="6"/>
      <x:c r="AC145" s="6"/>
      <x:c r="AD145" s="6"/>
      <x:c r="AE145" s="6"/>
      <x:c r="AF145" s="6"/>
    </x:row>
    <x:row r="146">
      <x:c r="A146" s="6" t="str">
        <x:f>IF(ISBLANK('_CHECKPOINTS'!A146),"",'_CHECKPOINTS'!A146)</x:f>
      </x:c>
      <x:c r="B146" s="6" t="str">
        <x:f>IF(ISBLANK('_CHECKPOINTS'!B146),"",'_CHECKPOINTS'!B146)</x:f>
      </x:c>
      <x:c r="C146" s="6"/>
      <x:c r="D146" s="6"/>
      <x:c r="E146" s="6"/>
      <x:c r="F146" s="6"/>
      <x:c r="G146" s="6"/>
      <x:c r="H146" s="6"/>
      <x:c r="I146" s="6"/>
      <x:c r="J146" s="6"/>
      <x:c r="K146" s="6" t="str">
        <x:f>IF(ISBLANK('_CHECKPOINTS'!A146),"",'_CHECKPOINTS'!A146)</x:f>
      </x:c>
      <x:c r="L146" s="6" t="str">
        <x:f>IF(ISBLANK('_CHECKPOINTS'!B146),"",'_CHECKPOINTS'!B146)</x:f>
      </x:c>
      <x:c r="M146" s="6" t="str">
        <x:f>IF(ISBLANK('_CHECKPOINTS'!D146),"",'_CHECKPOINTS'!D146)</x:f>
      </x:c>
      <x:c r="N146" s="6" t="str">
        <x:f>IF(ISBLANK('_CHECKPOINTS'!G146),"",'_CHECKPOINTS'!G146)</x:f>
      </x:c>
      <x:c r="O146" s="6"/>
      <x:c r="P146" s="6"/>
      <x:c r="Q146" s="6"/>
      <x:c r="R146" s="6"/>
      <x:c r="S146" s="6"/>
      <x:c r="T146" s="6"/>
      <x:c r="U146" s="6"/>
      <x:c r="V146" s="6" t="str">
        <x:f>IF(ISBLANK('_INSTANCE'!B146),"",'_INSTANCE'!B146)</x:f>
      </x:c>
      <x:c r="W146" s="6" t="str">
        <x:f>IF(ISBLANK('_INSTANCE'!F146),"",'_INSTANCE'!F146)</x:f>
      </x:c>
      <x:c r="X146" s="6"/>
      <x:c r="Y146" s="6"/>
      <x:c r="Z146" s="6"/>
      <x:c r="AA146" s="6"/>
      <x:c r="AB146" s="6"/>
      <x:c r="AC146" s="6"/>
      <x:c r="AD146" s="6"/>
      <x:c r="AE146" s="6"/>
      <x:c r="AF146" s="6"/>
    </x:row>
    <x:row r="147">
      <x:c r="A147" s="6" t="str">
        <x:f>IF(ISBLANK('_CHECKPOINTS'!A147),"",'_CHECKPOINTS'!A147)</x:f>
      </x:c>
      <x:c r="B147" s="6" t="str">
        <x:f>IF(ISBLANK('_CHECKPOINTS'!B147),"",'_CHECKPOINTS'!B147)</x:f>
      </x:c>
      <x:c r="C147" s="6"/>
      <x:c r="D147" s="6"/>
      <x:c r="E147" s="6"/>
      <x:c r="F147" s="6"/>
      <x:c r="G147" s="6"/>
      <x:c r="H147" s="6"/>
      <x:c r="I147" s="6"/>
      <x:c r="J147" s="6"/>
      <x:c r="K147" s="6" t="str">
        <x:f>IF(ISBLANK('_CHECKPOINTS'!A147),"",'_CHECKPOINTS'!A147)</x:f>
      </x:c>
      <x:c r="L147" s="6" t="str">
        <x:f>IF(ISBLANK('_CHECKPOINTS'!B147),"",'_CHECKPOINTS'!B147)</x:f>
      </x:c>
      <x:c r="M147" s="6" t="str">
        <x:f>IF(ISBLANK('_CHECKPOINTS'!D147),"",'_CHECKPOINTS'!D147)</x:f>
      </x:c>
      <x:c r="N147" s="6" t="str">
        <x:f>IF(ISBLANK('_CHECKPOINTS'!G147),"",'_CHECKPOINTS'!G147)</x:f>
      </x:c>
      <x:c r="O147" s="6"/>
      <x:c r="P147" s="6"/>
      <x:c r="Q147" s="6"/>
      <x:c r="R147" s="6"/>
      <x:c r="S147" s="6"/>
      <x:c r="T147" s="6"/>
      <x:c r="U147" s="6"/>
      <x:c r="V147" s="6" t="str">
        <x:f>IF(ISBLANK('_INSTANCE'!B147),"",'_INSTANCE'!B147)</x:f>
      </x:c>
      <x:c r="W147" s="6" t="str">
        <x:f>IF(ISBLANK('_INSTANCE'!F147),"",'_INSTANCE'!F147)</x:f>
      </x:c>
      <x:c r="X147" s="6"/>
      <x:c r="Y147" s="6"/>
      <x:c r="Z147" s="6"/>
      <x:c r="AA147" s="6"/>
      <x:c r="AB147" s="6"/>
      <x:c r="AC147" s="6"/>
      <x:c r="AD147" s="6"/>
      <x:c r="AE147" s="6"/>
      <x:c r="AF147" s="6"/>
    </x:row>
    <x:row r="148">
      <x:c r="A148" s="6" t="str">
        <x:f>IF(ISBLANK('_CHECKPOINTS'!A148),"",'_CHECKPOINTS'!A148)</x:f>
      </x:c>
      <x:c r="B148" s="6" t="str">
        <x:f>IF(ISBLANK('_CHECKPOINTS'!B148),"",'_CHECKPOINTS'!B148)</x:f>
      </x:c>
      <x:c r="C148" s="6"/>
      <x:c r="D148" s="6"/>
      <x:c r="E148" s="6"/>
      <x:c r="F148" s="6"/>
      <x:c r="G148" s="6"/>
      <x:c r="H148" s="6"/>
      <x:c r="I148" s="6"/>
      <x:c r="J148" s="6"/>
      <x:c r="K148" s="6" t="str">
        <x:f>IF(ISBLANK('_CHECKPOINTS'!A148),"",'_CHECKPOINTS'!A148)</x:f>
      </x:c>
      <x:c r="L148" s="6" t="str">
        <x:f>IF(ISBLANK('_CHECKPOINTS'!B148),"",'_CHECKPOINTS'!B148)</x:f>
      </x:c>
      <x:c r="M148" s="6" t="str">
        <x:f>IF(ISBLANK('_CHECKPOINTS'!D148),"",'_CHECKPOINTS'!D148)</x:f>
      </x:c>
      <x:c r="N148" s="6" t="str">
        <x:f>IF(ISBLANK('_CHECKPOINTS'!G148),"",'_CHECKPOINTS'!G148)</x:f>
      </x:c>
      <x:c r="O148" s="6"/>
      <x:c r="P148" s="6"/>
      <x:c r="Q148" s="6"/>
      <x:c r="R148" s="6"/>
      <x:c r="S148" s="6"/>
      <x:c r="T148" s="6"/>
      <x:c r="U148" s="6"/>
      <x:c r="V148" s="6" t="str">
        <x:f>IF(ISBLANK('_INSTANCE'!B148),"",'_INSTANCE'!B148)</x:f>
      </x:c>
      <x:c r="W148" s="6" t="str">
        <x:f>IF(ISBLANK('_INSTANCE'!F148),"",'_INSTANCE'!F148)</x:f>
      </x:c>
      <x:c r="X148" s="6"/>
      <x:c r="Y148" s="6"/>
      <x:c r="Z148" s="6"/>
      <x:c r="AA148" s="6"/>
      <x:c r="AB148" s="6"/>
      <x:c r="AC148" s="6"/>
      <x:c r="AD148" s="6"/>
      <x:c r="AE148" s="6"/>
      <x:c r="AF148" s="6"/>
    </x:row>
    <x:row r="149">
      <x:c r="A149" s="6" t="str">
        <x:f>IF(ISBLANK('_CHECKPOINTS'!A149),"",'_CHECKPOINTS'!A149)</x:f>
      </x:c>
      <x:c r="B149" s="6" t="str">
        <x:f>IF(ISBLANK('_CHECKPOINTS'!B149),"",'_CHECKPOINTS'!B149)</x:f>
      </x:c>
      <x:c r="C149" s="6"/>
      <x:c r="D149" s="6"/>
      <x:c r="E149" s="6"/>
      <x:c r="F149" s="6"/>
      <x:c r="G149" s="6"/>
      <x:c r="H149" s="6"/>
      <x:c r="I149" s="6"/>
      <x:c r="J149" s="6"/>
      <x:c r="K149" s="6" t="str">
        <x:f>IF(ISBLANK('_CHECKPOINTS'!A149),"",'_CHECKPOINTS'!A149)</x:f>
      </x:c>
      <x:c r="L149" s="6" t="str">
        <x:f>IF(ISBLANK('_CHECKPOINTS'!B149),"",'_CHECKPOINTS'!B149)</x:f>
      </x:c>
      <x:c r="M149" s="6" t="str">
        <x:f>IF(ISBLANK('_CHECKPOINTS'!D149),"",'_CHECKPOINTS'!D149)</x:f>
      </x:c>
      <x:c r="N149" s="6" t="str">
        <x:f>IF(ISBLANK('_CHECKPOINTS'!G149),"",'_CHECKPOINTS'!G149)</x:f>
      </x:c>
      <x:c r="O149" s="6"/>
      <x:c r="P149" s="6"/>
      <x:c r="Q149" s="6"/>
      <x:c r="R149" s="6"/>
      <x:c r="S149" s="6"/>
      <x:c r="T149" s="6"/>
      <x:c r="U149" s="6"/>
      <x:c r="V149" s="6" t="str">
        <x:f>IF(ISBLANK('_INSTANCE'!B149),"",'_INSTANCE'!B149)</x:f>
      </x:c>
      <x:c r="W149" s="6" t="str">
        <x:f>IF(ISBLANK('_INSTANCE'!F149),"",'_INSTANCE'!F149)</x:f>
      </x:c>
      <x:c r="X149" s="6"/>
      <x:c r="Y149" s="6"/>
      <x:c r="Z149" s="6"/>
      <x:c r="AA149" s="6"/>
      <x:c r="AB149" s="6"/>
      <x:c r="AC149" s="6"/>
      <x:c r="AD149" s="6"/>
      <x:c r="AE149" s="6"/>
      <x:c r="AF149" s="6"/>
    </x:row>
    <x:row r="150">
      <x:c r="A150" s="6" t="str">
        <x:f>IF(ISBLANK('_CHECKPOINTS'!A150),"",'_CHECKPOINTS'!A150)</x:f>
      </x:c>
      <x:c r="B150" s="6" t="str">
        <x:f>IF(ISBLANK('_CHECKPOINTS'!B150),"",'_CHECKPOINTS'!B150)</x:f>
      </x:c>
      <x:c r="C150" s="6"/>
      <x:c r="D150" s="6"/>
      <x:c r="E150" s="6"/>
      <x:c r="F150" s="6"/>
      <x:c r="G150" s="6"/>
      <x:c r="H150" s="6"/>
      <x:c r="I150" s="6"/>
      <x:c r="J150" s="6"/>
      <x:c r="K150" s="6" t="str">
        <x:f>IF(ISBLANK('_CHECKPOINTS'!A150),"",'_CHECKPOINTS'!A150)</x:f>
      </x:c>
      <x:c r="L150" s="6" t="str">
        <x:f>IF(ISBLANK('_CHECKPOINTS'!B150),"",'_CHECKPOINTS'!B150)</x:f>
      </x:c>
      <x:c r="M150" s="6" t="str">
        <x:f>IF(ISBLANK('_CHECKPOINTS'!D150),"",'_CHECKPOINTS'!D150)</x:f>
      </x:c>
      <x:c r="N150" s="6" t="str">
        <x:f>IF(ISBLANK('_CHECKPOINTS'!G150),"",'_CHECKPOINTS'!G150)</x:f>
      </x:c>
      <x:c r="O150" s="6"/>
      <x:c r="P150" s="6"/>
      <x:c r="Q150" s="6"/>
      <x:c r="R150" s="6"/>
      <x:c r="S150" s="6"/>
      <x:c r="T150" s="6"/>
      <x:c r="U150" s="6"/>
      <x:c r="V150" s="6" t="str">
        <x:f>IF(ISBLANK('_INSTANCE'!B150),"",'_INSTANCE'!B150)</x:f>
      </x:c>
      <x:c r="W150" s="6" t="str">
        <x:f>IF(ISBLANK('_INSTANCE'!F150),"",'_INSTANCE'!F150)</x:f>
      </x:c>
      <x:c r="X150" s="6"/>
      <x:c r="Y150" s="6"/>
      <x:c r="Z150" s="6"/>
      <x:c r="AA150" s="6"/>
      <x:c r="AB150" s="6"/>
      <x:c r="AC150" s="6"/>
      <x:c r="AD150" s="6"/>
      <x:c r="AE150" s="6"/>
      <x:c r="AF150" s="6"/>
    </x:row>
    <x:row r="151">
      <x:c r="A151" s="6" t="str">
        <x:f>IF(ISBLANK('_CHECKPOINTS'!A151),"",'_CHECKPOINTS'!A151)</x:f>
      </x:c>
      <x:c r="B151" s="6" t="str">
        <x:f>IF(ISBLANK('_CHECKPOINTS'!B151),"",'_CHECKPOINTS'!B151)</x:f>
      </x:c>
      <x:c r="C151" s="6"/>
      <x:c r="D151" s="6"/>
      <x:c r="E151" s="6"/>
      <x:c r="F151" s="6"/>
      <x:c r="G151" s="6"/>
      <x:c r="H151" s="6"/>
      <x:c r="I151" s="6"/>
      <x:c r="J151" s="6"/>
      <x:c r="K151" s="6" t="str">
        <x:f>IF(ISBLANK('_CHECKPOINTS'!A151),"",'_CHECKPOINTS'!A151)</x:f>
      </x:c>
      <x:c r="L151" s="6" t="str">
        <x:f>IF(ISBLANK('_CHECKPOINTS'!B151),"",'_CHECKPOINTS'!B151)</x:f>
      </x:c>
      <x:c r="M151" s="6" t="str">
        <x:f>IF(ISBLANK('_CHECKPOINTS'!D151),"",'_CHECKPOINTS'!D151)</x:f>
      </x:c>
      <x:c r="N151" s="6" t="str">
        <x:f>IF(ISBLANK('_CHECKPOINTS'!G151),"",'_CHECKPOINTS'!G151)</x:f>
      </x:c>
      <x:c r="O151" s="6"/>
      <x:c r="P151" s="6"/>
      <x:c r="Q151" s="6"/>
      <x:c r="R151" s="6"/>
      <x:c r="S151" s="6"/>
      <x:c r="T151" s="6"/>
      <x:c r="U151" s="6"/>
      <x:c r="V151" s="6" t="str">
        <x:f>IF(ISBLANK('_INSTANCE'!B151),"",'_INSTANCE'!B151)</x:f>
      </x:c>
      <x:c r="W151" s="6" t="str">
        <x:f>IF(ISBLANK('_INSTANCE'!F151),"",'_INSTANCE'!F151)</x:f>
      </x:c>
      <x:c r="X151" s="6"/>
      <x:c r="Y151" s="6"/>
      <x:c r="Z151" s="6"/>
      <x:c r="AA151" s="6"/>
      <x:c r="AB151" s="6"/>
      <x:c r="AC151" s="6"/>
      <x:c r="AD151" s="6"/>
      <x:c r="AE151" s="6"/>
      <x:c r="AF151" s="6"/>
    </x:row>
    <x:row r="152">
      <x:c r="A152" s="6"/>
      <x:c r="B152" s="6"/>
      <x:c r="C152" s="6"/>
      <x:c r="D152" s="6"/>
      <x:c r="E152" s="6"/>
      <x:c r="F152" s="6"/>
      <x:c r="G152" s="6"/>
      <x:c r="H152" s="6"/>
      <x:c r="I152" s="6"/>
      <x:c r="J152" s="6"/>
      <x:c r="K152" s="6"/>
      <x:c r="L152" s="6"/>
      <x:c r="M152" s="6"/>
      <x:c r="N152" s="6"/>
      <x:c r="O152" s="6"/>
      <x:c r="P152" s="6"/>
      <x:c r="Q152" s="6"/>
      <x:c r="R152" s="6"/>
      <x:c r="S152" s="6"/>
      <x:c r="T152" s="6"/>
      <x:c r="U152" s="6"/>
      <x:c r="V152" s="6" t="str">
        <x:f>IF(ISBLANK('_INSTANCE'!B152),"",'_INSTANCE'!B152)</x:f>
      </x:c>
      <x:c r="W152" s="6" t="str">
        <x:f>IF(ISBLANK('_INSTANCE'!F152),"",'_INSTANCE'!F152)</x:f>
      </x:c>
      <x:c r="X152" s="6"/>
      <x:c r="Y152" s="6"/>
      <x:c r="Z152" s="6"/>
      <x:c r="AA152" s="6"/>
      <x:c r="AB152" s="6"/>
      <x:c r="AC152" s="6"/>
      <x:c r="AD152" s="6"/>
      <x:c r="AE152" s="6"/>
      <x:c r="AF152" s="6"/>
    </x:row>
    <x:row r="153">
      <x:c r="A153" s="6"/>
      <x:c r="B153" s="6"/>
      <x:c r="C153" s="6"/>
      <x:c r="D153" s="6"/>
      <x:c r="E153" s="6"/>
      <x:c r="F153" s="6"/>
      <x:c r="G153" s="6"/>
      <x:c r="H153" s="6"/>
      <x:c r="I153" s="6"/>
      <x:c r="J153" s="6"/>
      <x:c r="K153" s="6"/>
      <x:c r="L153" s="6"/>
      <x:c r="M153" s="6"/>
      <x:c r="N153" s="6"/>
      <x:c r="O153" s="6"/>
      <x:c r="P153" s="6"/>
      <x:c r="Q153" s="6"/>
      <x:c r="R153" s="6"/>
      <x:c r="S153" s="6"/>
      <x:c r="T153" s="6"/>
      <x:c r="U153" s="6"/>
      <x:c r="V153" s="6" t="str">
        <x:f>IF(ISBLANK('_INSTANCE'!B153),"",'_INSTANCE'!B153)</x:f>
      </x:c>
      <x:c r="W153" s="6" t="str">
        <x:f>IF(ISBLANK('_INSTANCE'!F153),"",'_INSTANCE'!F153)</x:f>
      </x:c>
      <x:c r="X153" s="6"/>
      <x:c r="Y153" s="6"/>
      <x:c r="Z153" s="6"/>
      <x:c r="AA153" s="6"/>
      <x:c r="AB153" s="6"/>
      <x:c r="AC153" s="6"/>
      <x:c r="AD153" s="6"/>
      <x:c r="AE153" s="6"/>
      <x:c r="AF153" s="6"/>
    </x:row>
    <x:row r="154">
      <x:c r="A154" s="6"/>
      <x:c r="B154" s="6"/>
      <x:c r="C154" s="6"/>
      <x:c r="D154" s="6"/>
      <x:c r="E154" s="6"/>
      <x:c r="F154" s="6"/>
      <x:c r="G154" s="6"/>
      <x:c r="H154" s="6"/>
      <x:c r="I154" s="6"/>
      <x:c r="J154" s="6"/>
      <x:c r="K154" s="6"/>
      <x:c r="L154" s="6"/>
      <x:c r="M154" s="6"/>
      <x:c r="N154" s="6"/>
      <x:c r="O154" s="6"/>
      <x:c r="P154" s="6"/>
      <x:c r="Q154" s="6"/>
      <x:c r="R154" s="6"/>
      <x:c r="S154" s="6"/>
      <x:c r="T154" s="6"/>
      <x:c r="U154" s="6"/>
      <x:c r="V154" s="6" t="str">
        <x:f>IF(ISBLANK('_INSTANCE'!B154),"",'_INSTANCE'!B154)</x:f>
      </x:c>
      <x:c r="W154" s="6" t="str">
        <x:f>IF(ISBLANK('_INSTANCE'!F154),"",'_INSTANCE'!F154)</x:f>
      </x:c>
      <x:c r="X154" s="6"/>
      <x:c r="Y154" s="6"/>
      <x:c r="Z154" s="6"/>
      <x:c r="AA154" s="6"/>
      <x:c r="AB154" s="6"/>
      <x:c r="AC154" s="6"/>
      <x:c r="AD154" s="6"/>
      <x:c r="AE154" s="6"/>
      <x:c r="AF154" s="6"/>
    </x:row>
    <x:row r="155">
      <x:c r="A155" s="6"/>
      <x:c r="B155" s="6"/>
      <x:c r="C155" s="6"/>
      <x:c r="D155" s="6"/>
      <x:c r="E155" s="6"/>
      <x:c r="F155" s="6"/>
      <x:c r="G155" s="6"/>
      <x:c r="H155" s="6"/>
      <x:c r="I155" s="6"/>
      <x:c r="J155" s="6"/>
      <x:c r="K155" s="6"/>
      <x:c r="L155" s="6"/>
      <x:c r="M155" s="6"/>
      <x:c r="N155" s="6"/>
      <x:c r="O155" s="6"/>
      <x:c r="P155" s="6"/>
      <x:c r="Q155" s="6"/>
      <x:c r="R155" s="6"/>
      <x:c r="S155" s="6"/>
      <x:c r="T155" s="6"/>
      <x:c r="U155" s="6"/>
      <x:c r="V155" s="6" t="str">
        <x:f>IF(ISBLANK('_INSTANCE'!B155),"",'_INSTANCE'!B155)</x:f>
      </x:c>
      <x:c r="W155" s="6" t="str">
        <x:f>IF(ISBLANK('_INSTANCE'!F155),"",'_INSTANCE'!F155)</x:f>
      </x:c>
      <x:c r="X155" s="6"/>
      <x:c r="Y155" s="6"/>
      <x:c r="Z155" s="6"/>
      <x:c r="AA155" s="6"/>
      <x:c r="AB155" s="6"/>
      <x:c r="AC155" s="6"/>
      <x:c r="AD155" s="6"/>
      <x:c r="AE155" s="6"/>
      <x:c r="AF155" s="6"/>
    </x:row>
    <x:row r="156">
      <x:c r="A156" s="6"/>
      <x:c r="B156" s="6"/>
      <x:c r="C156" s="6"/>
      <x:c r="D156" s="6"/>
      <x:c r="E156" s="6"/>
      <x:c r="F156" s="6"/>
      <x:c r="G156" s="6"/>
      <x:c r="H156" s="6"/>
      <x:c r="I156" s="6"/>
      <x:c r="J156" s="6"/>
      <x:c r="K156" s="6"/>
      <x:c r="L156" s="6"/>
      <x:c r="M156" s="6"/>
      <x:c r="N156" s="6"/>
      <x:c r="O156" s="6"/>
      <x:c r="P156" s="6"/>
      <x:c r="Q156" s="6"/>
      <x:c r="R156" s="6"/>
      <x:c r="S156" s="6"/>
      <x:c r="T156" s="6"/>
      <x:c r="U156" s="6"/>
      <x:c r="V156" s="6" t="str">
        <x:f>IF(ISBLANK('_INSTANCE'!B156),"",'_INSTANCE'!B156)</x:f>
      </x:c>
      <x:c r="W156" s="6" t="str">
        <x:f>IF(ISBLANK('_INSTANCE'!F156),"",'_INSTANCE'!F156)</x:f>
      </x:c>
      <x:c r="X156" s="6"/>
      <x:c r="Y156" s="6"/>
      <x:c r="Z156" s="6"/>
      <x:c r="AA156" s="6"/>
      <x:c r="AB156" s="6"/>
      <x:c r="AC156" s="6"/>
      <x:c r="AD156" s="6"/>
      <x:c r="AE156" s="6"/>
      <x:c r="AF156" s="6"/>
    </x:row>
    <x:row r="157">
      <x:c r="A157" s="6"/>
      <x:c r="B157" s="6"/>
      <x:c r="C157" s="6"/>
      <x:c r="D157" s="6"/>
      <x:c r="E157" s="6"/>
      <x:c r="F157" s="6"/>
      <x:c r="G157" s="6"/>
      <x:c r="H157" s="6"/>
      <x:c r="I157" s="6"/>
      <x:c r="J157" s="6"/>
      <x:c r="K157" s="6"/>
      <x:c r="L157" s="6"/>
      <x:c r="M157" s="6"/>
      <x:c r="N157" s="6"/>
      <x:c r="O157" s="6"/>
      <x:c r="P157" s="6"/>
      <x:c r="Q157" s="6"/>
      <x:c r="R157" s="6"/>
      <x:c r="S157" s="6"/>
      <x:c r="T157" s="6"/>
      <x:c r="U157" s="6"/>
      <x:c r="V157" s="6" t="str">
        <x:f>IF(ISBLANK('_INSTANCE'!B157),"",'_INSTANCE'!B157)</x:f>
      </x:c>
      <x:c r="W157" s="6" t="str">
        <x:f>IF(ISBLANK('_INSTANCE'!F157),"",'_INSTANCE'!F157)</x:f>
      </x:c>
      <x:c r="X157" s="6"/>
      <x:c r="Y157" s="6"/>
      <x:c r="Z157" s="6"/>
      <x:c r="AA157" s="6"/>
      <x:c r="AB157" s="6"/>
      <x:c r="AC157" s="6"/>
      <x:c r="AD157" s="6"/>
      <x:c r="AE157" s="6"/>
      <x:c r="AF157" s="6"/>
    </x:row>
    <x:row r="158">
      <x:c r="A158" s="6"/>
      <x:c r="B158" s="6"/>
      <x:c r="C158" s="6"/>
      <x:c r="D158" s="6"/>
      <x:c r="E158" s="6"/>
      <x:c r="F158" s="6"/>
      <x:c r="G158" s="6"/>
      <x:c r="H158" s="6"/>
      <x:c r="I158" s="6"/>
      <x:c r="J158" s="6"/>
      <x:c r="K158" s="6"/>
      <x:c r="L158" s="6"/>
      <x:c r="M158" s="6"/>
      <x:c r="N158" s="6"/>
      <x:c r="O158" s="6"/>
      <x:c r="P158" s="6"/>
      <x:c r="Q158" s="6"/>
      <x:c r="R158" s="6"/>
      <x:c r="S158" s="6"/>
      <x:c r="T158" s="6"/>
      <x:c r="U158" s="6"/>
      <x:c r="V158" s="6" t="str">
        <x:f>IF(ISBLANK('_INSTANCE'!B158),"",'_INSTANCE'!B158)</x:f>
      </x:c>
      <x:c r="W158" s="6" t="str">
        <x:f>IF(ISBLANK('_INSTANCE'!F158),"",'_INSTANCE'!F158)</x:f>
      </x:c>
      <x:c r="X158" s="6"/>
      <x:c r="Y158" s="6"/>
      <x:c r="Z158" s="6"/>
      <x:c r="AA158" s="6"/>
      <x:c r="AB158" s="6"/>
      <x:c r="AC158" s="6"/>
      <x:c r="AD158" s="6"/>
      <x:c r="AE158" s="6"/>
      <x:c r="AF158" s="6"/>
    </x:row>
    <x:row r="159">
      <x:c r="A159" s="6"/>
      <x:c r="B159" s="6"/>
      <x:c r="C159" s="6"/>
      <x:c r="D159" s="6"/>
      <x:c r="E159" s="6"/>
      <x:c r="F159" s="6"/>
      <x:c r="G159" s="6"/>
      <x:c r="H159" s="6"/>
      <x:c r="I159" s="6"/>
      <x:c r="J159" s="6"/>
      <x:c r="K159" s="6"/>
      <x:c r="L159" s="6"/>
      <x:c r="M159" s="6"/>
      <x:c r="N159" s="6"/>
      <x:c r="O159" s="6"/>
      <x:c r="P159" s="6"/>
      <x:c r="Q159" s="6"/>
      <x:c r="R159" s="6"/>
      <x:c r="S159" s="6"/>
      <x:c r="T159" s="6"/>
      <x:c r="U159" s="6"/>
      <x:c r="V159" s="6" t="str">
        <x:f>IF(ISBLANK('_INSTANCE'!B159),"",'_INSTANCE'!B159)</x:f>
      </x:c>
      <x:c r="W159" s="6" t="str">
        <x:f>IF(ISBLANK('_INSTANCE'!F159),"",'_INSTANCE'!F159)</x:f>
      </x:c>
      <x:c r="X159" s="6"/>
      <x:c r="Y159" s="6"/>
      <x:c r="Z159" s="6"/>
      <x:c r="AA159" s="6"/>
      <x:c r="AB159" s="6"/>
      <x:c r="AC159" s="6"/>
      <x:c r="AD159" s="6"/>
      <x:c r="AE159" s="6"/>
      <x:c r="AF159" s="6"/>
    </x:row>
    <x:row r="160">
      <x:c r="A160" s="6"/>
      <x:c r="B160" s="6"/>
      <x:c r="C160" s="6"/>
      <x:c r="D160" s="6"/>
      <x:c r="E160" s="6"/>
      <x:c r="F160" s="6"/>
      <x:c r="G160" s="6"/>
      <x:c r="H160" s="6"/>
      <x:c r="I160" s="6"/>
      <x:c r="J160" s="6"/>
      <x:c r="K160" s="6"/>
      <x:c r="L160" s="6"/>
      <x:c r="M160" s="6"/>
      <x:c r="N160" s="6"/>
      <x:c r="O160" s="6"/>
      <x:c r="P160" s="6"/>
      <x:c r="Q160" s="6"/>
      <x:c r="R160" s="6"/>
      <x:c r="S160" s="6"/>
      <x:c r="T160" s="6"/>
      <x:c r="U160" s="6"/>
      <x:c r="V160" s="6" t="str">
        <x:f>IF(ISBLANK('_INSTANCE'!B160),"",'_INSTANCE'!B160)</x:f>
      </x:c>
      <x:c r="W160" s="6" t="str">
        <x:f>IF(ISBLANK('_INSTANCE'!F160),"",'_INSTANCE'!F160)</x:f>
      </x:c>
      <x:c r="X160" s="6"/>
      <x:c r="Y160" s="6"/>
      <x:c r="Z160" s="6"/>
      <x:c r="AA160" s="6"/>
      <x:c r="AB160" s="6"/>
      <x:c r="AC160" s="6"/>
      <x:c r="AD160" s="6"/>
      <x:c r="AE160" s="6"/>
      <x:c r="AF160" s="6"/>
    </x:row>
    <x:row r="161">
      <x:c r="A161" s="6"/>
      <x:c r="B161" s="6"/>
      <x:c r="C161" s="6"/>
      <x:c r="D161" s="6"/>
      <x:c r="E161" s="6"/>
      <x:c r="F161" s="6"/>
      <x:c r="G161" s="6"/>
      <x:c r="H161" s="6"/>
      <x:c r="I161" s="6"/>
      <x:c r="J161" s="6"/>
      <x:c r="K161" s="6"/>
      <x:c r="L161" s="6"/>
      <x:c r="M161" s="6"/>
      <x:c r="N161" s="6"/>
      <x:c r="O161" s="6"/>
      <x:c r="P161" s="6"/>
      <x:c r="Q161" s="6"/>
      <x:c r="R161" s="6"/>
      <x:c r="S161" s="6"/>
      <x:c r="T161" s="6"/>
      <x:c r="U161" s="6"/>
      <x:c r="V161" s="6" t="str">
        <x:f>IF(ISBLANK('_INSTANCE'!B161),"",'_INSTANCE'!B161)</x:f>
      </x:c>
      <x:c r="W161" s="6" t="str">
        <x:f>IF(ISBLANK('_INSTANCE'!F161),"",'_INSTANCE'!F161)</x:f>
      </x:c>
      <x:c r="X161" s="6"/>
      <x:c r="Y161" s="6"/>
      <x:c r="Z161" s="6"/>
      <x:c r="AA161" s="6"/>
      <x:c r="AB161" s="6"/>
      <x:c r="AC161" s="6"/>
      <x:c r="AD161" s="6"/>
      <x:c r="AE161" s="6"/>
      <x:c r="AF161" s="6"/>
    </x:row>
    <x:row r="162">
      <x:c r="A162" s="6"/>
      <x:c r="B162" s="6"/>
      <x:c r="C162" s="6"/>
      <x:c r="D162" s="6"/>
      <x:c r="E162" s="6"/>
      <x:c r="F162" s="6"/>
      <x:c r="G162" s="6"/>
      <x:c r="H162" s="6"/>
      <x:c r="I162" s="6"/>
      <x:c r="J162" s="6"/>
      <x:c r="K162" s="6"/>
      <x:c r="L162" s="6"/>
      <x:c r="M162" s="6"/>
      <x:c r="N162" s="6"/>
      <x:c r="O162" s="6"/>
      <x:c r="P162" s="6"/>
      <x:c r="Q162" s="6"/>
      <x:c r="R162" s="6"/>
      <x:c r="S162" s="6"/>
      <x:c r="T162" s="6"/>
      <x:c r="U162" s="6"/>
      <x:c r="V162" s="6" t="str">
        <x:f>IF(ISBLANK('_INSTANCE'!B162),"",'_INSTANCE'!B162)</x:f>
      </x:c>
      <x:c r="W162" s="6" t="str">
        <x:f>IF(ISBLANK('_INSTANCE'!F162),"",'_INSTANCE'!F162)</x:f>
      </x:c>
      <x:c r="X162" s="6"/>
      <x:c r="Y162" s="6"/>
      <x:c r="Z162" s="6"/>
      <x:c r="AA162" s="6"/>
      <x:c r="AB162" s="6"/>
      <x:c r="AC162" s="6"/>
      <x:c r="AD162" s="6"/>
      <x:c r="AE162" s="6"/>
      <x:c r="AF162" s="6"/>
    </x:row>
    <x:row r="163">
      <x:c r="A163" s="6"/>
      <x:c r="B163" s="6"/>
      <x:c r="C163" s="6"/>
      <x:c r="D163" s="6"/>
      <x:c r="E163" s="6"/>
      <x:c r="F163" s="6"/>
      <x:c r="G163" s="6"/>
      <x:c r="H163" s="6"/>
      <x:c r="I163" s="6"/>
      <x:c r="J163" s="6"/>
      <x:c r="K163" s="6"/>
      <x:c r="L163" s="6"/>
      <x:c r="M163" s="6"/>
      <x:c r="N163" s="6"/>
      <x:c r="O163" s="6"/>
      <x:c r="P163" s="6"/>
      <x:c r="Q163" s="6"/>
      <x:c r="R163" s="6"/>
      <x:c r="S163" s="6"/>
      <x:c r="T163" s="6"/>
      <x:c r="U163" s="6"/>
      <x:c r="V163" s="6" t="str">
        <x:f>IF(ISBLANK('_INSTANCE'!B163),"",'_INSTANCE'!B163)</x:f>
      </x:c>
      <x:c r="W163" s="6" t="str">
        <x:f>IF(ISBLANK('_INSTANCE'!F163),"",'_INSTANCE'!F163)</x:f>
      </x:c>
      <x:c r="X163" s="6"/>
      <x:c r="Y163" s="6"/>
      <x:c r="Z163" s="6"/>
      <x:c r="AA163" s="6"/>
      <x:c r="AB163" s="6"/>
      <x:c r="AC163" s="6"/>
      <x:c r="AD163" s="6"/>
      <x:c r="AE163" s="6"/>
      <x:c r="AF163" s="6"/>
    </x:row>
    <x:row r="164">
      <x:c r="A164" s="6"/>
      <x:c r="B164" s="6"/>
      <x:c r="C164" s="6"/>
      <x:c r="D164" s="6"/>
      <x:c r="E164" s="6"/>
      <x:c r="F164" s="6"/>
      <x:c r="G164" s="6"/>
      <x:c r="H164" s="6"/>
      <x:c r="I164" s="6"/>
      <x:c r="J164" s="6"/>
      <x:c r="K164" s="6"/>
      <x:c r="L164" s="6"/>
      <x:c r="M164" s="6"/>
      <x:c r="N164" s="6"/>
      <x:c r="O164" s="6"/>
      <x:c r="P164" s="6"/>
      <x:c r="Q164" s="6"/>
      <x:c r="R164" s="6"/>
      <x:c r="S164" s="6"/>
      <x:c r="T164" s="6"/>
      <x:c r="U164" s="6"/>
      <x:c r="V164" s="6" t="str">
        <x:f>IF(ISBLANK('_INSTANCE'!B164),"",'_INSTANCE'!B164)</x:f>
      </x:c>
      <x:c r="W164" s="6" t="str">
        <x:f>IF(ISBLANK('_INSTANCE'!F164),"",'_INSTANCE'!F164)</x:f>
      </x:c>
      <x:c r="X164" s="6"/>
      <x:c r="Y164" s="6"/>
      <x:c r="Z164" s="6"/>
      <x:c r="AA164" s="6"/>
      <x:c r="AB164" s="6"/>
      <x:c r="AC164" s="6"/>
      <x:c r="AD164" s="6"/>
      <x:c r="AE164" s="6"/>
      <x:c r="AF164" s="6"/>
    </x:row>
    <x:row r="165">
      <x:c r="A165" s="6"/>
      <x:c r="B165" s="6"/>
      <x:c r="C165" s="6"/>
      <x:c r="D165" s="6"/>
      <x:c r="E165" s="6"/>
      <x:c r="F165" s="6"/>
      <x:c r="G165" s="6"/>
      <x:c r="H165" s="6"/>
      <x:c r="I165" s="6"/>
      <x:c r="J165" s="6"/>
      <x:c r="K165" s="6"/>
      <x:c r="L165" s="6"/>
      <x:c r="M165" s="6"/>
      <x:c r="N165" s="6"/>
      <x:c r="O165" s="6"/>
      <x:c r="P165" s="6"/>
      <x:c r="Q165" s="6"/>
      <x:c r="R165" s="6"/>
      <x:c r="S165" s="6"/>
      <x:c r="T165" s="6"/>
      <x:c r="U165" s="6"/>
      <x:c r="V165" s="6" t="str">
        <x:f>IF(ISBLANK('_INSTANCE'!B165),"",'_INSTANCE'!B165)</x:f>
      </x:c>
      <x:c r="W165" s="6" t="str">
        <x:f>IF(ISBLANK('_INSTANCE'!F165),"",'_INSTANCE'!F165)</x:f>
      </x:c>
      <x:c r="X165" s="6"/>
      <x:c r="Y165" s="6"/>
      <x:c r="Z165" s="6"/>
      <x:c r="AA165" s="6"/>
      <x:c r="AB165" s="6"/>
      <x:c r="AC165" s="6"/>
      <x:c r="AD165" s="6"/>
      <x:c r="AE165" s="6"/>
      <x:c r="AF165" s="6"/>
    </x:row>
    <x:row r="166">
      <x:c r="A166" s="6"/>
      <x:c r="B166" s="6"/>
      <x:c r="C166" s="6"/>
      <x:c r="D166" s="6"/>
      <x:c r="E166" s="6"/>
      <x:c r="F166" s="6"/>
      <x:c r="G166" s="6"/>
      <x:c r="H166" s="6"/>
      <x:c r="I166" s="6"/>
      <x:c r="J166" s="6"/>
      <x:c r="K166" s="6"/>
      <x:c r="L166" s="6"/>
      <x:c r="M166" s="6"/>
      <x:c r="N166" s="6"/>
      <x:c r="O166" s="6"/>
      <x:c r="P166" s="6"/>
      <x:c r="Q166" s="6"/>
      <x:c r="R166" s="6"/>
      <x:c r="S166" s="6"/>
      <x:c r="T166" s="6"/>
      <x:c r="U166" s="6"/>
      <x:c r="V166" s="6" t="str">
        <x:f>IF(ISBLANK('_INSTANCE'!B166),"",'_INSTANCE'!B166)</x:f>
      </x:c>
      <x:c r="W166" s="6" t="str">
        <x:f>IF(ISBLANK('_INSTANCE'!F166),"",'_INSTANCE'!F166)</x:f>
      </x:c>
      <x:c r="X166" s="6"/>
      <x:c r="Y166" s="6"/>
      <x:c r="Z166" s="6"/>
      <x:c r="AA166" s="6"/>
      <x:c r="AB166" s="6"/>
      <x:c r="AC166" s="6"/>
      <x:c r="AD166" s="6"/>
      <x:c r="AE166" s="6"/>
      <x:c r="AF166" s="6"/>
    </x:row>
    <x:row r="167">
      <x:c r="A167" s="6"/>
      <x:c r="B167" s="6"/>
      <x:c r="C167" s="6"/>
      <x:c r="D167" s="6"/>
      <x:c r="E167" s="6"/>
      <x:c r="F167" s="6"/>
      <x:c r="G167" s="6"/>
      <x:c r="H167" s="6"/>
      <x:c r="I167" s="6"/>
      <x:c r="J167" s="6"/>
      <x:c r="K167" s="6"/>
      <x:c r="L167" s="6"/>
      <x:c r="M167" s="6"/>
      <x:c r="N167" s="6"/>
      <x:c r="O167" s="6"/>
      <x:c r="P167" s="6"/>
      <x:c r="Q167" s="6"/>
      <x:c r="R167" s="6"/>
      <x:c r="S167" s="6"/>
      <x:c r="T167" s="6"/>
      <x:c r="U167" s="6"/>
      <x:c r="V167" s="6" t="str">
        <x:f>IF(ISBLANK('_INSTANCE'!B167),"",'_INSTANCE'!B167)</x:f>
      </x:c>
      <x:c r="W167" s="6" t="str">
        <x:f>IF(ISBLANK('_INSTANCE'!F167),"",'_INSTANCE'!F167)</x:f>
      </x:c>
      <x:c r="X167" s="6"/>
      <x:c r="Y167" s="6"/>
      <x:c r="Z167" s="6"/>
      <x:c r="AA167" s="6"/>
      <x:c r="AB167" s="6"/>
      <x:c r="AC167" s="6"/>
      <x:c r="AD167" s="6"/>
      <x:c r="AE167" s="6"/>
      <x:c r="AF167" s="6"/>
    </x:row>
    <x:row r="168">
      <x:c r="A168" s="6"/>
      <x:c r="B168" s="6"/>
      <x:c r="C168" s="6"/>
      <x:c r="D168" s="6"/>
      <x:c r="E168" s="6"/>
      <x:c r="F168" s="6"/>
      <x:c r="G168" s="6"/>
      <x:c r="H168" s="6"/>
      <x:c r="I168" s="6"/>
      <x:c r="J168" s="6"/>
      <x:c r="K168" s="6"/>
      <x:c r="L168" s="6"/>
      <x:c r="M168" s="6"/>
      <x:c r="N168" s="6"/>
      <x:c r="O168" s="6"/>
      <x:c r="P168" s="6"/>
      <x:c r="Q168" s="6"/>
      <x:c r="R168" s="6"/>
      <x:c r="S168" s="6"/>
      <x:c r="T168" s="6"/>
      <x:c r="U168" s="6"/>
      <x:c r="V168" s="6" t="str">
        <x:f>IF(ISBLANK('_INSTANCE'!B168),"",'_INSTANCE'!B168)</x:f>
      </x:c>
      <x:c r="W168" s="6" t="str">
        <x:f>IF(ISBLANK('_INSTANCE'!F168),"",'_INSTANCE'!F168)</x:f>
      </x:c>
      <x:c r="X168" s="6"/>
      <x:c r="Y168" s="6"/>
      <x:c r="Z168" s="6"/>
      <x:c r="AA168" s="6"/>
      <x:c r="AB168" s="6"/>
      <x:c r="AC168" s="6"/>
      <x:c r="AD168" s="6"/>
      <x:c r="AE168" s="6"/>
      <x:c r="AF168" s="6"/>
    </x:row>
    <x:row r="169">
      <x:c r="A169" s="6"/>
      <x:c r="B169" s="6"/>
      <x:c r="C169" s="6"/>
      <x:c r="D169" s="6"/>
      <x:c r="E169" s="6"/>
      <x:c r="F169" s="6"/>
      <x:c r="G169" s="6"/>
      <x:c r="H169" s="6"/>
      <x:c r="I169" s="6"/>
      <x:c r="J169" s="6"/>
      <x:c r="K169" s="6"/>
      <x:c r="L169" s="6"/>
      <x:c r="M169" s="6"/>
      <x:c r="N169" s="6"/>
      <x:c r="O169" s="6"/>
      <x:c r="P169" s="6"/>
      <x:c r="Q169" s="6"/>
      <x:c r="R169" s="6"/>
      <x:c r="S169" s="6"/>
      <x:c r="T169" s="6"/>
      <x:c r="U169" s="6"/>
      <x:c r="V169" s="6" t="str">
        <x:f>IF(ISBLANK('_INSTANCE'!B169),"",'_INSTANCE'!B169)</x:f>
      </x:c>
      <x:c r="W169" s="6" t="str">
        <x:f>IF(ISBLANK('_INSTANCE'!F169),"",'_INSTANCE'!F169)</x:f>
      </x:c>
      <x:c r="X169" s="6"/>
      <x:c r="Y169" s="6"/>
      <x:c r="Z169" s="6"/>
      <x:c r="AA169" s="6"/>
      <x:c r="AB169" s="6"/>
      <x:c r="AC169" s="6"/>
      <x:c r="AD169" s="6"/>
      <x:c r="AE169" s="6"/>
      <x:c r="AF169" s="6"/>
    </x:row>
    <x:row r="170">
      <x:c r="A170" s="6"/>
      <x:c r="B170" s="6"/>
      <x:c r="C170" s="6"/>
      <x:c r="D170" s="6"/>
      <x:c r="E170" s="6"/>
      <x:c r="F170" s="6"/>
      <x:c r="G170" s="6"/>
      <x:c r="H170" s="6"/>
      <x:c r="I170" s="6"/>
      <x:c r="J170" s="6"/>
      <x:c r="K170" s="6"/>
      <x:c r="L170" s="6"/>
      <x:c r="M170" s="6"/>
      <x:c r="N170" s="6"/>
      <x:c r="O170" s="6"/>
      <x:c r="P170" s="6"/>
      <x:c r="Q170" s="6"/>
      <x:c r="R170" s="6"/>
      <x:c r="S170" s="6"/>
      <x:c r="T170" s="6"/>
      <x:c r="U170" s="6"/>
      <x:c r="V170" s="6" t="str">
        <x:f>IF(ISBLANK('_INSTANCE'!B170),"",'_INSTANCE'!B170)</x:f>
      </x:c>
      <x:c r="W170" s="6" t="str">
        <x:f>IF(ISBLANK('_INSTANCE'!F170),"",'_INSTANCE'!F170)</x:f>
      </x:c>
      <x:c r="X170" s="6"/>
      <x:c r="Y170" s="6"/>
      <x:c r="Z170" s="6"/>
      <x:c r="AA170" s="6"/>
      <x:c r="AB170" s="6"/>
      <x:c r="AC170" s="6"/>
      <x:c r="AD170" s="6"/>
      <x:c r="AE170" s="6"/>
      <x:c r="AF170" s="6"/>
    </x:row>
    <x:row r="171">
      <x:c r="A171" s="6"/>
      <x:c r="B171" s="6"/>
      <x:c r="C171" s="6"/>
      <x:c r="D171" s="6"/>
      <x:c r="E171" s="6"/>
      <x:c r="F171" s="6"/>
      <x:c r="G171" s="6"/>
      <x:c r="H171" s="6"/>
      <x:c r="I171" s="6"/>
      <x:c r="J171" s="6"/>
      <x:c r="K171" s="6"/>
      <x:c r="L171" s="6"/>
      <x:c r="M171" s="6"/>
      <x:c r="N171" s="6"/>
      <x:c r="O171" s="6"/>
      <x:c r="P171" s="6"/>
      <x:c r="Q171" s="6"/>
      <x:c r="R171" s="6"/>
      <x:c r="S171" s="6"/>
      <x:c r="T171" s="6"/>
      <x:c r="U171" s="6"/>
      <x:c r="V171" s="6" t="str">
        <x:f>IF(ISBLANK('_INSTANCE'!B171),"",'_INSTANCE'!B171)</x:f>
      </x:c>
      <x:c r="W171" s="6" t="str">
        <x:f>IF(ISBLANK('_INSTANCE'!F171),"",'_INSTANCE'!F171)</x:f>
      </x:c>
      <x:c r="X171" s="6"/>
      <x:c r="Y171" s="6"/>
      <x:c r="Z171" s="6"/>
      <x:c r="AA171" s="6"/>
      <x:c r="AB171" s="6"/>
      <x:c r="AC171" s="6"/>
      <x:c r="AD171" s="6"/>
      <x:c r="AE171" s="6"/>
      <x:c r="AF171" s="6"/>
    </x:row>
    <x:row r="172">
      <x:c r="A172" s="6"/>
      <x:c r="B172" s="6"/>
      <x:c r="C172" s="6"/>
      <x:c r="D172" s="6"/>
      <x:c r="E172" s="6"/>
      <x:c r="F172" s="6"/>
      <x:c r="G172" s="6"/>
      <x:c r="H172" s="6"/>
      <x:c r="I172" s="6"/>
      <x:c r="J172" s="6"/>
      <x:c r="K172" s="6"/>
      <x:c r="L172" s="6"/>
      <x:c r="M172" s="6"/>
      <x:c r="N172" s="6"/>
      <x:c r="O172" s="6"/>
      <x:c r="P172" s="6"/>
      <x:c r="Q172" s="6"/>
      <x:c r="R172" s="6"/>
      <x:c r="S172" s="6"/>
      <x:c r="T172" s="6"/>
      <x:c r="U172" s="6"/>
      <x:c r="V172" s="6" t="str">
        <x:f>IF(ISBLANK('_INSTANCE'!B172),"",'_INSTANCE'!B172)</x:f>
      </x:c>
      <x:c r="W172" s="6" t="str">
        <x:f>IF(ISBLANK('_INSTANCE'!F172),"",'_INSTANCE'!F172)</x:f>
      </x:c>
      <x:c r="X172" s="6"/>
      <x:c r="Y172" s="6"/>
      <x:c r="Z172" s="6"/>
      <x:c r="AA172" s="6"/>
      <x:c r="AB172" s="6"/>
      <x:c r="AC172" s="6"/>
      <x:c r="AD172" s="6"/>
      <x:c r="AE172" s="6"/>
      <x:c r="AF172" s="6"/>
    </x:row>
    <x:row r="173">
      <x:c r="A173" s="6"/>
      <x:c r="B173" s="6"/>
      <x:c r="C173" s="6"/>
      <x:c r="D173" s="6"/>
      <x:c r="E173" s="6"/>
      <x:c r="F173" s="6"/>
      <x:c r="G173" s="6"/>
      <x:c r="H173" s="6"/>
      <x:c r="I173" s="6"/>
      <x:c r="J173" s="6"/>
      <x:c r="K173" s="6"/>
      <x:c r="L173" s="6"/>
      <x:c r="M173" s="6"/>
      <x:c r="N173" s="6"/>
      <x:c r="O173" s="6"/>
      <x:c r="P173" s="6"/>
      <x:c r="Q173" s="6"/>
      <x:c r="R173" s="6"/>
      <x:c r="S173" s="6"/>
      <x:c r="T173" s="6"/>
      <x:c r="U173" s="6"/>
      <x:c r="V173" s="6" t="str">
        <x:f>IF(ISBLANK('_INSTANCE'!B173),"",'_INSTANCE'!B173)</x:f>
      </x:c>
      <x:c r="W173" s="6" t="str">
        <x:f>IF(ISBLANK('_INSTANCE'!F173),"",'_INSTANCE'!F173)</x:f>
      </x:c>
      <x:c r="X173" s="6"/>
      <x:c r="Y173" s="6"/>
      <x:c r="Z173" s="6"/>
      <x:c r="AA173" s="6"/>
      <x:c r="AB173" s="6"/>
      <x:c r="AC173" s="6"/>
      <x:c r="AD173" s="6"/>
      <x:c r="AE173" s="6"/>
      <x:c r="AF173" s="6"/>
    </x:row>
    <x:row r="174">
      <x:c r="A174" s="6"/>
      <x:c r="B174" s="6"/>
      <x:c r="C174" s="6"/>
      <x:c r="D174" s="6"/>
      <x:c r="E174" s="6"/>
      <x:c r="F174" s="6"/>
      <x:c r="G174" s="6"/>
      <x:c r="H174" s="6"/>
      <x:c r="I174" s="6"/>
      <x:c r="J174" s="6"/>
      <x:c r="K174" s="6"/>
      <x:c r="L174" s="6"/>
      <x:c r="M174" s="6"/>
      <x:c r="N174" s="6"/>
      <x:c r="O174" s="6"/>
      <x:c r="P174" s="6"/>
      <x:c r="Q174" s="6"/>
      <x:c r="R174" s="6"/>
      <x:c r="S174" s="6"/>
      <x:c r="T174" s="6"/>
      <x:c r="U174" s="6"/>
      <x:c r="V174" s="6" t="str">
        <x:f>IF(ISBLANK('_INSTANCE'!B174),"",'_INSTANCE'!B174)</x:f>
      </x:c>
      <x:c r="W174" s="6" t="str">
        <x:f>IF(ISBLANK('_INSTANCE'!F174),"",'_INSTANCE'!F174)</x:f>
      </x:c>
      <x:c r="X174" s="6"/>
      <x:c r="Y174" s="6"/>
      <x:c r="Z174" s="6"/>
      <x:c r="AA174" s="6"/>
      <x:c r="AB174" s="6"/>
      <x:c r="AC174" s="6"/>
      <x:c r="AD174" s="6"/>
      <x:c r="AE174" s="6"/>
      <x:c r="AF174" s="6"/>
    </x:row>
    <x:row r="175">
      <x:c r="A175" s="6"/>
      <x:c r="B175" s="6"/>
      <x:c r="C175" s="6"/>
      <x:c r="D175" s="6"/>
      <x:c r="E175" s="6"/>
      <x:c r="F175" s="6"/>
      <x:c r="G175" s="6"/>
      <x:c r="H175" s="6"/>
      <x:c r="I175" s="6"/>
      <x:c r="J175" s="6"/>
      <x:c r="K175" s="6"/>
      <x:c r="L175" s="6"/>
      <x:c r="M175" s="6"/>
      <x:c r="N175" s="6"/>
      <x:c r="O175" s="6"/>
      <x:c r="P175" s="6"/>
      <x:c r="Q175" s="6"/>
      <x:c r="R175" s="6"/>
      <x:c r="S175" s="6"/>
      <x:c r="T175" s="6"/>
      <x:c r="U175" s="6"/>
      <x:c r="V175" s="6" t="str">
        <x:f>IF(ISBLANK('_INSTANCE'!B175),"",'_INSTANCE'!B175)</x:f>
      </x:c>
      <x:c r="W175" s="6" t="str">
        <x:f>IF(ISBLANK('_INSTANCE'!F175),"",'_INSTANCE'!F175)</x:f>
      </x:c>
      <x:c r="X175" s="6"/>
      <x:c r="Y175" s="6"/>
      <x:c r="Z175" s="6"/>
      <x:c r="AA175" s="6"/>
      <x:c r="AB175" s="6"/>
      <x:c r="AC175" s="6"/>
      <x:c r="AD175" s="6"/>
      <x:c r="AE175" s="6"/>
      <x:c r="AF175" s="6"/>
    </x:row>
    <x:row r="176">
      <x:c r="A176" s="6"/>
      <x:c r="B176" s="6"/>
      <x:c r="C176" s="6"/>
      <x:c r="D176" s="6"/>
      <x:c r="E176" s="6"/>
      <x:c r="F176" s="6"/>
      <x:c r="G176" s="6"/>
      <x:c r="H176" s="6"/>
      <x:c r="I176" s="6"/>
      <x:c r="J176" s="6"/>
      <x:c r="K176" s="6"/>
      <x:c r="L176" s="6"/>
      <x:c r="M176" s="6"/>
      <x:c r="N176" s="6"/>
      <x:c r="O176" s="6"/>
      <x:c r="P176" s="6"/>
      <x:c r="Q176" s="6"/>
      <x:c r="R176" s="6"/>
      <x:c r="S176" s="6"/>
      <x:c r="T176" s="6"/>
      <x:c r="U176" s="6"/>
      <x:c r="V176" s="6" t="str">
        <x:f>IF(ISBLANK('_INSTANCE'!B176),"",'_INSTANCE'!B176)</x:f>
      </x:c>
      <x:c r="W176" s="6" t="str">
        <x:f>IF(ISBLANK('_INSTANCE'!F176),"",'_INSTANCE'!F176)</x:f>
      </x:c>
      <x:c r="X176" s="6"/>
      <x:c r="Y176" s="6"/>
      <x:c r="Z176" s="6"/>
      <x:c r="AA176" s="6"/>
      <x:c r="AB176" s="6"/>
      <x:c r="AC176" s="6"/>
      <x:c r="AD176" s="6"/>
      <x:c r="AE176" s="6"/>
      <x:c r="AF176" s="6"/>
    </x:row>
    <x:row r="177">
      <x:c r="A177" s="6"/>
      <x:c r="B177" s="6"/>
      <x:c r="C177" s="6"/>
      <x:c r="D177" s="6"/>
      <x:c r="E177" s="6"/>
      <x:c r="F177" s="6"/>
      <x:c r="G177" s="6"/>
      <x:c r="H177" s="6"/>
      <x:c r="I177" s="6"/>
      <x:c r="J177" s="6"/>
      <x:c r="K177" s="6"/>
      <x:c r="L177" s="6"/>
      <x:c r="M177" s="6"/>
      <x:c r="N177" s="6"/>
      <x:c r="O177" s="6"/>
      <x:c r="P177" s="6"/>
      <x:c r="Q177" s="6"/>
      <x:c r="R177" s="6"/>
      <x:c r="S177" s="6"/>
      <x:c r="T177" s="6"/>
      <x:c r="U177" s="6"/>
      <x:c r="V177" s="6" t="str">
        <x:f>IF(ISBLANK('_INSTANCE'!B177),"",'_INSTANCE'!B177)</x:f>
      </x:c>
      <x:c r="W177" s="6" t="str">
        <x:f>IF(ISBLANK('_INSTANCE'!F177),"",'_INSTANCE'!F177)</x:f>
      </x:c>
      <x:c r="X177" s="6"/>
      <x:c r="Y177" s="6"/>
      <x:c r="Z177" s="6"/>
      <x:c r="AA177" s="6"/>
      <x:c r="AB177" s="6"/>
      <x:c r="AC177" s="6"/>
      <x:c r="AD177" s="6"/>
      <x:c r="AE177" s="6"/>
      <x:c r="AF177" s="6"/>
    </x:row>
    <x:row r="178">
      <x:c r="A178" s="6"/>
      <x:c r="B178" s="6"/>
      <x:c r="C178" s="6"/>
      <x:c r="D178" s="6"/>
      <x:c r="E178" s="6"/>
      <x:c r="F178" s="6"/>
      <x:c r="G178" s="6"/>
      <x:c r="H178" s="6"/>
      <x:c r="I178" s="6"/>
      <x:c r="J178" s="6"/>
      <x:c r="K178" s="6"/>
      <x:c r="L178" s="6"/>
      <x:c r="M178" s="6"/>
      <x:c r="N178" s="6"/>
      <x:c r="O178" s="6"/>
      <x:c r="P178" s="6"/>
      <x:c r="Q178" s="6"/>
      <x:c r="R178" s="6"/>
      <x:c r="S178" s="6"/>
      <x:c r="T178" s="6"/>
      <x:c r="U178" s="6"/>
      <x:c r="V178" s="6" t="str">
        <x:f>IF(ISBLANK('_INSTANCE'!B178),"",'_INSTANCE'!B178)</x:f>
      </x:c>
      <x:c r="W178" s="6" t="str">
        <x:f>IF(ISBLANK('_INSTANCE'!F178),"",'_INSTANCE'!F178)</x:f>
      </x:c>
      <x:c r="X178" s="6"/>
      <x:c r="Y178" s="6"/>
      <x:c r="Z178" s="6"/>
      <x:c r="AA178" s="6"/>
      <x:c r="AB178" s="6"/>
      <x:c r="AC178" s="6"/>
      <x:c r="AD178" s="6"/>
      <x:c r="AE178" s="6"/>
      <x:c r="AF178" s="6"/>
    </x:row>
    <x:row r="179">
      <x:c r="A179" s="6"/>
      <x:c r="B179" s="6"/>
      <x:c r="C179" s="6"/>
      <x:c r="D179" s="6"/>
      <x:c r="E179" s="6"/>
      <x:c r="F179" s="6"/>
      <x:c r="G179" s="6"/>
      <x:c r="H179" s="6"/>
      <x:c r="I179" s="6"/>
      <x:c r="J179" s="6"/>
      <x:c r="K179" s="6"/>
      <x:c r="L179" s="6"/>
      <x:c r="M179" s="6"/>
      <x:c r="N179" s="6"/>
      <x:c r="O179" s="6"/>
      <x:c r="P179" s="6"/>
      <x:c r="Q179" s="6"/>
      <x:c r="R179" s="6"/>
      <x:c r="S179" s="6"/>
      <x:c r="T179" s="6"/>
      <x:c r="U179" s="6"/>
      <x:c r="V179" s="6" t="str">
        <x:f>IF(ISBLANK('_INSTANCE'!B179),"",'_INSTANCE'!B179)</x:f>
      </x:c>
      <x:c r="W179" s="6" t="str">
        <x:f>IF(ISBLANK('_INSTANCE'!F179),"",'_INSTANCE'!F179)</x:f>
      </x:c>
      <x:c r="X179" s="6"/>
      <x:c r="Y179" s="6"/>
      <x:c r="Z179" s="6"/>
      <x:c r="AA179" s="6"/>
      <x:c r="AB179" s="6"/>
      <x:c r="AC179" s="6"/>
      <x:c r="AD179" s="6"/>
      <x:c r="AE179" s="6"/>
      <x:c r="AF179" s="6"/>
    </x:row>
    <x:row r="180">
      <x:c r="A180" s="6"/>
      <x:c r="B180" s="6"/>
      <x:c r="C180" s="6"/>
      <x:c r="D180" s="6"/>
      <x:c r="E180" s="6"/>
      <x:c r="F180" s="6"/>
      <x:c r="G180" s="6"/>
      <x:c r="H180" s="6"/>
      <x:c r="I180" s="6"/>
      <x:c r="J180" s="6"/>
      <x:c r="K180" s="6"/>
      <x:c r="L180" s="6"/>
      <x:c r="M180" s="6"/>
      <x:c r="N180" s="6"/>
      <x:c r="O180" s="6"/>
      <x:c r="P180" s="6"/>
      <x:c r="Q180" s="6"/>
      <x:c r="R180" s="6"/>
      <x:c r="S180" s="6"/>
      <x:c r="T180" s="6"/>
      <x:c r="U180" s="6"/>
      <x:c r="V180" s="6" t="str">
        <x:f>IF(ISBLANK('_INSTANCE'!B180),"",'_INSTANCE'!B180)</x:f>
      </x:c>
      <x:c r="W180" s="6" t="str">
        <x:f>IF(ISBLANK('_INSTANCE'!F180),"",'_INSTANCE'!F180)</x:f>
      </x:c>
      <x:c r="X180" s="6"/>
      <x:c r="Y180" s="6"/>
      <x:c r="Z180" s="6"/>
      <x:c r="AA180" s="6"/>
      <x:c r="AB180" s="6"/>
      <x:c r="AC180" s="6"/>
      <x:c r="AD180" s="6"/>
      <x:c r="AE180" s="6"/>
      <x:c r="AF180" s="6"/>
    </x:row>
    <x:row r="181">
      <x:c r="A181" s="6"/>
      <x:c r="B181" s="6"/>
      <x:c r="C181" s="6"/>
      <x:c r="D181" s="6"/>
      <x:c r="E181" s="6"/>
      <x:c r="F181" s="6"/>
      <x:c r="G181" s="6"/>
      <x:c r="H181" s="6"/>
      <x:c r="I181" s="6"/>
      <x:c r="J181" s="6"/>
      <x:c r="K181" s="6"/>
      <x:c r="L181" s="6"/>
      <x:c r="M181" s="6"/>
      <x:c r="N181" s="6"/>
      <x:c r="O181" s="6"/>
      <x:c r="P181" s="6"/>
      <x:c r="Q181" s="6"/>
      <x:c r="R181" s="6"/>
      <x:c r="S181" s="6"/>
      <x:c r="T181" s="6"/>
      <x:c r="U181" s="6"/>
      <x:c r="V181" s="6" t="str">
        <x:f>IF(ISBLANK('_INSTANCE'!B181),"",'_INSTANCE'!B181)</x:f>
      </x:c>
      <x:c r="W181" s="6" t="str">
        <x:f>IF(ISBLANK('_INSTANCE'!F181),"",'_INSTANCE'!F181)</x:f>
      </x:c>
      <x:c r="X181" s="6"/>
      <x:c r="Y181" s="6"/>
      <x:c r="Z181" s="6"/>
      <x:c r="AA181" s="6"/>
      <x:c r="AB181" s="6"/>
      <x:c r="AC181" s="6"/>
      <x:c r="AD181" s="6"/>
      <x:c r="AE181" s="6"/>
      <x:c r="AF181" s="6"/>
    </x:row>
    <x:row r="182">
      <x:c r="A182" s="6"/>
      <x:c r="B182" s="6"/>
      <x:c r="C182" s="6"/>
      <x:c r="D182" s="6"/>
      <x:c r="E182" s="6"/>
      <x:c r="F182" s="6"/>
      <x:c r="G182" s="6"/>
      <x:c r="H182" s="6"/>
      <x:c r="I182" s="6"/>
      <x:c r="J182" s="6"/>
      <x:c r="K182" s="6"/>
      <x:c r="L182" s="6"/>
      <x:c r="M182" s="6"/>
      <x:c r="N182" s="6"/>
      <x:c r="O182" s="6"/>
      <x:c r="P182" s="6"/>
      <x:c r="Q182" s="6"/>
      <x:c r="R182" s="6"/>
      <x:c r="S182" s="6"/>
      <x:c r="T182" s="6"/>
      <x:c r="U182" s="6"/>
      <x:c r="V182" s="6" t="str">
        <x:f>IF(ISBLANK('_INSTANCE'!B182),"",'_INSTANCE'!B182)</x:f>
      </x:c>
      <x:c r="W182" s="6" t="str">
        <x:f>IF(ISBLANK('_INSTANCE'!F182),"",'_INSTANCE'!F182)</x:f>
      </x:c>
      <x:c r="X182" s="6"/>
      <x:c r="Y182" s="6"/>
      <x:c r="Z182" s="6"/>
      <x:c r="AA182" s="6"/>
      <x:c r="AB182" s="6"/>
      <x:c r="AC182" s="6"/>
      <x:c r="AD182" s="6"/>
      <x:c r="AE182" s="6"/>
      <x:c r="AF182" s="6"/>
    </x:row>
    <x:row r="183">
      <x:c r="A183" s="6"/>
      <x:c r="B183" s="6"/>
      <x:c r="C183" s="6"/>
      <x:c r="D183" s="6"/>
      <x:c r="E183" s="6"/>
      <x:c r="F183" s="6"/>
      <x:c r="G183" s="6"/>
      <x:c r="H183" s="6"/>
      <x:c r="I183" s="6"/>
      <x:c r="J183" s="6"/>
      <x:c r="K183" s="6"/>
      <x:c r="L183" s="6"/>
      <x:c r="M183" s="6"/>
      <x:c r="N183" s="6"/>
      <x:c r="O183" s="6"/>
      <x:c r="P183" s="6"/>
      <x:c r="Q183" s="6"/>
      <x:c r="R183" s="6"/>
      <x:c r="S183" s="6"/>
      <x:c r="T183" s="6"/>
      <x:c r="U183" s="6"/>
      <x:c r="V183" s="6" t="str">
        <x:f>IF(ISBLANK('_INSTANCE'!B183),"",'_INSTANCE'!B183)</x:f>
      </x:c>
      <x:c r="W183" s="6" t="str">
        <x:f>IF(ISBLANK('_INSTANCE'!F183),"",'_INSTANCE'!F183)</x:f>
      </x:c>
      <x:c r="X183" s="6"/>
      <x:c r="Y183" s="6"/>
      <x:c r="Z183" s="6"/>
      <x:c r="AA183" s="6"/>
      <x:c r="AB183" s="6"/>
      <x:c r="AC183" s="6"/>
      <x:c r="AD183" s="6"/>
      <x:c r="AE183" s="6"/>
      <x:c r="AF183" s="6"/>
    </x:row>
    <x:row r="184">
      <x:c r="A184" s="6"/>
      <x:c r="B184" s="6"/>
      <x:c r="C184" s="6"/>
      <x:c r="D184" s="6"/>
      <x:c r="E184" s="6"/>
      <x:c r="F184" s="6"/>
      <x:c r="G184" s="6"/>
      <x:c r="H184" s="6"/>
      <x:c r="I184" s="6"/>
      <x:c r="J184" s="6"/>
      <x:c r="K184" s="6"/>
      <x:c r="L184" s="6"/>
      <x:c r="M184" s="6"/>
      <x:c r="N184" s="6"/>
      <x:c r="O184" s="6"/>
      <x:c r="P184" s="6"/>
      <x:c r="Q184" s="6"/>
      <x:c r="R184" s="6"/>
      <x:c r="S184" s="6"/>
      <x:c r="T184" s="6"/>
      <x:c r="U184" s="6"/>
      <x:c r="V184" s="6" t="str">
        <x:f>IF(ISBLANK('_INSTANCE'!B184),"",'_INSTANCE'!B184)</x:f>
      </x:c>
      <x:c r="W184" s="6" t="str">
        <x:f>IF(ISBLANK('_INSTANCE'!F184),"",'_INSTANCE'!F184)</x:f>
      </x:c>
      <x:c r="X184" s="6"/>
      <x:c r="Y184" s="6"/>
      <x:c r="Z184" s="6"/>
      <x:c r="AA184" s="6"/>
      <x:c r="AB184" s="6"/>
      <x:c r="AC184" s="6"/>
      <x:c r="AD184" s="6"/>
      <x:c r="AE184" s="6"/>
      <x:c r="AF184" s="6"/>
    </x:row>
    <x:row r="185">
      <x:c r="A185" s="6"/>
      <x:c r="B185" s="6"/>
      <x:c r="C185" s="6"/>
      <x:c r="D185" s="6"/>
      <x:c r="E185" s="6"/>
      <x:c r="F185" s="6"/>
      <x:c r="G185" s="6"/>
      <x:c r="H185" s="6"/>
      <x:c r="I185" s="6"/>
      <x:c r="J185" s="6"/>
      <x:c r="K185" s="6"/>
      <x:c r="L185" s="6"/>
      <x:c r="M185" s="6"/>
      <x:c r="N185" s="6"/>
      <x:c r="O185" s="6"/>
      <x:c r="P185" s="6"/>
      <x:c r="Q185" s="6"/>
      <x:c r="R185" s="6"/>
      <x:c r="S185" s="6"/>
      <x:c r="T185" s="6"/>
      <x:c r="U185" s="6"/>
      <x:c r="V185" s="6" t="str">
        <x:f>IF(ISBLANK('_INSTANCE'!B185),"",'_INSTANCE'!B185)</x:f>
      </x:c>
      <x:c r="W185" s="6" t="str">
        <x:f>IF(ISBLANK('_INSTANCE'!F185),"",'_INSTANCE'!F185)</x:f>
      </x:c>
      <x:c r="X185" s="6"/>
      <x:c r="Y185" s="6"/>
      <x:c r="Z185" s="6"/>
      <x:c r="AA185" s="6"/>
      <x:c r="AB185" s="6"/>
      <x:c r="AC185" s="6"/>
      <x:c r="AD185" s="6"/>
      <x:c r="AE185" s="6"/>
      <x:c r="AF185" s="6"/>
    </x:row>
    <x:row r="186">
      <x:c r="A186" s="6"/>
      <x:c r="B186" s="6"/>
      <x:c r="C186" s="6"/>
      <x:c r="D186" s="6"/>
      <x:c r="E186" s="6"/>
      <x:c r="F186" s="6"/>
      <x:c r="G186" s="6"/>
      <x:c r="H186" s="6"/>
      <x:c r="I186" s="6"/>
      <x:c r="J186" s="6"/>
      <x:c r="K186" s="6"/>
      <x:c r="L186" s="6"/>
      <x:c r="M186" s="6"/>
      <x:c r="N186" s="6"/>
      <x:c r="O186" s="6"/>
      <x:c r="P186" s="6"/>
      <x:c r="Q186" s="6"/>
      <x:c r="R186" s="6"/>
      <x:c r="S186" s="6"/>
      <x:c r="T186" s="6"/>
      <x:c r="U186" s="6"/>
      <x:c r="V186" s="6" t="str">
        <x:f>IF(ISBLANK('_INSTANCE'!B186),"",'_INSTANCE'!B186)</x:f>
      </x:c>
      <x:c r="W186" s="6" t="str">
        <x:f>IF(ISBLANK('_INSTANCE'!F186),"",'_INSTANCE'!F186)</x:f>
      </x:c>
      <x:c r="X186" s="6"/>
      <x:c r="Y186" s="6"/>
      <x:c r="Z186" s="6"/>
      <x:c r="AA186" s="6"/>
      <x:c r="AB186" s="6"/>
      <x:c r="AC186" s="6"/>
      <x:c r="AD186" s="6"/>
      <x:c r="AE186" s="6"/>
      <x:c r="AF186" s="6"/>
    </x:row>
    <x:row r="187">
      <x:c r="A187" s="6"/>
      <x:c r="B187" s="6"/>
      <x:c r="C187" s="6"/>
      <x:c r="D187" s="6"/>
      <x:c r="E187" s="6"/>
      <x:c r="F187" s="6"/>
      <x:c r="G187" s="6"/>
      <x:c r="H187" s="6"/>
      <x:c r="I187" s="6"/>
      <x:c r="J187" s="6"/>
      <x:c r="K187" s="6"/>
      <x:c r="L187" s="6"/>
      <x:c r="M187" s="6"/>
      <x:c r="N187" s="6"/>
      <x:c r="O187" s="6"/>
      <x:c r="P187" s="6"/>
      <x:c r="Q187" s="6"/>
      <x:c r="R187" s="6"/>
      <x:c r="S187" s="6"/>
      <x:c r="T187" s="6"/>
      <x:c r="U187" s="6"/>
      <x:c r="V187" s="6" t="str">
        <x:f>IF(ISBLANK('_INSTANCE'!B187),"",'_INSTANCE'!B187)</x:f>
      </x:c>
      <x:c r="W187" s="6" t="str">
        <x:f>IF(ISBLANK('_INSTANCE'!F187),"",'_INSTANCE'!F187)</x:f>
      </x:c>
      <x:c r="X187" s="6"/>
      <x:c r="Y187" s="6"/>
      <x:c r="Z187" s="6"/>
      <x:c r="AA187" s="6"/>
      <x:c r="AB187" s="6"/>
      <x:c r="AC187" s="6"/>
      <x:c r="AD187" s="6"/>
      <x:c r="AE187" s="6"/>
      <x:c r="AF187" s="6"/>
    </x:row>
    <x:row r="188">
      <x:c r="A188" s="6"/>
      <x:c r="B188" s="6"/>
      <x:c r="C188" s="6"/>
      <x:c r="D188" s="6"/>
      <x:c r="E188" s="6"/>
      <x:c r="F188" s="6"/>
      <x:c r="G188" s="6"/>
      <x:c r="H188" s="6"/>
      <x:c r="I188" s="6"/>
      <x:c r="J188" s="6"/>
      <x:c r="K188" s="6"/>
      <x:c r="L188" s="6"/>
      <x:c r="M188" s="6"/>
      <x:c r="N188" s="6"/>
      <x:c r="O188" s="6"/>
      <x:c r="P188" s="6"/>
      <x:c r="Q188" s="6"/>
      <x:c r="R188" s="6"/>
      <x:c r="S188" s="6"/>
      <x:c r="T188" s="6"/>
      <x:c r="U188" s="6"/>
      <x:c r="V188" s="6" t="str">
        <x:f>IF(ISBLANK('_INSTANCE'!B188),"",'_INSTANCE'!B188)</x:f>
      </x:c>
      <x:c r="W188" s="6" t="str">
        <x:f>IF(ISBLANK('_INSTANCE'!F188),"",'_INSTANCE'!F188)</x:f>
      </x:c>
      <x:c r="X188" s="6"/>
      <x:c r="Y188" s="6"/>
      <x:c r="Z188" s="6"/>
      <x:c r="AA188" s="6"/>
      <x:c r="AB188" s="6"/>
      <x:c r="AC188" s="6"/>
      <x:c r="AD188" s="6"/>
      <x:c r="AE188" s="6"/>
      <x:c r="AF188" s="6"/>
    </x:row>
    <x:row r="189">
      <x:c r="A189" s="6"/>
      <x:c r="B189" s="6"/>
      <x:c r="C189" s="6"/>
      <x:c r="D189" s="6"/>
      <x:c r="E189" s="6"/>
      <x:c r="F189" s="6"/>
      <x:c r="G189" s="6"/>
      <x:c r="H189" s="6"/>
      <x:c r="I189" s="6"/>
      <x:c r="J189" s="6"/>
      <x:c r="K189" s="6"/>
      <x:c r="L189" s="6"/>
      <x:c r="M189" s="6"/>
      <x:c r="N189" s="6"/>
      <x:c r="O189" s="6"/>
      <x:c r="P189" s="6"/>
      <x:c r="Q189" s="6"/>
      <x:c r="R189" s="6"/>
      <x:c r="S189" s="6"/>
      <x:c r="T189" s="6"/>
      <x:c r="U189" s="6"/>
      <x:c r="V189" s="6" t="str">
        <x:f>IF(ISBLANK('_INSTANCE'!B189),"",'_INSTANCE'!B189)</x:f>
      </x:c>
      <x:c r="W189" s="6" t="str">
        <x:f>IF(ISBLANK('_INSTANCE'!F189),"",'_INSTANCE'!F189)</x:f>
      </x:c>
      <x:c r="X189" s="6"/>
      <x:c r="Y189" s="6"/>
      <x:c r="Z189" s="6"/>
      <x:c r="AA189" s="6"/>
      <x:c r="AB189" s="6"/>
      <x:c r="AC189" s="6"/>
      <x:c r="AD189" s="6"/>
      <x:c r="AE189" s="6"/>
      <x:c r="AF189" s="6"/>
    </x:row>
    <x:row r="190">
      <x:c r="A190" s="6"/>
      <x:c r="B190" s="6"/>
      <x:c r="C190" s="6"/>
      <x:c r="D190" s="6"/>
      <x:c r="E190" s="6"/>
      <x:c r="F190" s="6"/>
      <x:c r="G190" s="6"/>
      <x:c r="H190" s="6"/>
      <x:c r="I190" s="6"/>
      <x:c r="J190" s="6"/>
      <x:c r="K190" s="6"/>
      <x:c r="L190" s="6"/>
      <x:c r="M190" s="6"/>
      <x:c r="N190" s="6"/>
      <x:c r="O190" s="6"/>
      <x:c r="P190" s="6"/>
      <x:c r="Q190" s="6"/>
      <x:c r="R190" s="6"/>
      <x:c r="S190" s="6"/>
      <x:c r="T190" s="6"/>
      <x:c r="U190" s="6"/>
      <x:c r="V190" s="6" t="str">
        <x:f>IF(ISBLANK('_INSTANCE'!B190),"",'_INSTANCE'!B190)</x:f>
      </x:c>
      <x:c r="W190" s="6" t="str">
        <x:f>IF(ISBLANK('_INSTANCE'!F190),"",'_INSTANCE'!F190)</x:f>
      </x:c>
      <x:c r="X190" s="6"/>
      <x:c r="Y190" s="6"/>
      <x:c r="Z190" s="6"/>
      <x:c r="AA190" s="6"/>
      <x:c r="AB190" s="6"/>
      <x:c r="AC190" s="6"/>
      <x:c r="AD190" s="6"/>
      <x:c r="AE190" s="6"/>
      <x:c r="AF190" s="6"/>
    </x:row>
    <x:row r="191">
      <x:c r="A191" s="6"/>
      <x:c r="B191" s="6"/>
      <x:c r="C191" s="6"/>
      <x:c r="D191" s="6"/>
      <x:c r="E191" s="6"/>
      <x:c r="F191" s="6"/>
      <x:c r="G191" s="6"/>
      <x:c r="H191" s="6"/>
      <x:c r="I191" s="6"/>
      <x:c r="J191" s="6"/>
      <x:c r="K191" s="6"/>
      <x:c r="L191" s="6"/>
      <x:c r="M191" s="6"/>
      <x:c r="N191" s="6"/>
      <x:c r="O191" s="6"/>
      <x:c r="P191" s="6"/>
      <x:c r="Q191" s="6"/>
      <x:c r="R191" s="6"/>
      <x:c r="S191" s="6"/>
      <x:c r="T191" s="6"/>
      <x:c r="U191" s="6"/>
      <x:c r="V191" s="6" t="str">
        <x:f>IF(ISBLANK('_INSTANCE'!B191),"",'_INSTANCE'!B191)</x:f>
      </x:c>
      <x:c r="W191" s="6" t="str">
        <x:f>IF(ISBLANK('_INSTANCE'!F191),"",'_INSTANCE'!F191)</x:f>
      </x:c>
      <x:c r="X191" s="6"/>
      <x:c r="Y191" s="6"/>
      <x:c r="Z191" s="6"/>
      <x:c r="AA191" s="6"/>
      <x:c r="AB191" s="6"/>
      <x:c r="AC191" s="6"/>
      <x:c r="AD191" s="6"/>
      <x:c r="AE191" s="6"/>
      <x:c r="AF191" s="6"/>
    </x:row>
    <x:row r="192">
      <x:c r="A192" s="6"/>
      <x:c r="B192" s="6"/>
      <x:c r="C192" s="6"/>
      <x:c r="D192" s="6"/>
      <x:c r="E192" s="6"/>
      <x:c r="F192" s="6"/>
      <x:c r="G192" s="6"/>
      <x:c r="H192" s="6"/>
      <x:c r="I192" s="6"/>
      <x:c r="J192" s="6"/>
      <x:c r="K192" s="6"/>
      <x:c r="L192" s="6"/>
      <x:c r="M192" s="6"/>
      <x:c r="N192" s="6"/>
      <x:c r="O192" s="6"/>
      <x:c r="P192" s="6"/>
      <x:c r="Q192" s="6"/>
      <x:c r="R192" s="6"/>
      <x:c r="S192" s="6"/>
      <x:c r="T192" s="6"/>
      <x:c r="U192" s="6"/>
      <x:c r="V192" s="6" t="str">
        <x:f>IF(ISBLANK('_INSTANCE'!B192),"",'_INSTANCE'!B192)</x:f>
      </x:c>
      <x:c r="W192" s="6" t="str">
        <x:f>IF(ISBLANK('_INSTANCE'!F192),"",'_INSTANCE'!F192)</x:f>
      </x:c>
      <x:c r="X192" s="6"/>
      <x:c r="Y192" s="6"/>
      <x:c r="Z192" s="6"/>
      <x:c r="AA192" s="6"/>
      <x:c r="AB192" s="6"/>
      <x:c r="AC192" s="6"/>
      <x:c r="AD192" s="6"/>
      <x:c r="AE192" s="6"/>
      <x:c r="AF192" s="6"/>
    </x:row>
    <x:row r="193">
      <x:c r="A193" s="6"/>
      <x:c r="B193" s="6"/>
      <x:c r="C193" s="6"/>
      <x:c r="D193" s="6"/>
      <x:c r="E193" s="6"/>
      <x:c r="F193" s="6"/>
      <x:c r="G193" s="6"/>
      <x:c r="H193" s="6"/>
      <x:c r="I193" s="6"/>
      <x:c r="J193" s="6"/>
      <x:c r="K193" s="6"/>
      <x:c r="L193" s="6"/>
      <x:c r="M193" s="6"/>
      <x:c r="N193" s="6"/>
      <x:c r="O193" s="6"/>
      <x:c r="P193" s="6"/>
      <x:c r="Q193" s="6"/>
      <x:c r="R193" s="6"/>
      <x:c r="S193" s="6"/>
      <x:c r="T193" s="6"/>
      <x:c r="U193" s="6"/>
      <x:c r="V193" s="6" t="str">
        <x:f>IF(ISBLANK('_INSTANCE'!B193),"",'_INSTANCE'!B193)</x:f>
      </x:c>
      <x:c r="W193" s="6" t="str">
        <x:f>IF(ISBLANK('_INSTANCE'!F193),"",'_INSTANCE'!F193)</x:f>
      </x:c>
      <x:c r="X193" s="6"/>
      <x:c r="Y193" s="6"/>
      <x:c r="Z193" s="6"/>
      <x:c r="AA193" s="6"/>
      <x:c r="AB193" s="6"/>
      <x:c r="AC193" s="6"/>
      <x:c r="AD193" s="6"/>
      <x:c r="AE193" s="6"/>
      <x:c r="AF193" s="6"/>
    </x:row>
    <x:row r="194">
      <x:c r="A194" s="6"/>
      <x:c r="B194" s="6"/>
      <x:c r="C194" s="6"/>
      <x:c r="D194" s="6"/>
      <x:c r="E194" s="6"/>
      <x:c r="F194" s="6"/>
      <x:c r="G194" s="6"/>
      <x:c r="H194" s="6"/>
      <x:c r="I194" s="6"/>
      <x:c r="J194" s="6"/>
      <x:c r="K194" s="6"/>
      <x:c r="L194" s="6"/>
      <x:c r="M194" s="6"/>
      <x:c r="N194" s="6"/>
      <x:c r="O194" s="6"/>
      <x:c r="P194" s="6"/>
      <x:c r="Q194" s="6"/>
      <x:c r="R194" s="6"/>
      <x:c r="S194" s="6"/>
      <x:c r="T194" s="6"/>
      <x:c r="U194" s="6"/>
      <x:c r="V194" s="6" t="str">
        <x:f>IF(ISBLANK('_INSTANCE'!B194),"",'_INSTANCE'!B194)</x:f>
      </x:c>
      <x:c r="W194" s="6" t="str">
        <x:f>IF(ISBLANK('_INSTANCE'!F194),"",'_INSTANCE'!F194)</x:f>
      </x:c>
      <x:c r="X194" s="6"/>
      <x:c r="Y194" s="6"/>
      <x:c r="Z194" s="6"/>
      <x:c r="AA194" s="6"/>
      <x:c r="AB194" s="6"/>
      <x:c r="AC194" s="6"/>
      <x:c r="AD194" s="6"/>
      <x:c r="AE194" s="6"/>
      <x:c r="AF194" s="6"/>
    </x:row>
    <x:row r="195">
      <x:c r="A195" s="6"/>
      <x:c r="B195" s="6"/>
      <x:c r="C195" s="6"/>
      <x:c r="D195" s="6"/>
      <x:c r="E195" s="6"/>
      <x:c r="F195" s="6"/>
      <x:c r="G195" s="6"/>
      <x:c r="H195" s="6"/>
      <x:c r="I195" s="6"/>
      <x:c r="J195" s="6"/>
      <x:c r="K195" s="6"/>
      <x:c r="L195" s="6"/>
      <x:c r="M195" s="6"/>
      <x:c r="N195" s="6"/>
      <x:c r="O195" s="6"/>
      <x:c r="P195" s="6"/>
      <x:c r="Q195" s="6"/>
      <x:c r="R195" s="6"/>
      <x:c r="S195" s="6"/>
      <x:c r="T195" s="6"/>
      <x:c r="U195" s="6"/>
      <x:c r="V195" s="6" t="str">
        <x:f>IF(ISBLANK('_INSTANCE'!B195),"",'_INSTANCE'!B195)</x:f>
      </x:c>
      <x:c r="W195" s="6" t="str">
        <x:f>IF(ISBLANK('_INSTANCE'!F195),"",'_INSTANCE'!F195)</x:f>
      </x:c>
      <x:c r="X195" s="6"/>
      <x:c r="Y195" s="6"/>
      <x:c r="Z195" s="6"/>
      <x:c r="AA195" s="6"/>
      <x:c r="AB195" s="6"/>
      <x:c r="AC195" s="6"/>
      <x:c r="AD195" s="6"/>
      <x:c r="AE195" s="6"/>
      <x:c r="AF195" s="6"/>
    </x:row>
    <x:row r="196">
      <x:c r="A196" s="6"/>
      <x:c r="B196" s="6"/>
      <x:c r="C196" s="6"/>
      <x:c r="D196" s="6"/>
      <x:c r="E196" s="6"/>
      <x:c r="F196" s="6"/>
      <x:c r="G196" s="6"/>
      <x:c r="H196" s="6"/>
      <x:c r="I196" s="6"/>
      <x:c r="J196" s="6"/>
      <x:c r="K196" s="6"/>
      <x:c r="L196" s="6"/>
      <x:c r="M196" s="6"/>
      <x:c r="N196" s="6"/>
      <x:c r="O196" s="6"/>
      <x:c r="P196" s="6"/>
      <x:c r="Q196" s="6"/>
      <x:c r="R196" s="6"/>
      <x:c r="S196" s="6"/>
      <x:c r="T196" s="6"/>
      <x:c r="U196" s="6"/>
      <x:c r="V196" s="6" t="str">
        <x:f>IF(ISBLANK('_INSTANCE'!B196),"",'_INSTANCE'!B196)</x:f>
      </x:c>
      <x:c r="W196" s="6" t="str">
        <x:f>IF(ISBLANK('_INSTANCE'!F196),"",'_INSTANCE'!F196)</x:f>
      </x:c>
      <x:c r="X196" s="6"/>
      <x:c r="Y196" s="6"/>
      <x:c r="Z196" s="6"/>
      <x:c r="AA196" s="6"/>
      <x:c r="AB196" s="6"/>
      <x:c r="AC196" s="6"/>
      <x:c r="AD196" s="6"/>
      <x:c r="AE196" s="6"/>
      <x:c r="AF196" s="6"/>
    </x:row>
    <x:row r="197">
      <x:c r="A197" s="6"/>
      <x:c r="B197" s="6"/>
      <x:c r="C197" s="6"/>
      <x:c r="D197" s="6"/>
      <x:c r="E197" s="6"/>
      <x:c r="F197" s="6"/>
      <x:c r="G197" s="6"/>
      <x:c r="H197" s="6"/>
      <x:c r="I197" s="6"/>
      <x:c r="J197" s="6"/>
      <x:c r="K197" s="6"/>
      <x:c r="L197" s="6"/>
      <x:c r="M197" s="6"/>
      <x:c r="N197" s="6"/>
      <x:c r="O197" s="6"/>
      <x:c r="P197" s="6"/>
      <x:c r="Q197" s="6"/>
      <x:c r="R197" s="6"/>
      <x:c r="S197" s="6"/>
      <x:c r="T197" s="6"/>
      <x:c r="U197" s="6"/>
      <x:c r="V197" s="6" t="str">
        <x:f>IF(ISBLANK('_INSTANCE'!B197),"",'_INSTANCE'!B197)</x:f>
      </x:c>
      <x:c r="W197" s="6" t="str">
        <x:f>IF(ISBLANK('_INSTANCE'!F197),"",'_INSTANCE'!F197)</x:f>
      </x:c>
      <x:c r="X197" s="6"/>
      <x:c r="Y197" s="6"/>
      <x:c r="Z197" s="6"/>
      <x:c r="AA197" s="6"/>
      <x:c r="AB197" s="6"/>
      <x:c r="AC197" s="6"/>
      <x:c r="AD197" s="6"/>
      <x:c r="AE197" s="6"/>
      <x:c r="AF197" s="6"/>
    </x:row>
    <x:row r="198">
      <x:c r="A198" s="6"/>
      <x:c r="B198" s="6"/>
      <x:c r="C198" s="6"/>
      <x:c r="D198" s="6"/>
      <x:c r="E198" s="6"/>
      <x:c r="F198" s="6"/>
      <x:c r="G198" s="6"/>
      <x:c r="H198" s="6"/>
      <x:c r="I198" s="6"/>
      <x:c r="J198" s="6"/>
      <x:c r="K198" s="6"/>
      <x:c r="L198" s="6"/>
      <x:c r="M198" s="6"/>
      <x:c r="N198" s="6"/>
      <x:c r="O198" s="6"/>
      <x:c r="P198" s="6"/>
      <x:c r="Q198" s="6"/>
      <x:c r="R198" s="6"/>
      <x:c r="S198" s="6"/>
      <x:c r="T198" s="6"/>
      <x:c r="U198" s="6"/>
      <x:c r="V198" s="6" t="str">
        <x:f>IF(ISBLANK('_INSTANCE'!B198),"",'_INSTANCE'!B198)</x:f>
      </x:c>
      <x:c r="W198" s="6" t="str">
        <x:f>IF(ISBLANK('_INSTANCE'!F198),"",'_INSTANCE'!F198)</x:f>
      </x:c>
      <x:c r="X198" s="6"/>
      <x:c r="Y198" s="6"/>
      <x:c r="Z198" s="6"/>
      <x:c r="AA198" s="6"/>
      <x:c r="AB198" s="6"/>
      <x:c r="AC198" s="6"/>
      <x:c r="AD198" s="6"/>
      <x:c r="AE198" s="6"/>
      <x:c r="AF198" s="6"/>
    </x:row>
    <x:row r="199">
      <x:c r="A199" s="6"/>
      <x:c r="B199" s="6"/>
      <x:c r="C199" s="6"/>
      <x:c r="D199" s="6"/>
      <x:c r="E199" s="6"/>
      <x:c r="F199" s="6"/>
      <x:c r="G199" s="6"/>
      <x:c r="H199" s="6"/>
      <x:c r="I199" s="6"/>
      <x:c r="J199" s="6"/>
      <x:c r="K199" s="6"/>
      <x:c r="L199" s="6"/>
      <x:c r="M199" s="6"/>
      <x:c r="N199" s="6"/>
      <x:c r="O199" s="6"/>
      <x:c r="P199" s="6"/>
      <x:c r="Q199" s="6"/>
      <x:c r="R199" s="6"/>
      <x:c r="S199" s="6"/>
      <x:c r="T199" s="6"/>
      <x:c r="U199" s="6"/>
      <x:c r="V199" s="6" t="str">
        <x:f>IF(ISBLANK('_INSTANCE'!B199),"",'_INSTANCE'!B199)</x:f>
      </x:c>
      <x:c r="W199" s="6" t="str">
        <x:f>IF(ISBLANK('_INSTANCE'!F199),"",'_INSTANCE'!F199)</x:f>
      </x:c>
      <x:c r="X199" s="6"/>
      <x:c r="Y199" s="6"/>
      <x:c r="Z199" s="6"/>
      <x:c r="AA199" s="6"/>
      <x:c r="AB199" s="6"/>
      <x:c r="AC199" s="6"/>
      <x:c r="AD199" s="6"/>
      <x:c r="AE199" s="6"/>
      <x:c r="AF199" s="6"/>
    </x:row>
    <x:row r="200">
      <x:c r="A200" s="6"/>
      <x:c r="B200" s="6"/>
      <x:c r="C200" s="6"/>
      <x:c r="D200" s="6"/>
      <x:c r="E200" s="6"/>
      <x:c r="F200" s="6"/>
      <x:c r="G200" s="6"/>
      <x:c r="H200" s="6"/>
      <x:c r="I200" s="6"/>
      <x:c r="J200" s="6"/>
      <x:c r="K200" s="6"/>
      <x:c r="L200" s="6"/>
      <x:c r="M200" s="6"/>
      <x:c r="N200" s="6"/>
      <x:c r="O200" s="6"/>
      <x:c r="P200" s="6"/>
      <x:c r="Q200" s="6"/>
      <x:c r="R200" s="6"/>
      <x:c r="S200" s="6"/>
      <x:c r="T200" s="6"/>
      <x:c r="U200" s="6"/>
      <x:c r="V200" s="6" t="str">
        <x:f>IF(ISBLANK('_INSTANCE'!B200),"",'_INSTANCE'!B200)</x:f>
      </x:c>
      <x:c r="W200" s="6" t="str">
        <x:f>IF(ISBLANK('_INSTANCE'!F200),"",'_INSTANCE'!F200)</x:f>
      </x:c>
      <x:c r="X200" s="6"/>
      <x:c r="Y200" s="6"/>
      <x:c r="Z200" s="6"/>
      <x:c r="AA200" s="6"/>
      <x:c r="AB200" s="6"/>
      <x:c r="AC200" s="6"/>
      <x:c r="AD200" s="6"/>
      <x:c r="AE200" s="6"/>
      <x:c r="AF200" s="6"/>
    </x:row>
    <x:row r="201">
      <x:c r="A201" s="6"/>
      <x:c r="B201" s="6"/>
      <x:c r="C201" s="6"/>
      <x:c r="D201" s="6"/>
      <x:c r="E201" s="6"/>
      <x:c r="F201" s="6"/>
      <x:c r="G201" s="6"/>
      <x:c r="H201" s="6"/>
      <x:c r="I201" s="6"/>
      <x:c r="J201" s="6"/>
      <x:c r="K201" s="6"/>
      <x:c r="L201" s="6"/>
      <x:c r="M201" s="6"/>
      <x:c r="N201" s="6"/>
      <x:c r="O201" s="6"/>
      <x:c r="P201" s="6"/>
      <x:c r="Q201" s="6"/>
      <x:c r="R201" s="6"/>
      <x:c r="S201" s="6"/>
      <x:c r="T201" s="6"/>
      <x:c r="U201" s="6"/>
      <x:c r="V201" s="6" t="str">
        <x:f>IF(ISBLANK('_INSTANCE'!B201),"",'_INSTANCE'!B201)</x:f>
      </x:c>
      <x:c r="W201" s="6" t="str">
        <x:f>IF(ISBLANK('_INSTANCE'!F201),"",'_INSTANCE'!F201)</x:f>
      </x:c>
      <x:c r="X201" s="6"/>
      <x:c r="Y201" s="6"/>
      <x:c r="Z201" s="6"/>
      <x:c r="AA201" s="6"/>
      <x:c r="AB201" s="6"/>
      <x:c r="AC201" s="6"/>
      <x:c r="AD201" s="6"/>
      <x:c r="AE201" s="6"/>
      <x:c r="AF201" s="6"/>
    </x:row>
    <x:row r="202">
      <x:c r="A202" s="6"/>
      <x:c r="B202" s="6"/>
      <x:c r="C202" s="6"/>
      <x:c r="D202" s="6"/>
      <x:c r="E202" s="6"/>
      <x:c r="F202" s="6"/>
      <x:c r="G202" s="6"/>
      <x:c r="H202" s="6"/>
      <x:c r="I202" s="6"/>
      <x:c r="J202" s="6"/>
      <x:c r="K202" s="6"/>
      <x:c r="L202" s="6"/>
      <x:c r="M202" s="6"/>
      <x:c r="N202" s="6"/>
      <x:c r="O202" s="6"/>
      <x:c r="P202" s="6"/>
      <x:c r="Q202" s="6"/>
      <x:c r="R202" s="6"/>
      <x:c r="S202" s="6"/>
      <x:c r="T202" s="6"/>
      <x:c r="U202" s="6"/>
      <x:c r="V202" s="6" t="str">
        <x:f>IF(ISBLANK('_INSTANCE'!B202),"",'_INSTANCE'!B202)</x:f>
      </x:c>
      <x:c r="W202" s="6" t="str">
        <x:f>IF(ISBLANK('_INSTANCE'!F202),"",'_INSTANCE'!F202)</x:f>
      </x:c>
      <x:c r="X202" s="6"/>
      <x:c r="Y202" s="6"/>
      <x:c r="Z202" s="6"/>
      <x:c r="AA202" s="6"/>
      <x:c r="AB202" s="6"/>
      <x:c r="AC202" s="6"/>
      <x:c r="AD202" s="6"/>
      <x:c r="AE202" s="6"/>
      <x:c r="AF202" s="6"/>
    </x:row>
    <x:row r="203">
      <x:c r="A203" s="6"/>
      <x:c r="B203" s="6"/>
      <x:c r="C203" s="6"/>
      <x:c r="D203" s="6"/>
      <x:c r="E203" s="6"/>
      <x:c r="F203" s="6"/>
      <x:c r="G203" s="6"/>
      <x:c r="H203" s="6"/>
      <x:c r="I203" s="6"/>
      <x:c r="J203" s="6"/>
      <x:c r="K203" s="6"/>
      <x:c r="L203" s="6"/>
      <x:c r="M203" s="6"/>
      <x:c r="N203" s="6"/>
      <x:c r="O203" s="6"/>
      <x:c r="P203" s="6"/>
      <x:c r="Q203" s="6"/>
      <x:c r="R203" s="6"/>
      <x:c r="S203" s="6"/>
      <x:c r="T203" s="6"/>
      <x:c r="U203" s="6"/>
      <x:c r="V203" s="6" t="str">
        <x:f>IF(ISBLANK('_INSTANCE'!B203),"",'_INSTANCE'!B203)</x:f>
      </x:c>
      <x:c r="W203" s="6" t="str">
        <x:f>IF(ISBLANK('_INSTANCE'!F203),"",'_INSTANCE'!F203)</x:f>
      </x:c>
      <x:c r="X203" s="6"/>
      <x:c r="Y203" s="6"/>
      <x:c r="Z203" s="6"/>
      <x:c r="AA203" s="6"/>
      <x:c r="AB203" s="6"/>
      <x:c r="AC203" s="6"/>
      <x:c r="AD203" s="6"/>
      <x:c r="AE203" s="6"/>
      <x:c r="AF203" s="6"/>
    </x:row>
    <x:row r="204">
      <x:c r="A204" s="6"/>
      <x:c r="B204" s="6"/>
      <x:c r="C204" s="6"/>
      <x:c r="D204" s="6"/>
      <x:c r="E204" s="6"/>
      <x:c r="F204" s="6"/>
      <x:c r="G204" s="6"/>
      <x:c r="H204" s="6"/>
      <x:c r="I204" s="6"/>
      <x:c r="J204" s="6"/>
      <x:c r="K204" s="6"/>
      <x:c r="L204" s="6"/>
      <x:c r="M204" s="6"/>
      <x:c r="N204" s="6"/>
      <x:c r="O204" s="6"/>
      <x:c r="P204" s="6"/>
      <x:c r="Q204" s="6"/>
      <x:c r="R204" s="6"/>
      <x:c r="S204" s="6"/>
      <x:c r="T204" s="6"/>
      <x:c r="U204" s="6"/>
      <x:c r="V204" s="6" t="str">
        <x:f>IF(ISBLANK('_INSTANCE'!B204),"",'_INSTANCE'!B204)</x:f>
      </x:c>
      <x:c r="W204" s="6" t="str">
        <x:f>IF(ISBLANK('_INSTANCE'!F204),"",'_INSTANCE'!F204)</x:f>
      </x:c>
      <x:c r="X204" s="6"/>
      <x:c r="Y204" s="6"/>
      <x:c r="Z204" s="6"/>
      <x:c r="AA204" s="6"/>
      <x:c r="AB204" s="6"/>
      <x:c r="AC204" s="6"/>
      <x:c r="AD204" s="6"/>
      <x:c r="AE204" s="6"/>
      <x:c r="AF204" s="6"/>
    </x:row>
    <x:row r="205">
      <x:c r="A205" s="6"/>
      <x:c r="B205" s="6"/>
      <x:c r="C205" s="6"/>
      <x:c r="D205" s="6"/>
      <x:c r="E205" s="6"/>
      <x:c r="F205" s="6"/>
      <x:c r="G205" s="6"/>
      <x:c r="H205" s="6"/>
      <x:c r="I205" s="6"/>
      <x:c r="J205" s="6"/>
      <x:c r="K205" s="6"/>
      <x:c r="L205" s="6"/>
      <x:c r="M205" s="6"/>
      <x:c r="N205" s="6"/>
      <x:c r="O205" s="6"/>
      <x:c r="P205" s="6"/>
      <x:c r="Q205" s="6"/>
      <x:c r="R205" s="6"/>
      <x:c r="S205" s="6"/>
      <x:c r="T205" s="6"/>
      <x:c r="U205" s="6"/>
      <x:c r="V205" s="6" t="str">
        <x:f>IF(ISBLANK('_INSTANCE'!B205),"",'_INSTANCE'!B205)</x:f>
      </x:c>
      <x:c r="W205" s="6" t="str">
        <x:f>IF(ISBLANK('_INSTANCE'!F205),"",'_INSTANCE'!F205)</x:f>
      </x:c>
      <x:c r="X205" s="6"/>
      <x:c r="Y205" s="6"/>
      <x:c r="Z205" s="6"/>
      <x:c r="AA205" s="6"/>
      <x:c r="AB205" s="6"/>
      <x:c r="AC205" s="6"/>
      <x:c r="AD205" s="6"/>
      <x:c r="AE205" s="6"/>
      <x:c r="AF205" s="6"/>
    </x:row>
    <x:row r="206">
      <x:c r="A206" s="6"/>
      <x:c r="B206" s="6"/>
      <x:c r="C206" s="6"/>
      <x:c r="D206" s="6"/>
      <x:c r="E206" s="6"/>
      <x:c r="F206" s="6"/>
      <x:c r="G206" s="6"/>
      <x:c r="H206" s="6"/>
      <x:c r="I206" s="6"/>
      <x:c r="J206" s="6"/>
      <x:c r="K206" s="6"/>
      <x:c r="L206" s="6"/>
      <x:c r="M206" s="6"/>
      <x:c r="N206" s="6"/>
      <x:c r="O206" s="6"/>
      <x:c r="P206" s="6"/>
      <x:c r="Q206" s="6"/>
      <x:c r="R206" s="6"/>
      <x:c r="S206" s="6"/>
      <x:c r="T206" s="6"/>
      <x:c r="U206" s="6"/>
      <x:c r="V206" s="6" t="str">
        <x:f>IF(ISBLANK('_INSTANCE'!B206),"",'_INSTANCE'!B206)</x:f>
      </x:c>
      <x:c r="W206" s="6" t="str">
        <x:f>IF(ISBLANK('_INSTANCE'!F206),"",'_INSTANCE'!F206)</x:f>
      </x:c>
      <x:c r="X206" s="6"/>
      <x:c r="Y206" s="6"/>
      <x:c r="Z206" s="6"/>
      <x:c r="AA206" s="6"/>
      <x:c r="AB206" s="6"/>
      <x:c r="AC206" s="6"/>
      <x:c r="AD206" s="6"/>
      <x:c r="AE206" s="6"/>
      <x:c r="AF206" s="6"/>
    </x:row>
    <x:row r="207">
      <x:c r="A207" s="6"/>
      <x:c r="B207" s="6"/>
      <x:c r="C207" s="6"/>
      <x:c r="D207" s="6"/>
      <x:c r="E207" s="6"/>
      <x:c r="F207" s="6"/>
      <x:c r="G207" s="6"/>
      <x:c r="H207" s="6"/>
      <x:c r="I207" s="6"/>
      <x:c r="J207" s="6"/>
      <x:c r="K207" s="6"/>
      <x:c r="L207" s="6"/>
      <x:c r="M207" s="6"/>
      <x:c r="N207" s="6"/>
      <x:c r="O207" s="6"/>
      <x:c r="P207" s="6"/>
      <x:c r="Q207" s="6"/>
      <x:c r="R207" s="6"/>
      <x:c r="S207" s="6"/>
      <x:c r="T207" s="6"/>
      <x:c r="U207" s="6"/>
      <x:c r="V207" s="6" t="str">
        <x:f>IF(ISBLANK('_INSTANCE'!B207),"",'_INSTANCE'!B207)</x:f>
      </x:c>
      <x:c r="W207" s="6" t="str">
        <x:f>IF(ISBLANK('_INSTANCE'!F207),"",'_INSTANCE'!F207)</x:f>
      </x:c>
      <x:c r="X207" s="6"/>
      <x:c r="Y207" s="6"/>
      <x:c r="Z207" s="6"/>
      <x:c r="AA207" s="6"/>
      <x:c r="AB207" s="6"/>
      <x:c r="AC207" s="6"/>
      <x:c r="AD207" s="6"/>
      <x:c r="AE207" s="6"/>
      <x:c r="AF207" s="6"/>
    </x:row>
    <x:row r="208">
      <x:c r="A208" s="6"/>
      <x:c r="B208" s="6"/>
      <x:c r="C208" s="6"/>
      <x:c r="D208" s="6"/>
      <x:c r="E208" s="6"/>
      <x:c r="F208" s="6"/>
      <x:c r="G208" s="6"/>
      <x:c r="H208" s="6"/>
      <x:c r="I208" s="6"/>
      <x:c r="J208" s="6"/>
      <x:c r="K208" s="6"/>
      <x:c r="L208" s="6"/>
      <x:c r="M208" s="6"/>
      <x:c r="N208" s="6"/>
      <x:c r="O208" s="6"/>
      <x:c r="P208" s="6"/>
      <x:c r="Q208" s="6"/>
      <x:c r="R208" s="6"/>
      <x:c r="S208" s="6"/>
      <x:c r="T208" s="6"/>
      <x:c r="U208" s="6"/>
      <x:c r="V208" s="6" t="str">
        <x:f>IF(ISBLANK('_INSTANCE'!B208),"",'_INSTANCE'!B208)</x:f>
      </x:c>
      <x:c r="W208" s="6" t="str">
        <x:f>IF(ISBLANK('_INSTANCE'!F208),"",'_INSTANCE'!F208)</x:f>
      </x:c>
      <x:c r="X208" s="6"/>
      <x:c r="Y208" s="6"/>
      <x:c r="Z208" s="6"/>
      <x:c r="AA208" s="6"/>
      <x:c r="AB208" s="6"/>
      <x:c r="AC208" s="6"/>
      <x:c r="AD208" s="6"/>
      <x:c r="AE208" s="6"/>
      <x:c r="AF208" s="6"/>
    </x:row>
    <x:row r="209">
      <x:c r="A209" s="6"/>
      <x:c r="B209" s="6"/>
      <x:c r="C209" s="6"/>
      <x:c r="D209" s="6"/>
      <x:c r="E209" s="6"/>
      <x:c r="F209" s="6"/>
      <x:c r="G209" s="6"/>
      <x:c r="H209" s="6"/>
      <x:c r="I209" s="6"/>
      <x:c r="J209" s="6"/>
      <x:c r="K209" s="6"/>
      <x:c r="L209" s="6"/>
      <x:c r="M209" s="6"/>
      <x:c r="N209" s="6"/>
      <x:c r="O209" s="6"/>
      <x:c r="P209" s="6"/>
      <x:c r="Q209" s="6"/>
      <x:c r="R209" s="6"/>
      <x:c r="S209" s="6"/>
      <x:c r="T209" s="6"/>
      <x:c r="U209" s="6"/>
      <x:c r="V209" s="6" t="str">
        <x:f>IF(ISBLANK('_INSTANCE'!B209),"",'_INSTANCE'!B209)</x:f>
      </x:c>
      <x:c r="W209" s="6" t="str">
        <x:f>IF(ISBLANK('_INSTANCE'!F209),"",'_INSTANCE'!F209)</x:f>
      </x:c>
      <x:c r="X209" s="6"/>
      <x:c r="Y209" s="6"/>
      <x:c r="Z209" s="6"/>
      <x:c r="AA209" s="6"/>
      <x:c r="AB209" s="6"/>
      <x:c r="AC209" s="6"/>
      <x:c r="AD209" s="6"/>
      <x:c r="AE209" s="6"/>
      <x:c r="AF209" s="6"/>
    </x:row>
    <x:row r="210">
      <x:c r="A210" s="6"/>
      <x:c r="B210" s="6"/>
      <x:c r="C210" s="6"/>
      <x:c r="D210" s="6"/>
      <x:c r="E210" s="6"/>
      <x:c r="F210" s="6"/>
      <x:c r="G210" s="6"/>
      <x:c r="H210" s="6"/>
      <x:c r="I210" s="6"/>
      <x:c r="J210" s="6"/>
      <x:c r="K210" s="6"/>
      <x:c r="L210" s="6"/>
      <x:c r="M210" s="6"/>
      <x:c r="N210" s="6"/>
      <x:c r="O210" s="6"/>
      <x:c r="P210" s="6"/>
      <x:c r="Q210" s="6"/>
      <x:c r="R210" s="6"/>
      <x:c r="S210" s="6"/>
      <x:c r="T210" s="6"/>
      <x:c r="U210" s="6"/>
      <x:c r="V210" s="6" t="str">
        <x:f>IF(ISBLANK('_INSTANCE'!B210),"",'_INSTANCE'!B210)</x:f>
      </x:c>
      <x:c r="W210" s="6" t="str">
        <x:f>IF(ISBLANK('_INSTANCE'!F210),"",'_INSTANCE'!F210)</x:f>
      </x:c>
      <x:c r="X210" s="6"/>
      <x:c r="Y210" s="6"/>
      <x:c r="Z210" s="6"/>
      <x:c r="AA210" s="6"/>
      <x:c r="AB210" s="6"/>
      <x:c r="AC210" s="6"/>
      <x:c r="AD210" s="6"/>
      <x:c r="AE210" s="6"/>
      <x:c r="AF210" s="6"/>
    </x:row>
    <x:row r="211">
      <x:c r="A211" s="6"/>
      <x:c r="B211" s="6"/>
      <x:c r="C211" s="6"/>
      <x:c r="D211" s="6"/>
      <x:c r="E211" s="6"/>
      <x:c r="F211" s="6"/>
      <x:c r="G211" s="6"/>
      <x:c r="H211" s="6"/>
      <x:c r="I211" s="6"/>
      <x:c r="J211" s="6"/>
      <x:c r="K211" s="6"/>
      <x:c r="L211" s="6"/>
      <x:c r="M211" s="6"/>
      <x:c r="N211" s="6"/>
      <x:c r="O211" s="6"/>
      <x:c r="P211" s="6"/>
      <x:c r="Q211" s="6"/>
      <x:c r="R211" s="6"/>
      <x:c r="S211" s="6"/>
      <x:c r="T211" s="6"/>
      <x:c r="U211" s="6"/>
      <x:c r="V211" s="6" t="str">
        <x:f>IF(ISBLANK('_INSTANCE'!B211),"",'_INSTANCE'!B211)</x:f>
      </x:c>
      <x:c r="W211" s="6" t="str">
        <x:f>IF(ISBLANK('_INSTANCE'!F211),"",'_INSTANCE'!F211)</x:f>
      </x:c>
      <x:c r="X211" s="6"/>
      <x:c r="Y211" s="6"/>
      <x:c r="Z211" s="6"/>
      <x:c r="AA211" s="6"/>
      <x:c r="AB211" s="6"/>
      <x:c r="AC211" s="6"/>
      <x:c r="AD211" s="6"/>
      <x:c r="AE211" s="6"/>
      <x:c r="AF211" s="6"/>
    </x:row>
    <x:row r="212">
      <x:c r="A212" s="6"/>
      <x:c r="B212" s="6"/>
      <x:c r="C212" s="6"/>
      <x:c r="D212" s="6"/>
      <x:c r="E212" s="6"/>
      <x:c r="F212" s="6"/>
      <x:c r="G212" s="6"/>
      <x:c r="H212" s="6"/>
      <x:c r="I212" s="6"/>
      <x:c r="J212" s="6"/>
      <x:c r="K212" s="6"/>
      <x:c r="L212" s="6"/>
      <x:c r="M212" s="6"/>
      <x:c r="N212" s="6"/>
      <x:c r="O212" s="6"/>
      <x:c r="P212" s="6"/>
      <x:c r="Q212" s="6"/>
      <x:c r="R212" s="6"/>
      <x:c r="S212" s="6"/>
      <x:c r="T212" s="6"/>
      <x:c r="U212" s="6"/>
      <x:c r="V212" s="6" t="str">
        <x:f>IF(ISBLANK('_INSTANCE'!B212),"",'_INSTANCE'!B212)</x:f>
      </x:c>
      <x:c r="W212" s="6" t="str">
        <x:f>IF(ISBLANK('_INSTANCE'!F212),"",'_INSTANCE'!F212)</x:f>
      </x:c>
      <x:c r="X212" s="6"/>
      <x:c r="Y212" s="6"/>
      <x:c r="Z212" s="6"/>
      <x:c r="AA212" s="6"/>
      <x:c r="AB212" s="6"/>
      <x:c r="AC212" s="6"/>
      <x:c r="AD212" s="6"/>
      <x:c r="AE212" s="6"/>
      <x:c r="AF212" s="6"/>
    </x:row>
    <x:row r="213">
      <x:c r="A213" s="6"/>
      <x:c r="B213" s="6"/>
      <x:c r="C213" s="6"/>
      <x:c r="D213" s="6"/>
      <x:c r="E213" s="6"/>
      <x:c r="F213" s="6"/>
      <x:c r="G213" s="6"/>
      <x:c r="H213" s="6"/>
      <x:c r="I213" s="6"/>
      <x:c r="J213" s="6"/>
      <x:c r="K213" s="6"/>
      <x:c r="L213" s="6"/>
      <x:c r="M213" s="6"/>
      <x:c r="N213" s="6"/>
      <x:c r="O213" s="6"/>
      <x:c r="P213" s="6"/>
      <x:c r="Q213" s="6"/>
      <x:c r="R213" s="6"/>
      <x:c r="S213" s="6"/>
      <x:c r="T213" s="6"/>
      <x:c r="U213" s="6"/>
      <x:c r="V213" s="6" t="str">
        <x:f>IF(ISBLANK('_INSTANCE'!B213),"",'_INSTANCE'!B213)</x:f>
      </x:c>
      <x:c r="W213" s="6" t="str">
        <x:f>IF(ISBLANK('_INSTANCE'!F213),"",'_INSTANCE'!F213)</x:f>
      </x:c>
      <x:c r="X213" s="6"/>
      <x:c r="Y213" s="6"/>
      <x:c r="Z213" s="6"/>
      <x:c r="AA213" s="6"/>
      <x:c r="AB213" s="6"/>
      <x:c r="AC213" s="6"/>
      <x:c r="AD213" s="6"/>
      <x:c r="AE213" s="6"/>
      <x:c r="AF213" s="6"/>
    </x:row>
    <x:row r="214">
      <x:c r="A214" s="6"/>
      <x:c r="B214" s="6"/>
      <x:c r="C214" s="6"/>
      <x:c r="D214" s="6"/>
      <x:c r="E214" s="6"/>
      <x:c r="F214" s="6"/>
      <x:c r="G214" s="6"/>
      <x:c r="H214" s="6"/>
      <x:c r="I214" s="6"/>
      <x:c r="J214" s="6"/>
      <x:c r="K214" s="6"/>
      <x:c r="L214" s="6"/>
      <x:c r="M214" s="6"/>
      <x:c r="N214" s="6"/>
      <x:c r="O214" s="6"/>
      <x:c r="P214" s="6"/>
      <x:c r="Q214" s="6"/>
      <x:c r="R214" s="6"/>
      <x:c r="S214" s="6"/>
      <x:c r="T214" s="6"/>
      <x:c r="U214" s="6"/>
      <x:c r="V214" s="6" t="str">
        <x:f>IF(ISBLANK('_INSTANCE'!B214),"",'_INSTANCE'!B214)</x:f>
      </x:c>
      <x:c r="W214" s="6" t="str">
        <x:f>IF(ISBLANK('_INSTANCE'!F214),"",'_INSTANCE'!F214)</x:f>
      </x:c>
      <x:c r="X214" s="6"/>
      <x:c r="Y214" s="6"/>
      <x:c r="Z214" s="6"/>
      <x:c r="AA214" s="6"/>
      <x:c r="AB214" s="6"/>
      <x:c r="AC214" s="6"/>
      <x:c r="AD214" s="6"/>
      <x:c r="AE214" s="6"/>
      <x:c r="AF214" s="6"/>
    </x:row>
    <x:row r="215">
      <x:c r="A215" s="6"/>
      <x:c r="B215" s="6"/>
      <x:c r="C215" s="6"/>
      <x:c r="D215" s="6"/>
      <x:c r="E215" s="6"/>
      <x:c r="F215" s="6"/>
      <x:c r="G215" s="6"/>
      <x:c r="H215" s="6"/>
      <x:c r="I215" s="6"/>
      <x:c r="J215" s="6"/>
      <x:c r="K215" s="6"/>
      <x:c r="L215" s="6"/>
      <x:c r="M215" s="6"/>
      <x:c r="N215" s="6"/>
      <x:c r="O215" s="6"/>
      <x:c r="P215" s="6"/>
      <x:c r="Q215" s="6"/>
      <x:c r="R215" s="6"/>
      <x:c r="S215" s="6"/>
      <x:c r="T215" s="6"/>
      <x:c r="U215" s="6"/>
      <x:c r="V215" s="6" t="str">
        <x:f>IF(ISBLANK('_INSTANCE'!B215),"",'_INSTANCE'!B215)</x:f>
      </x:c>
      <x:c r="W215" s="6" t="str">
        <x:f>IF(ISBLANK('_INSTANCE'!F215),"",'_INSTANCE'!F215)</x:f>
      </x:c>
      <x:c r="X215" s="6"/>
      <x:c r="Y215" s="6"/>
      <x:c r="Z215" s="6"/>
      <x:c r="AA215" s="6"/>
      <x:c r="AB215" s="6"/>
      <x:c r="AC215" s="6"/>
      <x:c r="AD215" s="6"/>
      <x:c r="AE215" s="6"/>
      <x:c r="AF215" s="6"/>
    </x:row>
    <x:row r="216">
      <x:c r="A216" s="6"/>
      <x:c r="B216" s="6"/>
      <x:c r="C216" s="6"/>
      <x:c r="D216" s="6"/>
      <x:c r="E216" s="6"/>
      <x:c r="F216" s="6"/>
      <x:c r="G216" s="6"/>
      <x:c r="H216" s="6"/>
      <x:c r="I216" s="6"/>
      <x:c r="J216" s="6"/>
      <x:c r="K216" s="6"/>
      <x:c r="L216" s="6"/>
      <x:c r="M216" s="6"/>
      <x:c r="N216" s="6"/>
      <x:c r="O216" s="6"/>
      <x:c r="P216" s="6"/>
      <x:c r="Q216" s="6"/>
      <x:c r="R216" s="6"/>
      <x:c r="S216" s="6"/>
      <x:c r="T216" s="6"/>
      <x:c r="U216" s="6"/>
      <x:c r="V216" s="6" t="str">
        <x:f>IF(ISBLANK('_INSTANCE'!B216),"",'_INSTANCE'!B216)</x:f>
      </x:c>
      <x:c r="W216" s="6" t="str">
        <x:f>IF(ISBLANK('_INSTANCE'!F216),"",'_INSTANCE'!F216)</x:f>
      </x:c>
      <x:c r="X216" s="6"/>
      <x:c r="Y216" s="6"/>
      <x:c r="Z216" s="6"/>
      <x:c r="AA216" s="6"/>
      <x:c r="AB216" s="6"/>
      <x:c r="AC216" s="6"/>
      <x:c r="AD216" s="6"/>
      <x:c r="AE216" s="6"/>
      <x:c r="AF216" s="6"/>
    </x:row>
    <x:row r="217">
      <x:c r="A217" s="6"/>
      <x:c r="B217" s="6"/>
      <x:c r="C217" s="6"/>
      <x:c r="D217" s="6"/>
      <x:c r="E217" s="6"/>
      <x:c r="F217" s="6"/>
      <x:c r="G217" s="6"/>
      <x:c r="H217" s="6"/>
      <x:c r="I217" s="6"/>
      <x:c r="J217" s="6"/>
      <x:c r="K217" s="6"/>
      <x:c r="L217" s="6"/>
      <x:c r="M217" s="6"/>
      <x:c r="N217" s="6"/>
      <x:c r="O217" s="6"/>
      <x:c r="P217" s="6"/>
      <x:c r="Q217" s="6"/>
      <x:c r="R217" s="6"/>
      <x:c r="S217" s="6"/>
      <x:c r="T217" s="6"/>
      <x:c r="U217" s="6"/>
      <x:c r="V217" s="6" t="str">
        <x:f>IF(ISBLANK('_INSTANCE'!B217),"",'_INSTANCE'!B217)</x:f>
      </x:c>
      <x:c r="W217" s="6" t="str">
        <x:f>IF(ISBLANK('_INSTANCE'!F217),"",'_INSTANCE'!F217)</x:f>
      </x:c>
      <x:c r="X217" s="6"/>
      <x:c r="Y217" s="6"/>
      <x:c r="Z217" s="6"/>
      <x:c r="AA217" s="6"/>
      <x:c r="AB217" s="6"/>
      <x:c r="AC217" s="6"/>
      <x:c r="AD217" s="6"/>
      <x:c r="AE217" s="6"/>
      <x:c r="AF217" s="6"/>
    </x:row>
    <x:row r="218">
      <x:c r="A218" s="6"/>
      <x:c r="B218" s="6"/>
      <x:c r="C218" s="6"/>
      <x:c r="D218" s="6"/>
      <x:c r="E218" s="6"/>
      <x:c r="F218" s="6"/>
      <x:c r="G218" s="6"/>
      <x:c r="H218" s="6"/>
      <x:c r="I218" s="6"/>
      <x:c r="J218" s="6"/>
      <x:c r="K218" s="6"/>
      <x:c r="L218" s="6"/>
      <x:c r="M218" s="6"/>
      <x:c r="N218" s="6"/>
      <x:c r="O218" s="6"/>
      <x:c r="P218" s="6"/>
      <x:c r="Q218" s="6"/>
      <x:c r="R218" s="6"/>
      <x:c r="S218" s="6"/>
      <x:c r="T218" s="6"/>
      <x:c r="U218" s="6"/>
      <x:c r="V218" s="6" t="str">
        <x:f>IF(ISBLANK('_INSTANCE'!B218),"",'_INSTANCE'!B218)</x:f>
      </x:c>
      <x:c r="W218" s="6" t="str">
        <x:f>IF(ISBLANK('_INSTANCE'!F218),"",'_INSTANCE'!F218)</x:f>
      </x:c>
      <x:c r="X218" s="6"/>
      <x:c r="Y218" s="6"/>
      <x:c r="Z218" s="6"/>
      <x:c r="AA218" s="6"/>
      <x:c r="AB218" s="6"/>
      <x:c r="AC218" s="6"/>
      <x:c r="AD218" s="6"/>
      <x:c r="AE218" s="6"/>
      <x:c r="AF218" s="6"/>
    </x:row>
    <x:row r="219">
      <x:c r="A219" s="6"/>
      <x:c r="B219" s="6"/>
      <x:c r="C219" s="6"/>
      <x:c r="D219" s="6"/>
      <x:c r="E219" s="6"/>
      <x:c r="F219" s="6"/>
      <x:c r="G219" s="6"/>
      <x:c r="H219" s="6"/>
      <x:c r="I219" s="6"/>
      <x:c r="J219" s="6"/>
      <x:c r="K219" s="6"/>
      <x:c r="L219" s="6"/>
      <x:c r="M219" s="6"/>
      <x:c r="N219" s="6"/>
      <x:c r="O219" s="6"/>
      <x:c r="P219" s="6"/>
      <x:c r="Q219" s="6"/>
      <x:c r="R219" s="6"/>
      <x:c r="S219" s="6"/>
      <x:c r="T219" s="6"/>
      <x:c r="U219" s="6"/>
      <x:c r="V219" s="6" t="str">
        <x:f>IF(ISBLANK('_INSTANCE'!B219),"",'_INSTANCE'!B219)</x:f>
      </x:c>
      <x:c r="W219" s="6" t="str">
        <x:f>IF(ISBLANK('_INSTANCE'!F219),"",'_INSTANCE'!F219)</x:f>
      </x:c>
      <x:c r="X219" s="6"/>
      <x:c r="Y219" s="6"/>
      <x:c r="Z219" s="6"/>
      <x:c r="AA219" s="6"/>
      <x:c r="AB219" s="6"/>
      <x:c r="AC219" s="6"/>
      <x:c r="AD219" s="6"/>
      <x:c r="AE219" s="6"/>
      <x:c r="AF219" s="6"/>
    </x:row>
    <x:row r="220">
      <x:c r="A220" s="6"/>
      <x:c r="B220" s="6"/>
      <x:c r="C220" s="6"/>
      <x:c r="D220" s="6"/>
      <x:c r="E220" s="6"/>
      <x:c r="F220" s="6"/>
      <x:c r="G220" s="6"/>
      <x:c r="H220" s="6"/>
      <x:c r="I220" s="6"/>
      <x:c r="J220" s="6"/>
      <x:c r="K220" s="6"/>
      <x:c r="L220" s="6"/>
      <x:c r="M220" s="6"/>
      <x:c r="N220" s="6"/>
      <x:c r="O220" s="6"/>
      <x:c r="P220" s="6"/>
      <x:c r="Q220" s="6"/>
      <x:c r="R220" s="6"/>
      <x:c r="S220" s="6"/>
      <x:c r="T220" s="6"/>
      <x:c r="U220" s="6"/>
      <x:c r="V220" s="6" t="str">
        <x:f>IF(ISBLANK('_INSTANCE'!B220),"",'_INSTANCE'!B220)</x:f>
      </x:c>
      <x:c r="W220" s="6" t="str">
        <x:f>IF(ISBLANK('_INSTANCE'!F220),"",'_INSTANCE'!F220)</x:f>
      </x:c>
      <x:c r="X220" s="6"/>
      <x:c r="Y220" s="6"/>
      <x:c r="Z220" s="6"/>
      <x:c r="AA220" s="6"/>
      <x:c r="AB220" s="6"/>
      <x:c r="AC220" s="6"/>
      <x:c r="AD220" s="6"/>
      <x:c r="AE220" s="6"/>
      <x:c r="AF220" s="6"/>
    </x:row>
    <x:row r="221">
      <x:c r="A221" s="6"/>
      <x:c r="B221" s="6"/>
      <x:c r="C221" s="6"/>
      <x:c r="D221" s="6"/>
      <x:c r="E221" s="6"/>
      <x:c r="F221" s="6"/>
      <x:c r="G221" s="6"/>
      <x:c r="H221" s="6"/>
      <x:c r="I221" s="6"/>
      <x:c r="J221" s="6"/>
      <x:c r="K221" s="6"/>
      <x:c r="L221" s="6"/>
      <x:c r="M221" s="6"/>
      <x:c r="N221" s="6"/>
      <x:c r="O221" s="6"/>
      <x:c r="P221" s="6"/>
      <x:c r="Q221" s="6"/>
      <x:c r="R221" s="6"/>
      <x:c r="S221" s="6"/>
      <x:c r="T221" s="6"/>
      <x:c r="U221" s="6"/>
      <x:c r="V221" s="6" t="str">
        <x:f>IF(ISBLANK('_INSTANCE'!B221),"",'_INSTANCE'!B221)</x:f>
      </x:c>
      <x:c r="W221" s="6" t="str">
        <x:f>IF(ISBLANK('_INSTANCE'!F221),"",'_INSTANCE'!F221)</x:f>
      </x:c>
      <x:c r="X221" s="6"/>
      <x:c r="Y221" s="6"/>
      <x:c r="Z221" s="6"/>
      <x:c r="AA221" s="6"/>
      <x:c r="AB221" s="6"/>
      <x:c r="AC221" s="6"/>
      <x:c r="AD221" s="6"/>
      <x:c r="AE221" s="6"/>
      <x:c r="AF221" s="6"/>
    </x:row>
    <x:row r="222">
      <x:c r="A222" s="6"/>
      <x:c r="B222" s="6"/>
      <x:c r="C222" s="6"/>
      <x:c r="D222" s="6"/>
      <x:c r="E222" s="6"/>
      <x:c r="F222" s="6"/>
      <x:c r="G222" s="6"/>
      <x:c r="H222" s="6"/>
      <x:c r="I222" s="6"/>
      <x:c r="J222" s="6"/>
      <x:c r="K222" s="6"/>
      <x:c r="L222" s="6"/>
      <x:c r="M222" s="6"/>
      <x:c r="N222" s="6"/>
      <x:c r="O222" s="6"/>
      <x:c r="P222" s="6"/>
      <x:c r="Q222" s="6"/>
      <x:c r="R222" s="6"/>
      <x:c r="S222" s="6"/>
      <x:c r="T222" s="6"/>
      <x:c r="U222" s="6"/>
      <x:c r="V222" s="6" t="str">
        <x:f>IF(ISBLANK('_INSTANCE'!B222),"",'_INSTANCE'!B222)</x:f>
      </x:c>
      <x:c r="W222" s="6" t="str">
        <x:f>IF(ISBLANK('_INSTANCE'!F222),"",'_INSTANCE'!F222)</x:f>
      </x:c>
      <x:c r="X222" s="6"/>
      <x:c r="Y222" s="6"/>
      <x:c r="Z222" s="6"/>
      <x:c r="AA222" s="6"/>
      <x:c r="AB222" s="6"/>
      <x:c r="AC222" s="6"/>
      <x:c r="AD222" s="6"/>
      <x:c r="AE222" s="6"/>
      <x:c r="AF222" s="6"/>
    </x:row>
    <x:row r="223">
      <x:c r="A223" s="6"/>
      <x:c r="B223" s="6"/>
      <x:c r="C223" s="6"/>
      <x:c r="D223" s="6"/>
      <x:c r="E223" s="6"/>
      <x:c r="F223" s="6"/>
      <x:c r="G223" s="6"/>
      <x:c r="H223" s="6"/>
      <x:c r="I223" s="6"/>
      <x:c r="J223" s="6"/>
      <x:c r="K223" s="6"/>
      <x:c r="L223" s="6"/>
      <x:c r="M223" s="6"/>
      <x:c r="N223" s="6"/>
      <x:c r="O223" s="6"/>
      <x:c r="P223" s="6"/>
      <x:c r="Q223" s="6"/>
      <x:c r="R223" s="6"/>
      <x:c r="S223" s="6"/>
      <x:c r="T223" s="6"/>
      <x:c r="U223" s="6"/>
      <x:c r="V223" s="6" t="str">
        <x:f>IF(ISBLANK('_INSTANCE'!B223),"",'_INSTANCE'!B223)</x:f>
      </x:c>
      <x:c r="W223" s="6" t="str">
        <x:f>IF(ISBLANK('_INSTANCE'!F223),"",'_INSTANCE'!F223)</x:f>
      </x:c>
      <x:c r="X223" s="6"/>
      <x:c r="Y223" s="6"/>
      <x:c r="Z223" s="6"/>
      <x:c r="AA223" s="6"/>
      <x:c r="AB223" s="6"/>
      <x:c r="AC223" s="6"/>
      <x:c r="AD223" s="6"/>
      <x:c r="AE223" s="6"/>
      <x:c r="AF223" s="6"/>
    </x:row>
    <x:row r="224">
      <x:c r="A224" s="6"/>
      <x:c r="B224" s="6"/>
      <x:c r="C224" s="6"/>
      <x:c r="D224" s="6"/>
      <x:c r="E224" s="6"/>
      <x:c r="F224" s="6"/>
      <x:c r="G224" s="6"/>
      <x:c r="H224" s="6"/>
      <x:c r="I224" s="6"/>
      <x:c r="J224" s="6"/>
      <x:c r="K224" s="6"/>
      <x:c r="L224" s="6"/>
      <x:c r="M224" s="6"/>
      <x:c r="N224" s="6"/>
      <x:c r="O224" s="6"/>
      <x:c r="P224" s="6"/>
      <x:c r="Q224" s="6"/>
      <x:c r="R224" s="6"/>
      <x:c r="S224" s="6"/>
      <x:c r="T224" s="6"/>
      <x:c r="U224" s="6"/>
      <x:c r="V224" s="6" t="str">
        <x:f>IF(ISBLANK('_INSTANCE'!B224),"",'_INSTANCE'!B224)</x:f>
      </x:c>
      <x:c r="W224" s="6" t="str">
        <x:f>IF(ISBLANK('_INSTANCE'!F224),"",'_INSTANCE'!F224)</x:f>
      </x:c>
      <x:c r="X224" s="6"/>
      <x:c r="Y224" s="6"/>
      <x:c r="Z224" s="6"/>
      <x:c r="AA224" s="6"/>
      <x:c r="AB224" s="6"/>
      <x:c r="AC224" s="6"/>
      <x:c r="AD224" s="6"/>
      <x:c r="AE224" s="6"/>
      <x:c r="AF224" s="6"/>
    </x:row>
    <x:row r="225">
      <x:c r="A225" s="6"/>
      <x:c r="B225" s="6"/>
      <x:c r="C225" s="6"/>
      <x:c r="D225" s="6"/>
      <x:c r="E225" s="6"/>
      <x:c r="F225" s="6"/>
      <x:c r="G225" s="6"/>
      <x:c r="H225" s="6"/>
      <x:c r="I225" s="6"/>
      <x:c r="J225" s="6"/>
      <x:c r="K225" s="6"/>
      <x:c r="L225" s="6"/>
      <x:c r="M225" s="6"/>
      <x:c r="N225" s="6"/>
      <x:c r="O225" s="6"/>
      <x:c r="P225" s="6"/>
      <x:c r="Q225" s="6"/>
      <x:c r="R225" s="6"/>
      <x:c r="S225" s="6"/>
      <x:c r="T225" s="6"/>
      <x:c r="U225" s="6"/>
      <x:c r="V225" s="6" t="str">
        <x:f>IF(ISBLANK('_INSTANCE'!B225),"",'_INSTANCE'!B225)</x:f>
      </x:c>
      <x:c r="W225" s="6" t="str">
        <x:f>IF(ISBLANK('_INSTANCE'!F225),"",'_INSTANCE'!F225)</x:f>
      </x:c>
      <x:c r="X225" s="6"/>
      <x:c r="Y225" s="6"/>
      <x:c r="Z225" s="6"/>
      <x:c r="AA225" s="6"/>
      <x:c r="AB225" s="6"/>
      <x:c r="AC225" s="6"/>
      <x:c r="AD225" s="6"/>
      <x:c r="AE225" s="6"/>
      <x:c r="AF225" s="6"/>
    </x:row>
    <x:row r="226">
      <x:c r="A226" s="6"/>
      <x:c r="B226" s="6"/>
      <x:c r="C226" s="6"/>
      <x:c r="D226" s="6"/>
      <x:c r="E226" s="6"/>
      <x:c r="F226" s="6"/>
      <x:c r="G226" s="6"/>
      <x:c r="H226" s="6"/>
      <x:c r="I226" s="6"/>
      <x:c r="J226" s="6"/>
      <x:c r="K226" s="6"/>
      <x:c r="L226" s="6"/>
      <x:c r="M226" s="6"/>
      <x:c r="N226" s="6"/>
      <x:c r="O226" s="6"/>
      <x:c r="P226" s="6"/>
      <x:c r="Q226" s="6"/>
      <x:c r="R226" s="6"/>
      <x:c r="S226" s="6"/>
      <x:c r="T226" s="6"/>
      <x:c r="U226" s="6"/>
      <x:c r="V226" s="6" t="str">
        <x:f>IF(ISBLANK('_INSTANCE'!B226),"",'_INSTANCE'!B226)</x:f>
      </x:c>
      <x:c r="W226" s="6" t="str">
        <x:f>IF(ISBLANK('_INSTANCE'!F226),"",'_INSTANCE'!F226)</x:f>
      </x:c>
      <x:c r="X226" s="6"/>
      <x:c r="Y226" s="6"/>
      <x:c r="Z226" s="6"/>
      <x:c r="AA226" s="6"/>
      <x:c r="AB226" s="6"/>
      <x:c r="AC226" s="6"/>
      <x:c r="AD226" s="6"/>
      <x:c r="AE226" s="6"/>
      <x:c r="AF226" s="6"/>
    </x:row>
    <x:row r="227">
      <x:c r="A227" s="6"/>
      <x:c r="B227" s="6"/>
      <x:c r="C227" s="6"/>
      <x:c r="D227" s="6"/>
      <x:c r="E227" s="6"/>
      <x:c r="F227" s="6"/>
      <x:c r="G227" s="6"/>
      <x:c r="H227" s="6"/>
      <x:c r="I227" s="6"/>
      <x:c r="J227" s="6"/>
      <x:c r="K227" s="6"/>
      <x:c r="L227" s="6"/>
      <x:c r="M227" s="6"/>
      <x:c r="N227" s="6"/>
      <x:c r="O227" s="6"/>
      <x:c r="P227" s="6"/>
      <x:c r="Q227" s="6"/>
      <x:c r="R227" s="6"/>
      <x:c r="S227" s="6"/>
      <x:c r="T227" s="6"/>
      <x:c r="U227" s="6"/>
      <x:c r="V227" s="6" t="str">
        <x:f>IF(ISBLANK('_INSTANCE'!B227),"",'_INSTANCE'!B227)</x:f>
      </x:c>
      <x:c r="W227" s="6" t="str">
        <x:f>IF(ISBLANK('_INSTANCE'!F227),"",'_INSTANCE'!F227)</x:f>
      </x:c>
      <x:c r="X227" s="6"/>
      <x:c r="Y227" s="6"/>
      <x:c r="Z227" s="6"/>
      <x:c r="AA227" s="6"/>
      <x:c r="AB227" s="6"/>
      <x:c r="AC227" s="6"/>
      <x:c r="AD227" s="6"/>
      <x:c r="AE227" s="6"/>
      <x:c r="AF227" s="6"/>
    </x:row>
    <x:row r="228">
      <x:c r="A228" s="6"/>
      <x:c r="B228" s="6"/>
      <x:c r="C228" s="6"/>
      <x:c r="D228" s="6"/>
      <x:c r="E228" s="6"/>
      <x:c r="F228" s="6"/>
      <x:c r="G228" s="6"/>
      <x:c r="H228" s="6"/>
      <x:c r="I228" s="6"/>
      <x:c r="J228" s="6"/>
      <x:c r="K228" s="6"/>
      <x:c r="L228" s="6"/>
      <x:c r="M228" s="6"/>
      <x:c r="N228" s="6"/>
      <x:c r="O228" s="6"/>
      <x:c r="P228" s="6"/>
      <x:c r="Q228" s="6"/>
      <x:c r="R228" s="6"/>
      <x:c r="S228" s="6"/>
      <x:c r="T228" s="6"/>
      <x:c r="U228" s="6"/>
      <x:c r="V228" s="6" t="str">
        <x:f>IF(ISBLANK('_INSTANCE'!B228),"",'_INSTANCE'!B228)</x:f>
      </x:c>
      <x:c r="W228" s="6" t="str">
        <x:f>IF(ISBLANK('_INSTANCE'!F228),"",'_INSTANCE'!F228)</x:f>
      </x:c>
      <x:c r="X228" s="6"/>
      <x:c r="Y228" s="6"/>
      <x:c r="Z228" s="6"/>
      <x:c r="AA228" s="6"/>
      <x:c r="AB228" s="6"/>
      <x:c r="AC228" s="6"/>
      <x:c r="AD228" s="6"/>
      <x:c r="AE228" s="6"/>
      <x:c r="AF228" s="6"/>
    </x:row>
    <x:row r="229">
      <x:c r="A229" s="6"/>
      <x:c r="B229" s="6"/>
      <x:c r="C229" s="6"/>
      <x:c r="D229" s="6"/>
      <x:c r="E229" s="6"/>
      <x:c r="F229" s="6"/>
      <x:c r="G229" s="6"/>
      <x:c r="H229" s="6"/>
      <x:c r="I229" s="6"/>
      <x:c r="J229" s="6"/>
      <x:c r="K229" s="6"/>
      <x:c r="L229" s="6"/>
      <x:c r="M229" s="6"/>
      <x:c r="N229" s="6"/>
      <x:c r="O229" s="6"/>
      <x:c r="P229" s="6"/>
      <x:c r="Q229" s="6"/>
      <x:c r="R229" s="6"/>
      <x:c r="S229" s="6"/>
      <x:c r="T229" s="6"/>
      <x:c r="U229" s="6"/>
      <x:c r="V229" s="6" t="str">
        <x:f>IF(ISBLANK('_INSTANCE'!B229),"",'_INSTANCE'!B229)</x:f>
      </x:c>
      <x:c r="W229" s="6" t="str">
        <x:f>IF(ISBLANK('_INSTANCE'!F229),"",'_INSTANCE'!F229)</x:f>
      </x:c>
      <x:c r="X229" s="6"/>
      <x:c r="Y229" s="6"/>
      <x:c r="Z229" s="6"/>
      <x:c r="AA229" s="6"/>
      <x:c r="AB229" s="6"/>
      <x:c r="AC229" s="6"/>
      <x:c r="AD229" s="6"/>
      <x:c r="AE229" s="6"/>
      <x:c r="AF229" s="6"/>
    </x:row>
    <x:row r="230">
      <x:c r="A230" s="6"/>
      <x:c r="B230" s="6"/>
      <x:c r="C230" s="6"/>
      <x:c r="D230" s="6"/>
      <x:c r="E230" s="6"/>
      <x:c r="F230" s="6"/>
      <x:c r="G230" s="6"/>
      <x:c r="H230" s="6"/>
      <x:c r="I230" s="6"/>
      <x:c r="J230" s="6"/>
      <x:c r="K230" s="6"/>
      <x:c r="L230" s="6"/>
      <x:c r="M230" s="6"/>
      <x:c r="N230" s="6"/>
      <x:c r="O230" s="6"/>
      <x:c r="P230" s="6"/>
      <x:c r="Q230" s="6"/>
      <x:c r="R230" s="6"/>
      <x:c r="S230" s="6"/>
      <x:c r="T230" s="6"/>
      <x:c r="U230" s="6"/>
      <x:c r="V230" s="6" t="str">
        <x:f>IF(ISBLANK('_INSTANCE'!B230),"",'_INSTANCE'!B230)</x:f>
      </x:c>
      <x:c r="W230" s="6" t="str">
        <x:f>IF(ISBLANK('_INSTANCE'!F230),"",'_INSTANCE'!F230)</x:f>
      </x:c>
      <x:c r="X230" s="6"/>
      <x:c r="Y230" s="6"/>
      <x:c r="Z230" s="6"/>
      <x:c r="AA230" s="6"/>
      <x:c r="AB230" s="6"/>
      <x:c r="AC230" s="6"/>
      <x:c r="AD230" s="6"/>
      <x:c r="AE230" s="6"/>
      <x:c r="AF230" s="6"/>
    </x:row>
    <x:row r="231">
      <x:c r="A231" s="6"/>
      <x:c r="B231" s="6"/>
      <x:c r="C231" s="6"/>
      <x:c r="D231" s="6"/>
      <x:c r="E231" s="6"/>
      <x:c r="F231" s="6"/>
      <x:c r="G231" s="6"/>
      <x:c r="H231" s="6"/>
      <x:c r="I231" s="6"/>
      <x:c r="J231" s="6"/>
      <x:c r="K231" s="6"/>
      <x:c r="L231" s="6"/>
      <x:c r="M231" s="6"/>
      <x:c r="N231" s="6"/>
      <x:c r="O231" s="6"/>
      <x:c r="P231" s="6"/>
      <x:c r="Q231" s="6"/>
      <x:c r="R231" s="6"/>
      <x:c r="S231" s="6"/>
      <x:c r="T231" s="6"/>
      <x:c r="U231" s="6"/>
      <x:c r="V231" s="6" t="str">
        <x:f>IF(ISBLANK('_INSTANCE'!B231),"",'_INSTANCE'!B231)</x:f>
      </x:c>
      <x:c r="W231" s="6" t="str">
        <x:f>IF(ISBLANK('_INSTANCE'!F231),"",'_INSTANCE'!F231)</x:f>
      </x:c>
      <x:c r="X231" s="6"/>
      <x:c r="Y231" s="6"/>
      <x:c r="Z231" s="6"/>
      <x:c r="AA231" s="6"/>
      <x:c r="AB231" s="6"/>
      <x:c r="AC231" s="6"/>
      <x:c r="AD231" s="6"/>
      <x:c r="AE231" s="6"/>
      <x:c r="AF231" s="6"/>
    </x:row>
    <x:row r="232">
      <x:c r="A232" s="6"/>
      <x:c r="B232" s="6"/>
      <x:c r="C232" s="6"/>
      <x:c r="D232" s="6"/>
      <x:c r="E232" s="6"/>
      <x:c r="F232" s="6"/>
      <x:c r="G232" s="6"/>
      <x:c r="H232" s="6"/>
      <x:c r="I232" s="6"/>
      <x:c r="J232" s="6"/>
      <x:c r="K232" s="6"/>
      <x:c r="L232" s="6"/>
      <x:c r="M232" s="6"/>
      <x:c r="N232" s="6"/>
      <x:c r="O232" s="6"/>
      <x:c r="P232" s="6"/>
      <x:c r="Q232" s="6"/>
      <x:c r="R232" s="6"/>
      <x:c r="S232" s="6"/>
      <x:c r="T232" s="6"/>
      <x:c r="U232" s="6"/>
      <x:c r="V232" s="6" t="str">
        <x:f>IF(ISBLANK('_INSTANCE'!B232),"",'_INSTANCE'!B232)</x:f>
      </x:c>
      <x:c r="W232" s="6" t="str">
        <x:f>IF(ISBLANK('_INSTANCE'!F232),"",'_INSTANCE'!F232)</x:f>
      </x:c>
      <x:c r="X232" s="6"/>
      <x:c r="Y232" s="6"/>
      <x:c r="Z232" s="6"/>
      <x:c r="AA232" s="6"/>
      <x:c r="AB232" s="6"/>
      <x:c r="AC232" s="6"/>
      <x:c r="AD232" s="6"/>
      <x:c r="AE232" s="6"/>
      <x:c r="AF232" s="6"/>
    </x:row>
    <x:row r="233">
      <x:c r="A233" s="6"/>
      <x:c r="B233" s="6"/>
      <x:c r="C233" s="6"/>
      <x:c r="D233" s="6"/>
      <x:c r="E233" s="6"/>
      <x:c r="F233" s="6"/>
      <x:c r="G233" s="6"/>
      <x:c r="H233" s="6"/>
      <x:c r="I233" s="6"/>
      <x:c r="J233" s="6"/>
      <x:c r="K233" s="6"/>
      <x:c r="L233" s="6"/>
      <x:c r="M233" s="6"/>
      <x:c r="N233" s="6"/>
      <x:c r="O233" s="6"/>
      <x:c r="P233" s="6"/>
      <x:c r="Q233" s="6"/>
      <x:c r="R233" s="6"/>
      <x:c r="S233" s="6"/>
      <x:c r="T233" s="6"/>
      <x:c r="U233" s="6"/>
      <x:c r="V233" s="6" t="str">
        <x:f>IF(ISBLANK('_INSTANCE'!B233),"",'_INSTANCE'!B233)</x:f>
      </x:c>
      <x:c r="W233" s="6" t="str">
        <x:f>IF(ISBLANK('_INSTANCE'!F233),"",'_INSTANCE'!F233)</x:f>
      </x:c>
      <x:c r="X233" s="6"/>
      <x:c r="Y233" s="6"/>
      <x:c r="Z233" s="6"/>
      <x:c r="AA233" s="6"/>
      <x:c r="AB233" s="6"/>
      <x:c r="AC233" s="6"/>
      <x:c r="AD233" s="6"/>
      <x:c r="AE233" s="6"/>
      <x:c r="AF233" s="6"/>
    </x:row>
    <x:row r="234">
      <x:c r="A234" s="6"/>
      <x:c r="B234" s="6"/>
      <x:c r="C234" s="6"/>
      <x:c r="D234" s="6"/>
      <x:c r="E234" s="6"/>
      <x:c r="F234" s="6"/>
      <x:c r="G234" s="6"/>
      <x:c r="H234" s="6"/>
      <x:c r="I234" s="6"/>
      <x:c r="J234" s="6"/>
      <x:c r="K234" s="6"/>
      <x:c r="L234" s="6"/>
      <x:c r="M234" s="6"/>
      <x:c r="N234" s="6"/>
      <x:c r="O234" s="6"/>
      <x:c r="P234" s="6"/>
      <x:c r="Q234" s="6"/>
      <x:c r="R234" s="6"/>
      <x:c r="S234" s="6"/>
      <x:c r="T234" s="6"/>
      <x:c r="U234" s="6"/>
      <x:c r="V234" s="6" t="str">
        <x:f>IF(ISBLANK('_INSTANCE'!B234),"",'_INSTANCE'!B234)</x:f>
      </x:c>
      <x:c r="W234" s="6" t="str">
        <x:f>IF(ISBLANK('_INSTANCE'!F234),"",'_INSTANCE'!F234)</x:f>
      </x:c>
      <x:c r="X234" s="6"/>
      <x:c r="Y234" s="6"/>
      <x:c r="Z234" s="6"/>
      <x:c r="AA234" s="6"/>
      <x:c r="AB234" s="6"/>
      <x:c r="AC234" s="6"/>
      <x:c r="AD234" s="6"/>
      <x:c r="AE234" s="6"/>
      <x:c r="AF234" s="6"/>
    </x:row>
    <x:row r="235">
      <x:c r="A235" s="6"/>
      <x:c r="B235" s="6"/>
      <x:c r="C235" s="6"/>
      <x:c r="D235" s="6"/>
      <x:c r="E235" s="6"/>
      <x:c r="F235" s="6"/>
      <x:c r="G235" s="6"/>
      <x:c r="H235" s="6"/>
      <x:c r="I235" s="6"/>
      <x:c r="J235" s="6"/>
      <x:c r="K235" s="6"/>
      <x:c r="L235" s="6"/>
      <x:c r="M235" s="6"/>
      <x:c r="N235" s="6"/>
      <x:c r="O235" s="6"/>
      <x:c r="P235" s="6"/>
      <x:c r="Q235" s="6"/>
      <x:c r="R235" s="6"/>
      <x:c r="S235" s="6"/>
      <x:c r="T235" s="6"/>
      <x:c r="U235" s="6"/>
      <x:c r="V235" s="6" t="str">
        <x:f>IF(ISBLANK('_INSTANCE'!B235),"",'_INSTANCE'!B235)</x:f>
      </x:c>
      <x:c r="W235" s="6" t="str">
        <x:f>IF(ISBLANK('_INSTANCE'!F235),"",'_INSTANCE'!F235)</x:f>
      </x:c>
      <x:c r="X235" s="6"/>
      <x:c r="Y235" s="6"/>
      <x:c r="Z235" s="6"/>
      <x:c r="AA235" s="6"/>
      <x:c r="AB235" s="6"/>
      <x:c r="AC235" s="6"/>
      <x:c r="AD235" s="6"/>
      <x:c r="AE235" s="6"/>
      <x:c r="AF235" s="6"/>
    </x:row>
    <x:row r="236">
      <x:c r="A236" s="6"/>
      <x:c r="B236" s="6"/>
      <x:c r="C236" s="6"/>
      <x:c r="D236" s="6"/>
      <x:c r="E236" s="6"/>
      <x:c r="F236" s="6"/>
      <x:c r="G236" s="6"/>
      <x:c r="H236" s="6"/>
      <x:c r="I236" s="6"/>
      <x:c r="J236" s="6"/>
      <x:c r="K236" s="6"/>
      <x:c r="L236" s="6"/>
      <x:c r="M236" s="6"/>
      <x:c r="N236" s="6"/>
      <x:c r="O236" s="6"/>
      <x:c r="P236" s="6"/>
      <x:c r="Q236" s="6"/>
      <x:c r="R236" s="6"/>
      <x:c r="S236" s="6"/>
      <x:c r="T236" s="6"/>
      <x:c r="U236" s="6"/>
      <x:c r="V236" s="6" t="str">
        <x:f>IF(ISBLANK('_INSTANCE'!B236),"",'_INSTANCE'!B236)</x:f>
      </x:c>
      <x:c r="W236" s="6" t="str">
        <x:f>IF(ISBLANK('_INSTANCE'!F236),"",'_INSTANCE'!F236)</x:f>
      </x:c>
      <x:c r="X236" s="6"/>
      <x:c r="Y236" s="6"/>
      <x:c r="Z236" s="6"/>
      <x:c r="AA236" s="6"/>
      <x:c r="AB236" s="6"/>
      <x:c r="AC236" s="6"/>
      <x:c r="AD236" s="6"/>
      <x:c r="AE236" s="6"/>
      <x:c r="AF236" s="6"/>
    </x:row>
    <x:row r="237">
      <x:c r="A237" s="6"/>
      <x:c r="B237" s="6"/>
      <x:c r="C237" s="6"/>
      <x:c r="D237" s="6"/>
      <x:c r="E237" s="6"/>
      <x:c r="F237" s="6"/>
      <x:c r="G237" s="6"/>
      <x:c r="H237" s="6"/>
      <x:c r="I237" s="6"/>
      <x:c r="J237" s="6"/>
      <x:c r="K237" s="6"/>
      <x:c r="L237" s="6"/>
      <x:c r="M237" s="6"/>
      <x:c r="N237" s="6"/>
      <x:c r="O237" s="6"/>
      <x:c r="P237" s="6"/>
      <x:c r="Q237" s="6"/>
      <x:c r="R237" s="6"/>
      <x:c r="S237" s="6"/>
      <x:c r="T237" s="6"/>
      <x:c r="U237" s="6"/>
      <x:c r="V237" s="6" t="str">
        <x:f>IF(ISBLANK('_INSTANCE'!B237),"",'_INSTANCE'!B237)</x:f>
      </x:c>
      <x:c r="W237" s="6" t="str">
        <x:f>IF(ISBLANK('_INSTANCE'!F237),"",'_INSTANCE'!F237)</x:f>
      </x:c>
      <x:c r="X237" s="6"/>
      <x:c r="Y237" s="6"/>
      <x:c r="Z237" s="6"/>
      <x:c r="AA237" s="6"/>
      <x:c r="AB237" s="6"/>
      <x:c r="AC237" s="6"/>
      <x:c r="AD237" s="6"/>
      <x:c r="AE237" s="6"/>
      <x:c r="AF237" s="6"/>
    </x:row>
    <x:row r="238">
      <x:c r="A238" s="6"/>
      <x:c r="B238" s="6"/>
      <x:c r="C238" s="6"/>
      <x:c r="D238" s="6"/>
      <x:c r="E238" s="6"/>
      <x:c r="F238" s="6"/>
      <x:c r="G238" s="6"/>
      <x:c r="H238" s="6"/>
      <x:c r="I238" s="6"/>
      <x:c r="J238" s="6"/>
      <x:c r="K238" s="6"/>
      <x:c r="L238" s="6"/>
      <x:c r="M238" s="6"/>
      <x:c r="N238" s="6"/>
      <x:c r="O238" s="6"/>
      <x:c r="P238" s="6"/>
      <x:c r="Q238" s="6"/>
      <x:c r="R238" s="6"/>
      <x:c r="S238" s="6"/>
      <x:c r="T238" s="6"/>
      <x:c r="U238" s="6"/>
      <x:c r="V238" s="6" t="str">
        <x:f>IF(ISBLANK('_INSTANCE'!B238),"",'_INSTANCE'!B238)</x:f>
      </x:c>
      <x:c r="W238" s="6" t="str">
        <x:f>IF(ISBLANK('_INSTANCE'!F238),"",'_INSTANCE'!F238)</x:f>
      </x:c>
      <x:c r="X238" s="6"/>
      <x:c r="Y238" s="6"/>
      <x:c r="Z238" s="6"/>
      <x:c r="AA238" s="6"/>
      <x:c r="AB238" s="6"/>
      <x:c r="AC238" s="6"/>
      <x:c r="AD238" s="6"/>
      <x:c r="AE238" s="6"/>
      <x:c r="AF238" s="6"/>
    </x:row>
    <x:row r="239">
      <x:c r="A239" s="6"/>
      <x:c r="B239" s="6"/>
      <x:c r="C239" s="6"/>
      <x:c r="D239" s="6"/>
      <x:c r="E239" s="6"/>
      <x:c r="F239" s="6"/>
      <x:c r="G239" s="6"/>
      <x:c r="H239" s="6"/>
      <x:c r="I239" s="6"/>
      <x:c r="J239" s="6"/>
      <x:c r="K239" s="6"/>
      <x:c r="L239" s="6"/>
      <x:c r="M239" s="6"/>
      <x:c r="N239" s="6"/>
      <x:c r="O239" s="6"/>
      <x:c r="P239" s="6"/>
      <x:c r="Q239" s="6"/>
      <x:c r="R239" s="6"/>
      <x:c r="S239" s="6"/>
      <x:c r="T239" s="6"/>
      <x:c r="U239" s="6"/>
      <x:c r="V239" s="6" t="str">
        <x:f>IF(ISBLANK('_INSTANCE'!B239),"",'_INSTANCE'!B239)</x:f>
      </x:c>
      <x:c r="W239" s="6" t="str">
        <x:f>IF(ISBLANK('_INSTANCE'!F239),"",'_INSTANCE'!F239)</x:f>
      </x:c>
      <x:c r="X239" s="6"/>
      <x:c r="Y239" s="6"/>
      <x:c r="Z239" s="6"/>
      <x:c r="AA239" s="6"/>
      <x:c r="AB239" s="6"/>
      <x:c r="AC239" s="6"/>
      <x:c r="AD239" s="6"/>
      <x:c r="AE239" s="6"/>
      <x:c r="AF239" s="6"/>
    </x:row>
    <x:row r="240">
      <x:c r="A240" s="6"/>
      <x:c r="B240" s="6"/>
      <x:c r="C240" s="6"/>
      <x:c r="D240" s="6"/>
      <x:c r="E240" s="6"/>
      <x:c r="F240" s="6"/>
      <x:c r="G240" s="6"/>
      <x:c r="H240" s="6"/>
      <x:c r="I240" s="6"/>
      <x:c r="J240" s="6"/>
      <x:c r="K240" s="6"/>
      <x:c r="L240" s="6"/>
      <x:c r="M240" s="6"/>
      <x:c r="N240" s="6"/>
      <x:c r="O240" s="6"/>
      <x:c r="P240" s="6"/>
      <x:c r="Q240" s="6"/>
      <x:c r="R240" s="6"/>
      <x:c r="S240" s="6"/>
      <x:c r="T240" s="6"/>
      <x:c r="U240" s="6"/>
      <x:c r="V240" s="6" t="str">
        <x:f>IF(ISBLANK('_INSTANCE'!B240),"",'_INSTANCE'!B240)</x:f>
      </x:c>
      <x:c r="W240" s="6" t="str">
        <x:f>IF(ISBLANK('_INSTANCE'!F240),"",'_INSTANCE'!F240)</x:f>
      </x:c>
      <x:c r="X240" s="6"/>
      <x:c r="Y240" s="6"/>
      <x:c r="Z240" s="6"/>
      <x:c r="AA240" s="6"/>
      <x:c r="AB240" s="6"/>
      <x:c r="AC240" s="6"/>
      <x:c r="AD240" s="6"/>
      <x:c r="AE240" s="6"/>
      <x:c r="AF240" s="6"/>
    </x:row>
    <x:row r="241">
      <x:c r="A241" s="6"/>
      <x:c r="B241" s="6"/>
      <x:c r="C241" s="6"/>
      <x:c r="D241" s="6"/>
      <x:c r="E241" s="6"/>
      <x:c r="F241" s="6"/>
      <x:c r="G241" s="6"/>
      <x:c r="H241" s="6"/>
      <x:c r="I241" s="6"/>
      <x:c r="J241" s="6"/>
      <x:c r="K241" s="6"/>
      <x:c r="L241" s="6"/>
      <x:c r="M241" s="6"/>
      <x:c r="N241" s="6"/>
      <x:c r="O241" s="6"/>
      <x:c r="P241" s="6"/>
      <x:c r="Q241" s="6"/>
      <x:c r="R241" s="6"/>
      <x:c r="S241" s="6"/>
      <x:c r="T241" s="6"/>
      <x:c r="U241" s="6"/>
      <x:c r="V241" s="6" t="str">
        <x:f>IF(ISBLANK('_INSTANCE'!B241),"",'_INSTANCE'!B241)</x:f>
      </x:c>
      <x:c r="W241" s="6" t="str">
        <x:f>IF(ISBLANK('_INSTANCE'!F241),"",'_INSTANCE'!F241)</x:f>
      </x:c>
      <x:c r="X241" s="6"/>
      <x:c r="Y241" s="6"/>
      <x:c r="Z241" s="6"/>
      <x:c r="AA241" s="6"/>
      <x:c r="AB241" s="6"/>
      <x:c r="AC241" s="6"/>
      <x:c r="AD241" s="6"/>
      <x:c r="AE241" s="6"/>
      <x:c r="AF241" s="6"/>
    </x:row>
    <x:row r="242">
      <x:c r="A242" s="6"/>
      <x:c r="B242" s="6"/>
      <x:c r="C242" s="6"/>
      <x:c r="D242" s="6"/>
      <x:c r="E242" s="6"/>
      <x:c r="F242" s="6"/>
      <x:c r="G242" s="6"/>
      <x:c r="H242" s="6"/>
      <x:c r="I242" s="6"/>
      <x:c r="J242" s="6"/>
      <x:c r="K242" s="6"/>
      <x:c r="L242" s="6"/>
      <x:c r="M242" s="6"/>
      <x:c r="N242" s="6"/>
      <x:c r="O242" s="6"/>
      <x:c r="P242" s="6"/>
      <x:c r="Q242" s="6"/>
      <x:c r="R242" s="6"/>
      <x:c r="S242" s="6"/>
      <x:c r="T242" s="6"/>
      <x:c r="U242" s="6"/>
      <x:c r="V242" s="6" t="str">
        <x:f>IF(ISBLANK('_INSTANCE'!B242),"",'_INSTANCE'!B242)</x:f>
      </x:c>
      <x:c r="W242" s="6" t="str">
        <x:f>IF(ISBLANK('_INSTANCE'!F242),"",'_INSTANCE'!F242)</x:f>
      </x:c>
      <x:c r="X242" s="6"/>
      <x:c r="Y242" s="6"/>
      <x:c r="Z242" s="6"/>
      <x:c r="AA242" s="6"/>
      <x:c r="AB242" s="6"/>
      <x:c r="AC242" s="6"/>
      <x:c r="AD242" s="6"/>
      <x:c r="AE242" s="6"/>
      <x:c r="AF242" s="6"/>
    </x:row>
    <x:row r="243">
      <x:c r="A243" s="6"/>
      <x:c r="B243" s="6"/>
      <x:c r="C243" s="6"/>
      <x:c r="D243" s="6"/>
      <x:c r="E243" s="6"/>
      <x:c r="F243" s="6"/>
      <x:c r="G243" s="6"/>
      <x:c r="H243" s="6"/>
      <x:c r="I243" s="6"/>
      <x:c r="J243" s="6"/>
      <x:c r="K243" s="6"/>
      <x:c r="L243" s="6"/>
      <x:c r="M243" s="6"/>
      <x:c r="N243" s="6"/>
      <x:c r="O243" s="6"/>
      <x:c r="P243" s="6"/>
      <x:c r="Q243" s="6"/>
      <x:c r="R243" s="6"/>
      <x:c r="S243" s="6"/>
      <x:c r="T243" s="6"/>
      <x:c r="U243" s="6"/>
      <x:c r="V243" s="6" t="str">
        <x:f>IF(ISBLANK('_INSTANCE'!B243),"",'_INSTANCE'!B243)</x:f>
      </x:c>
      <x:c r="W243" s="6" t="str">
        <x:f>IF(ISBLANK('_INSTANCE'!F243),"",'_INSTANCE'!F243)</x:f>
      </x:c>
      <x:c r="X243" s="6"/>
      <x:c r="Y243" s="6"/>
      <x:c r="Z243" s="6"/>
      <x:c r="AA243" s="6"/>
      <x:c r="AB243" s="6"/>
      <x:c r="AC243" s="6"/>
      <x:c r="AD243" s="6"/>
      <x:c r="AE243" s="6"/>
      <x:c r="AF243" s="6"/>
    </x:row>
    <x:row r="244">
      <x:c r="A244" s="6"/>
      <x:c r="B244" s="6"/>
      <x:c r="C244" s="6"/>
      <x:c r="D244" s="6"/>
      <x:c r="E244" s="6"/>
      <x:c r="F244" s="6"/>
      <x:c r="G244" s="6"/>
      <x:c r="H244" s="6"/>
      <x:c r="I244" s="6"/>
      <x:c r="J244" s="6"/>
      <x:c r="K244" s="6"/>
      <x:c r="L244" s="6"/>
      <x:c r="M244" s="6"/>
      <x:c r="N244" s="6"/>
      <x:c r="O244" s="6"/>
      <x:c r="P244" s="6"/>
      <x:c r="Q244" s="6"/>
      <x:c r="R244" s="6"/>
      <x:c r="S244" s="6"/>
      <x:c r="T244" s="6"/>
      <x:c r="U244" s="6"/>
      <x:c r="V244" s="6" t="str">
        <x:f>IF(ISBLANK('_INSTANCE'!B244),"",'_INSTANCE'!B244)</x:f>
      </x:c>
      <x:c r="W244" s="6" t="str">
        <x:f>IF(ISBLANK('_INSTANCE'!F244),"",'_INSTANCE'!F244)</x:f>
      </x:c>
      <x:c r="X244" s="6"/>
      <x:c r="Y244" s="6"/>
      <x:c r="Z244" s="6"/>
      <x:c r="AA244" s="6"/>
      <x:c r="AB244" s="6"/>
      <x:c r="AC244" s="6"/>
      <x:c r="AD244" s="6"/>
      <x:c r="AE244" s="6"/>
      <x:c r="AF244" s="6"/>
    </x:row>
    <x:row r="245">
      <x:c r="A245" s="6"/>
      <x:c r="B245" s="6"/>
      <x:c r="C245" s="6"/>
      <x:c r="D245" s="6"/>
      <x:c r="E245" s="6"/>
      <x:c r="F245" s="6"/>
      <x:c r="G245" s="6"/>
      <x:c r="H245" s="6"/>
      <x:c r="I245" s="6"/>
      <x:c r="J245" s="6"/>
      <x:c r="K245" s="6"/>
      <x:c r="L245" s="6"/>
      <x:c r="M245" s="6"/>
      <x:c r="N245" s="6"/>
      <x:c r="O245" s="6"/>
      <x:c r="P245" s="6"/>
      <x:c r="Q245" s="6"/>
      <x:c r="R245" s="6"/>
      <x:c r="S245" s="6"/>
      <x:c r="T245" s="6"/>
      <x:c r="U245" s="6"/>
      <x:c r="V245" s="6" t="str">
        <x:f>IF(ISBLANK('_INSTANCE'!B245),"",'_INSTANCE'!B245)</x:f>
      </x:c>
      <x:c r="W245" s="6" t="str">
        <x:f>IF(ISBLANK('_INSTANCE'!F245),"",'_INSTANCE'!F245)</x:f>
      </x:c>
      <x:c r="X245" s="6"/>
      <x:c r="Y245" s="6"/>
      <x:c r="Z245" s="6"/>
      <x:c r="AA245" s="6"/>
      <x:c r="AB245" s="6"/>
      <x:c r="AC245" s="6"/>
      <x:c r="AD245" s="6"/>
      <x:c r="AE245" s="6"/>
      <x:c r="AF245" s="6"/>
    </x:row>
    <x:row r="246">
      <x:c r="A246" s="6"/>
      <x:c r="B246" s="6"/>
      <x:c r="C246" s="6"/>
      <x:c r="D246" s="6"/>
      <x:c r="E246" s="6"/>
      <x:c r="F246" s="6"/>
      <x:c r="G246" s="6"/>
      <x:c r="H246" s="6"/>
      <x:c r="I246" s="6"/>
      <x:c r="J246" s="6"/>
      <x:c r="K246" s="6"/>
      <x:c r="L246" s="6"/>
      <x:c r="M246" s="6"/>
      <x:c r="N246" s="6"/>
      <x:c r="O246" s="6"/>
      <x:c r="P246" s="6"/>
      <x:c r="Q246" s="6"/>
      <x:c r="R246" s="6"/>
      <x:c r="S246" s="6"/>
      <x:c r="T246" s="6"/>
      <x:c r="U246" s="6"/>
      <x:c r="V246" s="6" t="str">
        <x:f>IF(ISBLANK('_INSTANCE'!B246),"",'_INSTANCE'!B246)</x:f>
      </x:c>
      <x:c r="W246" s="6" t="str">
        <x:f>IF(ISBLANK('_INSTANCE'!F246),"",'_INSTANCE'!F246)</x:f>
      </x:c>
      <x:c r="X246" s="6"/>
      <x:c r="Y246" s="6"/>
      <x:c r="Z246" s="6"/>
      <x:c r="AA246" s="6"/>
      <x:c r="AB246" s="6"/>
      <x:c r="AC246" s="6"/>
      <x:c r="AD246" s="6"/>
      <x:c r="AE246" s="6"/>
      <x:c r="AF246" s="6"/>
    </x:row>
    <x:row r="247">
      <x:c r="A247" s="6"/>
      <x:c r="B247" s="6"/>
      <x:c r="C247" s="6"/>
      <x:c r="D247" s="6"/>
      <x:c r="E247" s="6"/>
      <x:c r="F247" s="6"/>
      <x:c r="G247" s="6"/>
      <x:c r="H247" s="6"/>
      <x:c r="I247" s="6"/>
      <x:c r="J247" s="6"/>
      <x:c r="K247" s="6"/>
      <x:c r="L247" s="6"/>
      <x:c r="M247" s="6"/>
      <x:c r="N247" s="6"/>
      <x:c r="O247" s="6"/>
      <x:c r="P247" s="6"/>
      <x:c r="Q247" s="6"/>
      <x:c r="R247" s="6"/>
      <x:c r="S247" s="6"/>
      <x:c r="T247" s="6"/>
      <x:c r="U247" s="6"/>
      <x:c r="V247" s="6" t="str">
        <x:f>IF(ISBLANK('_INSTANCE'!B247),"",'_INSTANCE'!B247)</x:f>
      </x:c>
      <x:c r="W247" s="6" t="str">
        <x:f>IF(ISBLANK('_INSTANCE'!F247),"",'_INSTANCE'!F247)</x:f>
      </x:c>
      <x:c r="X247" s="6"/>
      <x:c r="Y247" s="6"/>
      <x:c r="Z247" s="6"/>
      <x:c r="AA247" s="6"/>
      <x:c r="AB247" s="6"/>
      <x:c r="AC247" s="6"/>
      <x:c r="AD247" s="6"/>
      <x:c r="AE247" s="6"/>
      <x:c r="AF247" s="6"/>
    </x:row>
    <x:row r="248">
      <x:c r="A248" s="6"/>
      <x:c r="B248" s="6"/>
      <x:c r="C248" s="6"/>
      <x:c r="D248" s="6"/>
      <x:c r="E248" s="6"/>
      <x:c r="F248" s="6"/>
      <x:c r="G248" s="6"/>
      <x:c r="H248" s="6"/>
      <x:c r="I248" s="6"/>
      <x:c r="J248" s="6"/>
      <x:c r="K248" s="6"/>
      <x:c r="L248" s="6"/>
      <x:c r="M248" s="6"/>
      <x:c r="N248" s="6"/>
      <x:c r="O248" s="6"/>
      <x:c r="P248" s="6"/>
      <x:c r="Q248" s="6"/>
      <x:c r="R248" s="6"/>
      <x:c r="S248" s="6"/>
      <x:c r="T248" s="6"/>
      <x:c r="U248" s="6"/>
      <x:c r="V248" s="6" t="str">
        <x:f>IF(ISBLANK('_INSTANCE'!B248),"",'_INSTANCE'!B248)</x:f>
      </x:c>
      <x:c r="W248" s="6" t="str">
        <x:f>IF(ISBLANK('_INSTANCE'!F248),"",'_INSTANCE'!F248)</x:f>
      </x:c>
      <x:c r="X248" s="6"/>
      <x:c r="Y248" s="6"/>
      <x:c r="Z248" s="6"/>
      <x:c r="AA248" s="6"/>
      <x:c r="AB248" s="6"/>
      <x:c r="AC248" s="6"/>
      <x:c r="AD248" s="6"/>
      <x:c r="AE248" s="6"/>
      <x:c r="AF248" s="6"/>
    </x:row>
    <x:row r="249">
      <x:c r="A249" s="6"/>
      <x:c r="B249" s="6"/>
      <x:c r="C249" s="6"/>
      <x:c r="D249" s="6"/>
      <x:c r="E249" s="6"/>
      <x:c r="F249" s="6"/>
      <x:c r="G249" s="6"/>
      <x:c r="H249" s="6"/>
      <x:c r="I249" s="6"/>
      <x:c r="J249" s="6"/>
      <x:c r="K249" s="6"/>
      <x:c r="L249" s="6"/>
      <x:c r="M249" s="6"/>
      <x:c r="N249" s="6"/>
      <x:c r="O249" s="6"/>
      <x:c r="P249" s="6"/>
      <x:c r="Q249" s="6"/>
      <x:c r="R249" s="6"/>
      <x:c r="S249" s="6"/>
      <x:c r="T249" s="6"/>
      <x:c r="U249" s="6"/>
      <x:c r="V249" s="6" t="str">
        <x:f>IF(ISBLANK('_INSTANCE'!B249),"",'_INSTANCE'!B249)</x:f>
      </x:c>
      <x:c r="W249" s="6" t="str">
        <x:f>IF(ISBLANK('_INSTANCE'!F249),"",'_INSTANCE'!F249)</x:f>
      </x:c>
      <x:c r="X249" s="6"/>
      <x:c r="Y249" s="6"/>
      <x:c r="Z249" s="6"/>
      <x:c r="AA249" s="6"/>
      <x:c r="AB249" s="6"/>
      <x:c r="AC249" s="6"/>
      <x:c r="AD249" s="6"/>
      <x:c r="AE249" s="6"/>
      <x:c r="AF249" s="6"/>
    </x:row>
    <x:row r="250">
      <x:c r="A250" s="6"/>
      <x:c r="B250" s="6"/>
      <x:c r="C250" s="6"/>
      <x:c r="D250" s="6"/>
      <x:c r="E250" s="6"/>
      <x:c r="F250" s="6"/>
      <x:c r="G250" s="6"/>
      <x:c r="H250" s="6"/>
      <x:c r="I250" s="6"/>
      <x:c r="J250" s="6"/>
      <x:c r="K250" s="6"/>
      <x:c r="L250" s="6"/>
      <x:c r="M250" s="6"/>
      <x:c r="N250" s="6"/>
      <x:c r="O250" s="6"/>
      <x:c r="P250" s="6"/>
      <x:c r="Q250" s="6"/>
      <x:c r="R250" s="6"/>
      <x:c r="S250" s="6"/>
      <x:c r="T250" s="6"/>
      <x:c r="U250" s="6"/>
      <x:c r="V250" s="6" t="str">
        <x:f>IF(ISBLANK('_INSTANCE'!B250),"",'_INSTANCE'!B250)</x:f>
      </x:c>
      <x:c r="W250" s="6" t="str">
        <x:f>IF(ISBLANK('_INSTANCE'!F250),"",'_INSTANCE'!F250)</x:f>
      </x:c>
      <x:c r="X250" s="6"/>
      <x:c r="Y250" s="6"/>
      <x:c r="Z250" s="6"/>
      <x:c r="AA250" s="6"/>
      <x:c r="AB250" s="6"/>
      <x:c r="AC250" s="6"/>
      <x:c r="AD250" s="6"/>
      <x:c r="AE250" s="6"/>
      <x:c r="AF250" s="6"/>
    </x:row>
    <x:row r="251">
      <x:c r="A251" s="6"/>
      <x:c r="B251" s="6"/>
      <x:c r="C251" s="6"/>
      <x:c r="D251" s="6"/>
      <x:c r="E251" s="6"/>
      <x:c r="F251" s="6"/>
      <x:c r="G251" s="6"/>
      <x:c r="H251" s="6"/>
      <x:c r="I251" s="6"/>
      <x:c r="J251" s="6"/>
      <x:c r="K251" s="6"/>
      <x:c r="L251" s="6"/>
      <x:c r="M251" s="6"/>
      <x:c r="N251" s="6"/>
      <x:c r="O251" s="6"/>
      <x:c r="P251" s="6"/>
      <x:c r="Q251" s="6"/>
      <x:c r="R251" s="6"/>
      <x:c r="S251" s="6"/>
      <x:c r="T251" s="6"/>
      <x:c r="U251" s="6"/>
      <x:c r="V251" s="6" t="str">
        <x:f>IF(ISBLANK('_INSTANCE'!B251),"",'_INSTANCE'!B251)</x:f>
      </x:c>
      <x:c r="W251" s="6" t="str">
        <x:f>IF(ISBLANK('_INSTANCE'!F251),"",'_INSTANCE'!F251)</x:f>
      </x:c>
      <x:c r="X251" s="6"/>
      <x:c r="Y251" s="6"/>
      <x:c r="Z251" s="6"/>
      <x:c r="AA251" s="6"/>
      <x:c r="AB251" s="6"/>
      <x:c r="AC251" s="6"/>
      <x:c r="AD251" s="6"/>
      <x:c r="AE251" s="6"/>
      <x:c r="AF251" s="6"/>
    </x:row>
    <x:row r="252">
      <x:c r="A252" s="6"/>
      <x:c r="B252" s="6"/>
      <x:c r="C252" s="6"/>
      <x:c r="D252" s="6"/>
      <x:c r="E252" s="6"/>
      <x:c r="F252" s="6"/>
      <x:c r="G252" s="6"/>
      <x:c r="H252" s="6"/>
      <x:c r="I252" s="6"/>
      <x:c r="J252" s="6"/>
      <x:c r="K252" s="6"/>
      <x:c r="L252" s="6"/>
      <x:c r="M252" s="6"/>
      <x:c r="N252" s="6"/>
      <x:c r="O252" s="6"/>
      <x:c r="P252" s="6"/>
      <x:c r="Q252" s="6"/>
      <x:c r="R252" s="6"/>
      <x:c r="S252" s="6"/>
      <x:c r="T252" s="6"/>
      <x:c r="U252" s="6"/>
      <x:c r="V252" s="6" t="str">
        <x:f>IF(ISBLANK('_INSTANCE'!B252),"",'_INSTANCE'!B252)</x:f>
      </x:c>
      <x:c r="W252" s="6" t="str">
        <x:f>IF(ISBLANK('_INSTANCE'!F252),"",'_INSTANCE'!F252)</x:f>
      </x:c>
      <x:c r="X252" s="6"/>
      <x:c r="Y252" s="6"/>
      <x:c r="Z252" s="6"/>
      <x:c r="AA252" s="6"/>
      <x:c r="AB252" s="6"/>
      <x:c r="AC252" s="6"/>
      <x:c r="AD252" s="6"/>
      <x:c r="AE252" s="6"/>
      <x:c r="AF252" s="6"/>
    </x:row>
    <x:row r="253">
      <x:c r="A253" s="6"/>
      <x:c r="B253" s="6"/>
      <x:c r="C253" s="6"/>
      <x:c r="D253" s="6"/>
      <x:c r="E253" s="6"/>
      <x:c r="F253" s="6"/>
      <x:c r="G253" s="6"/>
      <x:c r="H253" s="6"/>
      <x:c r="I253" s="6"/>
      <x:c r="J253" s="6"/>
      <x:c r="K253" s="6"/>
      <x:c r="L253" s="6"/>
      <x:c r="M253" s="6"/>
      <x:c r="N253" s="6"/>
      <x:c r="O253" s="6"/>
      <x:c r="P253" s="6"/>
      <x:c r="Q253" s="6"/>
      <x:c r="R253" s="6"/>
      <x:c r="S253" s="6"/>
      <x:c r="T253" s="6"/>
      <x:c r="U253" s="6"/>
      <x:c r="V253" s="6" t="str">
        <x:f>IF(ISBLANK('_INSTANCE'!B253),"",'_INSTANCE'!B253)</x:f>
      </x:c>
      <x:c r="W253" s="6" t="str">
        <x:f>IF(ISBLANK('_INSTANCE'!F253),"",'_INSTANCE'!F253)</x:f>
      </x:c>
      <x:c r="X253" s="6"/>
      <x:c r="Y253" s="6"/>
      <x:c r="Z253" s="6"/>
      <x:c r="AA253" s="6"/>
      <x:c r="AB253" s="6"/>
      <x:c r="AC253" s="6"/>
      <x:c r="AD253" s="6"/>
      <x:c r="AE253" s="6"/>
      <x:c r="AF253" s="6"/>
    </x:row>
    <x:row r="254">
      <x:c r="A254" s="6"/>
      <x:c r="B254" s="6"/>
      <x:c r="C254" s="6"/>
      <x:c r="D254" s="6"/>
      <x:c r="E254" s="6"/>
      <x:c r="F254" s="6"/>
      <x:c r="G254" s="6"/>
      <x:c r="H254" s="6"/>
      <x:c r="I254" s="6"/>
      <x:c r="J254" s="6"/>
      <x:c r="K254" s="6"/>
      <x:c r="L254" s="6"/>
      <x:c r="M254" s="6"/>
      <x:c r="N254" s="6"/>
      <x:c r="O254" s="6"/>
      <x:c r="P254" s="6"/>
      <x:c r="Q254" s="6"/>
      <x:c r="R254" s="6"/>
      <x:c r="S254" s="6"/>
      <x:c r="T254" s="6"/>
      <x:c r="U254" s="6"/>
      <x:c r="V254" s="6" t="str">
        <x:f>IF(ISBLANK('_INSTANCE'!B254),"",'_INSTANCE'!B254)</x:f>
      </x:c>
      <x:c r="W254" s="6" t="str">
        <x:f>IF(ISBLANK('_INSTANCE'!F254),"",'_INSTANCE'!F254)</x:f>
      </x:c>
      <x:c r="X254" s="6"/>
      <x:c r="Y254" s="6"/>
      <x:c r="Z254" s="6"/>
      <x:c r="AA254" s="6"/>
      <x:c r="AB254" s="6"/>
      <x:c r="AC254" s="6"/>
      <x:c r="AD254" s="6"/>
      <x:c r="AE254" s="6"/>
      <x:c r="AF254" s="6"/>
    </x:row>
    <x:row r="255">
      <x:c r="A255" s="6"/>
      <x:c r="B255" s="6"/>
      <x:c r="C255" s="6"/>
      <x:c r="D255" s="6"/>
      <x:c r="E255" s="6"/>
      <x:c r="F255" s="6"/>
      <x:c r="G255" s="6"/>
      <x:c r="H255" s="6"/>
      <x:c r="I255" s="6"/>
      <x:c r="J255" s="6"/>
      <x:c r="K255" s="6"/>
      <x:c r="L255" s="6"/>
      <x:c r="M255" s="6"/>
      <x:c r="N255" s="6"/>
      <x:c r="O255" s="6"/>
      <x:c r="P255" s="6"/>
      <x:c r="Q255" s="6"/>
      <x:c r="R255" s="6"/>
      <x:c r="S255" s="6"/>
      <x:c r="T255" s="6"/>
      <x:c r="U255" s="6"/>
      <x:c r="V255" s="6" t="str">
        <x:f>IF(ISBLANK('_INSTANCE'!B255),"",'_INSTANCE'!B255)</x:f>
      </x:c>
      <x:c r="W255" s="6" t="str">
        <x:f>IF(ISBLANK('_INSTANCE'!F255),"",'_INSTANCE'!F255)</x:f>
      </x:c>
      <x:c r="X255" s="6"/>
      <x:c r="Y255" s="6"/>
      <x:c r="Z255" s="6"/>
      <x:c r="AA255" s="6"/>
      <x:c r="AB255" s="6"/>
      <x:c r="AC255" s="6"/>
      <x:c r="AD255" s="6"/>
      <x:c r="AE255" s="6"/>
      <x:c r="AF255" s="6"/>
    </x:row>
    <x:row r="256">
      <x:c r="A256" s="6"/>
      <x:c r="B256" s="6"/>
      <x:c r="C256" s="6"/>
      <x:c r="D256" s="6"/>
      <x:c r="E256" s="6"/>
      <x:c r="F256" s="6"/>
      <x:c r="G256" s="6"/>
      <x:c r="H256" s="6"/>
      <x:c r="I256" s="6"/>
      <x:c r="J256" s="6"/>
      <x:c r="K256" s="6"/>
      <x:c r="L256" s="6"/>
      <x:c r="M256" s="6"/>
      <x:c r="N256" s="6"/>
      <x:c r="O256" s="6"/>
      <x:c r="P256" s="6"/>
      <x:c r="Q256" s="6"/>
      <x:c r="R256" s="6"/>
      <x:c r="S256" s="6"/>
      <x:c r="T256" s="6"/>
      <x:c r="U256" s="6"/>
      <x:c r="V256" s="6" t="str">
        <x:f>IF(ISBLANK('_INSTANCE'!B256),"",'_INSTANCE'!B256)</x:f>
      </x:c>
      <x:c r="W256" s="6" t="str">
        <x:f>IF(ISBLANK('_INSTANCE'!F256),"",'_INSTANCE'!F256)</x:f>
      </x:c>
      <x:c r="X256" s="6"/>
      <x:c r="Y256" s="6"/>
      <x:c r="Z256" s="6"/>
      <x:c r="AA256" s="6"/>
      <x:c r="AB256" s="6"/>
      <x:c r="AC256" s="6"/>
      <x:c r="AD256" s="6"/>
      <x:c r="AE256" s="6"/>
      <x:c r="AF256" s="6"/>
    </x:row>
    <x:row r="257">
      <x:c r="A257" s="6"/>
      <x:c r="B257" s="6"/>
      <x:c r="C257" s="6"/>
      <x:c r="D257" s="6"/>
      <x:c r="E257" s="6"/>
      <x:c r="F257" s="6"/>
      <x:c r="G257" s="6"/>
      <x:c r="H257" s="6"/>
      <x:c r="I257" s="6"/>
      <x:c r="J257" s="6"/>
      <x:c r="K257" s="6"/>
      <x:c r="L257" s="6"/>
      <x:c r="M257" s="6"/>
      <x:c r="N257" s="6"/>
      <x:c r="O257" s="6"/>
      <x:c r="P257" s="6"/>
      <x:c r="Q257" s="6"/>
      <x:c r="R257" s="6"/>
      <x:c r="S257" s="6"/>
      <x:c r="T257" s="6"/>
      <x:c r="U257" s="6"/>
      <x:c r="V257" s="6" t="str">
        <x:f>IF(ISBLANK('_INSTANCE'!B257),"",'_INSTANCE'!B257)</x:f>
      </x:c>
      <x:c r="W257" s="6" t="str">
        <x:f>IF(ISBLANK('_INSTANCE'!F257),"",'_INSTANCE'!F257)</x:f>
      </x:c>
      <x:c r="X257" s="6"/>
      <x:c r="Y257" s="6"/>
      <x:c r="Z257" s="6"/>
      <x:c r="AA257" s="6"/>
      <x:c r="AB257" s="6"/>
      <x:c r="AC257" s="6"/>
      <x:c r="AD257" s="6"/>
      <x:c r="AE257" s="6"/>
      <x:c r="AF257" s="6"/>
    </x:row>
    <x:row r="258">
      <x:c r="A258" s="6"/>
      <x:c r="B258" s="6"/>
      <x:c r="C258" s="6"/>
      <x:c r="D258" s="6"/>
      <x:c r="E258" s="6"/>
      <x:c r="F258" s="6"/>
      <x:c r="G258" s="6"/>
      <x:c r="H258" s="6"/>
      <x:c r="I258" s="6"/>
      <x:c r="J258" s="6"/>
      <x:c r="K258" s="6"/>
      <x:c r="L258" s="6"/>
      <x:c r="M258" s="6"/>
      <x:c r="N258" s="6"/>
      <x:c r="O258" s="6"/>
      <x:c r="P258" s="6"/>
      <x:c r="Q258" s="6"/>
      <x:c r="R258" s="6"/>
      <x:c r="S258" s="6"/>
      <x:c r="T258" s="6"/>
      <x:c r="U258" s="6"/>
      <x:c r="V258" s="6" t="str">
        <x:f>IF(ISBLANK('_INSTANCE'!B258),"",'_INSTANCE'!B258)</x:f>
      </x:c>
      <x:c r="W258" s="6" t="str">
        <x:f>IF(ISBLANK('_INSTANCE'!F258),"",'_INSTANCE'!F258)</x:f>
      </x:c>
      <x:c r="X258" s="6"/>
      <x:c r="Y258" s="6"/>
      <x:c r="Z258" s="6"/>
      <x:c r="AA258" s="6"/>
      <x:c r="AB258" s="6"/>
      <x:c r="AC258" s="6"/>
      <x:c r="AD258" s="6"/>
      <x:c r="AE258" s="6"/>
      <x:c r="AF258" s="6"/>
    </x:row>
    <x:row r="259">
      <x:c r="A259" s="6"/>
      <x:c r="B259" s="6"/>
      <x:c r="C259" s="6"/>
      <x:c r="D259" s="6"/>
      <x:c r="E259" s="6"/>
      <x:c r="F259" s="6"/>
      <x:c r="G259" s="6"/>
      <x:c r="H259" s="6"/>
      <x:c r="I259" s="6"/>
      <x:c r="J259" s="6"/>
      <x:c r="K259" s="6"/>
      <x:c r="L259" s="6"/>
      <x:c r="M259" s="6"/>
      <x:c r="N259" s="6"/>
      <x:c r="O259" s="6"/>
      <x:c r="P259" s="6"/>
      <x:c r="Q259" s="6"/>
      <x:c r="R259" s="6"/>
      <x:c r="S259" s="6"/>
      <x:c r="T259" s="6"/>
      <x:c r="U259" s="6"/>
      <x:c r="V259" s="6" t="str">
        <x:f>IF(ISBLANK('_INSTANCE'!B259),"",'_INSTANCE'!B259)</x:f>
      </x:c>
      <x:c r="W259" s="6" t="str">
        <x:f>IF(ISBLANK('_INSTANCE'!F259),"",'_INSTANCE'!F259)</x:f>
      </x:c>
      <x:c r="X259" s="6"/>
      <x:c r="Y259" s="6"/>
      <x:c r="Z259" s="6"/>
      <x:c r="AA259" s="6"/>
      <x:c r="AB259" s="6"/>
      <x:c r="AC259" s="6"/>
      <x:c r="AD259" s="6"/>
      <x:c r="AE259" s="6"/>
      <x:c r="AF259" s="6"/>
    </x:row>
    <x:row r="260">
      <x:c r="A260" s="6"/>
      <x:c r="B260" s="6"/>
      <x:c r="C260" s="6"/>
      <x:c r="D260" s="6"/>
      <x:c r="E260" s="6"/>
      <x:c r="F260" s="6"/>
      <x:c r="G260" s="6"/>
      <x:c r="H260" s="6"/>
      <x:c r="I260" s="6"/>
      <x:c r="J260" s="6"/>
      <x:c r="K260" s="6"/>
      <x:c r="L260" s="6"/>
      <x:c r="M260" s="6"/>
      <x:c r="N260" s="6"/>
      <x:c r="O260" s="6"/>
      <x:c r="P260" s="6"/>
      <x:c r="Q260" s="6"/>
      <x:c r="R260" s="6"/>
      <x:c r="S260" s="6"/>
      <x:c r="T260" s="6"/>
      <x:c r="U260" s="6"/>
      <x:c r="V260" s="6" t="str">
        <x:f>IF(ISBLANK('_INSTANCE'!B260),"",'_INSTANCE'!B260)</x:f>
      </x:c>
      <x:c r="W260" s="6" t="str">
        <x:f>IF(ISBLANK('_INSTANCE'!F260),"",'_INSTANCE'!F260)</x:f>
      </x:c>
      <x:c r="X260" s="6"/>
      <x:c r="Y260" s="6"/>
      <x:c r="Z260" s="6"/>
      <x:c r="AA260" s="6"/>
      <x:c r="AB260" s="6"/>
      <x:c r="AC260" s="6"/>
      <x:c r="AD260" s="6"/>
      <x:c r="AE260" s="6"/>
      <x:c r="AF260" s="6"/>
    </x:row>
    <x:row r="261">
      <x:c r="A261" s="6"/>
      <x:c r="B261" s="6"/>
      <x:c r="C261" s="6"/>
      <x:c r="D261" s="6"/>
      <x:c r="E261" s="6"/>
      <x:c r="F261" s="6"/>
      <x:c r="G261" s="6"/>
      <x:c r="H261" s="6"/>
      <x:c r="I261" s="6"/>
      <x:c r="J261" s="6"/>
      <x:c r="K261" s="6"/>
      <x:c r="L261" s="6"/>
      <x:c r="M261" s="6"/>
      <x:c r="N261" s="6"/>
      <x:c r="O261" s="6"/>
      <x:c r="P261" s="6"/>
      <x:c r="Q261" s="6"/>
      <x:c r="R261" s="6"/>
      <x:c r="S261" s="6"/>
      <x:c r="T261" s="6"/>
      <x:c r="U261" s="6"/>
      <x:c r="V261" s="6" t="str">
        <x:f>IF(ISBLANK('_INSTANCE'!B261),"",'_INSTANCE'!B261)</x:f>
      </x:c>
      <x:c r="W261" s="6" t="str">
        <x:f>IF(ISBLANK('_INSTANCE'!F261),"",'_INSTANCE'!F261)</x:f>
      </x:c>
      <x:c r="X261" s="6"/>
      <x:c r="Y261" s="6"/>
      <x:c r="Z261" s="6"/>
      <x:c r="AA261" s="6"/>
      <x:c r="AB261" s="6"/>
      <x:c r="AC261" s="6"/>
      <x:c r="AD261" s="6"/>
      <x:c r="AE261" s="6"/>
      <x:c r="AF261" s="6"/>
    </x:row>
    <x:row r="262">
      <x:c r="A262" s="6"/>
      <x:c r="B262" s="6"/>
      <x:c r="C262" s="6"/>
      <x:c r="D262" s="6"/>
      <x:c r="E262" s="6"/>
      <x:c r="F262" s="6"/>
      <x:c r="G262" s="6"/>
      <x:c r="H262" s="6"/>
      <x:c r="I262" s="6"/>
      <x:c r="J262" s="6"/>
      <x:c r="K262" s="6"/>
      <x:c r="L262" s="6"/>
      <x:c r="M262" s="6"/>
      <x:c r="N262" s="6"/>
      <x:c r="O262" s="6"/>
      <x:c r="P262" s="6"/>
      <x:c r="Q262" s="6"/>
      <x:c r="R262" s="6"/>
      <x:c r="S262" s="6"/>
      <x:c r="T262" s="6"/>
      <x:c r="U262" s="6"/>
      <x:c r="V262" s="6" t="str">
        <x:f>IF(ISBLANK('_INSTANCE'!B262),"",'_INSTANCE'!B262)</x:f>
      </x:c>
      <x:c r="W262" s="6" t="str">
        <x:f>IF(ISBLANK('_INSTANCE'!F262),"",'_INSTANCE'!F262)</x:f>
      </x:c>
      <x:c r="X262" s="6"/>
      <x:c r="Y262" s="6"/>
      <x:c r="Z262" s="6"/>
      <x:c r="AA262" s="6"/>
      <x:c r="AB262" s="6"/>
      <x:c r="AC262" s="6"/>
      <x:c r="AD262" s="6"/>
      <x:c r="AE262" s="6"/>
      <x:c r="AF262" s="6"/>
    </x:row>
    <x:row r="263">
      <x:c r="A263" s="6"/>
      <x:c r="B263" s="6"/>
      <x:c r="C263" s="6"/>
      <x:c r="D263" s="6"/>
      <x:c r="E263" s="6"/>
      <x:c r="F263" s="6"/>
      <x:c r="G263" s="6"/>
      <x:c r="H263" s="6"/>
      <x:c r="I263" s="6"/>
      <x:c r="J263" s="6"/>
      <x:c r="K263" s="6"/>
      <x:c r="L263" s="6"/>
      <x:c r="M263" s="6"/>
      <x:c r="N263" s="6"/>
      <x:c r="O263" s="6"/>
      <x:c r="P263" s="6"/>
      <x:c r="Q263" s="6"/>
      <x:c r="R263" s="6"/>
      <x:c r="S263" s="6"/>
      <x:c r="T263" s="6"/>
      <x:c r="U263" s="6"/>
      <x:c r="V263" s="6" t="str">
        <x:f>IF(ISBLANK('_INSTANCE'!B263),"",'_INSTANCE'!B263)</x:f>
      </x:c>
      <x:c r="W263" s="6" t="str">
        <x:f>IF(ISBLANK('_INSTANCE'!F263),"",'_INSTANCE'!F263)</x:f>
      </x:c>
      <x:c r="X263" s="6"/>
      <x:c r="Y263" s="6"/>
      <x:c r="Z263" s="6"/>
      <x:c r="AA263" s="6"/>
      <x:c r="AB263" s="6"/>
      <x:c r="AC263" s="6"/>
      <x:c r="AD263" s="6"/>
      <x:c r="AE263" s="6"/>
      <x:c r="AF263" s="6"/>
    </x:row>
    <x:row r="264">
      <x:c r="A264" s="6"/>
      <x:c r="B264" s="6"/>
      <x:c r="C264" s="6"/>
      <x:c r="D264" s="6"/>
      <x:c r="E264" s="6"/>
      <x:c r="F264" s="6"/>
      <x:c r="G264" s="6"/>
      <x:c r="H264" s="6"/>
      <x:c r="I264" s="6"/>
      <x:c r="J264" s="6"/>
      <x:c r="K264" s="6"/>
      <x:c r="L264" s="6"/>
      <x:c r="M264" s="6"/>
      <x:c r="N264" s="6"/>
      <x:c r="O264" s="6"/>
      <x:c r="P264" s="6"/>
      <x:c r="Q264" s="6"/>
      <x:c r="R264" s="6"/>
      <x:c r="S264" s="6"/>
      <x:c r="T264" s="6"/>
      <x:c r="U264" s="6"/>
      <x:c r="V264" s="6" t="str">
        <x:f>IF(ISBLANK('_INSTANCE'!B264),"",'_INSTANCE'!B264)</x:f>
      </x:c>
      <x:c r="W264" s="6" t="str">
        <x:f>IF(ISBLANK('_INSTANCE'!F264),"",'_INSTANCE'!F264)</x:f>
      </x:c>
      <x:c r="X264" s="6"/>
      <x:c r="Y264" s="6"/>
      <x:c r="Z264" s="6"/>
      <x:c r="AA264" s="6"/>
      <x:c r="AB264" s="6"/>
      <x:c r="AC264" s="6"/>
      <x:c r="AD264" s="6"/>
      <x:c r="AE264" s="6"/>
      <x:c r="AF264" s="6"/>
    </x:row>
    <x:row r="265">
      <x:c r="A265" s="6"/>
      <x:c r="B265" s="6"/>
      <x:c r="C265" s="6"/>
      <x:c r="D265" s="6"/>
      <x:c r="E265" s="6"/>
      <x:c r="F265" s="6"/>
      <x:c r="G265" s="6"/>
      <x:c r="H265" s="6"/>
      <x:c r="I265" s="6"/>
      <x:c r="J265" s="6"/>
      <x:c r="K265" s="6"/>
      <x:c r="L265" s="6"/>
      <x:c r="M265" s="6"/>
      <x:c r="N265" s="6"/>
      <x:c r="O265" s="6"/>
      <x:c r="P265" s="6"/>
      <x:c r="Q265" s="6"/>
      <x:c r="R265" s="6"/>
      <x:c r="S265" s="6"/>
      <x:c r="T265" s="6"/>
      <x:c r="U265" s="6"/>
      <x:c r="V265" s="6" t="str">
        <x:f>IF(ISBLANK('_INSTANCE'!B265),"",'_INSTANCE'!B265)</x:f>
      </x:c>
      <x:c r="W265" s="6" t="str">
        <x:f>IF(ISBLANK('_INSTANCE'!F265),"",'_INSTANCE'!F265)</x:f>
      </x:c>
      <x:c r="X265" s="6"/>
      <x:c r="Y265" s="6"/>
      <x:c r="Z265" s="6"/>
      <x:c r="AA265" s="6"/>
      <x:c r="AB265" s="6"/>
      <x:c r="AC265" s="6"/>
      <x:c r="AD265" s="6"/>
      <x:c r="AE265" s="6"/>
      <x:c r="AF265" s="6"/>
    </x:row>
    <x:row r="266">
      <x:c r="A266" s="6"/>
      <x:c r="B266" s="6"/>
      <x:c r="C266" s="6"/>
      <x:c r="D266" s="6"/>
      <x:c r="E266" s="6"/>
      <x:c r="F266" s="6"/>
      <x:c r="G266" s="6"/>
      <x:c r="H266" s="6"/>
      <x:c r="I266" s="6"/>
      <x:c r="J266" s="6"/>
      <x:c r="K266" s="6"/>
      <x:c r="L266" s="6"/>
      <x:c r="M266" s="6"/>
      <x:c r="N266" s="6"/>
      <x:c r="O266" s="6"/>
      <x:c r="P266" s="6"/>
      <x:c r="Q266" s="6"/>
      <x:c r="R266" s="6"/>
      <x:c r="S266" s="6"/>
      <x:c r="T266" s="6"/>
      <x:c r="U266" s="6"/>
      <x:c r="V266" s="6" t="str">
        <x:f>IF(ISBLANK('_INSTANCE'!B266),"",'_INSTANCE'!B266)</x:f>
      </x:c>
      <x:c r="W266" s="6" t="str">
        <x:f>IF(ISBLANK('_INSTANCE'!F266),"",'_INSTANCE'!F266)</x:f>
      </x:c>
      <x:c r="X266" s="6"/>
      <x:c r="Y266" s="6"/>
      <x:c r="Z266" s="6"/>
      <x:c r="AA266" s="6"/>
      <x:c r="AB266" s="6"/>
      <x:c r="AC266" s="6"/>
      <x:c r="AD266" s="6"/>
      <x:c r="AE266" s="6"/>
      <x:c r="AF266" s="6"/>
    </x:row>
    <x:row r="267">
      <x:c r="A267" s="6"/>
      <x:c r="B267" s="6"/>
      <x:c r="C267" s="6"/>
      <x:c r="D267" s="6"/>
      <x:c r="E267" s="6"/>
      <x:c r="F267" s="6"/>
      <x:c r="G267" s="6"/>
      <x:c r="H267" s="6"/>
      <x:c r="I267" s="6"/>
      <x:c r="J267" s="6"/>
      <x:c r="K267" s="6"/>
      <x:c r="L267" s="6"/>
      <x:c r="M267" s="6"/>
      <x:c r="N267" s="6"/>
      <x:c r="O267" s="6"/>
      <x:c r="P267" s="6"/>
      <x:c r="Q267" s="6"/>
      <x:c r="R267" s="6"/>
      <x:c r="S267" s="6"/>
      <x:c r="T267" s="6"/>
      <x:c r="U267" s="6"/>
      <x:c r="V267" s="6" t="str">
        <x:f>IF(ISBLANK('_INSTANCE'!B267),"",'_INSTANCE'!B267)</x:f>
      </x:c>
      <x:c r="W267" s="6" t="str">
        <x:f>IF(ISBLANK('_INSTANCE'!F267),"",'_INSTANCE'!F267)</x:f>
      </x:c>
      <x:c r="X267" s="6"/>
      <x:c r="Y267" s="6"/>
      <x:c r="Z267" s="6"/>
      <x:c r="AA267" s="6"/>
      <x:c r="AB267" s="6"/>
      <x:c r="AC267" s="6"/>
      <x:c r="AD267" s="6"/>
      <x:c r="AE267" s="6"/>
      <x:c r="AF267" s="6"/>
    </x:row>
    <x:row r="268">
      <x:c r="A268" s="6"/>
      <x:c r="B268" s="6"/>
      <x:c r="C268" s="6"/>
      <x:c r="D268" s="6"/>
      <x:c r="E268" s="6"/>
      <x:c r="F268" s="6"/>
      <x:c r="G268" s="6"/>
      <x:c r="H268" s="6"/>
      <x:c r="I268" s="6"/>
      <x:c r="J268" s="6"/>
      <x:c r="K268" s="6"/>
      <x:c r="L268" s="6"/>
      <x:c r="M268" s="6"/>
      <x:c r="N268" s="6"/>
      <x:c r="O268" s="6"/>
      <x:c r="P268" s="6"/>
      <x:c r="Q268" s="6"/>
      <x:c r="R268" s="6"/>
      <x:c r="S268" s="6"/>
      <x:c r="T268" s="6"/>
      <x:c r="U268" s="6"/>
      <x:c r="V268" s="6" t="str">
        <x:f>IF(ISBLANK('_INSTANCE'!B268),"",'_INSTANCE'!B268)</x:f>
      </x:c>
      <x:c r="W268" s="6" t="str">
        <x:f>IF(ISBLANK('_INSTANCE'!F268),"",'_INSTANCE'!F268)</x:f>
      </x:c>
      <x:c r="X268" s="6"/>
      <x:c r="Y268" s="6"/>
      <x:c r="Z268" s="6"/>
      <x:c r="AA268" s="6"/>
      <x:c r="AB268" s="6"/>
      <x:c r="AC268" s="6"/>
      <x:c r="AD268" s="6"/>
      <x:c r="AE268" s="6"/>
      <x:c r="AF268" s="6"/>
    </x:row>
    <x:row r="269">
      <x:c r="A269" s="6"/>
      <x:c r="B269" s="6"/>
      <x:c r="C269" s="6"/>
      <x:c r="D269" s="6"/>
      <x:c r="E269" s="6"/>
      <x:c r="F269" s="6"/>
      <x:c r="G269" s="6"/>
      <x:c r="H269" s="6"/>
      <x:c r="I269" s="6"/>
      <x:c r="J269" s="6"/>
      <x:c r="K269" s="6"/>
      <x:c r="L269" s="6"/>
      <x:c r="M269" s="6"/>
      <x:c r="N269" s="6"/>
      <x:c r="O269" s="6"/>
      <x:c r="P269" s="6"/>
      <x:c r="Q269" s="6"/>
      <x:c r="R269" s="6"/>
      <x:c r="S269" s="6"/>
      <x:c r="T269" s="6"/>
      <x:c r="U269" s="6"/>
      <x:c r="V269" s="6" t="str">
        <x:f>IF(ISBLANK('_INSTANCE'!B269),"",'_INSTANCE'!B269)</x:f>
      </x:c>
      <x:c r="W269" s="6" t="str">
        <x:f>IF(ISBLANK('_INSTANCE'!F269),"",'_INSTANCE'!F269)</x:f>
      </x:c>
      <x:c r="X269" s="6"/>
      <x:c r="Y269" s="6"/>
      <x:c r="Z269" s="6"/>
      <x:c r="AA269" s="6"/>
      <x:c r="AB269" s="6"/>
      <x:c r="AC269" s="6"/>
      <x:c r="AD269" s="6"/>
      <x:c r="AE269" s="6"/>
      <x:c r="AF269" s="6"/>
    </x:row>
    <x:row r="270">
      <x:c r="A270" s="6"/>
      <x:c r="B270" s="6"/>
      <x:c r="C270" s="6"/>
      <x:c r="D270" s="6"/>
      <x:c r="E270" s="6"/>
      <x:c r="F270" s="6"/>
      <x:c r="G270" s="6"/>
      <x:c r="H270" s="6"/>
      <x:c r="I270" s="6"/>
      <x:c r="J270" s="6"/>
      <x:c r="K270" s="6"/>
      <x:c r="L270" s="6"/>
      <x:c r="M270" s="6"/>
      <x:c r="N270" s="6"/>
      <x:c r="O270" s="6"/>
      <x:c r="P270" s="6"/>
      <x:c r="Q270" s="6"/>
      <x:c r="R270" s="6"/>
      <x:c r="S270" s="6"/>
      <x:c r="T270" s="6"/>
      <x:c r="U270" s="6"/>
      <x:c r="V270" s="6" t="str">
        <x:f>IF(ISBLANK('_INSTANCE'!B270),"",'_INSTANCE'!B270)</x:f>
      </x:c>
      <x:c r="W270" s="6" t="str">
        <x:f>IF(ISBLANK('_INSTANCE'!F270),"",'_INSTANCE'!F270)</x:f>
      </x:c>
      <x:c r="X270" s="6"/>
      <x:c r="Y270" s="6"/>
      <x:c r="Z270" s="6"/>
      <x:c r="AA270" s="6"/>
      <x:c r="AB270" s="6"/>
      <x:c r="AC270" s="6"/>
      <x:c r="AD270" s="6"/>
      <x:c r="AE270" s="6"/>
      <x:c r="AF270" s="6"/>
    </x:row>
    <x:row r="271">
      <x:c r="A271" s="6"/>
      <x:c r="B271" s="6"/>
      <x:c r="C271" s="6"/>
      <x:c r="D271" s="6"/>
      <x:c r="E271" s="6"/>
      <x:c r="F271" s="6"/>
      <x:c r="G271" s="6"/>
      <x:c r="H271" s="6"/>
      <x:c r="I271" s="6"/>
      <x:c r="J271" s="6"/>
      <x:c r="K271" s="6"/>
      <x:c r="L271" s="6"/>
      <x:c r="M271" s="6"/>
      <x:c r="N271" s="6"/>
      <x:c r="O271" s="6"/>
      <x:c r="P271" s="6"/>
      <x:c r="Q271" s="6"/>
      <x:c r="R271" s="6"/>
      <x:c r="S271" s="6"/>
      <x:c r="T271" s="6"/>
      <x:c r="U271" s="6"/>
      <x:c r="V271" s="6" t="str">
        <x:f>IF(ISBLANK('_INSTANCE'!B271),"",'_INSTANCE'!B271)</x:f>
      </x:c>
      <x:c r="W271" s="6" t="str">
        <x:f>IF(ISBLANK('_INSTANCE'!F271),"",'_INSTANCE'!F271)</x:f>
      </x:c>
      <x:c r="X271" s="6"/>
      <x:c r="Y271" s="6"/>
      <x:c r="Z271" s="6"/>
      <x:c r="AA271" s="6"/>
      <x:c r="AB271" s="6"/>
      <x:c r="AC271" s="6"/>
      <x:c r="AD271" s="6"/>
      <x:c r="AE271" s="6"/>
      <x:c r="AF271" s="6"/>
    </x:row>
    <x:row r="272">
      <x:c r="A272" s="6"/>
      <x:c r="B272" s="6"/>
      <x:c r="C272" s="6"/>
      <x:c r="D272" s="6"/>
      <x:c r="E272" s="6"/>
      <x:c r="F272" s="6"/>
      <x:c r="G272" s="6"/>
      <x:c r="H272" s="6"/>
      <x:c r="I272" s="6"/>
      <x:c r="J272" s="6"/>
      <x:c r="K272" s="6"/>
      <x:c r="L272" s="6"/>
      <x:c r="M272" s="6"/>
      <x:c r="N272" s="6"/>
      <x:c r="O272" s="6"/>
      <x:c r="P272" s="6"/>
      <x:c r="Q272" s="6"/>
      <x:c r="R272" s="6"/>
      <x:c r="S272" s="6"/>
      <x:c r="T272" s="6"/>
      <x:c r="U272" s="6"/>
      <x:c r="V272" s="6" t="str">
        <x:f>IF(ISBLANK('_INSTANCE'!B272),"",'_INSTANCE'!B272)</x:f>
      </x:c>
      <x:c r="W272" s="6" t="str">
        <x:f>IF(ISBLANK('_INSTANCE'!F272),"",'_INSTANCE'!F272)</x:f>
      </x:c>
      <x:c r="X272" s="6"/>
      <x:c r="Y272" s="6"/>
      <x:c r="Z272" s="6"/>
      <x:c r="AA272" s="6"/>
      <x:c r="AB272" s="6"/>
      <x:c r="AC272" s="6"/>
      <x:c r="AD272" s="6"/>
      <x:c r="AE272" s="6"/>
      <x:c r="AF272" s="6"/>
    </x:row>
    <x:row r="273">
      <x:c r="A273" s="6"/>
      <x:c r="B273" s="6"/>
      <x:c r="C273" s="6"/>
      <x:c r="D273" s="6"/>
      <x:c r="E273" s="6"/>
      <x:c r="F273" s="6"/>
      <x:c r="G273" s="6"/>
      <x:c r="H273" s="6"/>
      <x:c r="I273" s="6"/>
      <x:c r="J273" s="6"/>
      <x:c r="K273" s="6"/>
      <x:c r="L273" s="6"/>
      <x:c r="M273" s="6"/>
      <x:c r="N273" s="6"/>
      <x:c r="O273" s="6"/>
      <x:c r="P273" s="6"/>
      <x:c r="Q273" s="6"/>
      <x:c r="R273" s="6"/>
      <x:c r="S273" s="6"/>
      <x:c r="T273" s="6"/>
      <x:c r="U273" s="6"/>
      <x:c r="V273" s="6" t="str">
        <x:f>IF(ISBLANK('_INSTANCE'!B273),"",'_INSTANCE'!B273)</x:f>
      </x:c>
      <x:c r="W273" s="6" t="str">
        <x:f>IF(ISBLANK('_INSTANCE'!F273),"",'_INSTANCE'!F273)</x:f>
      </x:c>
      <x:c r="X273" s="6"/>
      <x:c r="Y273" s="6"/>
      <x:c r="Z273" s="6"/>
      <x:c r="AA273" s="6"/>
      <x:c r="AB273" s="6"/>
      <x:c r="AC273" s="6"/>
      <x:c r="AD273" s="6"/>
      <x:c r="AE273" s="6"/>
      <x:c r="AF273" s="6"/>
    </x:row>
    <x:row r="274">
      <x:c r="A274" s="6"/>
      <x:c r="B274" s="6"/>
      <x:c r="C274" s="6"/>
      <x:c r="D274" s="6"/>
      <x:c r="E274" s="6"/>
      <x:c r="F274" s="6"/>
      <x:c r="G274" s="6"/>
      <x:c r="H274" s="6"/>
      <x:c r="I274" s="6"/>
      <x:c r="J274" s="6"/>
      <x:c r="K274" s="6"/>
      <x:c r="L274" s="6"/>
      <x:c r="M274" s="6"/>
      <x:c r="N274" s="6"/>
      <x:c r="O274" s="6"/>
      <x:c r="P274" s="6"/>
      <x:c r="Q274" s="6"/>
      <x:c r="R274" s="6"/>
      <x:c r="S274" s="6"/>
      <x:c r="T274" s="6"/>
      <x:c r="U274" s="6"/>
      <x:c r="V274" s="6" t="str">
        <x:f>IF(ISBLANK('_INSTANCE'!B274),"",'_INSTANCE'!B274)</x:f>
      </x:c>
      <x:c r="W274" s="6" t="str">
        <x:f>IF(ISBLANK('_INSTANCE'!F274),"",'_INSTANCE'!F274)</x:f>
      </x:c>
      <x:c r="X274" s="6"/>
      <x:c r="Y274" s="6"/>
      <x:c r="Z274" s="6"/>
      <x:c r="AA274" s="6"/>
      <x:c r="AB274" s="6"/>
      <x:c r="AC274" s="6"/>
      <x:c r="AD274" s="6"/>
      <x:c r="AE274" s="6"/>
      <x:c r="AF274" s="6"/>
    </x:row>
    <x:row r="275">
      <x:c r="A275" s="6"/>
      <x:c r="B275" s="6"/>
      <x:c r="C275" s="6"/>
      <x:c r="D275" s="6"/>
      <x:c r="E275" s="6"/>
      <x:c r="F275" s="6"/>
      <x:c r="G275" s="6"/>
      <x:c r="H275" s="6"/>
      <x:c r="I275" s="6"/>
      <x:c r="J275" s="6"/>
      <x:c r="K275" s="6"/>
      <x:c r="L275" s="6"/>
      <x:c r="M275" s="6"/>
      <x:c r="N275" s="6"/>
      <x:c r="O275" s="6"/>
      <x:c r="P275" s="6"/>
      <x:c r="Q275" s="6"/>
      <x:c r="R275" s="6"/>
      <x:c r="S275" s="6"/>
      <x:c r="T275" s="6"/>
      <x:c r="U275" s="6"/>
      <x:c r="V275" s="6" t="str">
        <x:f>IF(ISBLANK('_INSTANCE'!B275),"",'_INSTANCE'!B275)</x:f>
      </x:c>
      <x:c r="W275" s="6" t="str">
        <x:f>IF(ISBLANK('_INSTANCE'!F275),"",'_INSTANCE'!F275)</x:f>
      </x:c>
      <x:c r="X275" s="6"/>
      <x:c r="Y275" s="6"/>
      <x:c r="Z275" s="6"/>
      <x:c r="AA275" s="6"/>
      <x:c r="AB275" s="6"/>
      <x:c r="AC275" s="6"/>
      <x:c r="AD275" s="6"/>
      <x:c r="AE275" s="6"/>
      <x:c r="AF275" s="6"/>
    </x:row>
    <x:row r="276">
      <x:c r="A276" s="6"/>
      <x:c r="B276" s="6"/>
      <x:c r="C276" s="6"/>
      <x:c r="D276" s="6"/>
      <x:c r="E276" s="6"/>
      <x:c r="F276" s="6"/>
      <x:c r="G276" s="6"/>
      <x:c r="H276" s="6"/>
      <x:c r="I276" s="6"/>
      <x:c r="J276" s="6"/>
      <x:c r="K276" s="6"/>
      <x:c r="L276" s="6"/>
      <x:c r="M276" s="6"/>
      <x:c r="N276" s="6"/>
      <x:c r="O276" s="6"/>
      <x:c r="P276" s="6"/>
      <x:c r="Q276" s="6"/>
      <x:c r="R276" s="6"/>
      <x:c r="S276" s="6"/>
      <x:c r="T276" s="6"/>
      <x:c r="U276" s="6"/>
      <x:c r="V276" s="6" t="str">
        <x:f>IF(ISBLANK('_INSTANCE'!B276),"",'_INSTANCE'!B276)</x:f>
      </x:c>
      <x:c r="W276" s="6" t="str">
        <x:f>IF(ISBLANK('_INSTANCE'!F276),"",'_INSTANCE'!F276)</x:f>
      </x:c>
      <x:c r="X276" s="6"/>
      <x:c r="Y276" s="6"/>
      <x:c r="Z276" s="6"/>
      <x:c r="AA276" s="6"/>
      <x:c r="AB276" s="6"/>
      <x:c r="AC276" s="6"/>
      <x:c r="AD276" s="6"/>
      <x:c r="AE276" s="6"/>
      <x:c r="AF276" s="6"/>
    </x:row>
    <x:row r="277">
      <x:c r="A277" s="6"/>
      <x:c r="B277" s="6"/>
      <x:c r="C277" s="6"/>
      <x:c r="D277" s="6"/>
      <x:c r="E277" s="6"/>
      <x:c r="F277" s="6"/>
      <x:c r="G277" s="6"/>
      <x:c r="H277" s="6"/>
      <x:c r="I277" s="6"/>
      <x:c r="J277" s="6"/>
      <x:c r="K277" s="6"/>
      <x:c r="L277" s="6"/>
      <x:c r="M277" s="6"/>
      <x:c r="N277" s="6"/>
      <x:c r="O277" s="6"/>
      <x:c r="P277" s="6"/>
      <x:c r="Q277" s="6"/>
      <x:c r="R277" s="6"/>
      <x:c r="S277" s="6"/>
      <x:c r="T277" s="6"/>
      <x:c r="U277" s="6"/>
      <x:c r="V277" s="6" t="str">
        <x:f>IF(ISBLANK('_INSTANCE'!B277),"",'_INSTANCE'!B277)</x:f>
      </x:c>
      <x:c r="W277" s="6" t="str">
        <x:f>IF(ISBLANK('_INSTANCE'!F277),"",'_INSTANCE'!F277)</x:f>
      </x:c>
      <x:c r="X277" s="6"/>
      <x:c r="Y277" s="6"/>
      <x:c r="Z277" s="6"/>
      <x:c r="AA277" s="6"/>
      <x:c r="AB277" s="6"/>
      <x:c r="AC277" s="6"/>
      <x:c r="AD277" s="6"/>
      <x:c r="AE277" s="6"/>
      <x:c r="AF277" s="6"/>
    </x:row>
    <x:row r="278">
      <x:c r="A278" s="6"/>
      <x:c r="B278" s="6"/>
      <x:c r="C278" s="6"/>
      <x:c r="D278" s="6"/>
      <x:c r="E278" s="6"/>
      <x:c r="F278" s="6"/>
      <x:c r="G278" s="6"/>
      <x:c r="H278" s="6"/>
      <x:c r="I278" s="6"/>
      <x:c r="J278" s="6"/>
      <x:c r="K278" s="6"/>
      <x:c r="L278" s="6"/>
      <x:c r="M278" s="6"/>
      <x:c r="N278" s="6"/>
      <x:c r="O278" s="6"/>
      <x:c r="P278" s="6"/>
      <x:c r="Q278" s="6"/>
      <x:c r="R278" s="6"/>
      <x:c r="S278" s="6"/>
      <x:c r="T278" s="6"/>
      <x:c r="U278" s="6"/>
      <x:c r="V278" s="6" t="str">
        <x:f>IF(ISBLANK('_INSTANCE'!B278),"",'_INSTANCE'!B278)</x:f>
      </x:c>
      <x:c r="W278" s="6" t="str">
        <x:f>IF(ISBLANK('_INSTANCE'!F278),"",'_INSTANCE'!F278)</x:f>
      </x:c>
      <x:c r="X278" s="6"/>
      <x:c r="Y278" s="6"/>
      <x:c r="Z278" s="6"/>
      <x:c r="AA278" s="6"/>
      <x:c r="AB278" s="6"/>
      <x:c r="AC278" s="6"/>
      <x:c r="AD278" s="6"/>
      <x:c r="AE278" s="6"/>
      <x:c r="AF278" s="6"/>
    </x:row>
    <x:row r="279">
      <x:c r="A279" s="6"/>
      <x:c r="B279" s="6"/>
      <x:c r="C279" s="6"/>
      <x:c r="D279" s="6"/>
      <x:c r="E279" s="6"/>
      <x:c r="F279" s="6"/>
      <x:c r="G279" s="6"/>
      <x:c r="H279" s="6"/>
      <x:c r="I279" s="6"/>
      <x:c r="J279" s="6"/>
      <x:c r="K279" s="6"/>
      <x:c r="L279" s="6"/>
      <x:c r="M279" s="6"/>
      <x:c r="N279" s="6"/>
      <x:c r="O279" s="6"/>
      <x:c r="P279" s="6"/>
      <x:c r="Q279" s="6"/>
      <x:c r="R279" s="6"/>
      <x:c r="S279" s="6"/>
      <x:c r="T279" s="6"/>
      <x:c r="U279" s="6"/>
      <x:c r="V279" s="6" t="str">
        <x:f>IF(ISBLANK('_INSTANCE'!B279),"",'_INSTANCE'!B279)</x:f>
      </x:c>
      <x:c r="W279" s="6" t="str">
        <x:f>IF(ISBLANK('_INSTANCE'!F279),"",'_INSTANCE'!F279)</x:f>
      </x:c>
      <x:c r="X279" s="6"/>
      <x:c r="Y279" s="6"/>
      <x:c r="Z279" s="6"/>
      <x:c r="AA279" s="6"/>
      <x:c r="AB279" s="6"/>
      <x:c r="AC279" s="6"/>
      <x:c r="AD279" s="6"/>
      <x:c r="AE279" s="6"/>
      <x:c r="AF279" s="6"/>
    </x:row>
    <x:row r="280">
      <x:c r="A280" s="6"/>
      <x:c r="B280" s="6"/>
      <x:c r="C280" s="6"/>
      <x:c r="D280" s="6"/>
      <x:c r="E280" s="6"/>
      <x:c r="F280" s="6"/>
      <x:c r="G280" s="6"/>
      <x:c r="H280" s="6"/>
      <x:c r="I280" s="6"/>
      <x:c r="J280" s="6"/>
      <x:c r="K280" s="6"/>
      <x:c r="L280" s="6"/>
      <x:c r="M280" s="6"/>
      <x:c r="N280" s="6"/>
      <x:c r="O280" s="6"/>
      <x:c r="P280" s="6"/>
      <x:c r="Q280" s="6"/>
      <x:c r="R280" s="6"/>
      <x:c r="S280" s="6"/>
      <x:c r="T280" s="6"/>
      <x:c r="U280" s="6"/>
      <x:c r="V280" s="6" t="str">
        <x:f>IF(ISBLANK('_INSTANCE'!B280),"",'_INSTANCE'!B280)</x:f>
      </x:c>
      <x:c r="W280" s="6" t="str">
        <x:f>IF(ISBLANK('_INSTANCE'!F280),"",'_INSTANCE'!F280)</x:f>
      </x:c>
      <x:c r="X280" s="6"/>
      <x:c r="Y280" s="6"/>
      <x:c r="Z280" s="6"/>
      <x:c r="AA280" s="6"/>
      <x:c r="AB280" s="6"/>
      <x:c r="AC280" s="6"/>
      <x:c r="AD280" s="6"/>
      <x:c r="AE280" s="6"/>
      <x:c r="AF280" s="6"/>
    </x:row>
    <x:row r="281">
      <x:c r="A281" s="6"/>
      <x:c r="B281" s="6"/>
      <x:c r="C281" s="6"/>
      <x:c r="D281" s="6"/>
      <x:c r="E281" s="6"/>
      <x:c r="F281" s="6"/>
      <x:c r="G281" s="6"/>
      <x:c r="H281" s="6"/>
      <x:c r="I281" s="6"/>
      <x:c r="J281" s="6"/>
      <x:c r="K281" s="6"/>
      <x:c r="L281" s="6"/>
      <x:c r="M281" s="6"/>
      <x:c r="N281" s="6"/>
      <x:c r="O281" s="6"/>
      <x:c r="P281" s="6"/>
      <x:c r="Q281" s="6"/>
      <x:c r="R281" s="6"/>
      <x:c r="S281" s="6"/>
      <x:c r="T281" s="6"/>
      <x:c r="U281" s="6"/>
      <x:c r="V281" s="6" t="str">
        <x:f>IF(ISBLANK('_INSTANCE'!B281),"",'_INSTANCE'!B281)</x:f>
      </x:c>
      <x:c r="W281" s="6" t="str">
        <x:f>IF(ISBLANK('_INSTANCE'!F281),"",'_INSTANCE'!F281)</x:f>
      </x:c>
      <x:c r="X281" s="6"/>
      <x:c r="Y281" s="6"/>
      <x:c r="Z281" s="6"/>
      <x:c r="AA281" s="6"/>
      <x:c r="AB281" s="6"/>
      <x:c r="AC281" s="6"/>
      <x:c r="AD281" s="6"/>
      <x:c r="AE281" s="6"/>
      <x:c r="AF281" s="6"/>
    </x:row>
    <x:row r="282">
      <x:c r="A282" s="6"/>
      <x:c r="B282" s="6"/>
      <x:c r="C282" s="6"/>
      <x:c r="D282" s="6"/>
      <x:c r="E282" s="6"/>
      <x:c r="F282" s="6"/>
      <x:c r="G282" s="6"/>
      <x:c r="H282" s="6"/>
      <x:c r="I282" s="6"/>
      <x:c r="J282" s="6"/>
      <x:c r="K282" s="6"/>
      <x:c r="L282" s="6"/>
      <x:c r="M282" s="6"/>
      <x:c r="N282" s="6"/>
      <x:c r="O282" s="6"/>
      <x:c r="P282" s="6"/>
      <x:c r="Q282" s="6"/>
      <x:c r="R282" s="6"/>
      <x:c r="S282" s="6"/>
      <x:c r="T282" s="6"/>
      <x:c r="U282" s="6"/>
      <x:c r="V282" s="6" t="str">
        <x:f>IF(ISBLANK('_INSTANCE'!B282),"",'_INSTANCE'!B282)</x:f>
      </x:c>
      <x:c r="W282" s="6" t="str">
        <x:f>IF(ISBLANK('_INSTANCE'!F282),"",'_INSTANCE'!F282)</x:f>
      </x:c>
      <x:c r="X282" s="6"/>
      <x:c r="Y282" s="6"/>
      <x:c r="Z282" s="6"/>
      <x:c r="AA282" s="6"/>
      <x:c r="AB282" s="6"/>
      <x:c r="AC282" s="6"/>
      <x:c r="AD282" s="6"/>
      <x:c r="AE282" s="6"/>
      <x:c r="AF282" s="6"/>
    </x:row>
    <x:row r="283">
      <x:c r="A283" s="6"/>
      <x:c r="B283" s="6"/>
      <x:c r="C283" s="6"/>
      <x:c r="D283" s="6"/>
      <x:c r="E283" s="6"/>
      <x:c r="F283" s="6"/>
      <x:c r="G283" s="6"/>
      <x:c r="H283" s="6"/>
      <x:c r="I283" s="6"/>
      <x:c r="J283" s="6"/>
      <x:c r="K283" s="6"/>
      <x:c r="L283" s="6"/>
      <x:c r="M283" s="6"/>
      <x:c r="N283" s="6"/>
      <x:c r="O283" s="6"/>
      <x:c r="P283" s="6"/>
      <x:c r="Q283" s="6"/>
      <x:c r="R283" s="6"/>
      <x:c r="S283" s="6"/>
      <x:c r="T283" s="6"/>
      <x:c r="U283" s="6"/>
      <x:c r="V283" s="6" t="str">
        <x:f>IF(ISBLANK('_INSTANCE'!B283),"",'_INSTANCE'!B283)</x:f>
      </x:c>
      <x:c r="W283" s="6" t="str">
        <x:f>IF(ISBLANK('_INSTANCE'!F283),"",'_INSTANCE'!F283)</x:f>
      </x:c>
      <x:c r="X283" s="6"/>
      <x:c r="Y283" s="6"/>
      <x:c r="Z283" s="6"/>
      <x:c r="AA283" s="6"/>
      <x:c r="AB283" s="6"/>
      <x:c r="AC283" s="6"/>
      <x:c r="AD283" s="6"/>
      <x:c r="AE283" s="6"/>
      <x:c r="AF283" s="6"/>
    </x:row>
    <x:row r="284">
      <x:c r="A284" s="6"/>
      <x:c r="B284" s="6"/>
      <x:c r="C284" s="6"/>
      <x:c r="D284" s="6"/>
      <x:c r="E284" s="6"/>
      <x:c r="F284" s="6"/>
      <x:c r="G284" s="6"/>
      <x:c r="H284" s="6"/>
      <x:c r="I284" s="6"/>
      <x:c r="J284" s="6"/>
      <x:c r="K284" s="6"/>
      <x:c r="L284" s="6"/>
      <x:c r="M284" s="6"/>
      <x:c r="N284" s="6"/>
      <x:c r="O284" s="6"/>
      <x:c r="P284" s="6"/>
      <x:c r="Q284" s="6"/>
      <x:c r="R284" s="6"/>
      <x:c r="S284" s="6"/>
      <x:c r="T284" s="6"/>
      <x:c r="U284" s="6"/>
      <x:c r="V284" s="6" t="str">
        <x:f>IF(ISBLANK('_INSTANCE'!B284),"",'_INSTANCE'!B284)</x:f>
      </x:c>
      <x:c r="W284" s="6" t="str">
        <x:f>IF(ISBLANK('_INSTANCE'!F284),"",'_INSTANCE'!F284)</x:f>
      </x:c>
      <x:c r="X284" s="6"/>
      <x:c r="Y284" s="6"/>
      <x:c r="Z284" s="6"/>
      <x:c r="AA284" s="6"/>
      <x:c r="AB284" s="6"/>
      <x:c r="AC284" s="6"/>
      <x:c r="AD284" s="6"/>
      <x:c r="AE284" s="6"/>
      <x:c r="AF284" s="6"/>
    </x:row>
    <x:row r="285">
      <x:c r="A285" s="6"/>
      <x:c r="B285" s="6"/>
      <x:c r="C285" s="6"/>
      <x:c r="D285" s="6"/>
      <x:c r="E285" s="6"/>
      <x:c r="F285" s="6"/>
      <x:c r="G285" s="6"/>
      <x:c r="H285" s="6"/>
      <x:c r="I285" s="6"/>
      <x:c r="J285" s="6"/>
      <x:c r="K285" s="6"/>
      <x:c r="L285" s="6"/>
      <x:c r="M285" s="6"/>
      <x:c r="N285" s="6"/>
      <x:c r="O285" s="6"/>
      <x:c r="P285" s="6"/>
      <x:c r="Q285" s="6"/>
      <x:c r="R285" s="6"/>
      <x:c r="S285" s="6"/>
      <x:c r="T285" s="6"/>
      <x:c r="U285" s="6"/>
      <x:c r="V285" s="6" t="str">
        <x:f>IF(ISBLANK('_INSTANCE'!B285),"",'_INSTANCE'!B285)</x:f>
      </x:c>
      <x:c r="W285" s="6" t="str">
        <x:f>IF(ISBLANK('_INSTANCE'!F285),"",'_INSTANCE'!F285)</x:f>
      </x:c>
      <x:c r="X285" s="6"/>
      <x:c r="Y285" s="6"/>
      <x:c r="Z285" s="6"/>
      <x:c r="AA285" s="6"/>
      <x:c r="AB285" s="6"/>
      <x:c r="AC285" s="6"/>
      <x:c r="AD285" s="6"/>
      <x:c r="AE285" s="6"/>
      <x:c r="AF285" s="6"/>
    </x:row>
    <x:row r="286">
      <x:c r="A286" s="6"/>
      <x:c r="B286" s="6"/>
      <x:c r="C286" s="6"/>
      <x:c r="D286" s="6"/>
      <x:c r="E286" s="6"/>
      <x:c r="F286" s="6"/>
      <x:c r="G286" s="6"/>
      <x:c r="H286" s="6"/>
      <x:c r="I286" s="6"/>
      <x:c r="J286" s="6"/>
      <x:c r="K286" s="6"/>
      <x:c r="L286" s="6"/>
      <x:c r="M286" s="6"/>
      <x:c r="N286" s="6"/>
      <x:c r="O286" s="6"/>
      <x:c r="P286" s="6"/>
      <x:c r="Q286" s="6"/>
      <x:c r="R286" s="6"/>
      <x:c r="S286" s="6"/>
      <x:c r="T286" s="6"/>
      <x:c r="U286" s="6"/>
      <x:c r="V286" s="6" t="str">
        <x:f>IF(ISBLANK('_INSTANCE'!B286),"",'_INSTANCE'!B286)</x:f>
      </x:c>
      <x:c r="W286" s="6" t="str">
        <x:f>IF(ISBLANK('_INSTANCE'!F286),"",'_INSTANCE'!F286)</x:f>
      </x:c>
      <x:c r="X286" s="6"/>
      <x:c r="Y286" s="6"/>
      <x:c r="Z286" s="6"/>
      <x:c r="AA286" s="6"/>
      <x:c r="AB286" s="6"/>
      <x:c r="AC286" s="6"/>
      <x:c r="AD286" s="6"/>
      <x:c r="AE286" s="6"/>
      <x:c r="AF286" s="6"/>
    </x:row>
    <x:row r="287">
      <x:c r="A287" s="6"/>
      <x:c r="B287" s="6"/>
      <x:c r="C287" s="6"/>
      <x:c r="D287" s="6"/>
      <x:c r="E287" s="6"/>
      <x:c r="F287" s="6"/>
      <x:c r="G287" s="6"/>
      <x:c r="H287" s="6"/>
      <x:c r="I287" s="6"/>
      <x:c r="J287" s="6"/>
      <x:c r="K287" s="6"/>
      <x:c r="L287" s="6"/>
      <x:c r="M287" s="6"/>
      <x:c r="N287" s="6"/>
      <x:c r="O287" s="6"/>
      <x:c r="P287" s="6"/>
      <x:c r="Q287" s="6"/>
      <x:c r="R287" s="6"/>
      <x:c r="S287" s="6"/>
      <x:c r="T287" s="6"/>
      <x:c r="U287" s="6"/>
      <x:c r="V287" s="6" t="str">
        <x:f>IF(ISBLANK('_INSTANCE'!B287),"",'_INSTANCE'!B287)</x:f>
      </x:c>
      <x:c r="W287" s="6" t="str">
        <x:f>IF(ISBLANK('_INSTANCE'!F287),"",'_INSTANCE'!F287)</x:f>
      </x:c>
      <x:c r="X287" s="6"/>
      <x:c r="Y287" s="6"/>
      <x:c r="Z287" s="6"/>
      <x:c r="AA287" s="6"/>
      <x:c r="AB287" s="6"/>
      <x:c r="AC287" s="6"/>
      <x:c r="AD287" s="6"/>
      <x:c r="AE287" s="6"/>
      <x:c r="AF287" s="6"/>
    </x:row>
    <x:row r="288">
      <x:c r="A288" s="6"/>
      <x:c r="B288" s="6"/>
      <x:c r="C288" s="6"/>
      <x:c r="D288" s="6"/>
      <x:c r="E288" s="6"/>
      <x:c r="F288" s="6"/>
      <x:c r="G288" s="6"/>
      <x:c r="H288" s="6"/>
      <x:c r="I288" s="6"/>
      <x:c r="J288" s="6"/>
      <x:c r="K288" s="6"/>
      <x:c r="L288" s="6"/>
      <x:c r="M288" s="6"/>
      <x:c r="N288" s="6"/>
      <x:c r="O288" s="6"/>
      <x:c r="P288" s="6"/>
      <x:c r="Q288" s="6"/>
      <x:c r="R288" s="6"/>
      <x:c r="S288" s="6"/>
      <x:c r="T288" s="6"/>
      <x:c r="U288" s="6"/>
      <x:c r="V288" s="6" t="str">
        <x:f>IF(ISBLANK('_INSTANCE'!B288),"",'_INSTANCE'!B288)</x:f>
      </x:c>
      <x:c r="W288" s="6" t="str">
        <x:f>IF(ISBLANK('_INSTANCE'!F288),"",'_INSTANCE'!F288)</x:f>
      </x:c>
      <x:c r="X288" s="6"/>
      <x:c r="Y288" s="6"/>
      <x:c r="Z288" s="6"/>
      <x:c r="AA288" s="6"/>
      <x:c r="AB288" s="6"/>
      <x:c r="AC288" s="6"/>
      <x:c r="AD288" s="6"/>
      <x:c r="AE288" s="6"/>
      <x:c r="AF288" s="6"/>
    </x:row>
    <x:row r="289">
      <x:c r="A289" s="6"/>
      <x:c r="B289" s="6"/>
      <x:c r="C289" s="6"/>
      <x:c r="D289" s="6"/>
      <x:c r="E289" s="6"/>
      <x:c r="F289" s="6"/>
      <x:c r="G289" s="6"/>
      <x:c r="H289" s="6"/>
      <x:c r="I289" s="6"/>
      <x:c r="J289" s="6"/>
      <x:c r="K289" s="6"/>
      <x:c r="L289" s="6"/>
      <x:c r="M289" s="6"/>
      <x:c r="N289" s="6"/>
      <x:c r="O289" s="6"/>
      <x:c r="P289" s="6"/>
      <x:c r="Q289" s="6"/>
      <x:c r="R289" s="6"/>
      <x:c r="S289" s="6"/>
      <x:c r="T289" s="6"/>
      <x:c r="U289" s="6"/>
      <x:c r="V289" s="6" t="str">
        <x:f>IF(ISBLANK('_INSTANCE'!B289),"",'_INSTANCE'!B289)</x:f>
      </x:c>
      <x:c r="W289" s="6" t="str">
        <x:f>IF(ISBLANK('_INSTANCE'!F289),"",'_INSTANCE'!F289)</x:f>
      </x:c>
      <x:c r="X289" s="6"/>
      <x:c r="Y289" s="6"/>
      <x:c r="Z289" s="6"/>
      <x:c r="AA289" s="6"/>
      <x:c r="AB289" s="6"/>
      <x:c r="AC289" s="6"/>
      <x:c r="AD289" s="6"/>
      <x:c r="AE289" s="6"/>
      <x:c r="AF289" s="6"/>
    </x:row>
    <x:row r="290">
      <x:c r="A290" s="6"/>
      <x:c r="B290" s="6"/>
      <x:c r="C290" s="6"/>
      <x:c r="D290" s="6"/>
      <x:c r="E290" s="6"/>
      <x:c r="F290" s="6"/>
      <x:c r="G290" s="6"/>
      <x:c r="H290" s="6"/>
      <x:c r="I290" s="6"/>
      <x:c r="J290" s="6"/>
      <x:c r="K290" s="6"/>
      <x:c r="L290" s="6"/>
      <x:c r="M290" s="6"/>
      <x:c r="N290" s="6"/>
      <x:c r="O290" s="6"/>
      <x:c r="P290" s="6"/>
      <x:c r="Q290" s="6"/>
      <x:c r="R290" s="6"/>
      <x:c r="S290" s="6"/>
      <x:c r="T290" s="6"/>
      <x:c r="U290" s="6"/>
      <x:c r="V290" s="6" t="str">
        <x:f>IF(ISBLANK('_INSTANCE'!B290),"",'_INSTANCE'!B290)</x:f>
      </x:c>
      <x:c r="W290" s="6" t="str">
        <x:f>IF(ISBLANK('_INSTANCE'!F290),"",'_INSTANCE'!F290)</x:f>
      </x:c>
      <x:c r="X290" s="6"/>
      <x:c r="Y290" s="6"/>
      <x:c r="Z290" s="6"/>
      <x:c r="AA290" s="6"/>
      <x:c r="AB290" s="6"/>
      <x:c r="AC290" s="6"/>
      <x:c r="AD290" s="6"/>
      <x:c r="AE290" s="6"/>
      <x:c r="AF290" s="6"/>
    </x:row>
    <x:row r="291">
      <x:c r="A291" s="6"/>
      <x:c r="B291" s="6"/>
      <x:c r="C291" s="6"/>
      <x:c r="D291" s="6"/>
      <x:c r="E291" s="6"/>
      <x:c r="F291" s="6"/>
      <x:c r="G291" s="6"/>
      <x:c r="H291" s="6"/>
      <x:c r="I291" s="6"/>
      <x:c r="J291" s="6"/>
      <x:c r="K291" s="6"/>
      <x:c r="L291" s="6"/>
      <x:c r="M291" s="6"/>
      <x:c r="N291" s="6"/>
      <x:c r="O291" s="6"/>
      <x:c r="P291" s="6"/>
      <x:c r="Q291" s="6"/>
      <x:c r="R291" s="6"/>
      <x:c r="S291" s="6"/>
      <x:c r="T291" s="6"/>
      <x:c r="U291" s="6"/>
      <x:c r="V291" s="6" t="str">
        <x:f>IF(ISBLANK('_INSTANCE'!B291),"",'_INSTANCE'!B291)</x:f>
      </x:c>
      <x:c r="W291" s="6" t="str">
        <x:f>IF(ISBLANK('_INSTANCE'!F291),"",'_INSTANCE'!F291)</x:f>
      </x:c>
      <x:c r="X291" s="6"/>
      <x:c r="Y291" s="6"/>
      <x:c r="Z291" s="6"/>
      <x:c r="AA291" s="6"/>
      <x:c r="AB291" s="6"/>
      <x:c r="AC291" s="6"/>
      <x:c r="AD291" s="6"/>
      <x:c r="AE291" s="6"/>
      <x:c r="AF291" s="6"/>
    </x:row>
    <x:row r="292">
      <x:c r="A292" s="6"/>
      <x:c r="B292" s="6"/>
      <x:c r="C292" s="6"/>
      <x:c r="D292" s="6"/>
      <x:c r="E292" s="6"/>
      <x:c r="F292" s="6"/>
      <x:c r="G292" s="6"/>
      <x:c r="H292" s="6"/>
      <x:c r="I292" s="6"/>
      <x:c r="J292" s="6"/>
      <x:c r="K292" s="6"/>
      <x:c r="L292" s="6"/>
      <x:c r="M292" s="6"/>
      <x:c r="N292" s="6"/>
      <x:c r="O292" s="6"/>
      <x:c r="P292" s="6"/>
      <x:c r="Q292" s="6"/>
      <x:c r="R292" s="6"/>
      <x:c r="S292" s="6"/>
      <x:c r="T292" s="6"/>
      <x:c r="U292" s="6"/>
      <x:c r="V292" s="6" t="str">
        <x:f>IF(ISBLANK('_INSTANCE'!B292),"",'_INSTANCE'!B292)</x:f>
      </x:c>
      <x:c r="W292" s="6" t="str">
        <x:f>IF(ISBLANK('_INSTANCE'!F292),"",'_INSTANCE'!F292)</x:f>
      </x:c>
      <x:c r="X292" s="6"/>
      <x:c r="Y292" s="6"/>
      <x:c r="Z292" s="6"/>
      <x:c r="AA292" s="6"/>
      <x:c r="AB292" s="6"/>
      <x:c r="AC292" s="6"/>
      <x:c r="AD292" s="6"/>
      <x:c r="AE292" s="6"/>
      <x:c r="AF292" s="6"/>
    </x:row>
    <x:row r="293">
      <x:c r="A293" s="6"/>
      <x:c r="B293" s="6"/>
      <x:c r="C293" s="6"/>
      <x:c r="D293" s="6"/>
      <x:c r="E293" s="6"/>
      <x:c r="F293" s="6"/>
      <x:c r="G293" s="6"/>
      <x:c r="H293" s="6"/>
      <x:c r="I293" s="6"/>
      <x:c r="J293" s="6"/>
      <x:c r="K293" s="6"/>
      <x:c r="L293" s="6"/>
      <x:c r="M293" s="6"/>
      <x:c r="N293" s="6"/>
      <x:c r="O293" s="6"/>
      <x:c r="P293" s="6"/>
      <x:c r="Q293" s="6"/>
      <x:c r="R293" s="6"/>
      <x:c r="S293" s="6"/>
      <x:c r="T293" s="6"/>
      <x:c r="U293" s="6"/>
      <x:c r="V293" s="6" t="str">
        <x:f>IF(ISBLANK('_INSTANCE'!B293),"",'_INSTANCE'!B293)</x:f>
      </x:c>
      <x:c r="W293" s="6" t="str">
        <x:f>IF(ISBLANK('_INSTANCE'!F293),"",'_INSTANCE'!F293)</x:f>
      </x:c>
      <x:c r="X293" s="6"/>
      <x:c r="Y293" s="6"/>
      <x:c r="Z293" s="6"/>
      <x:c r="AA293" s="6"/>
      <x:c r="AB293" s="6"/>
      <x:c r="AC293" s="6"/>
      <x:c r="AD293" s="6"/>
      <x:c r="AE293" s="6"/>
      <x:c r="AF293" s="6"/>
    </x:row>
    <x:row r="294">
      <x:c r="A294" s="6"/>
      <x:c r="B294" s="6"/>
      <x:c r="C294" s="6"/>
      <x:c r="D294" s="6"/>
      <x:c r="E294" s="6"/>
      <x:c r="F294" s="6"/>
      <x:c r="G294" s="6"/>
      <x:c r="H294" s="6"/>
      <x:c r="I294" s="6"/>
      <x:c r="J294" s="6"/>
      <x:c r="K294" s="6"/>
      <x:c r="L294" s="6"/>
      <x:c r="M294" s="6"/>
      <x:c r="N294" s="6"/>
      <x:c r="O294" s="6"/>
      <x:c r="P294" s="6"/>
      <x:c r="Q294" s="6"/>
      <x:c r="R294" s="6"/>
      <x:c r="S294" s="6"/>
      <x:c r="T294" s="6"/>
      <x:c r="U294" s="6"/>
      <x:c r="V294" s="6" t="str">
        <x:f>IF(ISBLANK('_INSTANCE'!B294),"",'_INSTANCE'!B294)</x:f>
      </x:c>
      <x:c r="W294" s="6" t="str">
        <x:f>IF(ISBLANK('_INSTANCE'!F294),"",'_INSTANCE'!F294)</x:f>
      </x:c>
      <x:c r="X294" s="6"/>
      <x:c r="Y294" s="6"/>
      <x:c r="Z294" s="6"/>
      <x:c r="AA294" s="6"/>
      <x:c r="AB294" s="6"/>
      <x:c r="AC294" s="6"/>
      <x:c r="AD294" s="6"/>
      <x:c r="AE294" s="6"/>
      <x:c r="AF294" s="6"/>
    </x:row>
    <x:row r="295">
      <x:c r="A295" s="6"/>
      <x:c r="B295" s="6"/>
      <x:c r="C295" s="6"/>
      <x:c r="D295" s="6"/>
      <x:c r="E295" s="6"/>
      <x:c r="F295" s="6"/>
      <x:c r="G295" s="6"/>
      <x:c r="H295" s="6"/>
      <x:c r="I295" s="6"/>
      <x:c r="J295" s="6"/>
      <x:c r="K295" s="6"/>
      <x:c r="L295" s="6"/>
      <x:c r="M295" s="6"/>
      <x:c r="N295" s="6"/>
      <x:c r="O295" s="6"/>
      <x:c r="P295" s="6"/>
      <x:c r="Q295" s="6"/>
      <x:c r="R295" s="6"/>
      <x:c r="S295" s="6"/>
      <x:c r="T295" s="6"/>
      <x:c r="U295" s="6"/>
      <x:c r="V295" s="6" t="str">
        <x:f>IF(ISBLANK('_INSTANCE'!B295),"",'_INSTANCE'!B295)</x:f>
      </x:c>
      <x:c r="W295" s="6" t="str">
        <x:f>IF(ISBLANK('_INSTANCE'!F295),"",'_INSTANCE'!F295)</x:f>
      </x:c>
      <x:c r="X295" s="6"/>
      <x:c r="Y295" s="6"/>
      <x:c r="Z295" s="6"/>
      <x:c r="AA295" s="6"/>
      <x:c r="AB295" s="6"/>
      <x:c r="AC295" s="6"/>
      <x:c r="AD295" s="6"/>
      <x:c r="AE295" s="6"/>
      <x:c r="AF295" s="6"/>
    </x:row>
    <x:row r="296">
      <x:c r="A296" s="6"/>
      <x:c r="B296" s="6"/>
      <x:c r="C296" s="6"/>
      <x:c r="D296" s="6"/>
      <x:c r="E296" s="6"/>
      <x:c r="F296" s="6"/>
      <x:c r="G296" s="6"/>
      <x:c r="H296" s="6"/>
      <x:c r="I296" s="6"/>
      <x:c r="J296" s="6"/>
      <x:c r="K296" s="6"/>
      <x:c r="L296" s="6"/>
      <x:c r="M296" s="6"/>
      <x:c r="N296" s="6"/>
      <x:c r="O296" s="6"/>
      <x:c r="P296" s="6"/>
      <x:c r="Q296" s="6"/>
      <x:c r="R296" s="6"/>
      <x:c r="S296" s="6"/>
      <x:c r="T296" s="6"/>
      <x:c r="U296" s="6"/>
      <x:c r="V296" s="6" t="str">
        <x:f>IF(ISBLANK('_INSTANCE'!B296),"",'_INSTANCE'!B296)</x:f>
      </x:c>
      <x:c r="W296" s="6" t="str">
        <x:f>IF(ISBLANK('_INSTANCE'!F296),"",'_INSTANCE'!F296)</x:f>
      </x:c>
      <x:c r="X296" s="6"/>
      <x:c r="Y296" s="6"/>
      <x:c r="Z296" s="6"/>
      <x:c r="AA296" s="6"/>
      <x:c r="AB296" s="6"/>
      <x:c r="AC296" s="6"/>
      <x:c r="AD296" s="6"/>
      <x:c r="AE296" s="6"/>
      <x:c r="AF296" s="6"/>
    </x:row>
    <x:row r="297">
      <x:c r="A297" s="6"/>
      <x:c r="B297" s="6"/>
      <x:c r="C297" s="6"/>
      <x:c r="D297" s="6"/>
      <x:c r="E297" s="6"/>
      <x:c r="F297" s="6"/>
      <x:c r="G297" s="6"/>
      <x:c r="H297" s="6"/>
      <x:c r="I297" s="6"/>
      <x:c r="J297" s="6"/>
      <x:c r="K297" s="6"/>
      <x:c r="L297" s="6"/>
      <x:c r="M297" s="6"/>
      <x:c r="N297" s="6"/>
      <x:c r="O297" s="6"/>
      <x:c r="P297" s="6"/>
      <x:c r="Q297" s="6"/>
      <x:c r="R297" s="6"/>
      <x:c r="S297" s="6"/>
      <x:c r="T297" s="6"/>
      <x:c r="U297" s="6"/>
      <x:c r="V297" s="6" t="str">
        <x:f>IF(ISBLANK('_INSTANCE'!B297),"",'_INSTANCE'!B297)</x:f>
      </x:c>
      <x:c r="W297" s="6" t="str">
        <x:f>IF(ISBLANK('_INSTANCE'!F297),"",'_INSTANCE'!F297)</x:f>
      </x:c>
      <x:c r="X297" s="6"/>
      <x:c r="Y297" s="6"/>
      <x:c r="Z297" s="6"/>
      <x:c r="AA297" s="6"/>
      <x:c r="AB297" s="6"/>
      <x:c r="AC297" s="6"/>
      <x:c r="AD297" s="6"/>
      <x:c r="AE297" s="6"/>
      <x:c r="AF297" s="6"/>
    </x:row>
    <x:row r="298">
      <x:c r="A298" s="6"/>
      <x:c r="B298" s="6"/>
      <x:c r="C298" s="6"/>
      <x:c r="D298" s="6"/>
      <x:c r="E298" s="6"/>
      <x:c r="F298" s="6"/>
      <x:c r="G298" s="6"/>
      <x:c r="H298" s="6"/>
      <x:c r="I298" s="6"/>
      <x:c r="J298" s="6"/>
      <x:c r="K298" s="6"/>
      <x:c r="L298" s="6"/>
      <x:c r="M298" s="6"/>
      <x:c r="N298" s="6"/>
      <x:c r="O298" s="6"/>
      <x:c r="P298" s="6"/>
      <x:c r="Q298" s="6"/>
      <x:c r="R298" s="6"/>
      <x:c r="S298" s="6"/>
      <x:c r="T298" s="6"/>
      <x:c r="U298" s="6"/>
      <x:c r="V298" s="6" t="str">
        <x:f>IF(ISBLANK('_INSTANCE'!B298),"",'_INSTANCE'!B298)</x:f>
      </x:c>
      <x:c r="W298" s="6" t="str">
        <x:f>IF(ISBLANK('_INSTANCE'!F298),"",'_INSTANCE'!F298)</x:f>
      </x:c>
      <x:c r="X298" s="6"/>
      <x:c r="Y298" s="6"/>
      <x:c r="Z298" s="6"/>
      <x:c r="AA298" s="6"/>
      <x:c r="AB298" s="6"/>
      <x:c r="AC298" s="6"/>
      <x:c r="AD298" s="6"/>
      <x:c r="AE298" s="6"/>
      <x:c r="AF298" s="6"/>
    </x:row>
    <x:row r="299">
      <x:c r="A299" s="6"/>
      <x:c r="B299" s="6"/>
      <x:c r="C299" s="6"/>
      <x:c r="D299" s="6"/>
      <x:c r="E299" s="6"/>
      <x:c r="F299" s="6"/>
      <x:c r="G299" s="6"/>
      <x:c r="H299" s="6"/>
      <x:c r="I299" s="6"/>
      <x:c r="J299" s="6"/>
      <x:c r="K299" s="6"/>
      <x:c r="L299" s="6"/>
      <x:c r="M299" s="6"/>
      <x:c r="N299" s="6"/>
      <x:c r="O299" s="6"/>
      <x:c r="P299" s="6"/>
      <x:c r="Q299" s="6"/>
      <x:c r="R299" s="6"/>
      <x:c r="S299" s="6"/>
      <x:c r="T299" s="6"/>
      <x:c r="U299" s="6"/>
      <x:c r="V299" s="6" t="str">
        <x:f>IF(ISBLANK('_INSTANCE'!B299),"",'_INSTANCE'!B299)</x:f>
      </x:c>
      <x:c r="W299" s="6" t="str">
        <x:f>IF(ISBLANK('_INSTANCE'!F299),"",'_INSTANCE'!F299)</x:f>
      </x:c>
      <x:c r="X299" s="6"/>
      <x:c r="Y299" s="6"/>
      <x:c r="Z299" s="6"/>
      <x:c r="AA299" s="6"/>
      <x:c r="AB299" s="6"/>
      <x:c r="AC299" s="6"/>
      <x:c r="AD299" s="6"/>
      <x:c r="AE299" s="6"/>
      <x:c r="AF299" s="6"/>
    </x:row>
    <x:row r="300">
      <x:c r="A300" s="6"/>
      <x:c r="B300" s="6"/>
      <x:c r="C300" s="6"/>
      <x:c r="D300" s="6"/>
      <x:c r="E300" s="6"/>
      <x:c r="F300" s="6"/>
      <x:c r="G300" s="6"/>
      <x:c r="H300" s="6"/>
      <x:c r="I300" s="6"/>
      <x:c r="J300" s="6"/>
      <x:c r="K300" s="6"/>
      <x:c r="L300" s="6"/>
      <x:c r="M300" s="6"/>
      <x:c r="N300" s="6"/>
      <x:c r="O300" s="6"/>
      <x:c r="P300" s="6"/>
      <x:c r="Q300" s="6"/>
      <x:c r="R300" s="6"/>
      <x:c r="S300" s="6"/>
      <x:c r="T300" s="6"/>
      <x:c r="U300" s="6"/>
      <x:c r="V300" s="6" t="str">
        <x:f>IF(ISBLANK('_INSTANCE'!B300),"",'_INSTANCE'!B300)</x:f>
      </x:c>
      <x:c r="W300" s="6" t="str">
        <x:f>IF(ISBLANK('_INSTANCE'!F300),"",'_INSTANCE'!F300)</x:f>
      </x:c>
      <x:c r="X300" s="6"/>
      <x:c r="Y300" s="6"/>
      <x:c r="Z300" s="6"/>
      <x:c r="AA300" s="6"/>
      <x:c r="AB300" s="6"/>
      <x:c r="AC300" s="6"/>
      <x:c r="AD300" s="6"/>
      <x:c r="AE300" s="6"/>
      <x:c r="AF300" s="6"/>
    </x:row>
    <x:row r="301">
      <x:c r="A301" s="6"/>
      <x:c r="B301" s="6"/>
      <x:c r="C301" s="6"/>
      <x:c r="D301" s="6"/>
      <x:c r="E301" s="6"/>
      <x:c r="F301" s="6"/>
      <x:c r="G301" s="6"/>
      <x:c r="H301" s="6"/>
      <x:c r="I301" s="6"/>
      <x:c r="J301" s="6"/>
      <x:c r="K301" s="6"/>
      <x:c r="L301" s="6"/>
      <x:c r="M301" s="6"/>
      <x:c r="N301" s="6"/>
      <x:c r="O301" s="6"/>
      <x:c r="P301" s="6"/>
      <x:c r="Q301" s="6"/>
      <x:c r="R301" s="6"/>
      <x:c r="S301" s="6"/>
      <x:c r="T301" s="6"/>
      <x:c r="U301" s="6"/>
      <x:c r="V301" s="6" t="str">
        <x:f>IF(ISBLANK('_INSTANCE'!B301),"",'_INSTANCE'!B301)</x:f>
      </x:c>
      <x:c r="W301" s="6" t="str">
        <x:f>IF(ISBLANK('_INSTANCE'!F301),"",'_INSTANCE'!F301)</x:f>
      </x:c>
      <x:c r="X301" s="6"/>
      <x:c r="Y301" s="6"/>
      <x:c r="Z301" s="6"/>
      <x:c r="AA301" s="6"/>
      <x:c r="AB301" s="6"/>
      <x:c r="AC301" s="6"/>
      <x:c r="AD301" s="6"/>
      <x:c r="AE301" s="6"/>
      <x:c r="AF301" s="6"/>
    </x:row>
    <x:row r="302">
      <x:c r="A302" s="6"/>
      <x:c r="B302" s="6"/>
      <x:c r="C302" s="6"/>
      <x:c r="D302" s="6"/>
      <x:c r="E302" s="6"/>
      <x:c r="F302" s="6"/>
      <x:c r="G302" s="6"/>
      <x:c r="H302" s="6"/>
      <x:c r="I302" s="6"/>
      <x:c r="J302" s="6"/>
      <x:c r="K302" s="6"/>
      <x:c r="L302" s="6"/>
      <x:c r="M302" s="6"/>
      <x:c r="N302" s="6"/>
      <x:c r="O302" s="6"/>
      <x:c r="P302" s="6"/>
      <x:c r="Q302" s="6"/>
      <x:c r="R302" s="6"/>
      <x:c r="S302" s="6"/>
      <x:c r="T302" s="6"/>
      <x:c r="U302" s="6"/>
      <x:c r="V302" s="6" t="str">
        <x:f>IF(ISBLANK('_INSTANCE'!B302),"",'_INSTANCE'!B302)</x:f>
      </x:c>
      <x:c r="W302" s="6" t="str">
        <x:f>IF(ISBLANK('_INSTANCE'!F302),"",'_INSTANCE'!F302)</x:f>
      </x:c>
      <x:c r="X302" s="6"/>
      <x:c r="Y302" s="6"/>
      <x:c r="Z302" s="6"/>
      <x:c r="AA302" s="6"/>
      <x:c r="AB302" s="6"/>
      <x:c r="AC302" s="6"/>
      <x:c r="AD302" s="6"/>
      <x:c r="AE302" s="6"/>
      <x:c r="AF302" s="6"/>
    </x:row>
    <x:row r="303">
      <x:c r="A303" s="6"/>
      <x:c r="B303" s="6"/>
      <x:c r="C303" s="6"/>
      <x:c r="D303" s="6"/>
      <x:c r="E303" s="6"/>
      <x:c r="F303" s="6"/>
      <x:c r="G303" s="6"/>
      <x:c r="H303" s="6"/>
      <x:c r="I303" s="6"/>
      <x:c r="J303" s="6"/>
      <x:c r="K303" s="6"/>
      <x:c r="L303" s="6"/>
      <x:c r="M303" s="6"/>
      <x:c r="N303" s="6"/>
      <x:c r="O303" s="6"/>
      <x:c r="P303" s="6"/>
      <x:c r="Q303" s="6"/>
      <x:c r="R303" s="6"/>
      <x:c r="S303" s="6"/>
      <x:c r="T303" s="6"/>
      <x:c r="U303" s="6"/>
      <x:c r="V303" s="6" t="str">
        <x:f>IF(ISBLANK('_INSTANCE'!B303),"",'_INSTANCE'!B303)</x:f>
      </x:c>
      <x:c r="W303" s="6" t="str">
        <x:f>IF(ISBLANK('_INSTANCE'!F303),"",'_INSTANCE'!F303)</x:f>
      </x:c>
      <x:c r="X303" s="6"/>
      <x:c r="Y303" s="6"/>
      <x:c r="Z303" s="6"/>
      <x:c r="AA303" s="6"/>
      <x:c r="AB303" s="6"/>
      <x:c r="AC303" s="6"/>
      <x:c r="AD303" s="6"/>
      <x:c r="AE303" s="6"/>
      <x:c r="AF303" s="6"/>
    </x:row>
    <x:row r="304">
      <x:c r="A304" s="6"/>
      <x:c r="B304" s="6"/>
      <x:c r="C304" s="6"/>
      <x:c r="D304" s="6"/>
      <x:c r="E304" s="6"/>
      <x:c r="F304" s="6"/>
      <x:c r="G304" s="6"/>
      <x:c r="H304" s="6"/>
      <x:c r="I304" s="6"/>
      <x:c r="J304" s="6"/>
      <x:c r="K304" s="6"/>
      <x:c r="L304" s="6"/>
      <x:c r="M304" s="6"/>
      <x:c r="N304" s="6"/>
      <x:c r="O304" s="6"/>
      <x:c r="P304" s="6"/>
      <x:c r="Q304" s="6"/>
      <x:c r="R304" s="6"/>
      <x:c r="S304" s="6"/>
      <x:c r="T304" s="6"/>
      <x:c r="U304" s="6"/>
      <x:c r="V304" s="6" t="str">
        <x:f>IF(ISBLANK('_INSTANCE'!B304),"",'_INSTANCE'!B304)</x:f>
      </x:c>
      <x:c r="W304" s="6" t="str">
        <x:f>IF(ISBLANK('_INSTANCE'!F304),"",'_INSTANCE'!F304)</x:f>
      </x:c>
      <x:c r="X304" s="6"/>
      <x:c r="Y304" s="6"/>
      <x:c r="Z304" s="6"/>
      <x:c r="AA304" s="6"/>
      <x:c r="AB304" s="6"/>
      <x:c r="AC304" s="6"/>
      <x:c r="AD304" s="6"/>
      <x:c r="AE304" s="6"/>
      <x:c r="AF304" s="6"/>
    </x:row>
    <x:row r="305">
      <x:c r="A305" s="6"/>
      <x:c r="B305" s="6"/>
      <x:c r="C305" s="6"/>
      <x:c r="D305" s="6"/>
      <x:c r="E305" s="6"/>
      <x:c r="F305" s="6"/>
      <x:c r="G305" s="6"/>
      <x:c r="H305" s="6"/>
      <x:c r="I305" s="6"/>
      <x:c r="J305" s="6"/>
      <x:c r="K305" s="6"/>
      <x:c r="L305" s="6"/>
      <x:c r="M305" s="6"/>
      <x:c r="N305" s="6"/>
      <x:c r="O305" s="6"/>
      <x:c r="P305" s="6"/>
      <x:c r="Q305" s="6"/>
      <x:c r="R305" s="6"/>
      <x:c r="S305" s="6"/>
      <x:c r="T305" s="6"/>
      <x:c r="U305" s="6"/>
      <x:c r="V305" s="6" t="str">
        <x:f>IF(ISBLANK('_INSTANCE'!B305),"",'_INSTANCE'!B305)</x:f>
      </x:c>
      <x:c r="W305" s="6" t="str">
        <x:f>IF(ISBLANK('_INSTANCE'!F305),"",'_INSTANCE'!F305)</x:f>
      </x:c>
      <x:c r="X305" s="6"/>
      <x:c r="Y305" s="6"/>
      <x:c r="Z305" s="6"/>
      <x:c r="AA305" s="6"/>
      <x:c r="AB305" s="6"/>
      <x:c r="AC305" s="6"/>
      <x:c r="AD305" s="6"/>
      <x:c r="AE305" s="6"/>
      <x:c r="AF305" s="6"/>
    </x:row>
    <x:row r="306">
      <x:c r="A306" s="6"/>
      <x:c r="B306" s="6"/>
      <x:c r="C306" s="6"/>
      <x:c r="D306" s="6"/>
      <x:c r="E306" s="6"/>
      <x:c r="F306" s="6"/>
      <x:c r="G306" s="6"/>
      <x:c r="H306" s="6"/>
      <x:c r="I306" s="6"/>
      <x:c r="J306" s="6"/>
      <x:c r="K306" s="6"/>
      <x:c r="L306" s="6"/>
      <x:c r="M306" s="6"/>
      <x:c r="N306" s="6"/>
      <x:c r="O306" s="6"/>
      <x:c r="P306" s="6"/>
      <x:c r="Q306" s="6"/>
      <x:c r="R306" s="6"/>
      <x:c r="S306" s="6"/>
      <x:c r="T306" s="6"/>
      <x:c r="U306" s="6"/>
      <x:c r="V306" s="6" t="str">
        <x:f>IF(ISBLANK('_INSTANCE'!B306),"",'_INSTANCE'!B306)</x:f>
      </x:c>
      <x:c r="W306" s="6" t="str">
        <x:f>IF(ISBLANK('_INSTANCE'!F306),"",'_INSTANCE'!F306)</x:f>
      </x:c>
      <x:c r="X306" s="6"/>
      <x:c r="Y306" s="6"/>
      <x:c r="Z306" s="6"/>
      <x:c r="AA306" s="6"/>
      <x:c r="AB306" s="6"/>
      <x:c r="AC306" s="6"/>
      <x:c r="AD306" s="6"/>
      <x:c r="AE306" s="6"/>
      <x:c r="AF306" s="6"/>
    </x:row>
    <x:row r="307">
      <x:c r="A307" s="6"/>
      <x:c r="B307" s="6"/>
      <x:c r="C307" s="6"/>
      <x:c r="D307" s="6"/>
      <x:c r="E307" s="6"/>
      <x:c r="F307" s="6"/>
      <x:c r="G307" s="6"/>
      <x:c r="H307" s="6"/>
      <x:c r="I307" s="6"/>
      <x:c r="J307" s="6"/>
      <x:c r="K307" s="6"/>
      <x:c r="L307" s="6"/>
      <x:c r="M307" s="6"/>
      <x:c r="N307" s="6"/>
      <x:c r="O307" s="6"/>
      <x:c r="P307" s="6"/>
      <x:c r="Q307" s="6"/>
      <x:c r="R307" s="6"/>
      <x:c r="S307" s="6"/>
      <x:c r="T307" s="6"/>
      <x:c r="U307" s="6"/>
      <x:c r="V307" s="6" t="str">
        <x:f>IF(ISBLANK('_INSTANCE'!B307),"",'_INSTANCE'!B307)</x:f>
      </x:c>
      <x:c r="W307" s="6" t="str">
        <x:f>IF(ISBLANK('_INSTANCE'!F307),"",'_INSTANCE'!F307)</x:f>
      </x:c>
      <x:c r="X307" s="6"/>
      <x:c r="Y307" s="6"/>
      <x:c r="Z307" s="6"/>
      <x:c r="AA307" s="6"/>
      <x:c r="AB307" s="6"/>
      <x:c r="AC307" s="6"/>
      <x:c r="AD307" s="6"/>
      <x:c r="AE307" s="6"/>
      <x:c r="AF307" s="6"/>
    </x:row>
    <x:row r="308">
      <x:c r="A308" s="6"/>
      <x:c r="B308" s="6"/>
      <x:c r="C308" s="6"/>
      <x:c r="D308" s="6"/>
      <x:c r="E308" s="6"/>
      <x:c r="F308" s="6"/>
      <x:c r="G308" s="6"/>
      <x:c r="H308" s="6"/>
      <x:c r="I308" s="6"/>
      <x:c r="J308" s="6"/>
      <x:c r="K308" s="6"/>
      <x:c r="L308" s="6"/>
      <x:c r="M308" s="6"/>
      <x:c r="N308" s="6"/>
      <x:c r="O308" s="6"/>
      <x:c r="P308" s="6"/>
      <x:c r="Q308" s="6"/>
      <x:c r="R308" s="6"/>
      <x:c r="S308" s="6"/>
      <x:c r="T308" s="6"/>
      <x:c r="U308" s="6"/>
      <x:c r="V308" s="6" t="str">
        <x:f>IF(ISBLANK('_INSTANCE'!B308),"",'_INSTANCE'!B308)</x:f>
      </x:c>
      <x:c r="W308" s="6" t="str">
        <x:f>IF(ISBLANK('_INSTANCE'!F308),"",'_INSTANCE'!F308)</x:f>
      </x:c>
      <x:c r="X308" s="6"/>
      <x:c r="Y308" s="6"/>
      <x:c r="Z308" s="6"/>
      <x:c r="AA308" s="6"/>
      <x:c r="AB308" s="6"/>
      <x:c r="AC308" s="6"/>
      <x:c r="AD308" s="6"/>
      <x:c r="AE308" s="6"/>
      <x:c r="AF308" s="6"/>
    </x:row>
    <x:row r="309">
      <x:c r="A309" s="6"/>
      <x:c r="B309" s="6"/>
      <x:c r="C309" s="6"/>
      <x:c r="D309" s="6"/>
      <x:c r="E309" s="6"/>
      <x:c r="F309" s="6"/>
      <x:c r="G309" s="6"/>
      <x:c r="H309" s="6"/>
      <x:c r="I309" s="6"/>
      <x:c r="J309" s="6"/>
      <x:c r="K309" s="6"/>
      <x:c r="L309" s="6"/>
      <x:c r="M309" s="6"/>
      <x:c r="N309" s="6"/>
      <x:c r="O309" s="6"/>
      <x:c r="P309" s="6"/>
      <x:c r="Q309" s="6"/>
      <x:c r="R309" s="6"/>
      <x:c r="S309" s="6"/>
      <x:c r="T309" s="6"/>
      <x:c r="U309" s="6"/>
      <x:c r="V309" s="6" t="str">
        <x:f>IF(ISBLANK('_INSTANCE'!B309),"",'_INSTANCE'!B309)</x:f>
      </x:c>
      <x:c r="W309" s="6" t="str">
        <x:f>IF(ISBLANK('_INSTANCE'!F309),"",'_INSTANCE'!F309)</x:f>
      </x:c>
      <x:c r="X309" s="6"/>
      <x:c r="Y309" s="6"/>
      <x:c r="Z309" s="6"/>
      <x:c r="AA309" s="6"/>
      <x:c r="AB309" s="6"/>
      <x:c r="AC309" s="6"/>
      <x:c r="AD309" s="6"/>
      <x:c r="AE309" s="6"/>
      <x:c r="AF309" s="6"/>
    </x:row>
    <x:row r="310">
      <x:c r="A310" s="6"/>
      <x:c r="B310" s="6"/>
      <x:c r="C310" s="6"/>
      <x:c r="D310" s="6"/>
      <x:c r="E310" s="6"/>
      <x:c r="F310" s="6"/>
      <x:c r="G310" s="6"/>
      <x:c r="H310" s="6"/>
      <x:c r="I310" s="6"/>
      <x:c r="J310" s="6"/>
      <x:c r="K310" s="6"/>
      <x:c r="L310" s="6"/>
      <x:c r="M310" s="6"/>
      <x:c r="N310" s="6"/>
      <x:c r="O310" s="6"/>
      <x:c r="P310" s="6"/>
      <x:c r="Q310" s="6"/>
      <x:c r="R310" s="6"/>
      <x:c r="S310" s="6"/>
      <x:c r="T310" s="6"/>
      <x:c r="U310" s="6"/>
      <x:c r="V310" s="6" t="str">
        <x:f>IF(ISBLANK('_INSTANCE'!B310),"",'_INSTANCE'!B310)</x:f>
      </x:c>
      <x:c r="W310" s="6" t="str">
        <x:f>IF(ISBLANK('_INSTANCE'!F310),"",'_INSTANCE'!F310)</x:f>
      </x:c>
      <x:c r="X310" s="6"/>
      <x:c r="Y310" s="6"/>
      <x:c r="Z310" s="6"/>
      <x:c r="AA310" s="6"/>
      <x:c r="AB310" s="6"/>
      <x:c r="AC310" s="6"/>
      <x:c r="AD310" s="6"/>
      <x:c r="AE310" s="6"/>
      <x:c r="AF310" s="6"/>
    </x:row>
    <x:row r="311">
      <x:c r="A311" s="6"/>
      <x:c r="B311" s="6"/>
      <x:c r="C311" s="6"/>
      <x:c r="D311" s="6"/>
      <x:c r="E311" s="6"/>
      <x:c r="F311" s="6"/>
      <x:c r="G311" s="6"/>
      <x:c r="H311" s="6"/>
      <x:c r="I311" s="6"/>
      <x:c r="J311" s="6"/>
      <x:c r="K311" s="6"/>
      <x:c r="L311" s="6"/>
      <x:c r="M311" s="6"/>
      <x:c r="N311" s="6"/>
      <x:c r="O311" s="6"/>
      <x:c r="P311" s="6"/>
      <x:c r="Q311" s="6"/>
      <x:c r="R311" s="6"/>
      <x:c r="S311" s="6"/>
      <x:c r="T311" s="6"/>
      <x:c r="U311" s="6"/>
      <x:c r="V311" s="6" t="str">
        <x:f>IF(ISBLANK('_INSTANCE'!B311),"",'_INSTANCE'!B311)</x:f>
      </x:c>
      <x:c r="W311" s="6" t="str">
        <x:f>IF(ISBLANK('_INSTANCE'!F311),"",'_INSTANCE'!F311)</x:f>
      </x:c>
      <x:c r="X311" s="6"/>
      <x:c r="Y311" s="6"/>
      <x:c r="Z311" s="6"/>
      <x:c r="AA311" s="6"/>
      <x:c r="AB311" s="6"/>
      <x:c r="AC311" s="6"/>
      <x:c r="AD311" s="6"/>
      <x:c r="AE311" s="6"/>
      <x:c r="AF311" s="6"/>
    </x:row>
    <x:row r="312">
      <x:c r="A312" s="6"/>
      <x:c r="B312" s="6"/>
      <x:c r="C312" s="6"/>
      <x:c r="D312" s="6"/>
      <x:c r="E312" s="6"/>
      <x:c r="F312" s="6"/>
      <x:c r="G312" s="6"/>
      <x:c r="H312" s="6"/>
      <x:c r="I312" s="6"/>
      <x:c r="J312" s="6"/>
      <x:c r="K312" s="6"/>
      <x:c r="L312" s="6"/>
      <x:c r="M312" s="6"/>
      <x:c r="N312" s="6"/>
      <x:c r="O312" s="6"/>
      <x:c r="P312" s="6"/>
      <x:c r="Q312" s="6"/>
      <x:c r="R312" s="6"/>
      <x:c r="S312" s="6"/>
      <x:c r="T312" s="6"/>
      <x:c r="U312" s="6"/>
      <x:c r="V312" s="6" t="str">
        <x:f>IF(ISBLANK('_INSTANCE'!B312),"",'_INSTANCE'!B312)</x:f>
      </x:c>
      <x:c r="W312" s="6" t="str">
        <x:f>IF(ISBLANK('_INSTANCE'!F312),"",'_INSTANCE'!F312)</x:f>
      </x:c>
      <x:c r="X312" s="6"/>
      <x:c r="Y312" s="6"/>
      <x:c r="Z312" s="6"/>
      <x:c r="AA312" s="6"/>
      <x:c r="AB312" s="6"/>
      <x:c r="AC312" s="6"/>
      <x:c r="AD312" s="6"/>
      <x:c r="AE312" s="6"/>
      <x:c r="AF312" s="6"/>
    </x:row>
    <x:row r="313">
      <x:c r="A313" s="6"/>
      <x:c r="B313" s="6"/>
      <x:c r="C313" s="6"/>
      <x:c r="D313" s="6"/>
      <x:c r="E313" s="6"/>
      <x:c r="F313" s="6"/>
      <x:c r="G313" s="6"/>
      <x:c r="H313" s="6"/>
      <x:c r="I313" s="6"/>
      <x:c r="J313" s="6"/>
      <x:c r="K313" s="6"/>
      <x:c r="L313" s="6"/>
      <x:c r="M313" s="6"/>
      <x:c r="N313" s="6"/>
      <x:c r="O313" s="6"/>
      <x:c r="P313" s="6"/>
      <x:c r="Q313" s="6"/>
      <x:c r="R313" s="6"/>
      <x:c r="S313" s="6"/>
      <x:c r="T313" s="6"/>
      <x:c r="U313" s="6"/>
      <x:c r="V313" s="6" t="str">
        <x:f>IF(ISBLANK('_INSTANCE'!B313),"",'_INSTANCE'!B313)</x:f>
      </x:c>
      <x:c r="W313" s="6" t="str">
        <x:f>IF(ISBLANK('_INSTANCE'!F313),"",'_INSTANCE'!F313)</x:f>
      </x:c>
      <x:c r="X313" s="6"/>
      <x:c r="Y313" s="6"/>
      <x:c r="Z313" s="6"/>
      <x:c r="AA313" s="6"/>
      <x:c r="AB313" s="6"/>
      <x:c r="AC313" s="6"/>
      <x:c r="AD313" s="6"/>
      <x:c r="AE313" s="6"/>
      <x:c r="AF313" s="6"/>
    </x:row>
    <x:row r="314">
      <x:c r="A314" s="6"/>
      <x:c r="B314" s="6"/>
      <x:c r="C314" s="6"/>
      <x:c r="D314" s="6"/>
      <x:c r="E314" s="6"/>
      <x:c r="F314" s="6"/>
      <x:c r="G314" s="6"/>
      <x:c r="H314" s="6"/>
      <x:c r="I314" s="6"/>
      <x:c r="J314" s="6"/>
      <x:c r="K314" s="6"/>
      <x:c r="L314" s="6"/>
      <x:c r="M314" s="6"/>
      <x:c r="N314" s="6"/>
      <x:c r="O314" s="6"/>
      <x:c r="P314" s="6"/>
      <x:c r="Q314" s="6"/>
      <x:c r="R314" s="6"/>
      <x:c r="S314" s="6"/>
      <x:c r="T314" s="6"/>
      <x:c r="U314" s="6"/>
      <x:c r="V314" s="6" t="str">
        <x:f>IF(ISBLANK('_INSTANCE'!B314),"",'_INSTANCE'!B314)</x:f>
      </x:c>
      <x:c r="W314" s="6" t="str">
        <x:f>IF(ISBLANK('_INSTANCE'!F314),"",'_INSTANCE'!F314)</x:f>
      </x:c>
      <x:c r="X314" s="6"/>
      <x:c r="Y314" s="6"/>
      <x:c r="Z314" s="6"/>
      <x:c r="AA314" s="6"/>
      <x:c r="AB314" s="6"/>
      <x:c r="AC314" s="6"/>
      <x:c r="AD314" s="6"/>
      <x:c r="AE314" s="6"/>
      <x:c r="AF314" s="6"/>
    </x:row>
    <x:row r="315">
      <x:c r="A315" s="6"/>
      <x:c r="B315" s="6"/>
      <x:c r="C315" s="6"/>
      <x:c r="D315" s="6"/>
      <x:c r="E315" s="6"/>
      <x:c r="F315" s="6"/>
      <x:c r="G315" s="6"/>
      <x:c r="H315" s="6"/>
      <x:c r="I315" s="6"/>
      <x:c r="J315" s="6"/>
      <x:c r="K315" s="6"/>
      <x:c r="L315" s="6"/>
      <x:c r="M315" s="6"/>
      <x:c r="N315" s="6"/>
      <x:c r="O315" s="6"/>
      <x:c r="P315" s="6"/>
      <x:c r="Q315" s="6"/>
      <x:c r="R315" s="6"/>
      <x:c r="S315" s="6"/>
      <x:c r="T315" s="6"/>
      <x:c r="U315" s="6"/>
      <x:c r="V315" s="6" t="str">
        <x:f>IF(ISBLANK('_INSTANCE'!B315),"",'_INSTANCE'!B315)</x:f>
      </x:c>
      <x:c r="W315" s="6" t="str">
        <x:f>IF(ISBLANK('_INSTANCE'!F315),"",'_INSTANCE'!F315)</x:f>
      </x:c>
      <x:c r="X315" s="6"/>
      <x:c r="Y315" s="6"/>
      <x:c r="Z315" s="6"/>
      <x:c r="AA315" s="6"/>
      <x:c r="AB315" s="6"/>
      <x:c r="AC315" s="6"/>
      <x:c r="AD315" s="6"/>
      <x:c r="AE315" s="6"/>
      <x:c r="AF315" s="6"/>
    </x:row>
    <x:row r="316">
      <x:c r="A316" s="6"/>
      <x:c r="B316" s="6"/>
      <x:c r="C316" s="6"/>
      <x:c r="D316" s="6"/>
      <x:c r="E316" s="6"/>
      <x:c r="F316" s="6"/>
      <x:c r="G316" s="6"/>
      <x:c r="H316" s="6"/>
      <x:c r="I316" s="6"/>
      <x:c r="J316" s="6"/>
      <x:c r="K316" s="6"/>
      <x:c r="L316" s="6"/>
      <x:c r="M316" s="6"/>
      <x:c r="N316" s="6"/>
      <x:c r="O316" s="6"/>
      <x:c r="P316" s="6"/>
      <x:c r="Q316" s="6"/>
      <x:c r="R316" s="6"/>
      <x:c r="S316" s="6"/>
      <x:c r="T316" s="6"/>
      <x:c r="U316" s="6"/>
      <x:c r="V316" s="6" t="str">
        <x:f>IF(ISBLANK('_INSTANCE'!B316),"",'_INSTANCE'!B316)</x:f>
      </x:c>
      <x:c r="W316" s="6" t="str">
        <x:f>IF(ISBLANK('_INSTANCE'!F316),"",'_INSTANCE'!F316)</x:f>
      </x:c>
      <x:c r="X316" s="6"/>
      <x:c r="Y316" s="6"/>
      <x:c r="Z316" s="6"/>
      <x:c r="AA316" s="6"/>
      <x:c r="AB316" s="6"/>
      <x:c r="AC316" s="6"/>
      <x:c r="AD316" s="6"/>
      <x:c r="AE316" s="6"/>
      <x:c r="AF316" s="6"/>
    </x:row>
    <x:row r="317">
      <x:c r="A317" s="6"/>
      <x:c r="B317" s="6"/>
      <x:c r="C317" s="6"/>
      <x:c r="D317" s="6"/>
      <x:c r="E317" s="6"/>
      <x:c r="F317" s="6"/>
      <x:c r="G317" s="6"/>
      <x:c r="H317" s="6"/>
      <x:c r="I317" s="6"/>
      <x:c r="J317" s="6"/>
      <x:c r="K317" s="6"/>
      <x:c r="L317" s="6"/>
      <x:c r="M317" s="6"/>
      <x:c r="N317" s="6"/>
      <x:c r="O317" s="6"/>
      <x:c r="P317" s="6"/>
      <x:c r="Q317" s="6"/>
      <x:c r="R317" s="6"/>
      <x:c r="S317" s="6"/>
      <x:c r="T317" s="6"/>
      <x:c r="U317" s="6"/>
      <x:c r="V317" s="6" t="str">
        <x:f>IF(ISBLANK('_INSTANCE'!B317),"",'_INSTANCE'!B317)</x:f>
      </x:c>
      <x:c r="W317" s="6" t="str">
        <x:f>IF(ISBLANK('_INSTANCE'!F317),"",'_INSTANCE'!F317)</x:f>
      </x:c>
      <x:c r="X317" s="6"/>
      <x:c r="Y317" s="6"/>
      <x:c r="Z317" s="6"/>
      <x:c r="AA317" s="6"/>
      <x:c r="AB317" s="6"/>
      <x:c r="AC317" s="6"/>
      <x:c r="AD317" s="6"/>
      <x:c r="AE317" s="6"/>
      <x:c r="AF317" s="6"/>
    </x:row>
    <x:row r="318">
      <x:c r="A318" s="6"/>
      <x:c r="B318" s="6"/>
      <x:c r="C318" s="6"/>
      <x:c r="D318" s="6"/>
      <x:c r="E318" s="6"/>
      <x:c r="F318" s="6"/>
      <x:c r="G318" s="6"/>
      <x:c r="H318" s="6"/>
      <x:c r="I318" s="6"/>
      <x:c r="J318" s="6"/>
      <x:c r="K318" s="6"/>
      <x:c r="L318" s="6"/>
      <x:c r="M318" s="6"/>
      <x:c r="N318" s="6"/>
      <x:c r="O318" s="6"/>
      <x:c r="P318" s="6"/>
      <x:c r="Q318" s="6"/>
      <x:c r="R318" s="6"/>
      <x:c r="S318" s="6"/>
      <x:c r="T318" s="6"/>
      <x:c r="U318" s="6"/>
      <x:c r="V318" s="6" t="str">
        <x:f>IF(ISBLANK('_INSTANCE'!B318),"",'_INSTANCE'!B318)</x:f>
      </x:c>
      <x:c r="W318" s="6" t="str">
        <x:f>IF(ISBLANK('_INSTANCE'!F318),"",'_INSTANCE'!F318)</x:f>
      </x:c>
      <x:c r="X318" s="6"/>
      <x:c r="Y318" s="6"/>
      <x:c r="Z318" s="6"/>
      <x:c r="AA318" s="6"/>
      <x:c r="AB318" s="6"/>
      <x:c r="AC318" s="6"/>
      <x:c r="AD318" s="6"/>
      <x:c r="AE318" s="6"/>
      <x:c r="AF318" s="6"/>
    </x:row>
    <x:row r="319">
      <x:c r="A319" s="6"/>
      <x:c r="B319" s="6"/>
      <x:c r="C319" s="6"/>
      <x:c r="D319" s="6"/>
      <x:c r="E319" s="6"/>
      <x:c r="F319" s="6"/>
      <x:c r="G319" s="6"/>
      <x:c r="H319" s="6"/>
      <x:c r="I319" s="6"/>
      <x:c r="J319" s="6"/>
      <x:c r="K319" s="6"/>
      <x:c r="L319" s="6"/>
      <x:c r="M319" s="6"/>
      <x:c r="N319" s="6"/>
      <x:c r="O319" s="6"/>
      <x:c r="P319" s="6"/>
      <x:c r="Q319" s="6"/>
      <x:c r="R319" s="6"/>
      <x:c r="S319" s="6"/>
      <x:c r="T319" s="6"/>
      <x:c r="U319" s="6"/>
      <x:c r="V319" s="6" t="str">
        <x:f>IF(ISBLANK('_INSTANCE'!B319),"",'_INSTANCE'!B319)</x:f>
      </x:c>
      <x:c r="W319" s="6" t="str">
        <x:f>IF(ISBLANK('_INSTANCE'!F319),"",'_INSTANCE'!F319)</x:f>
      </x:c>
      <x:c r="X319" s="6"/>
      <x:c r="Y319" s="6"/>
      <x:c r="Z319" s="6"/>
      <x:c r="AA319" s="6"/>
      <x:c r="AB319" s="6"/>
      <x:c r="AC319" s="6"/>
      <x:c r="AD319" s="6"/>
      <x:c r="AE319" s="6"/>
      <x:c r="AF319" s="6"/>
    </x:row>
    <x:row r="320">
      <x:c r="A320" s="6"/>
      <x:c r="B320" s="6"/>
      <x:c r="C320" s="6"/>
      <x:c r="D320" s="6"/>
      <x:c r="E320" s="6"/>
      <x:c r="F320" s="6"/>
      <x:c r="G320" s="6"/>
      <x:c r="H320" s="6"/>
      <x:c r="I320" s="6"/>
      <x:c r="J320" s="6"/>
      <x:c r="K320" s="6"/>
      <x:c r="L320" s="6"/>
      <x:c r="M320" s="6"/>
      <x:c r="N320" s="6"/>
      <x:c r="O320" s="6"/>
      <x:c r="P320" s="6"/>
      <x:c r="Q320" s="6"/>
      <x:c r="R320" s="6"/>
      <x:c r="S320" s="6"/>
      <x:c r="T320" s="6"/>
      <x:c r="U320" s="6"/>
      <x:c r="V320" s="6" t="str">
        <x:f>IF(ISBLANK('_INSTANCE'!B320),"",'_INSTANCE'!B320)</x:f>
      </x:c>
      <x:c r="W320" s="6" t="str">
        <x:f>IF(ISBLANK('_INSTANCE'!F320),"",'_INSTANCE'!F320)</x:f>
      </x:c>
      <x:c r="X320" s="6"/>
      <x:c r="Y320" s="6"/>
      <x:c r="Z320" s="6"/>
      <x:c r="AA320" s="6"/>
      <x:c r="AB320" s="6"/>
      <x:c r="AC320" s="6"/>
      <x:c r="AD320" s="6"/>
      <x:c r="AE320" s="6"/>
      <x:c r="AF320" s="6"/>
    </x:row>
    <x:row r="321">
      <x:c r="A321" s="6"/>
      <x:c r="B321" s="6"/>
      <x:c r="C321" s="6"/>
      <x:c r="D321" s="6"/>
      <x:c r="E321" s="6"/>
      <x:c r="F321" s="6"/>
      <x:c r="G321" s="6"/>
      <x:c r="H321" s="6"/>
      <x:c r="I321" s="6"/>
      <x:c r="J321" s="6"/>
      <x:c r="K321" s="6"/>
      <x:c r="L321" s="6"/>
      <x:c r="M321" s="6"/>
      <x:c r="N321" s="6"/>
      <x:c r="O321" s="6"/>
      <x:c r="P321" s="6"/>
      <x:c r="Q321" s="6"/>
      <x:c r="R321" s="6"/>
      <x:c r="S321" s="6"/>
      <x:c r="T321" s="6"/>
      <x:c r="U321" s="6"/>
      <x:c r="V321" s="6" t="str">
        <x:f>IF(ISBLANK('_INSTANCE'!B321),"",'_INSTANCE'!B321)</x:f>
      </x:c>
      <x:c r="W321" s="6" t="str">
        <x:f>IF(ISBLANK('_INSTANCE'!F321),"",'_INSTANCE'!F321)</x:f>
      </x:c>
      <x:c r="X321" s="6"/>
      <x:c r="Y321" s="6"/>
      <x:c r="Z321" s="6"/>
      <x:c r="AA321" s="6"/>
      <x:c r="AB321" s="6"/>
      <x:c r="AC321" s="6"/>
      <x:c r="AD321" s="6"/>
      <x:c r="AE321" s="6"/>
      <x:c r="AF321" s="6"/>
    </x:row>
    <x:row r="322">
      <x:c r="A322" s="6"/>
      <x:c r="B322" s="6"/>
      <x:c r="C322" s="6"/>
      <x:c r="D322" s="6"/>
      <x:c r="E322" s="6"/>
      <x:c r="F322" s="6"/>
      <x:c r="G322" s="6"/>
      <x:c r="H322" s="6"/>
      <x:c r="I322" s="6"/>
      <x:c r="J322" s="6"/>
      <x:c r="K322" s="6"/>
      <x:c r="L322" s="6"/>
      <x:c r="M322" s="6"/>
      <x:c r="N322" s="6"/>
      <x:c r="O322" s="6"/>
      <x:c r="P322" s="6"/>
      <x:c r="Q322" s="6"/>
      <x:c r="R322" s="6"/>
      <x:c r="S322" s="6"/>
      <x:c r="T322" s="6"/>
      <x:c r="U322" s="6"/>
      <x:c r="V322" s="6" t="str">
        <x:f>IF(ISBLANK('_INSTANCE'!B322),"",'_INSTANCE'!B322)</x:f>
      </x:c>
      <x:c r="W322" s="6" t="str">
        <x:f>IF(ISBLANK('_INSTANCE'!F322),"",'_INSTANCE'!F322)</x:f>
      </x:c>
      <x:c r="X322" s="6"/>
      <x:c r="Y322" s="6"/>
      <x:c r="Z322" s="6"/>
      <x:c r="AA322" s="6"/>
      <x:c r="AB322" s="6"/>
      <x:c r="AC322" s="6"/>
      <x:c r="AD322" s="6"/>
      <x:c r="AE322" s="6"/>
      <x:c r="AF322" s="6"/>
    </x:row>
    <x:row r="323">
      <x:c r="A323" s="6"/>
      <x:c r="B323" s="6"/>
      <x:c r="C323" s="6"/>
      <x:c r="D323" s="6"/>
      <x:c r="E323" s="6"/>
      <x:c r="F323" s="6"/>
      <x:c r="G323" s="6"/>
      <x:c r="H323" s="6"/>
      <x:c r="I323" s="6"/>
      <x:c r="J323" s="6"/>
      <x:c r="K323" s="6"/>
      <x:c r="L323" s="6"/>
      <x:c r="M323" s="6"/>
      <x:c r="N323" s="6"/>
      <x:c r="O323" s="6"/>
      <x:c r="P323" s="6"/>
      <x:c r="Q323" s="6"/>
      <x:c r="R323" s="6"/>
      <x:c r="S323" s="6"/>
      <x:c r="T323" s="6"/>
      <x:c r="U323" s="6"/>
      <x:c r="V323" s="6" t="str">
        <x:f>IF(ISBLANK('_INSTANCE'!B323),"",'_INSTANCE'!B323)</x:f>
      </x:c>
      <x:c r="W323" s="6" t="str">
        <x:f>IF(ISBLANK('_INSTANCE'!F323),"",'_INSTANCE'!F323)</x:f>
      </x:c>
      <x:c r="X323" s="6"/>
      <x:c r="Y323" s="6"/>
      <x:c r="Z323" s="6"/>
      <x:c r="AA323" s="6"/>
      <x:c r="AB323" s="6"/>
      <x:c r="AC323" s="6"/>
      <x:c r="AD323" s="6"/>
      <x:c r="AE323" s="6"/>
      <x:c r="AF323" s="6"/>
    </x:row>
    <x:row r="324">
      <x:c r="A324" s="6"/>
      <x:c r="B324" s="6"/>
      <x:c r="C324" s="6"/>
      <x:c r="D324" s="6"/>
      <x:c r="E324" s="6"/>
      <x:c r="F324" s="6"/>
      <x:c r="G324" s="6"/>
      <x:c r="H324" s="6"/>
      <x:c r="I324" s="6"/>
      <x:c r="J324" s="6"/>
      <x:c r="K324" s="6"/>
      <x:c r="L324" s="6"/>
      <x:c r="M324" s="6"/>
      <x:c r="N324" s="6"/>
      <x:c r="O324" s="6"/>
      <x:c r="P324" s="6"/>
      <x:c r="Q324" s="6"/>
      <x:c r="R324" s="6"/>
      <x:c r="S324" s="6"/>
      <x:c r="T324" s="6"/>
      <x:c r="U324" s="6"/>
      <x:c r="V324" s="6" t="str">
        <x:f>IF(ISBLANK('_INSTANCE'!B324),"",'_INSTANCE'!B324)</x:f>
      </x:c>
      <x:c r="W324" s="6" t="str">
        <x:f>IF(ISBLANK('_INSTANCE'!F324),"",'_INSTANCE'!F324)</x:f>
      </x:c>
      <x:c r="X324" s="6"/>
      <x:c r="Y324" s="6"/>
      <x:c r="Z324" s="6"/>
      <x:c r="AA324" s="6"/>
      <x:c r="AB324" s="6"/>
      <x:c r="AC324" s="6"/>
      <x:c r="AD324" s="6"/>
      <x:c r="AE324" s="6"/>
      <x:c r="AF324" s="6"/>
    </x:row>
    <x:row r="325">
      <x:c r="A325" s="6"/>
      <x:c r="B325" s="6"/>
      <x:c r="C325" s="6"/>
      <x:c r="D325" s="6"/>
      <x:c r="E325" s="6"/>
      <x:c r="F325" s="6"/>
      <x:c r="G325" s="6"/>
      <x:c r="H325" s="6"/>
      <x:c r="I325" s="6"/>
      <x:c r="J325" s="6"/>
      <x:c r="K325" s="6"/>
      <x:c r="L325" s="6"/>
      <x:c r="M325" s="6"/>
      <x:c r="N325" s="6"/>
      <x:c r="O325" s="6"/>
      <x:c r="P325" s="6"/>
      <x:c r="Q325" s="6"/>
      <x:c r="R325" s="6"/>
      <x:c r="S325" s="6"/>
      <x:c r="T325" s="6"/>
      <x:c r="U325" s="6"/>
      <x:c r="V325" s="6" t="str">
        <x:f>IF(ISBLANK('_INSTANCE'!B325),"",'_INSTANCE'!B325)</x:f>
      </x:c>
      <x:c r="W325" s="6" t="str">
        <x:f>IF(ISBLANK('_INSTANCE'!F325),"",'_INSTANCE'!F325)</x:f>
      </x:c>
      <x:c r="X325" s="6"/>
      <x:c r="Y325" s="6"/>
      <x:c r="Z325" s="6"/>
      <x:c r="AA325" s="6"/>
      <x:c r="AB325" s="6"/>
      <x:c r="AC325" s="6"/>
      <x:c r="AD325" s="6"/>
      <x:c r="AE325" s="6"/>
      <x:c r="AF325" s="6"/>
    </x:row>
    <x:row r="326">
      <x:c r="A326" s="6"/>
      <x:c r="B326" s="6"/>
      <x:c r="C326" s="6"/>
      <x:c r="D326" s="6"/>
      <x:c r="E326" s="6"/>
      <x:c r="F326" s="6"/>
      <x:c r="G326" s="6"/>
      <x:c r="H326" s="6"/>
      <x:c r="I326" s="6"/>
      <x:c r="J326" s="6"/>
      <x:c r="K326" s="6"/>
      <x:c r="L326" s="6"/>
      <x:c r="M326" s="6"/>
      <x:c r="N326" s="6"/>
      <x:c r="O326" s="6"/>
      <x:c r="P326" s="6"/>
      <x:c r="Q326" s="6"/>
      <x:c r="R326" s="6"/>
      <x:c r="S326" s="6"/>
      <x:c r="T326" s="6"/>
      <x:c r="U326" s="6"/>
      <x:c r="V326" s="6" t="str">
        <x:f>IF(ISBLANK('_INSTANCE'!B326),"",'_INSTANCE'!B326)</x:f>
      </x:c>
      <x:c r="W326" s="6" t="str">
        <x:f>IF(ISBLANK('_INSTANCE'!F326),"",'_INSTANCE'!F326)</x:f>
      </x:c>
      <x:c r="X326" s="6"/>
      <x:c r="Y326" s="6"/>
      <x:c r="Z326" s="6"/>
      <x:c r="AA326" s="6"/>
      <x:c r="AB326" s="6"/>
      <x:c r="AC326" s="6"/>
      <x:c r="AD326" s="6"/>
      <x:c r="AE326" s="6"/>
      <x:c r="AF326" s="6"/>
    </x:row>
    <x:row r="327">
      <x:c r="A327" s="6"/>
      <x:c r="B327" s="6"/>
      <x:c r="C327" s="6"/>
      <x:c r="D327" s="6"/>
      <x:c r="E327" s="6"/>
      <x:c r="F327" s="6"/>
      <x:c r="G327" s="6"/>
      <x:c r="H327" s="6"/>
      <x:c r="I327" s="6"/>
      <x:c r="J327" s="6"/>
      <x:c r="K327" s="6"/>
      <x:c r="L327" s="6"/>
      <x:c r="M327" s="6"/>
      <x:c r="N327" s="6"/>
      <x:c r="O327" s="6"/>
      <x:c r="P327" s="6"/>
      <x:c r="Q327" s="6"/>
      <x:c r="R327" s="6"/>
      <x:c r="S327" s="6"/>
      <x:c r="T327" s="6"/>
      <x:c r="U327" s="6"/>
      <x:c r="V327" s="6" t="str">
        <x:f>IF(ISBLANK('_INSTANCE'!B327),"",'_INSTANCE'!B327)</x:f>
      </x:c>
      <x:c r="W327" s="6" t="str">
        <x:f>IF(ISBLANK('_INSTANCE'!F327),"",'_INSTANCE'!F327)</x:f>
      </x:c>
      <x:c r="X327" s="6"/>
      <x:c r="Y327" s="6"/>
      <x:c r="Z327" s="6"/>
      <x:c r="AA327" s="6"/>
      <x:c r="AB327" s="6"/>
      <x:c r="AC327" s="6"/>
      <x:c r="AD327" s="6"/>
      <x:c r="AE327" s="6"/>
      <x:c r="AF327" s="6"/>
    </x:row>
    <x:row r="328">
      <x:c r="A328" s="6"/>
      <x:c r="B328" s="6"/>
      <x:c r="C328" s="6"/>
      <x:c r="D328" s="6"/>
      <x:c r="E328" s="6"/>
      <x:c r="F328" s="6"/>
      <x:c r="G328" s="6"/>
      <x:c r="H328" s="6"/>
      <x:c r="I328" s="6"/>
      <x:c r="J328" s="6"/>
      <x:c r="K328" s="6"/>
      <x:c r="L328" s="6"/>
      <x:c r="M328" s="6"/>
      <x:c r="N328" s="6"/>
      <x:c r="O328" s="6"/>
      <x:c r="P328" s="6"/>
      <x:c r="Q328" s="6"/>
      <x:c r="R328" s="6"/>
      <x:c r="S328" s="6"/>
      <x:c r="T328" s="6"/>
      <x:c r="U328" s="6"/>
      <x:c r="V328" s="6" t="str">
        <x:f>IF(ISBLANK('_INSTANCE'!B328),"",'_INSTANCE'!B328)</x:f>
      </x:c>
      <x:c r="W328" s="6" t="str">
        <x:f>IF(ISBLANK('_INSTANCE'!F328),"",'_INSTANCE'!F328)</x:f>
      </x:c>
      <x:c r="X328" s="6"/>
      <x:c r="Y328" s="6"/>
      <x:c r="Z328" s="6"/>
      <x:c r="AA328" s="6"/>
      <x:c r="AB328" s="6"/>
      <x:c r="AC328" s="6"/>
      <x:c r="AD328" s="6"/>
      <x:c r="AE328" s="6"/>
      <x:c r="AF328" s="6"/>
    </x:row>
    <x:row r="329">
      <x:c r="A329" s="6"/>
      <x:c r="B329" s="6"/>
      <x:c r="C329" s="6"/>
      <x:c r="D329" s="6"/>
      <x:c r="E329" s="6"/>
      <x:c r="F329" s="6"/>
      <x:c r="G329" s="6"/>
      <x:c r="H329" s="6"/>
      <x:c r="I329" s="6"/>
      <x:c r="J329" s="6"/>
      <x:c r="K329" s="6"/>
      <x:c r="L329" s="6"/>
      <x:c r="M329" s="6"/>
      <x:c r="N329" s="6"/>
      <x:c r="O329" s="6"/>
      <x:c r="P329" s="6"/>
      <x:c r="Q329" s="6"/>
      <x:c r="R329" s="6"/>
      <x:c r="S329" s="6"/>
      <x:c r="T329" s="6"/>
      <x:c r="U329" s="6"/>
      <x:c r="V329" s="6" t="str">
        <x:f>IF(ISBLANK('_INSTANCE'!B329),"",'_INSTANCE'!B329)</x:f>
      </x:c>
      <x:c r="W329" s="6" t="str">
        <x:f>IF(ISBLANK('_INSTANCE'!F329),"",'_INSTANCE'!F329)</x:f>
      </x:c>
      <x:c r="X329" s="6"/>
      <x:c r="Y329" s="6"/>
      <x:c r="Z329" s="6"/>
      <x:c r="AA329" s="6"/>
      <x:c r="AB329" s="6"/>
      <x:c r="AC329" s="6"/>
      <x:c r="AD329" s="6"/>
      <x:c r="AE329" s="6"/>
      <x:c r="AF329" s="6"/>
    </x:row>
    <x:row r="330">
      <x:c r="A330" s="6"/>
      <x:c r="B330" s="6"/>
      <x:c r="C330" s="6"/>
      <x:c r="D330" s="6"/>
      <x:c r="E330" s="6"/>
      <x:c r="F330" s="6"/>
      <x:c r="G330" s="6"/>
      <x:c r="H330" s="6"/>
      <x:c r="I330" s="6"/>
      <x:c r="J330" s="6"/>
      <x:c r="K330" s="6"/>
      <x:c r="L330" s="6"/>
      <x:c r="M330" s="6"/>
      <x:c r="N330" s="6"/>
      <x:c r="O330" s="6"/>
      <x:c r="P330" s="6"/>
      <x:c r="Q330" s="6"/>
      <x:c r="R330" s="6"/>
      <x:c r="S330" s="6"/>
      <x:c r="T330" s="6"/>
      <x:c r="U330" s="6"/>
      <x:c r="V330" s="6" t="str">
        <x:f>IF(ISBLANK('_INSTANCE'!B330),"",'_INSTANCE'!B330)</x:f>
      </x:c>
      <x:c r="W330" s="6" t="str">
        <x:f>IF(ISBLANK('_INSTANCE'!F330),"",'_INSTANCE'!F330)</x:f>
      </x:c>
      <x:c r="X330" s="6"/>
      <x:c r="Y330" s="6"/>
      <x:c r="Z330" s="6"/>
      <x:c r="AA330" s="6"/>
      <x:c r="AB330" s="6"/>
      <x:c r="AC330" s="6"/>
      <x:c r="AD330" s="6"/>
      <x:c r="AE330" s="6"/>
      <x:c r="AF330" s="6"/>
    </x:row>
    <x:row r="331">
      <x:c r="A331" s="6"/>
      <x:c r="B331" s="6"/>
      <x:c r="C331" s="6"/>
      <x:c r="D331" s="6"/>
      <x:c r="E331" s="6"/>
      <x:c r="F331" s="6"/>
      <x:c r="G331" s="6"/>
      <x:c r="H331" s="6"/>
      <x:c r="I331" s="6"/>
      <x:c r="J331" s="6"/>
      <x:c r="K331" s="6"/>
      <x:c r="L331" s="6"/>
      <x:c r="M331" s="6"/>
      <x:c r="N331" s="6"/>
      <x:c r="O331" s="6"/>
      <x:c r="P331" s="6"/>
      <x:c r="Q331" s="6"/>
      <x:c r="R331" s="6"/>
      <x:c r="S331" s="6"/>
      <x:c r="T331" s="6"/>
      <x:c r="U331" s="6"/>
      <x:c r="V331" s="6" t="str">
        <x:f>IF(ISBLANK('_INSTANCE'!B331),"",'_INSTANCE'!B331)</x:f>
      </x:c>
      <x:c r="W331" s="6" t="str">
        <x:f>IF(ISBLANK('_INSTANCE'!F331),"",'_INSTANCE'!F331)</x:f>
      </x:c>
      <x:c r="X331" s="6"/>
      <x:c r="Y331" s="6"/>
      <x:c r="Z331" s="6"/>
      <x:c r="AA331" s="6"/>
      <x:c r="AB331" s="6"/>
      <x:c r="AC331" s="6"/>
      <x:c r="AD331" s="6"/>
      <x:c r="AE331" s="6"/>
      <x:c r="AF331" s="6"/>
    </x:row>
    <x:row r="332">
      <x:c r="A332" s="6"/>
      <x:c r="B332" s="6"/>
      <x:c r="C332" s="6"/>
      <x:c r="D332" s="6"/>
      <x:c r="E332" s="6"/>
      <x:c r="F332" s="6"/>
      <x:c r="G332" s="6"/>
      <x:c r="H332" s="6"/>
      <x:c r="I332" s="6"/>
      <x:c r="J332" s="6"/>
      <x:c r="K332" s="6"/>
      <x:c r="L332" s="6"/>
      <x:c r="M332" s="6"/>
      <x:c r="N332" s="6"/>
      <x:c r="O332" s="6"/>
      <x:c r="P332" s="6"/>
      <x:c r="Q332" s="6"/>
      <x:c r="R332" s="6"/>
      <x:c r="S332" s="6"/>
      <x:c r="T332" s="6"/>
      <x:c r="U332" s="6"/>
      <x:c r="V332" s="6" t="str">
        <x:f>IF(ISBLANK('_INSTANCE'!B332),"",'_INSTANCE'!B332)</x:f>
      </x:c>
      <x:c r="W332" s="6" t="str">
        <x:f>IF(ISBLANK('_INSTANCE'!F332),"",'_INSTANCE'!F332)</x:f>
      </x:c>
      <x:c r="X332" s="6"/>
      <x:c r="Y332" s="6"/>
      <x:c r="Z332" s="6"/>
      <x:c r="AA332" s="6"/>
      <x:c r="AB332" s="6"/>
      <x:c r="AC332" s="6"/>
      <x:c r="AD332" s="6"/>
      <x:c r="AE332" s="6"/>
      <x:c r="AF332" s="6"/>
    </x:row>
    <x:row r="333">
      <x:c r="A333" s="6"/>
      <x:c r="B333" s="6"/>
      <x:c r="C333" s="6"/>
      <x:c r="D333" s="6"/>
      <x:c r="E333" s="6"/>
      <x:c r="F333" s="6"/>
      <x:c r="G333" s="6"/>
      <x:c r="H333" s="6"/>
      <x:c r="I333" s="6"/>
      <x:c r="J333" s="6"/>
      <x:c r="K333" s="6"/>
      <x:c r="L333" s="6"/>
      <x:c r="M333" s="6"/>
      <x:c r="N333" s="6"/>
      <x:c r="O333" s="6"/>
      <x:c r="P333" s="6"/>
      <x:c r="Q333" s="6"/>
      <x:c r="R333" s="6"/>
      <x:c r="S333" s="6"/>
      <x:c r="T333" s="6"/>
      <x:c r="U333" s="6"/>
      <x:c r="V333" s="6" t="str">
        <x:f>IF(ISBLANK('_INSTANCE'!B333),"",'_INSTANCE'!B333)</x:f>
      </x:c>
      <x:c r="W333" s="6" t="str">
        <x:f>IF(ISBLANK('_INSTANCE'!F333),"",'_INSTANCE'!F333)</x:f>
      </x:c>
      <x:c r="X333" s="6"/>
      <x:c r="Y333" s="6"/>
      <x:c r="Z333" s="6"/>
      <x:c r="AA333" s="6"/>
      <x:c r="AB333" s="6"/>
      <x:c r="AC333" s="6"/>
      <x:c r="AD333" s="6"/>
      <x:c r="AE333" s="6"/>
      <x:c r="AF333" s="6"/>
    </x:row>
    <x:row r="334">
      <x:c r="A334" s="6"/>
      <x:c r="B334" s="6"/>
      <x:c r="C334" s="6"/>
      <x:c r="D334" s="6"/>
      <x:c r="E334" s="6"/>
      <x:c r="F334" s="6"/>
      <x:c r="G334" s="6"/>
      <x:c r="H334" s="6"/>
      <x:c r="I334" s="6"/>
      <x:c r="J334" s="6"/>
      <x:c r="K334" s="6"/>
      <x:c r="L334" s="6"/>
      <x:c r="M334" s="6"/>
      <x:c r="N334" s="6"/>
      <x:c r="O334" s="6"/>
      <x:c r="P334" s="6"/>
      <x:c r="Q334" s="6"/>
      <x:c r="R334" s="6"/>
      <x:c r="S334" s="6"/>
      <x:c r="T334" s="6"/>
      <x:c r="U334" s="6"/>
      <x:c r="V334" s="6" t="str">
        <x:f>IF(ISBLANK('_INSTANCE'!B334),"",'_INSTANCE'!B334)</x:f>
      </x:c>
      <x:c r="W334" s="6" t="str">
        <x:f>IF(ISBLANK('_INSTANCE'!F334),"",'_INSTANCE'!F334)</x:f>
      </x:c>
      <x:c r="X334" s="6"/>
      <x:c r="Y334" s="6"/>
      <x:c r="Z334" s="6"/>
      <x:c r="AA334" s="6"/>
      <x:c r="AB334" s="6"/>
      <x:c r="AC334" s="6"/>
      <x:c r="AD334" s="6"/>
      <x:c r="AE334" s="6"/>
      <x:c r="AF334" s="6"/>
    </x:row>
    <x:row r="335">
      <x:c r="A335" s="6"/>
      <x:c r="B335" s="6"/>
      <x:c r="C335" s="6"/>
      <x:c r="D335" s="6"/>
      <x:c r="E335" s="6"/>
      <x:c r="F335" s="6"/>
      <x:c r="G335" s="6"/>
      <x:c r="H335" s="6"/>
      <x:c r="I335" s="6"/>
      <x:c r="J335" s="6"/>
      <x:c r="K335" s="6"/>
      <x:c r="L335" s="6"/>
      <x:c r="M335" s="6"/>
      <x:c r="N335" s="6"/>
      <x:c r="O335" s="6"/>
      <x:c r="P335" s="6"/>
      <x:c r="Q335" s="6"/>
      <x:c r="R335" s="6"/>
      <x:c r="S335" s="6"/>
      <x:c r="T335" s="6"/>
      <x:c r="U335" s="6"/>
      <x:c r="V335" s="6" t="str">
        <x:f>IF(ISBLANK('_INSTANCE'!B335),"",'_INSTANCE'!B335)</x:f>
      </x:c>
      <x:c r="W335" s="6" t="str">
        <x:f>IF(ISBLANK('_INSTANCE'!F335),"",'_INSTANCE'!F335)</x:f>
      </x:c>
      <x:c r="X335" s="6"/>
      <x:c r="Y335" s="6"/>
      <x:c r="Z335" s="6"/>
      <x:c r="AA335" s="6"/>
      <x:c r="AB335" s="6"/>
      <x:c r="AC335" s="6"/>
      <x:c r="AD335" s="6"/>
      <x:c r="AE335" s="6"/>
      <x:c r="AF335" s="6"/>
    </x:row>
    <x:row r="336">
      <x:c r="A336" s="6"/>
      <x:c r="B336" s="6"/>
      <x:c r="C336" s="6"/>
      <x:c r="D336" s="6"/>
      <x:c r="E336" s="6"/>
      <x:c r="F336" s="6"/>
      <x:c r="G336" s="6"/>
      <x:c r="H336" s="6"/>
      <x:c r="I336" s="6"/>
      <x:c r="J336" s="6"/>
      <x:c r="K336" s="6"/>
      <x:c r="L336" s="6"/>
      <x:c r="M336" s="6"/>
      <x:c r="N336" s="6"/>
      <x:c r="O336" s="6"/>
      <x:c r="P336" s="6"/>
      <x:c r="Q336" s="6"/>
      <x:c r="R336" s="6"/>
      <x:c r="S336" s="6"/>
      <x:c r="T336" s="6"/>
      <x:c r="U336" s="6"/>
      <x:c r="V336" s="6" t="str">
        <x:f>IF(ISBLANK('_INSTANCE'!B336),"",'_INSTANCE'!B336)</x:f>
      </x:c>
      <x:c r="W336" s="6" t="str">
        <x:f>IF(ISBLANK('_INSTANCE'!F336),"",'_INSTANCE'!F336)</x:f>
      </x:c>
      <x:c r="X336" s="6"/>
      <x:c r="Y336" s="6"/>
      <x:c r="Z336" s="6"/>
      <x:c r="AA336" s="6"/>
      <x:c r="AB336" s="6"/>
      <x:c r="AC336" s="6"/>
      <x:c r="AD336" s="6"/>
      <x:c r="AE336" s="6"/>
      <x:c r="AF336" s="6"/>
    </x:row>
    <x:row r="337">
      <x:c r="A337" s="6"/>
      <x:c r="B337" s="6"/>
      <x:c r="C337" s="6"/>
      <x:c r="D337" s="6"/>
      <x:c r="E337" s="6"/>
      <x:c r="F337" s="6"/>
      <x:c r="G337" s="6"/>
      <x:c r="H337" s="6"/>
      <x:c r="I337" s="6"/>
      <x:c r="J337" s="6"/>
      <x:c r="K337" s="6"/>
      <x:c r="L337" s="6"/>
      <x:c r="M337" s="6"/>
      <x:c r="N337" s="6"/>
      <x:c r="O337" s="6"/>
      <x:c r="P337" s="6"/>
      <x:c r="Q337" s="6"/>
      <x:c r="R337" s="6"/>
      <x:c r="S337" s="6"/>
      <x:c r="T337" s="6"/>
      <x:c r="U337" s="6"/>
      <x:c r="V337" s="6" t="str">
        <x:f>IF(ISBLANK('_INSTANCE'!B337),"",'_INSTANCE'!B337)</x:f>
      </x:c>
      <x:c r="W337" s="6" t="str">
        <x:f>IF(ISBLANK('_INSTANCE'!F337),"",'_INSTANCE'!F337)</x:f>
      </x:c>
      <x:c r="X337" s="6"/>
      <x:c r="Y337" s="6"/>
      <x:c r="Z337" s="6"/>
      <x:c r="AA337" s="6"/>
      <x:c r="AB337" s="6"/>
      <x:c r="AC337" s="6"/>
      <x:c r="AD337" s="6"/>
      <x:c r="AE337" s="6"/>
      <x:c r="AF337" s="6"/>
    </x:row>
    <x:row r="338">
      <x:c r="A338" s="6"/>
      <x:c r="B338" s="6"/>
      <x:c r="C338" s="6"/>
      <x:c r="D338" s="6"/>
      <x:c r="E338" s="6"/>
      <x:c r="F338" s="6"/>
      <x:c r="G338" s="6"/>
      <x:c r="H338" s="6"/>
      <x:c r="I338" s="6"/>
      <x:c r="J338" s="6"/>
      <x:c r="K338" s="6"/>
      <x:c r="L338" s="6"/>
      <x:c r="M338" s="6"/>
      <x:c r="N338" s="6"/>
      <x:c r="O338" s="6"/>
      <x:c r="P338" s="6"/>
      <x:c r="Q338" s="6"/>
      <x:c r="R338" s="6"/>
      <x:c r="S338" s="6"/>
      <x:c r="T338" s="6"/>
      <x:c r="U338" s="6"/>
      <x:c r="V338" s="6" t="str">
        <x:f>IF(ISBLANK('_INSTANCE'!B338),"",'_INSTANCE'!B338)</x:f>
      </x:c>
      <x:c r="W338" s="6" t="str">
        <x:f>IF(ISBLANK('_INSTANCE'!F338),"",'_INSTANCE'!F338)</x:f>
      </x:c>
      <x:c r="X338" s="6"/>
      <x:c r="Y338" s="6"/>
      <x:c r="Z338" s="6"/>
      <x:c r="AA338" s="6"/>
      <x:c r="AB338" s="6"/>
      <x:c r="AC338" s="6"/>
      <x:c r="AD338" s="6"/>
      <x:c r="AE338" s="6"/>
      <x:c r="AF338" s="6"/>
    </x:row>
    <x:row r="339">
      <x:c r="A339" s="6"/>
      <x:c r="B339" s="6"/>
      <x:c r="C339" s="6"/>
      <x:c r="D339" s="6"/>
      <x:c r="E339" s="6"/>
      <x:c r="F339" s="6"/>
      <x:c r="G339" s="6"/>
      <x:c r="H339" s="6"/>
      <x:c r="I339" s="6"/>
      <x:c r="J339" s="6"/>
      <x:c r="K339" s="6"/>
      <x:c r="L339" s="6"/>
      <x:c r="M339" s="6"/>
      <x:c r="N339" s="6"/>
      <x:c r="O339" s="6"/>
      <x:c r="P339" s="6"/>
      <x:c r="Q339" s="6"/>
      <x:c r="R339" s="6"/>
      <x:c r="S339" s="6"/>
      <x:c r="T339" s="6"/>
      <x:c r="U339" s="6"/>
      <x:c r="V339" s="6" t="str">
        <x:f>IF(ISBLANK('_INSTANCE'!B339),"",'_INSTANCE'!B339)</x:f>
      </x:c>
      <x:c r="W339" s="6" t="str">
        <x:f>IF(ISBLANK('_INSTANCE'!F339),"",'_INSTANCE'!F339)</x:f>
      </x:c>
      <x:c r="X339" s="6"/>
      <x:c r="Y339" s="6"/>
      <x:c r="Z339" s="6"/>
      <x:c r="AA339" s="6"/>
      <x:c r="AB339" s="6"/>
      <x:c r="AC339" s="6"/>
      <x:c r="AD339" s="6"/>
      <x:c r="AE339" s="6"/>
      <x:c r="AF339" s="6"/>
    </x:row>
    <x:row r="340">
      <x:c r="A340" s="6"/>
      <x:c r="B340" s="6"/>
      <x:c r="C340" s="6"/>
      <x:c r="D340" s="6"/>
      <x:c r="E340" s="6"/>
      <x:c r="F340" s="6"/>
      <x:c r="G340" s="6"/>
      <x:c r="H340" s="6"/>
      <x:c r="I340" s="6"/>
      <x:c r="J340" s="6"/>
      <x:c r="K340" s="6"/>
      <x:c r="L340" s="6"/>
      <x:c r="M340" s="6"/>
      <x:c r="N340" s="6"/>
      <x:c r="O340" s="6"/>
      <x:c r="P340" s="6"/>
      <x:c r="Q340" s="6"/>
      <x:c r="R340" s="6"/>
      <x:c r="S340" s="6"/>
      <x:c r="T340" s="6"/>
      <x:c r="U340" s="6"/>
      <x:c r="V340" s="6" t="str">
        <x:f>IF(ISBLANK('_INSTANCE'!B340),"",'_INSTANCE'!B340)</x:f>
      </x:c>
      <x:c r="W340" s="6" t="str">
        <x:f>IF(ISBLANK('_INSTANCE'!F340),"",'_INSTANCE'!F340)</x:f>
      </x:c>
      <x:c r="X340" s="6"/>
      <x:c r="Y340" s="6"/>
      <x:c r="Z340" s="6"/>
      <x:c r="AA340" s="6"/>
      <x:c r="AB340" s="6"/>
      <x:c r="AC340" s="6"/>
      <x:c r="AD340" s="6"/>
      <x:c r="AE340" s="6"/>
      <x:c r="AF340" s="6"/>
    </x:row>
    <x:row r="341">
      <x:c r="A341" s="6"/>
      <x:c r="B341" s="6"/>
      <x:c r="C341" s="6"/>
      <x:c r="D341" s="6"/>
      <x:c r="E341" s="6"/>
      <x:c r="F341" s="6"/>
      <x:c r="G341" s="6"/>
      <x:c r="H341" s="6"/>
      <x:c r="I341" s="6"/>
      <x:c r="J341" s="6"/>
      <x:c r="K341" s="6"/>
      <x:c r="L341" s="6"/>
      <x:c r="M341" s="6"/>
      <x:c r="N341" s="6"/>
      <x:c r="O341" s="6"/>
      <x:c r="P341" s="6"/>
      <x:c r="Q341" s="6"/>
      <x:c r="R341" s="6"/>
      <x:c r="S341" s="6"/>
      <x:c r="T341" s="6"/>
      <x:c r="U341" s="6"/>
      <x:c r="V341" s="6" t="str">
        <x:f>IF(ISBLANK('_INSTANCE'!B341),"",'_INSTANCE'!B341)</x:f>
      </x:c>
      <x:c r="W341" s="6" t="str">
        <x:f>IF(ISBLANK('_INSTANCE'!F341),"",'_INSTANCE'!F341)</x:f>
      </x:c>
      <x:c r="X341" s="6"/>
      <x:c r="Y341" s="6"/>
      <x:c r="Z341" s="6"/>
      <x:c r="AA341" s="6"/>
      <x:c r="AB341" s="6"/>
      <x:c r="AC341" s="6"/>
      <x:c r="AD341" s="6"/>
      <x:c r="AE341" s="6"/>
      <x:c r="AF341" s="6"/>
    </x:row>
    <x:row r="342">
      <x:c r="A342" s="6"/>
      <x:c r="B342" s="6"/>
      <x:c r="C342" s="6"/>
      <x:c r="D342" s="6"/>
      <x:c r="E342" s="6"/>
      <x:c r="F342" s="6"/>
      <x:c r="G342" s="6"/>
      <x:c r="H342" s="6"/>
      <x:c r="I342" s="6"/>
      <x:c r="J342" s="6"/>
      <x:c r="K342" s="6"/>
      <x:c r="L342" s="6"/>
      <x:c r="M342" s="6"/>
      <x:c r="N342" s="6"/>
      <x:c r="O342" s="6"/>
      <x:c r="P342" s="6"/>
      <x:c r="Q342" s="6"/>
      <x:c r="R342" s="6"/>
      <x:c r="S342" s="6"/>
      <x:c r="T342" s="6"/>
      <x:c r="U342" s="6"/>
      <x:c r="V342" s="6" t="str">
        <x:f>IF(ISBLANK('_INSTANCE'!B342),"",'_INSTANCE'!B342)</x:f>
      </x:c>
      <x:c r="W342" s="6" t="str">
        <x:f>IF(ISBLANK('_INSTANCE'!F342),"",'_INSTANCE'!F342)</x:f>
      </x:c>
      <x:c r="X342" s="6"/>
      <x:c r="Y342" s="6"/>
      <x:c r="Z342" s="6"/>
      <x:c r="AA342" s="6"/>
      <x:c r="AB342" s="6"/>
      <x:c r="AC342" s="6"/>
      <x:c r="AD342" s="6"/>
      <x:c r="AE342" s="6"/>
      <x:c r="AF342" s="6"/>
    </x:row>
    <x:row r="343">
      <x:c r="A343" s="6"/>
      <x:c r="B343" s="6"/>
      <x:c r="C343" s="6"/>
      <x:c r="D343" s="6"/>
      <x:c r="E343" s="6"/>
      <x:c r="F343" s="6"/>
      <x:c r="G343" s="6"/>
      <x:c r="H343" s="6"/>
      <x:c r="I343" s="6"/>
      <x:c r="J343" s="6"/>
      <x:c r="K343" s="6"/>
      <x:c r="L343" s="6"/>
      <x:c r="M343" s="6"/>
      <x:c r="N343" s="6"/>
      <x:c r="O343" s="6"/>
      <x:c r="P343" s="6"/>
      <x:c r="Q343" s="6"/>
      <x:c r="R343" s="6"/>
      <x:c r="S343" s="6"/>
      <x:c r="T343" s="6"/>
      <x:c r="U343" s="6"/>
      <x:c r="V343" s="6" t="str">
        <x:f>IF(ISBLANK('_INSTANCE'!B343),"",'_INSTANCE'!B343)</x:f>
      </x:c>
      <x:c r="W343" s="6" t="str">
        <x:f>IF(ISBLANK('_INSTANCE'!F343),"",'_INSTANCE'!F343)</x:f>
      </x:c>
      <x:c r="X343" s="6"/>
      <x:c r="Y343" s="6"/>
      <x:c r="Z343" s="6"/>
      <x:c r="AA343" s="6"/>
      <x:c r="AB343" s="6"/>
      <x:c r="AC343" s="6"/>
      <x:c r="AD343" s="6"/>
      <x:c r="AE343" s="6"/>
      <x:c r="AF343" s="6"/>
    </x:row>
    <x:row r="344">
      <x:c r="A344" s="6"/>
      <x:c r="B344" s="6"/>
      <x:c r="C344" s="6"/>
      <x:c r="D344" s="6"/>
      <x:c r="E344" s="6"/>
      <x:c r="F344" s="6"/>
      <x:c r="G344" s="6"/>
      <x:c r="H344" s="6"/>
      <x:c r="I344" s="6"/>
      <x:c r="J344" s="6"/>
      <x:c r="K344" s="6"/>
      <x:c r="L344" s="6"/>
      <x:c r="M344" s="6"/>
      <x:c r="N344" s="6"/>
      <x:c r="O344" s="6"/>
      <x:c r="P344" s="6"/>
      <x:c r="Q344" s="6"/>
      <x:c r="R344" s="6"/>
      <x:c r="S344" s="6"/>
      <x:c r="T344" s="6"/>
      <x:c r="U344" s="6"/>
      <x:c r="V344" s="6" t="str">
        <x:f>IF(ISBLANK('_INSTANCE'!B344),"",'_INSTANCE'!B344)</x:f>
      </x:c>
      <x:c r="W344" s="6" t="str">
        <x:f>IF(ISBLANK('_INSTANCE'!F344),"",'_INSTANCE'!F344)</x:f>
      </x:c>
      <x:c r="X344" s="6"/>
      <x:c r="Y344" s="6"/>
      <x:c r="Z344" s="6"/>
      <x:c r="AA344" s="6"/>
      <x:c r="AB344" s="6"/>
      <x:c r="AC344" s="6"/>
      <x:c r="AD344" s="6"/>
      <x:c r="AE344" s="6"/>
      <x:c r="AF344" s="6"/>
    </x:row>
    <x:row r="345">
      <x:c r="A345" s="6"/>
      <x:c r="B345" s="6"/>
      <x:c r="C345" s="6"/>
      <x:c r="D345" s="6"/>
      <x:c r="E345" s="6"/>
      <x:c r="F345" s="6"/>
      <x:c r="G345" s="6"/>
      <x:c r="H345" s="6"/>
      <x:c r="I345" s="6"/>
      <x:c r="J345" s="6"/>
      <x:c r="K345" s="6"/>
      <x:c r="L345" s="6"/>
      <x:c r="M345" s="6"/>
      <x:c r="N345" s="6"/>
      <x:c r="O345" s="6"/>
      <x:c r="P345" s="6"/>
      <x:c r="Q345" s="6"/>
      <x:c r="R345" s="6"/>
      <x:c r="S345" s="6"/>
      <x:c r="T345" s="6"/>
      <x:c r="U345" s="6"/>
      <x:c r="V345" s="6" t="str">
        <x:f>IF(ISBLANK('_INSTANCE'!B345),"",'_INSTANCE'!B345)</x:f>
      </x:c>
      <x:c r="W345" s="6" t="str">
        <x:f>IF(ISBLANK('_INSTANCE'!F345),"",'_INSTANCE'!F345)</x:f>
      </x:c>
      <x:c r="X345" s="6"/>
      <x:c r="Y345" s="6"/>
      <x:c r="Z345" s="6"/>
      <x:c r="AA345" s="6"/>
      <x:c r="AB345" s="6"/>
      <x:c r="AC345" s="6"/>
      <x:c r="AD345" s="6"/>
      <x:c r="AE345" s="6"/>
      <x:c r="AF345" s="6"/>
    </x:row>
    <x:row r="346">
      <x:c r="A346" s="6"/>
      <x:c r="B346" s="6"/>
      <x:c r="C346" s="6"/>
      <x:c r="D346" s="6"/>
      <x:c r="E346" s="6"/>
      <x:c r="F346" s="6"/>
      <x:c r="G346" s="6"/>
      <x:c r="H346" s="6"/>
      <x:c r="I346" s="6"/>
      <x:c r="J346" s="6"/>
      <x:c r="K346" s="6"/>
      <x:c r="L346" s="6"/>
      <x:c r="M346" s="6"/>
      <x:c r="N346" s="6"/>
      <x:c r="O346" s="6"/>
      <x:c r="P346" s="6"/>
      <x:c r="Q346" s="6"/>
      <x:c r="R346" s="6"/>
      <x:c r="S346" s="6"/>
      <x:c r="T346" s="6"/>
      <x:c r="U346" s="6"/>
      <x:c r="V346" s="6" t="str">
        <x:f>IF(ISBLANK('_INSTANCE'!B346),"",'_INSTANCE'!B346)</x:f>
      </x:c>
      <x:c r="W346" s="6" t="str">
        <x:f>IF(ISBLANK('_INSTANCE'!F346),"",'_INSTANCE'!F346)</x:f>
      </x:c>
      <x:c r="X346" s="6"/>
      <x:c r="Y346" s="6"/>
      <x:c r="Z346" s="6"/>
      <x:c r="AA346" s="6"/>
      <x:c r="AB346" s="6"/>
      <x:c r="AC346" s="6"/>
      <x:c r="AD346" s="6"/>
      <x:c r="AE346" s="6"/>
      <x:c r="AF346" s="6"/>
    </x:row>
    <x:row r="347">
      <x:c r="A347" s="6"/>
      <x:c r="B347" s="6"/>
      <x:c r="C347" s="6"/>
      <x:c r="D347" s="6"/>
      <x:c r="E347" s="6"/>
      <x:c r="F347" s="6"/>
      <x:c r="G347" s="6"/>
      <x:c r="H347" s="6"/>
      <x:c r="I347" s="6"/>
      <x:c r="J347" s="6"/>
      <x:c r="K347" s="6"/>
      <x:c r="L347" s="6"/>
      <x:c r="M347" s="6"/>
      <x:c r="N347" s="6"/>
      <x:c r="O347" s="6"/>
      <x:c r="P347" s="6"/>
      <x:c r="Q347" s="6"/>
      <x:c r="R347" s="6"/>
      <x:c r="S347" s="6"/>
      <x:c r="T347" s="6"/>
      <x:c r="U347" s="6"/>
      <x:c r="V347" s="6" t="str">
        <x:f>IF(ISBLANK('_INSTANCE'!B347),"",'_INSTANCE'!B347)</x:f>
      </x:c>
      <x:c r="W347" s="6" t="str">
        <x:f>IF(ISBLANK('_INSTANCE'!F347),"",'_INSTANCE'!F347)</x:f>
      </x:c>
      <x:c r="X347" s="6"/>
      <x:c r="Y347" s="6"/>
      <x:c r="Z347" s="6"/>
      <x:c r="AA347" s="6"/>
      <x:c r="AB347" s="6"/>
      <x:c r="AC347" s="6"/>
      <x:c r="AD347" s="6"/>
      <x:c r="AE347" s="6"/>
      <x:c r="AF347" s="6"/>
    </x:row>
    <x:row r="348">
      <x:c r="A348" s="6"/>
      <x:c r="B348" s="6"/>
      <x:c r="C348" s="6"/>
      <x:c r="D348" s="6"/>
      <x:c r="E348" s="6"/>
      <x:c r="F348" s="6"/>
      <x:c r="G348" s="6"/>
      <x:c r="H348" s="6"/>
      <x:c r="I348" s="6"/>
      <x:c r="J348" s="6"/>
      <x:c r="K348" s="6"/>
      <x:c r="L348" s="6"/>
      <x:c r="M348" s="6"/>
      <x:c r="N348" s="6"/>
      <x:c r="O348" s="6"/>
      <x:c r="P348" s="6"/>
      <x:c r="Q348" s="6"/>
      <x:c r="R348" s="6"/>
      <x:c r="S348" s="6"/>
      <x:c r="T348" s="6"/>
      <x:c r="U348" s="6"/>
      <x:c r="V348" s="6" t="str">
        <x:f>IF(ISBLANK('_INSTANCE'!B348),"",'_INSTANCE'!B348)</x:f>
      </x:c>
      <x:c r="W348" s="6" t="str">
        <x:f>IF(ISBLANK('_INSTANCE'!F348),"",'_INSTANCE'!F348)</x:f>
      </x:c>
      <x:c r="X348" s="6"/>
      <x:c r="Y348" s="6"/>
      <x:c r="Z348" s="6"/>
      <x:c r="AA348" s="6"/>
      <x:c r="AB348" s="6"/>
      <x:c r="AC348" s="6"/>
      <x:c r="AD348" s="6"/>
      <x:c r="AE348" s="6"/>
      <x:c r="AF348" s="6"/>
    </x:row>
    <x:row r="349">
      <x:c r="A349" s="6"/>
      <x:c r="B349" s="6"/>
      <x:c r="C349" s="6"/>
      <x:c r="D349" s="6"/>
      <x:c r="E349" s="6"/>
      <x:c r="F349" s="6"/>
      <x:c r="G349" s="6"/>
      <x:c r="H349" s="6"/>
      <x:c r="I349" s="6"/>
      <x:c r="J349" s="6"/>
      <x:c r="K349" s="6"/>
      <x:c r="L349" s="6"/>
      <x:c r="M349" s="6"/>
      <x:c r="N349" s="6"/>
      <x:c r="O349" s="6"/>
      <x:c r="P349" s="6"/>
      <x:c r="Q349" s="6"/>
      <x:c r="R349" s="6"/>
      <x:c r="S349" s="6"/>
      <x:c r="T349" s="6"/>
      <x:c r="U349" s="6"/>
      <x:c r="V349" s="6" t="str">
        <x:f>IF(ISBLANK('_INSTANCE'!B349),"",'_INSTANCE'!B349)</x:f>
      </x:c>
      <x:c r="W349" s="6" t="str">
        <x:f>IF(ISBLANK('_INSTANCE'!F349),"",'_INSTANCE'!F349)</x:f>
      </x:c>
      <x:c r="X349" s="6"/>
      <x:c r="Y349" s="6"/>
      <x:c r="Z349" s="6"/>
      <x:c r="AA349" s="6"/>
      <x:c r="AB349" s="6"/>
      <x:c r="AC349" s="6"/>
      <x:c r="AD349" s="6"/>
      <x:c r="AE349" s="6"/>
      <x:c r="AF349" s="6"/>
    </x:row>
    <x:row r="350">
      <x:c r="A350" s="6"/>
      <x:c r="B350" s="6"/>
      <x:c r="C350" s="6"/>
      <x:c r="D350" s="6"/>
      <x:c r="E350" s="6"/>
      <x:c r="F350" s="6"/>
      <x:c r="G350" s="6"/>
      <x:c r="H350" s="6"/>
      <x:c r="I350" s="6"/>
      <x:c r="J350" s="6"/>
      <x:c r="K350" s="6"/>
      <x:c r="L350" s="6"/>
      <x:c r="M350" s="6"/>
      <x:c r="N350" s="6"/>
      <x:c r="O350" s="6"/>
      <x:c r="P350" s="6"/>
      <x:c r="Q350" s="6"/>
      <x:c r="R350" s="6"/>
      <x:c r="S350" s="6"/>
      <x:c r="T350" s="6"/>
      <x:c r="U350" s="6"/>
      <x:c r="V350" s="6" t="str">
        <x:f>IF(ISBLANK('_INSTANCE'!B350),"",'_INSTANCE'!B350)</x:f>
      </x:c>
      <x:c r="W350" s="6" t="str">
        <x:f>IF(ISBLANK('_INSTANCE'!F350),"",'_INSTANCE'!F350)</x:f>
      </x:c>
      <x:c r="X350" s="6"/>
      <x:c r="Y350" s="6"/>
      <x:c r="Z350" s="6"/>
      <x:c r="AA350" s="6"/>
      <x:c r="AB350" s="6"/>
      <x:c r="AC350" s="6"/>
      <x:c r="AD350" s="6"/>
      <x:c r="AE350" s="6"/>
      <x:c r="AF350" s="6"/>
    </x:row>
    <x:row r="351">
      <x:c r="A351" s="6"/>
      <x:c r="B351" s="6"/>
      <x:c r="C351" s="6"/>
      <x:c r="D351" s="6"/>
      <x:c r="E351" s="6"/>
      <x:c r="F351" s="6"/>
      <x:c r="G351" s="6"/>
      <x:c r="H351" s="6"/>
      <x:c r="I351" s="6"/>
      <x:c r="J351" s="6"/>
      <x:c r="K351" s="6"/>
      <x:c r="L351" s="6"/>
      <x:c r="M351" s="6"/>
      <x:c r="N351" s="6"/>
      <x:c r="O351" s="6"/>
      <x:c r="P351" s="6"/>
      <x:c r="Q351" s="6"/>
      <x:c r="R351" s="6"/>
      <x:c r="S351" s="6"/>
      <x:c r="T351" s="6"/>
      <x:c r="U351" s="6"/>
      <x:c r="V351" s="6" t="str">
        <x:f>IF(ISBLANK('_INSTANCE'!B351),"",'_INSTANCE'!B351)</x:f>
      </x:c>
      <x:c r="W351" s="6" t="str">
        <x:f>IF(ISBLANK('_INSTANCE'!F351),"",'_INSTANCE'!F351)</x:f>
      </x:c>
      <x:c r="X351" s="6"/>
      <x:c r="Y351" s="6"/>
      <x:c r="Z351" s="6"/>
      <x:c r="AA351" s="6"/>
      <x:c r="AB351" s="6"/>
      <x:c r="AC351" s="6"/>
      <x:c r="AD351" s="6"/>
      <x:c r="AE351" s="6"/>
      <x:c r="AF351" s="6"/>
    </x:row>
    <x:row r="352">
      <x:c r="A352" s="6"/>
      <x:c r="B352" s="6"/>
      <x:c r="C352" s="6"/>
      <x:c r="D352" s="6"/>
      <x:c r="E352" s="6"/>
      <x:c r="F352" s="6"/>
      <x:c r="G352" s="6"/>
      <x:c r="H352" s="6"/>
      <x:c r="I352" s="6"/>
      <x:c r="J352" s="6"/>
      <x:c r="K352" s="6"/>
      <x:c r="L352" s="6"/>
      <x:c r="M352" s="6"/>
      <x:c r="N352" s="6"/>
      <x:c r="O352" s="6"/>
      <x:c r="P352" s="6"/>
      <x:c r="Q352" s="6"/>
      <x:c r="R352" s="6"/>
      <x:c r="S352" s="6"/>
      <x:c r="T352" s="6"/>
      <x:c r="U352" s="6"/>
      <x:c r="V352" s="6" t="str">
        <x:f>IF(ISBLANK('_INSTANCE'!B352),"",'_INSTANCE'!B352)</x:f>
      </x:c>
      <x:c r="W352" s="6" t="str">
        <x:f>IF(ISBLANK('_INSTANCE'!F352),"",'_INSTANCE'!F352)</x:f>
      </x:c>
      <x:c r="X352" s="6"/>
      <x:c r="Y352" s="6"/>
      <x:c r="Z352" s="6"/>
      <x:c r="AA352" s="6"/>
      <x:c r="AB352" s="6"/>
      <x:c r="AC352" s="6"/>
      <x:c r="AD352" s="6"/>
      <x:c r="AE352" s="6"/>
      <x:c r="AF352" s="6"/>
    </x:row>
    <x:row r="353">
      <x:c r="A353" s="6"/>
      <x:c r="B353" s="6"/>
      <x:c r="C353" s="6"/>
      <x:c r="D353" s="6"/>
      <x:c r="E353" s="6"/>
      <x:c r="F353" s="6"/>
      <x:c r="G353" s="6"/>
      <x:c r="H353" s="6"/>
      <x:c r="I353" s="6"/>
      <x:c r="J353" s="6"/>
      <x:c r="K353" s="6"/>
      <x:c r="L353" s="6"/>
      <x:c r="M353" s="6"/>
      <x:c r="N353" s="6"/>
      <x:c r="O353" s="6"/>
      <x:c r="P353" s="6"/>
      <x:c r="Q353" s="6"/>
      <x:c r="R353" s="6"/>
      <x:c r="S353" s="6"/>
      <x:c r="T353" s="6"/>
      <x:c r="U353" s="6"/>
      <x:c r="V353" s="6" t="str">
        <x:f>IF(ISBLANK('_INSTANCE'!B353),"",'_INSTANCE'!B353)</x:f>
      </x:c>
      <x:c r="W353" s="6" t="str">
        <x:f>IF(ISBLANK('_INSTANCE'!F353),"",'_INSTANCE'!F353)</x:f>
      </x:c>
      <x:c r="X353" s="6"/>
      <x:c r="Y353" s="6"/>
      <x:c r="Z353" s="6"/>
      <x:c r="AA353" s="6"/>
      <x:c r="AB353" s="6"/>
      <x:c r="AC353" s="6"/>
      <x:c r="AD353" s="6"/>
      <x:c r="AE353" s="6"/>
      <x:c r="AF353" s="6"/>
    </x:row>
    <x:row r="354">
      <x:c r="A354" s="6"/>
      <x:c r="B354" s="6"/>
      <x:c r="C354" s="6"/>
      <x:c r="D354" s="6"/>
      <x:c r="E354" s="6"/>
      <x:c r="F354" s="6"/>
      <x:c r="G354" s="6"/>
      <x:c r="H354" s="6"/>
      <x:c r="I354" s="6"/>
      <x:c r="J354" s="6"/>
      <x:c r="K354" s="6"/>
      <x:c r="L354" s="6"/>
      <x:c r="M354" s="6"/>
      <x:c r="N354" s="6"/>
      <x:c r="O354" s="6"/>
      <x:c r="P354" s="6"/>
      <x:c r="Q354" s="6"/>
      <x:c r="R354" s="6"/>
      <x:c r="S354" s="6"/>
      <x:c r="T354" s="6"/>
      <x:c r="U354" s="6"/>
      <x:c r="V354" s="6" t="str">
        <x:f>IF(ISBLANK('_INSTANCE'!B354),"",'_INSTANCE'!B354)</x:f>
      </x:c>
      <x:c r="W354" s="6" t="str">
        <x:f>IF(ISBLANK('_INSTANCE'!F354),"",'_INSTANCE'!F354)</x:f>
      </x:c>
      <x:c r="X354" s="6"/>
      <x:c r="Y354" s="6"/>
      <x:c r="Z354" s="6"/>
      <x:c r="AA354" s="6"/>
      <x:c r="AB354" s="6"/>
      <x:c r="AC354" s="6"/>
      <x:c r="AD354" s="6"/>
      <x:c r="AE354" s="6"/>
      <x:c r="AF354" s="6"/>
    </x:row>
    <x:row r="355">
      <x:c r="A355" s="6"/>
      <x:c r="B355" s="6"/>
      <x:c r="C355" s="6"/>
      <x:c r="D355" s="6"/>
      <x:c r="E355" s="6"/>
      <x:c r="F355" s="6"/>
      <x:c r="G355" s="6"/>
      <x:c r="H355" s="6"/>
      <x:c r="I355" s="6"/>
      <x:c r="J355" s="6"/>
      <x:c r="K355" s="6"/>
      <x:c r="L355" s="6"/>
      <x:c r="M355" s="6"/>
      <x:c r="N355" s="6"/>
      <x:c r="O355" s="6"/>
      <x:c r="P355" s="6"/>
      <x:c r="Q355" s="6"/>
      <x:c r="R355" s="6"/>
      <x:c r="S355" s="6"/>
      <x:c r="T355" s="6"/>
      <x:c r="U355" s="6"/>
      <x:c r="V355" s="6" t="str">
        <x:f>IF(ISBLANK('_INSTANCE'!B355),"",'_INSTANCE'!B355)</x:f>
      </x:c>
      <x:c r="W355" s="6" t="str">
        <x:f>IF(ISBLANK('_INSTANCE'!F355),"",'_INSTANCE'!F355)</x:f>
      </x:c>
      <x:c r="X355" s="6"/>
      <x:c r="Y355" s="6"/>
      <x:c r="Z355" s="6"/>
      <x:c r="AA355" s="6"/>
      <x:c r="AB355" s="6"/>
      <x:c r="AC355" s="6"/>
      <x:c r="AD355" s="6"/>
      <x:c r="AE355" s="6"/>
      <x:c r="AF355" s="6"/>
    </x:row>
    <x:row r="356">
      <x:c r="A356" s="6"/>
      <x:c r="B356" s="6"/>
      <x:c r="C356" s="6"/>
      <x:c r="D356" s="6"/>
      <x:c r="E356" s="6"/>
      <x:c r="F356" s="6"/>
      <x:c r="G356" s="6"/>
      <x:c r="H356" s="6"/>
      <x:c r="I356" s="6"/>
      <x:c r="J356" s="6"/>
      <x:c r="K356" s="6"/>
      <x:c r="L356" s="6"/>
      <x:c r="M356" s="6"/>
      <x:c r="N356" s="6"/>
      <x:c r="O356" s="6"/>
      <x:c r="P356" s="6"/>
      <x:c r="Q356" s="6"/>
      <x:c r="R356" s="6"/>
      <x:c r="S356" s="6"/>
      <x:c r="T356" s="6"/>
      <x:c r="U356" s="6"/>
      <x:c r="V356" s="6" t="str">
        <x:f>IF(ISBLANK('_INSTANCE'!B356),"",'_INSTANCE'!B356)</x:f>
      </x:c>
      <x:c r="W356" s="6" t="str">
        <x:f>IF(ISBLANK('_INSTANCE'!F356),"",'_INSTANCE'!F356)</x:f>
      </x:c>
      <x:c r="X356" s="6"/>
      <x:c r="Y356" s="6"/>
      <x:c r="Z356" s="6"/>
      <x:c r="AA356" s="6"/>
      <x:c r="AB356" s="6"/>
      <x:c r="AC356" s="6"/>
      <x:c r="AD356" s="6"/>
      <x:c r="AE356" s="6"/>
      <x:c r="AF356" s="6"/>
    </x:row>
    <x:row r="357">
      <x:c r="A357" s="6"/>
      <x:c r="B357" s="6"/>
      <x:c r="C357" s="6"/>
      <x:c r="D357" s="6"/>
      <x:c r="E357" s="6"/>
      <x:c r="F357" s="6"/>
      <x:c r="G357" s="6"/>
      <x:c r="H357" s="6"/>
      <x:c r="I357" s="6"/>
      <x:c r="J357" s="6"/>
      <x:c r="K357" s="6"/>
      <x:c r="L357" s="6"/>
      <x:c r="M357" s="6"/>
      <x:c r="N357" s="6"/>
      <x:c r="O357" s="6"/>
      <x:c r="P357" s="6"/>
      <x:c r="Q357" s="6"/>
      <x:c r="R357" s="6"/>
      <x:c r="S357" s="6"/>
      <x:c r="T357" s="6"/>
      <x:c r="U357" s="6"/>
      <x:c r="V357" s="6" t="str">
        <x:f>IF(ISBLANK('_INSTANCE'!B357),"",'_INSTANCE'!B357)</x:f>
      </x:c>
      <x:c r="W357" s="6" t="str">
        <x:f>IF(ISBLANK('_INSTANCE'!F357),"",'_INSTANCE'!F357)</x:f>
      </x:c>
      <x:c r="X357" s="6"/>
      <x:c r="Y357" s="6"/>
      <x:c r="Z357" s="6"/>
      <x:c r="AA357" s="6"/>
      <x:c r="AB357" s="6"/>
      <x:c r="AC357" s="6"/>
      <x:c r="AD357" s="6"/>
      <x:c r="AE357" s="6"/>
      <x:c r="AF357" s="6"/>
    </x:row>
    <x:row r="358">
      <x:c r="A358" s="6"/>
      <x:c r="B358" s="6"/>
      <x:c r="C358" s="6"/>
      <x:c r="D358" s="6"/>
      <x:c r="E358" s="6"/>
      <x:c r="F358" s="6"/>
      <x:c r="G358" s="6"/>
      <x:c r="H358" s="6"/>
      <x:c r="I358" s="6"/>
      <x:c r="J358" s="6"/>
      <x:c r="K358" s="6"/>
      <x:c r="L358" s="6"/>
      <x:c r="M358" s="6"/>
      <x:c r="N358" s="6"/>
      <x:c r="O358" s="6"/>
      <x:c r="P358" s="6"/>
      <x:c r="Q358" s="6"/>
      <x:c r="R358" s="6"/>
      <x:c r="S358" s="6"/>
      <x:c r="T358" s="6"/>
      <x:c r="U358" s="6"/>
      <x:c r="V358" s="6" t="str">
        <x:f>IF(ISBLANK('_INSTANCE'!B358),"",'_INSTANCE'!B358)</x:f>
      </x:c>
      <x:c r="W358" s="6" t="str">
        <x:f>IF(ISBLANK('_INSTANCE'!F358),"",'_INSTANCE'!F358)</x:f>
      </x:c>
      <x:c r="X358" s="6"/>
      <x:c r="Y358" s="6"/>
      <x:c r="Z358" s="6"/>
      <x:c r="AA358" s="6"/>
      <x:c r="AB358" s="6"/>
      <x:c r="AC358" s="6"/>
      <x:c r="AD358" s="6"/>
      <x:c r="AE358" s="6"/>
      <x:c r="AF358" s="6"/>
    </x:row>
    <x:row r="359">
      <x:c r="A359" s="6"/>
      <x:c r="B359" s="6"/>
      <x:c r="C359" s="6"/>
      <x:c r="D359" s="6"/>
      <x:c r="E359" s="6"/>
      <x:c r="F359" s="6"/>
      <x:c r="G359" s="6"/>
      <x:c r="H359" s="6"/>
      <x:c r="I359" s="6"/>
      <x:c r="J359" s="6"/>
      <x:c r="K359" s="6"/>
      <x:c r="L359" s="6"/>
      <x:c r="M359" s="6"/>
      <x:c r="N359" s="6"/>
      <x:c r="O359" s="6"/>
      <x:c r="P359" s="6"/>
      <x:c r="Q359" s="6"/>
      <x:c r="R359" s="6"/>
      <x:c r="S359" s="6"/>
      <x:c r="T359" s="6"/>
      <x:c r="U359" s="6"/>
      <x:c r="V359" s="6" t="str">
        <x:f>IF(ISBLANK('_INSTANCE'!B359),"",'_INSTANCE'!B359)</x:f>
      </x:c>
      <x:c r="W359" s="6" t="str">
        <x:f>IF(ISBLANK('_INSTANCE'!F359),"",'_INSTANCE'!F359)</x:f>
      </x:c>
      <x:c r="X359" s="6"/>
      <x:c r="Y359" s="6"/>
      <x:c r="Z359" s="6"/>
      <x:c r="AA359" s="6"/>
      <x:c r="AB359" s="6"/>
      <x:c r="AC359" s="6"/>
      <x:c r="AD359" s="6"/>
      <x:c r="AE359" s="6"/>
      <x:c r="AF359" s="6"/>
    </x:row>
    <x:row r="360">
      <x:c r="A360" s="6"/>
      <x:c r="B360" s="6"/>
      <x:c r="C360" s="6"/>
      <x:c r="D360" s="6"/>
      <x:c r="E360" s="6"/>
      <x:c r="F360" s="6"/>
      <x:c r="G360" s="6"/>
      <x:c r="H360" s="6"/>
      <x:c r="I360" s="6"/>
      <x:c r="J360" s="6"/>
      <x:c r="K360" s="6"/>
      <x:c r="L360" s="6"/>
      <x:c r="M360" s="6"/>
      <x:c r="N360" s="6"/>
      <x:c r="O360" s="6"/>
      <x:c r="P360" s="6"/>
      <x:c r="Q360" s="6"/>
      <x:c r="R360" s="6"/>
      <x:c r="S360" s="6"/>
      <x:c r="T360" s="6"/>
      <x:c r="U360" s="6"/>
      <x:c r="V360" s="6" t="str">
        <x:f>IF(ISBLANK('_INSTANCE'!B360),"",'_INSTANCE'!B360)</x:f>
      </x:c>
      <x:c r="W360" s="6" t="str">
        <x:f>IF(ISBLANK('_INSTANCE'!F360),"",'_INSTANCE'!F360)</x:f>
      </x:c>
      <x:c r="X360" s="6"/>
      <x:c r="Y360" s="6"/>
      <x:c r="Z360" s="6"/>
      <x:c r="AA360" s="6"/>
      <x:c r="AB360" s="6"/>
      <x:c r="AC360" s="6"/>
      <x:c r="AD360" s="6"/>
      <x:c r="AE360" s="6"/>
      <x:c r="AF360" s="6"/>
    </x:row>
    <x:row r="361">
      <x:c r="A361" s="6"/>
      <x:c r="B361" s="6"/>
      <x:c r="C361" s="6"/>
      <x:c r="D361" s="6"/>
      <x:c r="E361" s="6"/>
      <x:c r="F361" s="6"/>
      <x:c r="G361" s="6"/>
      <x:c r="H361" s="6"/>
      <x:c r="I361" s="6"/>
      <x:c r="J361" s="6"/>
      <x:c r="K361" s="6"/>
      <x:c r="L361" s="6"/>
      <x:c r="M361" s="6"/>
      <x:c r="N361" s="6"/>
      <x:c r="O361" s="6"/>
      <x:c r="P361" s="6"/>
      <x:c r="Q361" s="6"/>
      <x:c r="R361" s="6"/>
      <x:c r="S361" s="6"/>
      <x:c r="T361" s="6"/>
      <x:c r="U361" s="6"/>
      <x:c r="V361" s="6" t="str">
        <x:f>IF(ISBLANK('_INSTANCE'!B361),"",'_INSTANCE'!B361)</x:f>
      </x:c>
      <x:c r="W361" s="6" t="str">
        <x:f>IF(ISBLANK('_INSTANCE'!F361),"",'_INSTANCE'!F361)</x:f>
      </x:c>
      <x:c r="X361" s="6"/>
      <x:c r="Y361" s="6"/>
      <x:c r="Z361" s="6"/>
      <x:c r="AA361" s="6"/>
      <x:c r="AB361" s="6"/>
      <x:c r="AC361" s="6"/>
      <x:c r="AD361" s="6"/>
      <x:c r="AE361" s="6"/>
      <x:c r="AF361" s="6"/>
    </x:row>
    <x:row r="362">
      <x:c r="A362" s="6"/>
      <x:c r="B362" s="6"/>
      <x:c r="C362" s="6"/>
      <x:c r="D362" s="6"/>
      <x:c r="E362" s="6"/>
      <x:c r="F362" s="6"/>
      <x:c r="G362" s="6"/>
      <x:c r="H362" s="6"/>
      <x:c r="I362" s="6"/>
      <x:c r="J362" s="6"/>
      <x:c r="K362" s="6"/>
      <x:c r="L362" s="6"/>
      <x:c r="M362" s="6"/>
      <x:c r="N362" s="6"/>
      <x:c r="O362" s="6"/>
      <x:c r="P362" s="6"/>
      <x:c r="Q362" s="6"/>
      <x:c r="R362" s="6"/>
      <x:c r="S362" s="6"/>
      <x:c r="T362" s="6"/>
      <x:c r="U362" s="6"/>
      <x:c r="V362" s="6" t="str">
        <x:f>IF(ISBLANK('_INSTANCE'!B362),"",'_INSTANCE'!B362)</x:f>
      </x:c>
      <x:c r="W362" s="6" t="str">
        <x:f>IF(ISBLANK('_INSTANCE'!F362),"",'_INSTANCE'!F362)</x:f>
      </x:c>
      <x:c r="X362" s="6"/>
      <x:c r="Y362" s="6"/>
      <x:c r="Z362" s="6"/>
      <x:c r="AA362" s="6"/>
      <x:c r="AB362" s="6"/>
      <x:c r="AC362" s="6"/>
      <x:c r="AD362" s="6"/>
      <x:c r="AE362" s="6"/>
      <x:c r="AF362" s="6"/>
    </x:row>
    <x:row r="363">
      <x:c r="A363" s="6"/>
      <x:c r="B363" s="6"/>
      <x:c r="C363" s="6"/>
      <x:c r="D363" s="6"/>
      <x:c r="E363" s="6"/>
      <x:c r="F363" s="6"/>
      <x:c r="G363" s="6"/>
      <x:c r="H363" s="6"/>
      <x:c r="I363" s="6"/>
      <x:c r="J363" s="6"/>
      <x:c r="K363" s="6"/>
      <x:c r="L363" s="6"/>
      <x:c r="M363" s="6"/>
      <x:c r="N363" s="6"/>
      <x:c r="O363" s="6"/>
      <x:c r="P363" s="6"/>
      <x:c r="Q363" s="6"/>
      <x:c r="R363" s="6"/>
      <x:c r="S363" s="6"/>
      <x:c r="T363" s="6"/>
      <x:c r="U363" s="6"/>
      <x:c r="V363" s="6" t="str">
        <x:f>IF(ISBLANK('_INSTANCE'!B363),"",'_INSTANCE'!B363)</x:f>
      </x:c>
      <x:c r="W363" s="6" t="str">
        <x:f>IF(ISBLANK('_INSTANCE'!F363),"",'_INSTANCE'!F363)</x:f>
      </x:c>
      <x:c r="X363" s="6"/>
      <x:c r="Y363" s="6"/>
      <x:c r="Z363" s="6"/>
      <x:c r="AA363" s="6"/>
      <x:c r="AB363" s="6"/>
      <x:c r="AC363" s="6"/>
      <x:c r="AD363" s="6"/>
      <x:c r="AE363" s="6"/>
      <x:c r="AF363" s="6"/>
    </x:row>
    <x:row r="364">
      <x:c r="A364" s="6"/>
      <x:c r="B364" s="6"/>
      <x:c r="C364" s="6"/>
      <x:c r="D364" s="6"/>
      <x:c r="E364" s="6"/>
      <x:c r="F364" s="6"/>
      <x:c r="G364" s="6"/>
      <x:c r="H364" s="6"/>
      <x:c r="I364" s="6"/>
      <x:c r="J364" s="6"/>
      <x:c r="K364" s="6"/>
      <x:c r="L364" s="6"/>
      <x:c r="M364" s="6"/>
      <x:c r="N364" s="6"/>
      <x:c r="O364" s="6"/>
      <x:c r="P364" s="6"/>
      <x:c r="Q364" s="6"/>
      <x:c r="R364" s="6"/>
      <x:c r="S364" s="6"/>
      <x:c r="T364" s="6"/>
      <x:c r="U364" s="6"/>
      <x:c r="V364" s="6" t="str">
        <x:f>IF(ISBLANK('_INSTANCE'!B364),"",'_INSTANCE'!B364)</x:f>
      </x:c>
      <x:c r="W364" s="6" t="str">
        <x:f>IF(ISBLANK('_INSTANCE'!F364),"",'_INSTANCE'!F364)</x:f>
      </x:c>
      <x:c r="X364" s="6"/>
      <x:c r="Y364" s="6"/>
      <x:c r="Z364" s="6"/>
      <x:c r="AA364" s="6"/>
      <x:c r="AB364" s="6"/>
      <x:c r="AC364" s="6"/>
      <x:c r="AD364" s="6"/>
      <x:c r="AE364" s="6"/>
      <x:c r="AF364" s="6"/>
    </x:row>
    <x:row r="365">
      <x:c r="A365" s="6"/>
      <x:c r="B365" s="6"/>
      <x:c r="C365" s="6"/>
      <x:c r="D365" s="6"/>
      <x:c r="E365" s="6"/>
      <x:c r="F365" s="6"/>
      <x:c r="G365" s="6"/>
      <x:c r="H365" s="6"/>
      <x:c r="I365" s="6"/>
      <x:c r="J365" s="6"/>
      <x:c r="K365" s="6"/>
      <x:c r="L365" s="6"/>
      <x:c r="M365" s="6"/>
      <x:c r="N365" s="6"/>
      <x:c r="O365" s="6"/>
      <x:c r="P365" s="6"/>
      <x:c r="Q365" s="6"/>
      <x:c r="R365" s="6"/>
      <x:c r="S365" s="6"/>
      <x:c r="T365" s="6"/>
      <x:c r="U365" s="6"/>
      <x:c r="V365" s="6" t="str">
        <x:f>IF(ISBLANK('_INSTANCE'!B365),"",'_INSTANCE'!B365)</x:f>
      </x:c>
      <x:c r="W365" s="6" t="str">
        <x:f>IF(ISBLANK('_INSTANCE'!F365),"",'_INSTANCE'!F365)</x:f>
      </x:c>
      <x:c r="X365" s="6"/>
      <x:c r="Y365" s="6"/>
      <x:c r="Z365" s="6"/>
      <x:c r="AA365" s="6"/>
      <x:c r="AB365" s="6"/>
      <x:c r="AC365" s="6"/>
      <x:c r="AD365" s="6"/>
      <x:c r="AE365" s="6"/>
      <x:c r="AF365" s="6"/>
    </x:row>
    <x:row r="366">
      <x:c r="A366" s="6"/>
      <x:c r="B366" s="6"/>
      <x:c r="C366" s="6"/>
      <x:c r="D366" s="6"/>
      <x:c r="E366" s="6"/>
      <x:c r="F366" s="6"/>
      <x:c r="G366" s="6"/>
      <x:c r="H366" s="6"/>
      <x:c r="I366" s="6"/>
      <x:c r="J366" s="6"/>
      <x:c r="K366" s="6"/>
      <x:c r="L366" s="6"/>
      <x:c r="M366" s="6"/>
      <x:c r="N366" s="6"/>
      <x:c r="O366" s="6"/>
      <x:c r="P366" s="6"/>
      <x:c r="Q366" s="6"/>
      <x:c r="R366" s="6"/>
      <x:c r="S366" s="6"/>
      <x:c r="T366" s="6"/>
      <x:c r="U366" s="6"/>
      <x:c r="V366" s="6" t="str">
        <x:f>IF(ISBLANK('_INSTANCE'!B366),"",'_INSTANCE'!B366)</x:f>
      </x:c>
      <x:c r="W366" s="6" t="str">
        <x:f>IF(ISBLANK('_INSTANCE'!F366),"",'_INSTANCE'!F366)</x:f>
      </x:c>
      <x:c r="X366" s="6"/>
      <x:c r="Y366" s="6"/>
      <x:c r="Z366" s="6"/>
      <x:c r="AA366" s="6"/>
      <x:c r="AB366" s="6"/>
      <x:c r="AC366" s="6"/>
      <x:c r="AD366" s="6"/>
      <x:c r="AE366" s="6"/>
      <x:c r="AF366" s="6"/>
    </x:row>
    <x:row r="367">
      <x:c r="A367" s="6"/>
      <x:c r="B367" s="6"/>
      <x:c r="C367" s="6"/>
      <x:c r="D367" s="6"/>
      <x:c r="E367" s="6"/>
      <x:c r="F367" s="6"/>
      <x:c r="G367" s="6"/>
      <x:c r="H367" s="6"/>
      <x:c r="I367" s="6"/>
      <x:c r="J367" s="6"/>
      <x:c r="K367" s="6"/>
      <x:c r="L367" s="6"/>
      <x:c r="M367" s="6"/>
      <x:c r="N367" s="6"/>
      <x:c r="O367" s="6"/>
      <x:c r="P367" s="6"/>
      <x:c r="Q367" s="6"/>
      <x:c r="R367" s="6"/>
      <x:c r="S367" s="6"/>
      <x:c r="T367" s="6"/>
      <x:c r="U367" s="6"/>
      <x:c r="V367" s="6" t="str">
        <x:f>IF(ISBLANK('_INSTANCE'!B367),"",'_INSTANCE'!B367)</x:f>
      </x:c>
      <x:c r="W367" s="6" t="str">
        <x:f>IF(ISBLANK('_INSTANCE'!F367),"",'_INSTANCE'!F367)</x:f>
      </x:c>
      <x:c r="X367" s="6"/>
      <x:c r="Y367" s="6"/>
      <x:c r="Z367" s="6"/>
      <x:c r="AA367" s="6"/>
      <x:c r="AB367" s="6"/>
      <x:c r="AC367" s="6"/>
      <x:c r="AD367" s="6"/>
      <x:c r="AE367" s="6"/>
      <x:c r="AF367" s="6"/>
    </x:row>
    <x:row r="368">
      <x:c r="A368" s="6"/>
      <x:c r="B368" s="6"/>
      <x:c r="C368" s="6"/>
      <x:c r="D368" s="6"/>
      <x:c r="E368" s="6"/>
      <x:c r="F368" s="6"/>
      <x:c r="G368" s="6"/>
      <x:c r="H368" s="6"/>
      <x:c r="I368" s="6"/>
      <x:c r="J368" s="6"/>
      <x:c r="K368" s="6"/>
      <x:c r="L368" s="6"/>
      <x:c r="M368" s="6"/>
      <x:c r="N368" s="6"/>
      <x:c r="O368" s="6"/>
      <x:c r="P368" s="6"/>
      <x:c r="Q368" s="6"/>
      <x:c r="R368" s="6"/>
      <x:c r="S368" s="6"/>
      <x:c r="T368" s="6"/>
      <x:c r="U368" s="6"/>
      <x:c r="V368" s="6" t="str">
        <x:f>IF(ISBLANK('_INSTANCE'!B368),"",'_INSTANCE'!B368)</x:f>
      </x:c>
      <x:c r="W368" s="6" t="str">
        <x:f>IF(ISBLANK('_INSTANCE'!F368),"",'_INSTANCE'!F368)</x:f>
      </x:c>
      <x:c r="X368" s="6"/>
      <x:c r="Y368" s="6"/>
      <x:c r="Z368" s="6"/>
      <x:c r="AA368" s="6"/>
      <x:c r="AB368" s="6"/>
      <x:c r="AC368" s="6"/>
      <x:c r="AD368" s="6"/>
      <x:c r="AE368" s="6"/>
      <x:c r="AF368" s="6"/>
    </x:row>
    <x:row r="369">
      <x:c r="A369" s="6"/>
      <x:c r="B369" s="6"/>
      <x:c r="C369" s="6"/>
      <x:c r="D369" s="6"/>
      <x:c r="E369" s="6"/>
      <x:c r="F369" s="6"/>
      <x:c r="G369" s="6"/>
      <x:c r="H369" s="6"/>
      <x:c r="I369" s="6"/>
      <x:c r="J369" s="6"/>
      <x:c r="K369" s="6"/>
      <x:c r="L369" s="6"/>
      <x:c r="M369" s="6"/>
      <x:c r="N369" s="6"/>
      <x:c r="O369" s="6"/>
      <x:c r="P369" s="6"/>
      <x:c r="Q369" s="6"/>
      <x:c r="R369" s="6"/>
      <x:c r="S369" s="6"/>
      <x:c r="T369" s="6"/>
      <x:c r="U369" s="6"/>
      <x:c r="V369" s="6" t="str">
        <x:f>IF(ISBLANK('_INSTANCE'!B369),"",'_INSTANCE'!B369)</x:f>
      </x:c>
      <x:c r="W369" s="6" t="str">
        <x:f>IF(ISBLANK('_INSTANCE'!F369),"",'_INSTANCE'!F369)</x:f>
      </x:c>
      <x:c r="X369" s="6"/>
      <x:c r="Y369" s="6"/>
      <x:c r="Z369" s="6"/>
      <x:c r="AA369" s="6"/>
      <x:c r="AB369" s="6"/>
      <x:c r="AC369" s="6"/>
      <x:c r="AD369" s="6"/>
      <x:c r="AE369" s="6"/>
      <x:c r="AF369" s="6"/>
    </x:row>
    <x:row r="370">
      <x:c r="A370" s="6"/>
      <x:c r="B370" s="6"/>
      <x:c r="C370" s="6"/>
      <x:c r="D370" s="6"/>
      <x:c r="E370" s="6"/>
      <x:c r="F370" s="6"/>
      <x:c r="G370" s="6"/>
      <x:c r="H370" s="6"/>
      <x:c r="I370" s="6"/>
      <x:c r="J370" s="6"/>
      <x:c r="K370" s="6"/>
      <x:c r="L370" s="6"/>
      <x:c r="M370" s="6"/>
      <x:c r="N370" s="6"/>
      <x:c r="O370" s="6"/>
      <x:c r="P370" s="6"/>
      <x:c r="Q370" s="6"/>
      <x:c r="R370" s="6"/>
      <x:c r="S370" s="6"/>
      <x:c r="T370" s="6"/>
      <x:c r="U370" s="6"/>
      <x:c r="V370" s="6" t="str">
        <x:f>IF(ISBLANK('_INSTANCE'!B370),"",'_INSTANCE'!B370)</x:f>
      </x:c>
      <x:c r="W370" s="6" t="str">
        <x:f>IF(ISBLANK('_INSTANCE'!F370),"",'_INSTANCE'!F370)</x:f>
      </x:c>
      <x:c r="X370" s="6"/>
      <x:c r="Y370" s="6"/>
      <x:c r="Z370" s="6"/>
      <x:c r="AA370" s="6"/>
      <x:c r="AB370" s="6"/>
      <x:c r="AC370" s="6"/>
      <x:c r="AD370" s="6"/>
      <x:c r="AE370" s="6"/>
      <x:c r="AF370" s="6"/>
    </x:row>
    <x:row r="371">
      <x:c r="A371" s="6"/>
      <x:c r="B371" s="6"/>
      <x:c r="C371" s="6"/>
      <x:c r="D371" s="6"/>
      <x:c r="E371" s="6"/>
      <x:c r="F371" s="6"/>
      <x:c r="G371" s="6"/>
      <x:c r="H371" s="6"/>
      <x:c r="I371" s="6"/>
      <x:c r="J371" s="6"/>
      <x:c r="K371" s="6"/>
      <x:c r="L371" s="6"/>
      <x:c r="M371" s="6"/>
      <x:c r="N371" s="6"/>
      <x:c r="O371" s="6"/>
      <x:c r="P371" s="6"/>
      <x:c r="Q371" s="6"/>
      <x:c r="R371" s="6"/>
      <x:c r="S371" s="6"/>
      <x:c r="T371" s="6"/>
      <x:c r="U371" s="6"/>
      <x:c r="V371" s="6" t="str">
        <x:f>IF(ISBLANK('_INSTANCE'!B371),"",'_INSTANCE'!B371)</x:f>
      </x:c>
      <x:c r="W371" s="6" t="str">
        <x:f>IF(ISBLANK('_INSTANCE'!F371),"",'_INSTANCE'!F371)</x:f>
      </x:c>
      <x:c r="X371" s="6"/>
      <x:c r="Y371" s="6"/>
      <x:c r="Z371" s="6"/>
      <x:c r="AA371" s="6"/>
      <x:c r="AB371" s="6"/>
      <x:c r="AC371" s="6"/>
      <x:c r="AD371" s="6"/>
      <x:c r="AE371" s="6"/>
      <x:c r="AF371" s="6"/>
    </x:row>
    <x:row r="372">
      <x:c r="A372" s="6"/>
      <x:c r="B372" s="6"/>
      <x:c r="C372" s="6"/>
      <x:c r="D372" s="6"/>
      <x:c r="E372" s="6"/>
      <x:c r="F372" s="6"/>
      <x:c r="G372" s="6"/>
      <x:c r="H372" s="6"/>
      <x:c r="I372" s="6"/>
      <x:c r="J372" s="6"/>
      <x:c r="K372" s="6"/>
      <x:c r="L372" s="6"/>
      <x:c r="M372" s="6"/>
      <x:c r="N372" s="6"/>
      <x:c r="O372" s="6"/>
      <x:c r="P372" s="6"/>
      <x:c r="Q372" s="6"/>
      <x:c r="R372" s="6"/>
      <x:c r="S372" s="6"/>
      <x:c r="T372" s="6"/>
      <x:c r="U372" s="6"/>
      <x:c r="V372" s="6" t="str">
        <x:f>IF(ISBLANK('_INSTANCE'!B372),"",'_INSTANCE'!B372)</x:f>
      </x:c>
      <x:c r="W372" s="6" t="str">
        <x:f>IF(ISBLANK('_INSTANCE'!F372),"",'_INSTANCE'!F372)</x:f>
      </x:c>
      <x:c r="X372" s="6"/>
      <x:c r="Y372" s="6"/>
      <x:c r="Z372" s="6"/>
      <x:c r="AA372" s="6"/>
      <x:c r="AB372" s="6"/>
      <x:c r="AC372" s="6"/>
      <x:c r="AD372" s="6"/>
      <x:c r="AE372" s="6"/>
      <x:c r="AF372" s="6"/>
    </x:row>
    <x:row r="373">
      <x:c r="A373" s="6"/>
      <x:c r="B373" s="6"/>
      <x:c r="C373" s="6"/>
      <x:c r="D373" s="6"/>
      <x:c r="E373" s="6"/>
      <x:c r="F373" s="6"/>
      <x:c r="G373" s="6"/>
      <x:c r="H373" s="6"/>
      <x:c r="I373" s="6"/>
      <x:c r="J373" s="6"/>
      <x:c r="K373" s="6"/>
      <x:c r="L373" s="6"/>
      <x:c r="M373" s="6"/>
      <x:c r="N373" s="6"/>
      <x:c r="O373" s="6"/>
      <x:c r="P373" s="6"/>
      <x:c r="Q373" s="6"/>
      <x:c r="R373" s="6"/>
      <x:c r="S373" s="6"/>
      <x:c r="T373" s="6"/>
      <x:c r="U373" s="6"/>
      <x:c r="V373" s="6" t="str">
        <x:f>IF(ISBLANK('_INSTANCE'!B373),"",'_INSTANCE'!B373)</x:f>
      </x:c>
      <x:c r="W373" s="6" t="str">
        <x:f>IF(ISBLANK('_INSTANCE'!F373),"",'_INSTANCE'!F373)</x:f>
      </x:c>
      <x:c r="X373" s="6"/>
      <x:c r="Y373" s="6"/>
      <x:c r="Z373" s="6"/>
      <x:c r="AA373" s="6"/>
      <x:c r="AB373" s="6"/>
      <x:c r="AC373" s="6"/>
      <x:c r="AD373" s="6"/>
      <x:c r="AE373" s="6"/>
      <x:c r="AF373" s="6"/>
    </x:row>
    <x:row r="374">
      <x:c r="A374" s="6"/>
      <x:c r="B374" s="6"/>
      <x:c r="C374" s="6"/>
      <x:c r="D374" s="6"/>
      <x:c r="E374" s="6"/>
      <x:c r="F374" s="6"/>
      <x:c r="G374" s="6"/>
      <x:c r="H374" s="6"/>
      <x:c r="I374" s="6"/>
      <x:c r="J374" s="6"/>
      <x:c r="K374" s="6"/>
      <x:c r="L374" s="6"/>
      <x:c r="M374" s="6"/>
      <x:c r="N374" s="6"/>
      <x:c r="O374" s="6"/>
      <x:c r="P374" s="6"/>
      <x:c r="Q374" s="6"/>
      <x:c r="R374" s="6"/>
      <x:c r="S374" s="6"/>
      <x:c r="T374" s="6"/>
      <x:c r="U374" s="6"/>
      <x:c r="V374" s="6" t="str">
        <x:f>IF(ISBLANK('_INSTANCE'!B374),"",'_INSTANCE'!B374)</x:f>
      </x:c>
      <x:c r="W374" s="6" t="str">
        <x:f>IF(ISBLANK('_INSTANCE'!F374),"",'_INSTANCE'!F374)</x:f>
      </x:c>
      <x:c r="X374" s="6"/>
      <x:c r="Y374" s="6"/>
      <x:c r="Z374" s="6"/>
      <x:c r="AA374" s="6"/>
      <x:c r="AB374" s="6"/>
      <x:c r="AC374" s="6"/>
      <x:c r="AD374" s="6"/>
      <x:c r="AE374" s="6"/>
      <x:c r="AF374" s="6"/>
    </x:row>
    <x:row r="375">
      <x:c r="A375" s="6"/>
      <x:c r="B375" s="6"/>
      <x:c r="C375" s="6"/>
      <x:c r="D375" s="6"/>
      <x:c r="E375" s="6"/>
      <x:c r="F375" s="6"/>
      <x:c r="G375" s="6"/>
      <x:c r="H375" s="6"/>
      <x:c r="I375" s="6"/>
      <x:c r="J375" s="6"/>
      <x:c r="K375" s="6"/>
      <x:c r="L375" s="6"/>
      <x:c r="M375" s="6"/>
      <x:c r="N375" s="6"/>
      <x:c r="O375" s="6"/>
      <x:c r="P375" s="6"/>
      <x:c r="Q375" s="6"/>
      <x:c r="R375" s="6"/>
      <x:c r="S375" s="6"/>
      <x:c r="T375" s="6"/>
      <x:c r="U375" s="6"/>
      <x:c r="V375" s="6" t="str">
        <x:f>IF(ISBLANK('_INSTANCE'!B375),"",'_INSTANCE'!B375)</x:f>
      </x:c>
      <x:c r="W375" s="6" t="str">
        <x:f>IF(ISBLANK('_INSTANCE'!F375),"",'_INSTANCE'!F375)</x:f>
      </x:c>
      <x:c r="X375" s="6"/>
      <x:c r="Y375" s="6"/>
      <x:c r="Z375" s="6"/>
      <x:c r="AA375" s="6"/>
      <x:c r="AB375" s="6"/>
      <x:c r="AC375" s="6"/>
      <x:c r="AD375" s="6"/>
      <x:c r="AE375" s="6"/>
      <x:c r="AF375" s="6"/>
    </x:row>
    <x:row r="376">
      <x:c r="A376" s="6"/>
      <x:c r="B376" s="6"/>
      <x:c r="C376" s="6"/>
      <x:c r="D376" s="6"/>
      <x:c r="E376" s="6"/>
      <x:c r="F376" s="6"/>
      <x:c r="G376" s="6"/>
      <x:c r="H376" s="6"/>
      <x:c r="I376" s="6"/>
      <x:c r="J376" s="6"/>
      <x:c r="K376" s="6"/>
      <x:c r="L376" s="6"/>
      <x:c r="M376" s="6"/>
      <x:c r="N376" s="6"/>
      <x:c r="O376" s="6"/>
      <x:c r="P376" s="6"/>
      <x:c r="Q376" s="6"/>
      <x:c r="R376" s="6"/>
      <x:c r="S376" s="6"/>
      <x:c r="T376" s="6"/>
      <x:c r="U376" s="6"/>
      <x:c r="V376" s="6" t="str">
        <x:f>IF(ISBLANK('_INSTANCE'!B376),"",'_INSTANCE'!B376)</x:f>
      </x:c>
      <x:c r="W376" s="6" t="str">
        <x:f>IF(ISBLANK('_INSTANCE'!F376),"",'_INSTANCE'!F376)</x:f>
      </x:c>
      <x:c r="X376" s="6"/>
      <x:c r="Y376" s="6"/>
      <x:c r="Z376" s="6"/>
      <x:c r="AA376" s="6"/>
      <x:c r="AB376" s="6"/>
      <x:c r="AC376" s="6"/>
      <x:c r="AD376" s="6"/>
      <x:c r="AE376" s="6"/>
      <x:c r="AF376" s="6"/>
    </x:row>
    <x:row r="377">
      <x:c r="A377" s="6"/>
      <x:c r="B377" s="6"/>
      <x:c r="C377" s="6"/>
      <x:c r="D377" s="6"/>
      <x:c r="E377" s="6"/>
      <x:c r="F377" s="6"/>
      <x:c r="G377" s="6"/>
      <x:c r="H377" s="6"/>
      <x:c r="I377" s="6"/>
      <x:c r="J377" s="6"/>
      <x:c r="K377" s="6"/>
      <x:c r="L377" s="6"/>
      <x:c r="M377" s="6"/>
      <x:c r="N377" s="6"/>
      <x:c r="O377" s="6"/>
      <x:c r="P377" s="6"/>
      <x:c r="Q377" s="6"/>
      <x:c r="R377" s="6"/>
      <x:c r="S377" s="6"/>
      <x:c r="T377" s="6"/>
      <x:c r="U377" s="6"/>
      <x:c r="V377" s="6" t="str">
        <x:f>IF(ISBLANK('_INSTANCE'!B377),"",'_INSTANCE'!B377)</x:f>
      </x:c>
      <x:c r="W377" s="6" t="str">
        <x:f>IF(ISBLANK('_INSTANCE'!F377),"",'_INSTANCE'!F377)</x:f>
      </x:c>
      <x:c r="X377" s="6"/>
      <x:c r="Y377" s="6"/>
      <x:c r="Z377" s="6"/>
      <x:c r="AA377" s="6"/>
      <x:c r="AB377" s="6"/>
      <x:c r="AC377" s="6"/>
      <x:c r="AD377" s="6"/>
      <x:c r="AE377" s="6"/>
      <x:c r="AF377" s="6"/>
    </x:row>
    <x:row r="378">
      <x:c r="A378" s="6"/>
      <x:c r="B378" s="6"/>
      <x:c r="C378" s="6"/>
      <x:c r="D378" s="6"/>
      <x:c r="E378" s="6"/>
      <x:c r="F378" s="6"/>
      <x:c r="G378" s="6"/>
      <x:c r="H378" s="6"/>
      <x:c r="I378" s="6"/>
      <x:c r="J378" s="6"/>
      <x:c r="K378" s="6"/>
      <x:c r="L378" s="6"/>
      <x:c r="M378" s="6"/>
      <x:c r="N378" s="6"/>
      <x:c r="O378" s="6"/>
      <x:c r="P378" s="6"/>
      <x:c r="Q378" s="6"/>
      <x:c r="R378" s="6"/>
      <x:c r="S378" s="6"/>
      <x:c r="T378" s="6"/>
      <x:c r="U378" s="6"/>
      <x:c r="V378" s="6" t="str">
        <x:f>IF(ISBLANK('_INSTANCE'!B378),"",'_INSTANCE'!B378)</x:f>
      </x:c>
      <x:c r="W378" s="6" t="str">
        <x:f>IF(ISBLANK('_INSTANCE'!F378),"",'_INSTANCE'!F378)</x:f>
      </x:c>
      <x:c r="X378" s="6"/>
      <x:c r="Y378" s="6"/>
      <x:c r="Z378" s="6"/>
      <x:c r="AA378" s="6"/>
      <x:c r="AB378" s="6"/>
      <x:c r="AC378" s="6"/>
      <x:c r="AD378" s="6"/>
      <x:c r="AE378" s="6"/>
      <x:c r="AF378" s="6"/>
    </x:row>
    <x:row r="379">
      <x:c r="A379" s="6"/>
      <x:c r="B379" s="6"/>
      <x:c r="C379" s="6"/>
      <x:c r="D379" s="6"/>
      <x:c r="E379" s="6"/>
      <x:c r="F379" s="6"/>
      <x:c r="G379" s="6"/>
      <x:c r="H379" s="6"/>
      <x:c r="I379" s="6"/>
      <x:c r="J379" s="6"/>
      <x:c r="K379" s="6"/>
      <x:c r="L379" s="6"/>
      <x:c r="M379" s="6"/>
      <x:c r="N379" s="6"/>
      <x:c r="O379" s="6"/>
      <x:c r="P379" s="6"/>
      <x:c r="Q379" s="6"/>
      <x:c r="R379" s="6"/>
      <x:c r="S379" s="6"/>
      <x:c r="T379" s="6"/>
      <x:c r="U379" s="6"/>
      <x:c r="V379" s="6" t="str">
        <x:f>IF(ISBLANK('_INSTANCE'!B379),"",'_INSTANCE'!B379)</x:f>
      </x:c>
      <x:c r="W379" s="6" t="str">
        <x:f>IF(ISBLANK('_INSTANCE'!F379),"",'_INSTANCE'!F379)</x:f>
      </x:c>
      <x:c r="X379" s="6"/>
      <x:c r="Y379" s="6"/>
      <x:c r="Z379" s="6"/>
      <x:c r="AA379" s="6"/>
      <x:c r="AB379" s="6"/>
      <x:c r="AC379" s="6"/>
      <x:c r="AD379" s="6"/>
      <x:c r="AE379" s="6"/>
      <x:c r="AF379" s="6"/>
    </x:row>
    <x:row r="380">
      <x:c r="A380" s="6"/>
      <x:c r="B380" s="6"/>
      <x:c r="C380" s="6"/>
      <x:c r="D380" s="6"/>
      <x:c r="E380" s="6"/>
      <x:c r="F380" s="6"/>
      <x:c r="G380" s="6"/>
      <x:c r="H380" s="6"/>
      <x:c r="I380" s="6"/>
      <x:c r="J380" s="6"/>
      <x:c r="K380" s="6"/>
      <x:c r="L380" s="6"/>
      <x:c r="M380" s="6"/>
      <x:c r="N380" s="6"/>
      <x:c r="O380" s="6"/>
      <x:c r="P380" s="6"/>
      <x:c r="Q380" s="6"/>
      <x:c r="R380" s="6"/>
      <x:c r="S380" s="6"/>
      <x:c r="T380" s="6"/>
      <x:c r="U380" s="6"/>
      <x:c r="V380" s="6" t="str">
        <x:f>IF(ISBLANK('_INSTANCE'!B380),"",'_INSTANCE'!B380)</x:f>
      </x:c>
      <x:c r="W380" s="6" t="str">
        <x:f>IF(ISBLANK('_INSTANCE'!F380),"",'_INSTANCE'!F380)</x:f>
      </x:c>
      <x:c r="X380" s="6"/>
      <x:c r="Y380" s="6"/>
      <x:c r="Z380" s="6"/>
      <x:c r="AA380" s="6"/>
      <x:c r="AB380" s="6"/>
      <x:c r="AC380" s="6"/>
      <x:c r="AD380" s="6"/>
      <x:c r="AE380" s="6"/>
      <x:c r="AF380" s="6"/>
    </x:row>
    <x:row r="381">
      <x:c r="A381" s="6"/>
      <x:c r="B381" s="6"/>
      <x:c r="C381" s="6"/>
      <x:c r="D381" s="6"/>
      <x:c r="E381" s="6"/>
      <x:c r="F381" s="6"/>
      <x:c r="G381" s="6"/>
      <x:c r="H381" s="6"/>
      <x:c r="I381" s="6"/>
      <x:c r="J381" s="6"/>
      <x:c r="K381" s="6"/>
      <x:c r="L381" s="6"/>
      <x:c r="M381" s="6"/>
      <x:c r="N381" s="6"/>
      <x:c r="O381" s="6"/>
      <x:c r="P381" s="6"/>
      <x:c r="Q381" s="6"/>
      <x:c r="R381" s="6"/>
      <x:c r="S381" s="6"/>
      <x:c r="T381" s="6"/>
      <x:c r="U381" s="6"/>
      <x:c r="V381" s="6" t="str">
        <x:f>IF(ISBLANK('_INSTANCE'!B381),"",'_INSTANCE'!B381)</x:f>
      </x:c>
      <x:c r="W381" s="6" t="str">
        <x:f>IF(ISBLANK('_INSTANCE'!F381),"",'_INSTANCE'!F381)</x:f>
      </x:c>
      <x:c r="X381" s="6"/>
      <x:c r="Y381" s="6"/>
      <x:c r="Z381" s="6"/>
      <x:c r="AA381" s="6"/>
      <x:c r="AB381" s="6"/>
      <x:c r="AC381" s="6"/>
      <x:c r="AD381" s="6"/>
      <x:c r="AE381" s="6"/>
      <x:c r="AF381" s="6"/>
    </x:row>
    <x:row r="382">
      <x:c r="A382" s="6"/>
      <x:c r="B382" s="6"/>
      <x:c r="C382" s="6"/>
      <x:c r="D382" s="6"/>
      <x:c r="E382" s="6"/>
      <x:c r="F382" s="6"/>
      <x:c r="G382" s="6"/>
      <x:c r="H382" s="6"/>
      <x:c r="I382" s="6"/>
      <x:c r="J382" s="6"/>
      <x:c r="K382" s="6"/>
      <x:c r="L382" s="6"/>
      <x:c r="M382" s="6"/>
      <x:c r="N382" s="6"/>
      <x:c r="O382" s="6"/>
      <x:c r="P382" s="6"/>
      <x:c r="Q382" s="6"/>
      <x:c r="R382" s="6"/>
      <x:c r="S382" s="6"/>
      <x:c r="T382" s="6"/>
      <x:c r="U382" s="6"/>
      <x:c r="V382" s="6" t="str">
        <x:f>IF(ISBLANK('_INSTANCE'!B382),"",'_INSTANCE'!B382)</x:f>
      </x:c>
      <x:c r="W382" s="6" t="str">
        <x:f>IF(ISBLANK('_INSTANCE'!F382),"",'_INSTANCE'!F382)</x:f>
      </x:c>
      <x:c r="X382" s="6"/>
      <x:c r="Y382" s="6"/>
      <x:c r="Z382" s="6"/>
      <x:c r="AA382" s="6"/>
      <x:c r="AB382" s="6"/>
      <x:c r="AC382" s="6"/>
      <x:c r="AD382" s="6"/>
      <x:c r="AE382" s="6"/>
      <x:c r="AF382" s="6"/>
    </x:row>
    <x:row r="383">
      <x:c r="A383" s="6"/>
      <x:c r="B383" s="6"/>
      <x:c r="C383" s="6"/>
      <x:c r="D383" s="6"/>
      <x:c r="E383" s="6"/>
      <x:c r="F383" s="6"/>
      <x:c r="G383" s="6"/>
      <x:c r="H383" s="6"/>
      <x:c r="I383" s="6"/>
      <x:c r="J383" s="6"/>
      <x:c r="K383" s="6"/>
      <x:c r="L383" s="6"/>
      <x:c r="M383" s="6"/>
      <x:c r="N383" s="6"/>
      <x:c r="O383" s="6"/>
      <x:c r="P383" s="6"/>
      <x:c r="Q383" s="6"/>
      <x:c r="R383" s="6"/>
      <x:c r="S383" s="6"/>
      <x:c r="T383" s="6"/>
      <x:c r="U383" s="6"/>
      <x:c r="V383" s="6" t="str">
        <x:f>IF(ISBLANK('_INSTANCE'!B383),"",'_INSTANCE'!B383)</x:f>
      </x:c>
      <x:c r="W383" s="6" t="str">
        <x:f>IF(ISBLANK('_INSTANCE'!F383),"",'_INSTANCE'!F383)</x:f>
      </x:c>
      <x:c r="X383" s="6"/>
      <x:c r="Y383" s="6"/>
      <x:c r="Z383" s="6"/>
      <x:c r="AA383" s="6"/>
      <x:c r="AB383" s="6"/>
      <x:c r="AC383" s="6"/>
      <x:c r="AD383" s="6"/>
      <x:c r="AE383" s="6"/>
      <x:c r="AF383" s="6"/>
    </x:row>
    <x:row r="384">
      <x:c r="A384" s="6"/>
      <x:c r="B384" s="6"/>
      <x:c r="C384" s="6"/>
      <x:c r="D384" s="6"/>
      <x:c r="E384" s="6"/>
      <x:c r="F384" s="6"/>
      <x:c r="G384" s="6"/>
      <x:c r="H384" s="6"/>
      <x:c r="I384" s="6"/>
      <x:c r="J384" s="6"/>
      <x:c r="K384" s="6"/>
      <x:c r="L384" s="6"/>
      <x:c r="M384" s="6"/>
      <x:c r="N384" s="6"/>
      <x:c r="O384" s="6"/>
      <x:c r="P384" s="6"/>
      <x:c r="Q384" s="6"/>
      <x:c r="R384" s="6"/>
      <x:c r="S384" s="6"/>
      <x:c r="T384" s="6"/>
      <x:c r="U384" s="6"/>
      <x:c r="V384" s="6" t="str">
        <x:f>IF(ISBLANK('_INSTANCE'!B384),"",'_INSTANCE'!B384)</x:f>
      </x:c>
      <x:c r="W384" s="6" t="str">
        <x:f>IF(ISBLANK('_INSTANCE'!F384),"",'_INSTANCE'!F384)</x:f>
      </x:c>
      <x:c r="X384" s="6"/>
      <x:c r="Y384" s="6"/>
      <x:c r="Z384" s="6"/>
      <x:c r="AA384" s="6"/>
      <x:c r="AB384" s="6"/>
      <x:c r="AC384" s="6"/>
      <x:c r="AD384" s="6"/>
      <x:c r="AE384" s="6"/>
      <x:c r="AF384" s="6"/>
    </x:row>
    <x:row r="385">
      <x:c r="A385" s="6"/>
      <x:c r="B385" s="6"/>
      <x:c r="C385" s="6"/>
      <x:c r="D385" s="6"/>
      <x:c r="E385" s="6"/>
      <x:c r="F385" s="6"/>
      <x:c r="G385" s="6"/>
      <x:c r="H385" s="6"/>
      <x:c r="I385" s="6"/>
      <x:c r="J385" s="6"/>
      <x:c r="K385" s="6"/>
      <x:c r="L385" s="6"/>
      <x:c r="M385" s="6"/>
      <x:c r="N385" s="6"/>
      <x:c r="O385" s="6"/>
      <x:c r="P385" s="6"/>
      <x:c r="Q385" s="6"/>
      <x:c r="R385" s="6"/>
      <x:c r="S385" s="6"/>
      <x:c r="T385" s="6"/>
      <x:c r="U385" s="6"/>
      <x:c r="V385" s="6" t="str">
        <x:f>IF(ISBLANK('_INSTANCE'!B385),"",'_INSTANCE'!B385)</x:f>
      </x:c>
      <x:c r="W385" s="6" t="str">
        <x:f>IF(ISBLANK('_INSTANCE'!F385),"",'_INSTANCE'!F385)</x:f>
      </x:c>
      <x:c r="X385" s="6"/>
      <x:c r="Y385" s="6"/>
      <x:c r="Z385" s="6"/>
      <x:c r="AA385" s="6"/>
      <x:c r="AB385" s="6"/>
      <x:c r="AC385" s="6"/>
      <x:c r="AD385" s="6"/>
      <x:c r="AE385" s="6"/>
      <x:c r="AF385" s="6"/>
    </x:row>
    <x:row r="386">
      <x:c r="A386" s="6"/>
      <x:c r="B386" s="6"/>
      <x:c r="C386" s="6"/>
      <x:c r="D386" s="6"/>
      <x:c r="E386" s="6"/>
      <x:c r="F386" s="6"/>
      <x:c r="G386" s="6"/>
      <x:c r="H386" s="6"/>
      <x:c r="I386" s="6"/>
      <x:c r="J386" s="6"/>
      <x:c r="K386" s="6"/>
      <x:c r="L386" s="6"/>
      <x:c r="M386" s="6"/>
      <x:c r="N386" s="6"/>
      <x:c r="O386" s="6"/>
      <x:c r="P386" s="6"/>
      <x:c r="Q386" s="6"/>
      <x:c r="R386" s="6"/>
      <x:c r="S386" s="6"/>
      <x:c r="T386" s="6"/>
      <x:c r="U386" s="6"/>
      <x:c r="V386" s="6" t="str">
        <x:f>IF(ISBLANK('_INSTANCE'!B386),"",'_INSTANCE'!B386)</x:f>
      </x:c>
      <x:c r="W386" s="6" t="str">
        <x:f>IF(ISBLANK('_INSTANCE'!F386),"",'_INSTANCE'!F386)</x:f>
      </x:c>
      <x:c r="X386" s="6"/>
      <x:c r="Y386" s="6"/>
      <x:c r="Z386" s="6"/>
      <x:c r="AA386" s="6"/>
      <x:c r="AB386" s="6"/>
      <x:c r="AC386" s="6"/>
      <x:c r="AD386" s="6"/>
      <x:c r="AE386" s="6"/>
      <x:c r="AF386" s="6"/>
    </x:row>
    <x:row r="387">
      <x:c r="A387" s="6"/>
      <x:c r="B387" s="6"/>
      <x:c r="C387" s="6"/>
      <x:c r="D387" s="6"/>
      <x:c r="E387" s="6"/>
      <x:c r="F387" s="6"/>
      <x:c r="G387" s="6"/>
      <x:c r="H387" s="6"/>
      <x:c r="I387" s="6"/>
      <x:c r="J387" s="6"/>
      <x:c r="K387" s="6"/>
      <x:c r="L387" s="6"/>
      <x:c r="M387" s="6"/>
      <x:c r="N387" s="6"/>
      <x:c r="O387" s="6"/>
      <x:c r="P387" s="6"/>
      <x:c r="Q387" s="6"/>
      <x:c r="R387" s="6"/>
      <x:c r="S387" s="6"/>
      <x:c r="T387" s="6"/>
      <x:c r="U387" s="6"/>
      <x:c r="V387" s="6" t="str">
        <x:f>IF(ISBLANK('_INSTANCE'!B387),"",'_INSTANCE'!B387)</x:f>
      </x:c>
      <x:c r="W387" s="6" t="str">
        <x:f>IF(ISBLANK('_INSTANCE'!F387),"",'_INSTANCE'!F387)</x:f>
      </x:c>
      <x:c r="X387" s="6"/>
      <x:c r="Y387" s="6"/>
      <x:c r="Z387" s="6"/>
      <x:c r="AA387" s="6"/>
      <x:c r="AB387" s="6"/>
      <x:c r="AC387" s="6"/>
      <x:c r="AD387" s="6"/>
      <x:c r="AE387" s="6"/>
      <x:c r="AF387" s="6"/>
    </x:row>
    <x:row r="388">
      <x:c r="A388" s="6"/>
      <x:c r="B388" s="6"/>
      <x:c r="C388" s="6"/>
      <x:c r="D388" s="6"/>
      <x:c r="E388" s="6"/>
      <x:c r="F388" s="6"/>
      <x:c r="G388" s="6"/>
      <x:c r="H388" s="6"/>
      <x:c r="I388" s="6"/>
      <x:c r="J388" s="6"/>
      <x:c r="K388" s="6"/>
      <x:c r="L388" s="6"/>
      <x:c r="M388" s="6"/>
      <x:c r="N388" s="6"/>
      <x:c r="O388" s="6"/>
      <x:c r="P388" s="6"/>
      <x:c r="Q388" s="6"/>
      <x:c r="R388" s="6"/>
      <x:c r="S388" s="6"/>
      <x:c r="T388" s="6"/>
      <x:c r="U388" s="6"/>
      <x:c r="V388" s="6" t="str">
        <x:f>IF(ISBLANK('_INSTANCE'!B388),"",'_INSTANCE'!B388)</x:f>
      </x:c>
      <x:c r="W388" s="6" t="str">
        <x:f>IF(ISBLANK('_INSTANCE'!F388),"",'_INSTANCE'!F388)</x:f>
      </x:c>
      <x:c r="X388" s="6"/>
      <x:c r="Y388" s="6"/>
      <x:c r="Z388" s="6"/>
      <x:c r="AA388" s="6"/>
      <x:c r="AB388" s="6"/>
      <x:c r="AC388" s="6"/>
      <x:c r="AD388" s="6"/>
      <x:c r="AE388" s="6"/>
      <x:c r="AF388" s="6"/>
    </x:row>
    <x:row r="389">
      <x:c r="A389" s="6"/>
      <x:c r="B389" s="6"/>
      <x:c r="C389" s="6"/>
      <x:c r="D389" s="6"/>
      <x:c r="E389" s="6"/>
      <x:c r="F389" s="6"/>
      <x:c r="G389" s="6"/>
      <x:c r="H389" s="6"/>
      <x:c r="I389" s="6"/>
      <x:c r="J389" s="6"/>
      <x:c r="K389" s="6"/>
      <x:c r="L389" s="6"/>
      <x:c r="M389" s="6"/>
      <x:c r="N389" s="6"/>
      <x:c r="O389" s="6"/>
      <x:c r="P389" s="6"/>
      <x:c r="Q389" s="6"/>
      <x:c r="R389" s="6"/>
      <x:c r="S389" s="6"/>
      <x:c r="T389" s="6"/>
      <x:c r="U389" s="6"/>
      <x:c r="V389" s="6" t="str">
        <x:f>IF(ISBLANK('_INSTANCE'!B389),"",'_INSTANCE'!B389)</x:f>
      </x:c>
      <x:c r="W389" s="6" t="str">
        <x:f>IF(ISBLANK('_INSTANCE'!F389),"",'_INSTANCE'!F389)</x:f>
      </x:c>
      <x:c r="X389" s="6"/>
      <x:c r="Y389" s="6"/>
      <x:c r="Z389" s="6"/>
      <x:c r="AA389" s="6"/>
      <x:c r="AB389" s="6"/>
      <x:c r="AC389" s="6"/>
      <x:c r="AD389" s="6"/>
      <x:c r="AE389" s="6"/>
      <x:c r="AF389" s="6"/>
    </x:row>
    <x:row r="390">
      <x:c r="A390" s="6"/>
      <x:c r="B390" s="6"/>
      <x:c r="C390" s="6"/>
      <x:c r="D390" s="6"/>
      <x:c r="E390" s="6"/>
      <x:c r="F390" s="6"/>
      <x:c r="G390" s="6"/>
      <x:c r="H390" s="6"/>
      <x:c r="I390" s="6"/>
      <x:c r="J390" s="6"/>
      <x:c r="K390" s="6"/>
      <x:c r="L390" s="6"/>
      <x:c r="M390" s="6"/>
      <x:c r="N390" s="6"/>
      <x:c r="O390" s="6"/>
      <x:c r="P390" s="6"/>
      <x:c r="Q390" s="6"/>
      <x:c r="R390" s="6"/>
      <x:c r="S390" s="6"/>
      <x:c r="T390" s="6"/>
      <x:c r="U390" s="6"/>
      <x:c r="V390" s="6" t="str">
        <x:f>IF(ISBLANK('_INSTANCE'!B390),"",'_INSTANCE'!B390)</x:f>
      </x:c>
      <x:c r="W390" s="6" t="str">
        <x:f>IF(ISBLANK('_INSTANCE'!F390),"",'_INSTANCE'!F390)</x:f>
      </x:c>
      <x:c r="X390" s="6"/>
      <x:c r="Y390" s="6"/>
      <x:c r="Z390" s="6"/>
      <x:c r="AA390" s="6"/>
      <x:c r="AB390" s="6"/>
      <x:c r="AC390" s="6"/>
      <x:c r="AD390" s="6"/>
      <x:c r="AE390" s="6"/>
      <x:c r="AF390" s="6"/>
    </x:row>
    <x:row r="391">
      <x:c r="A391" s="6"/>
      <x:c r="B391" s="6"/>
      <x:c r="C391" s="6"/>
      <x:c r="D391" s="6"/>
      <x:c r="E391" s="6"/>
      <x:c r="F391" s="6"/>
      <x:c r="G391" s="6"/>
      <x:c r="H391" s="6"/>
      <x:c r="I391" s="6"/>
      <x:c r="J391" s="6"/>
      <x:c r="K391" s="6"/>
      <x:c r="L391" s="6"/>
      <x:c r="M391" s="6"/>
      <x:c r="N391" s="6"/>
      <x:c r="O391" s="6"/>
      <x:c r="P391" s="6"/>
      <x:c r="Q391" s="6"/>
      <x:c r="R391" s="6"/>
      <x:c r="S391" s="6"/>
      <x:c r="T391" s="6"/>
      <x:c r="U391" s="6"/>
      <x:c r="V391" s="6" t="str">
        <x:f>IF(ISBLANK('_INSTANCE'!B391),"",'_INSTANCE'!B391)</x:f>
      </x:c>
      <x:c r="W391" s="6" t="str">
        <x:f>IF(ISBLANK('_INSTANCE'!F391),"",'_INSTANCE'!F391)</x:f>
      </x:c>
      <x:c r="X391" s="6"/>
      <x:c r="Y391" s="6"/>
      <x:c r="Z391" s="6"/>
      <x:c r="AA391" s="6"/>
      <x:c r="AB391" s="6"/>
      <x:c r="AC391" s="6"/>
      <x:c r="AD391" s="6"/>
      <x:c r="AE391" s="6"/>
      <x:c r="AF391" s="6"/>
    </x:row>
    <x:row r="392">
      <x:c r="A392" s="6"/>
      <x:c r="B392" s="6"/>
      <x:c r="C392" s="6"/>
      <x:c r="D392" s="6"/>
      <x:c r="E392" s="6"/>
      <x:c r="F392" s="6"/>
      <x:c r="G392" s="6"/>
      <x:c r="H392" s="6"/>
      <x:c r="I392" s="6"/>
      <x:c r="J392" s="6"/>
      <x:c r="K392" s="6"/>
      <x:c r="L392" s="6"/>
      <x:c r="M392" s="6"/>
      <x:c r="N392" s="6"/>
      <x:c r="O392" s="6"/>
      <x:c r="P392" s="6"/>
      <x:c r="Q392" s="6"/>
      <x:c r="R392" s="6"/>
      <x:c r="S392" s="6"/>
      <x:c r="T392" s="6"/>
      <x:c r="U392" s="6"/>
      <x:c r="V392" s="6" t="str">
        <x:f>IF(ISBLANK('_INSTANCE'!B392),"",'_INSTANCE'!B392)</x:f>
      </x:c>
      <x:c r="W392" s="6" t="str">
        <x:f>IF(ISBLANK('_INSTANCE'!F392),"",'_INSTANCE'!F392)</x:f>
      </x:c>
      <x:c r="X392" s="6"/>
      <x:c r="Y392" s="6"/>
      <x:c r="Z392" s="6"/>
      <x:c r="AA392" s="6"/>
      <x:c r="AB392" s="6"/>
      <x:c r="AC392" s="6"/>
      <x:c r="AD392" s="6"/>
      <x:c r="AE392" s="6"/>
      <x:c r="AF392" s="6"/>
    </x:row>
    <x:row r="393">
      <x:c r="A393" s="6"/>
      <x:c r="B393" s="6"/>
      <x:c r="C393" s="6"/>
      <x:c r="D393" s="6"/>
      <x:c r="E393" s="6"/>
      <x:c r="F393" s="6"/>
      <x:c r="G393" s="6"/>
      <x:c r="H393" s="6"/>
      <x:c r="I393" s="6"/>
      <x:c r="J393" s="6"/>
      <x:c r="K393" s="6"/>
      <x:c r="L393" s="6"/>
      <x:c r="M393" s="6"/>
      <x:c r="N393" s="6"/>
      <x:c r="O393" s="6"/>
      <x:c r="P393" s="6"/>
      <x:c r="Q393" s="6"/>
      <x:c r="R393" s="6"/>
      <x:c r="S393" s="6"/>
      <x:c r="T393" s="6"/>
      <x:c r="U393" s="6"/>
      <x:c r="V393" s="6" t="str">
        <x:f>IF(ISBLANK('_INSTANCE'!B393),"",'_INSTANCE'!B393)</x:f>
      </x:c>
      <x:c r="W393" s="6" t="str">
        <x:f>IF(ISBLANK('_INSTANCE'!F393),"",'_INSTANCE'!F393)</x:f>
      </x:c>
      <x:c r="X393" s="6"/>
      <x:c r="Y393" s="6"/>
      <x:c r="Z393" s="6"/>
      <x:c r="AA393" s="6"/>
      <x:c r="AB393" s="6"/>
      <x:c r="AC393" s="6"/>
      <x:c r="AD393" s="6"/>
      <x:c r="AE393" s="6"/>
      <x:c r="AF393" s="6"/>
    </x:row>
    <x:row r="394">
      <x:c r="A394" s="6"/>
      <x:c r="B394" s="6"/>
      <x:c r="C394" s="6"/>
      <x:c r="D394" s="6"/>
      <x:c r="E394" s="6"/>
      <x:c r="F394" s="6"/>
      <x:c r="G394" s="6"/>
      <x:c r="H394" s="6"/>
      <x:c r="I394" s="6"/>
      <x:c r="J394" s="6"/>
      <x:c r="K394" s="6"/>
      <x:c r="L394" s="6"/>
      <x:c r="M394" s="6"/>
      <x:c r="N394" s="6"/>
      <x:c r="O394" s="6"/>
      <x:c r="P394" s="6"/>
      <x:c r="Q394" s="6"/>
      <x:c r="R394" s="6"/>
      <x:c r="S394" s="6"/>
      <x:c r="T394" s="6"/>
      <x:c r="U394" s="6"/>
      <x:c r="V394" s="6" t="str">
        <x:f>IF(ISBLANK('_INSTANCE'!B394),"",'_INSTANCE'!B394)</x:f>
      </x:c>
      <x:c r="W394" s="6" t="str">
        <x:f>IF(ISBLANK('_INSTANCE'!F394),"",'_INSTANCE'!F394)</x:f>
      </x:c>
      <x:c r="X394" s="6"/>
      <x:c r="Y394" s="6"/>
      <x:c r="Z394" s="6"/>
      <x:c r="AA394" s="6"/>
      <x:c r="AB394" s="6"/>
      <x:c r="AC394" s="6"/>
      <x:c r="AD394" s="6"/>
      <x:c r="AE394" s="6"/>
      <x:c r="AF394" s="6"/>
    </x:row>
    <x:row r="395">
      <x:c r="A395" s="6"/>
      <x:c r="B395" s="6"/>
      <x:c r="C395" s="6"/>
      <x:c r="D395" s="6"/>
      <x:c r="E395" s="6"/>
      <x:c r="F395" s="6"/>
      <x:c r="G395" s="6"/>
      <x:c r="H395" s="6"/>
      <x:c r="I395" s="6"/>
      <x:c r="J395" s="6"/>
      <x:c r="K395" s="6"/>
      <x:c r="L395" s="6"/>
      <x:c r="M395" s="6"/>
      <x:c r="N395" s="6"/>
      <x:c r="O395" s="6"/>
      <x:c r="P395" s="6"/>
      <x:c r="Q395" s="6"/>
      <x:c r="R395" s="6"/>
      <x:c r="S395" s="6"/>
      <x:c r="T395" s="6"/>
      <x:c r="U395" s="6"/>
      <x:c r="V395" s="6" t="str">
        <x:f>IF(ISBLANK('_INSTANCE'!B395),"",'_INSTANCE'!B395)</x:f>
      </x:c>
      <x:c r="W395" s="6" t="str">
        <x:f>IF(ISBLANK('_INSTANCE'!F395),"",'_INSTANCE'!F395)</x:f>
      </x:c>
      <x:c r="X395" s="6"/>
      <x:c r="Y395" s="6"/>
      <x:c r="Z395" s="6"/>
      <x:c r="AA395" s="6"/>
      <x:c r="AB395" s="6"/>
      <x:c r="AC395" s="6"/>
      <x:c r="AD395" s="6"/>
      <x:c r="AE395" s="6"/>
      <x:c r="AF395" s="6"/>
    </x:row>
    <x:row r="396">
      <x:c r="A396" s="6"/>
      <x:c r="B396" s="6"/>
      <x:c r="C396" s="6"/>
      <x:c r="D396" s="6"/>
      <x:c r="E396" s="6"/>
      <x:c r="F396" s="6"/>
      <x:c r="G396" s="6"/>
      <x:c r="H396" s="6"/>
      <x:c r="I396" s="6"/>
      <x:c r="J396" s="6"/>
      <x:c r="K396" s="6"/>
      <x:c r="L396" s="6"/>
      <x:c r="M396" s="6"/>
      <x:c r="N396" s="6"/>
      <x:c r="O396" s="6"/>
      <x:c r="P396" s="6"/>
      <x:c r="Q396" s="6"/>
      <x:c r="R396" s="6"/>
      <x:c r="S396" s="6"/>
      <x:c r="T396" s="6"/>
      <x:c r="U396" s="6"/>
      <x:c r="V396" s="6" t="str">
        <x:f>IF(ISBLANK('_INSTANCE'!B396),"",'_INSTANCE'!B396)</x:f>
      </x:c>
      <x:c r="W396" s="6" t="str">
        <x:f>IF(ISBLANK('_INSTANCE'!F396),"",'_INSTANCE'!F396)</x:f>
      </x:c>
      <x:c r="X396" s="6"/>
      <x:c r="Y396" s="6"/>
      <x:c r="Z396" s="6"/>
      <x:c r="AA396" s="6"/>
      <x:c r="AB396" s="6"/>
      <x:c r="AC396" s="6"/>
      <x:c r="AD396" s="6"/>
      <x:c r="AE396" s="6"/>
      <x:c r="AF396" s="6"/>
    </x:row>
    <x:row r="397">
      <x:c r="A397" s="6"/>
      <x:c r="B397" s="6"/>
      <x:c r="C397" s="6"/>
      <x:c r="D397" s="6"/>
      <x:c r="E397" s="6"/>
      <x:c r="F397" s="6"/>
      <x:c r="G397" s="6"/>
      <x:c r="H397" s="6"/>
      <x:c r="I397" s="6"/>
      <x:c r="J397" s="6"/>
      <x:c r="K397" s="6"/>
      <x:c r="L397" s="6"/>
      <x:c r="M397" s="6"/>
      <x:c r="N397" s="6"/>
      <x:c r="O397" s="6"/>
      <x:c r="P397" s="6"/>
      <x:c r="Q397" s="6"/>
      <x:c r="R397" s="6"/>
      <x:c r="S397" s="6"/>
      <x:c r="T397" s="6"/>
      <x:c r="U397" s="6"/>
      <x:c r="V397" s="6" t="str">
        <x:f>IF(ISBLANK('_INSTANCE'!B397),"",'_INSTANCE'!B397)</x:f>
      </x:c>
      <x:c r="W397" s="6" t="str">
        <x:f>IF(ISBLANK('_INSTANCE'!F397),"",'_INSTANCE'!F397)</x:f>
      </x:c>
      <x:c r="X397" s="6"/>
      <x:c r="Y397" s="6"/>
      <x:c r="Z397" s="6"/>
      <x:c r="AA397" s="6"/>
      <x:c r="AB397" s="6"/>
      <x:c r="AC397" s="6"/>
      <x:c r="AD397" s="6"/>
      <x:c r="AE397" s="6"/>
      <x:c r="AF397" s="6"/>
    </x:row>
    <x:row r="398">
      <x:c r="A398" s="6"/>
      <x:c r="B398" s="6"/>
      <x:c r="C398" s="6"/>
      <x:c r="D398" s="6"/>
      <x:c r="E398" s="6"/>
      <x:c r="F398" s="6"/>
      <x:c r="G398" s="6"/>
      <x:c r="H398" s="6"/>
      <x:c r="I398" s="6"/>
      <x:c r="J398" s="6"/>
      <x:c r="K398" s="6"/>
      <x:c r="L398" s="6"/>
      <x:c r="M398" s="6"/>
      <x:c r="N398" s="6"/>
      <x:c r="O398" s="6"/>
      <x:c r="P398" s="6"/>
      <x:c r="Q398" s="6"/>
      <x:c r="R398" s="6"/>
      <x:c r="S398" s="6"/>
      <x:c r="T398" s="6"/>
      <x:c r="U398" s="6"/>
      <x:c r="V398" s="6" t="str">
        <x:f>IF(ISBLANK('_INSTANCE'!B398),"",'_INSTANCE'!B398)</x:f>
      </x:c>
      <x:c r="W398" s="6" t="str">
        <x:f>IF(ISBLANK('_INSTANCE'!F398),"",'_INSTANCE'!F398)</x:f>
      </x:c>
      <x:c r="X398" s="6"/>
      <x:c r="Y398" s="6"/>
      <x:c r="Z398" s="6"/>
      <x:c r="AA398" s="6"/>
      <x:c r="AB398" s="6"/>
      <x:c r="AC398" s="6"/>
      <x:c r="AD398" s="6"/>
      <x:c r="AE398" s="6"/>
      <x:c r="AF398" s="6"/>
    </x:row>
    <x:row r="399">
      <x:c r="A399" s="6"/>
      <x:c r="B399" s="6"/>
      <x:c r="C399" s="6"/>
      <x:c r="D399" s="6"/>
      <x:c r="E399" s="6"/>
      <x:c r="F399" s="6"/>
      <x:c r="G399" s="6"/>
      <x:c r="H399" s="6"/>
      <x:c r="I399" s="6"/>
      <x:c r="J399" s="6"/>
      <x:c r="K399" s="6"/>
      <x:c r="L399" s="6"/>
      <x:c r="M399" s="6"/>
      <x:c r="N399" s="6"/>
      <x:c r="O399" s="6"/>
      <x:c r="P399" s="6"/>
      <x:c r="Q399" s="6"/>
      <x:c r="R399" s="6"/>
      <x:c r="S399" s="6"/>
      <x:c r="T399" s="6"/>
      <x:c r="U399" s="6"/>
      <x:c r="V399" s="6" t="str">
        <x:f>IF(ISBLANK('_INSTANCE'!B399),"",'_INSTANCE'!B399)</x:f>
      </x:c>
      <x:c r="W399" s="6" t="str">
        <x:f>IF(ISBLANK('_INSTANCE'!F399),"",'_INSTANCE'!F399)</x:f>
      </x:c>
      <x:c r="X399" s="6"/>
      <x:c r="Y399" s="6"/>
      <x:c r="Z399" s="6"/>
      <x:c r="AA399" s="6"/>
      <x:c r="AB399" s="6"/>
      <x:c r="AC399" s="6"/>
      <x:c r="AD399" s="6"/>
      <x:c r="AE399" s="6"/>
      <x:c r="AF399" s="6"/>
    </x:row>
    <x:row r="400">
      <x:c r="A400" s="6"/>
      <x:c r="B400" s="6"/>
      <x:c r="C400" s="6"/>
      <x:c r="D400" s="6"/>
      <x:c r="E400" s="6"/>
      <x:c r="F400" s="6"/>
      <x:c r="G400" s="6"/>
      <x:c r="H400" s="6"/>
      <x:c r="I400" s="6"/>
      <x:c r="J400" s="6"/>
      <x:c r="K400" s="6"/>
      <x:c r="L400" s="6"/>
      <x:c r="M400" s="6"/>
      <x:c r="N400" s="6"/>
      <x:c r="O400" s="6"/>
      <x:c r="P400" s="6"/>
      <x:c r="Q400" s="6"/>
      <x:c r="R400" s="6"/>
      <x:c r="S400" s="6"/>
      <x:c r="T400" s="6"/>
      <x:c r="U400" s="6"/>
      <x:c r="V400" s="6" t="str">
        <x:f>IF(ISBLANK('_INSTANCE'!B400),"",'_INSTANCE'!B400)</x:f>
      </x:c>
      <x:c r="W400" s="6" t="str">
        <x:f>IF(ISBLANK('_INSTANCE'!F400),"",'_INSTANCE'!F400)</x:f>
      </x:c>
      <x:c r="X400" s="6"/>
      <x:c r="Y400" s="6"/>
      <x:c r="Z400" s="6"/>
      <x:c r="AA400" s="6"/>
      <x:c r="AB400" s="6"/>
      <x:c r="AC400" s="6"/>
      <x:c r="AD400" s="6"/>
      <x:c r="AE400" s="6"/>
      <x:c r="AF400" s="6"/>
    </x:row>
    <x:row r="401">
      <x:c r="A401" s="6"/>
      <x:c r="B401" s="6"/>
      <x:c r="C401" s="6"/>
      <x:c r="D401" s="6"/>
      <x:c r="E401" s="6"/>
      <x:c r="F401" s="6"/>
      <x:c r="G401" s="6"/>
      <x:c r="H401" s="6"/>
      <x:c r="I401" s="6"/>
      <x:c r="J401" s="6"/>
      <x:c r="K401" s="6"/>
      <x:c r="L401" s="6"/>
      <x:c r="M401" s="6"/>
      <x:c r="N401" s="6"/>
      <x:c r="O401" s="6"/>
      <x:c r="P401" s="6"/>
      <x:c r="Q401" s="6"/>
      <x:c r="R401" s="6"/>
      <x:c r="S401" s="6"/>
      <x:c r="T401" s="6"/>
      <x:c r="U401" s="6"/>
      <x:c r="V401" s="6" t="str">
        <x:f>IF(ISBLANK('_INSTANCE'!B401),"",'_INSTANCE'!B401)</x:f>
      </x:c>
      <x:c r="W401" s="6" t="str">
        <x:f>IF(ISBLANK('_INSTANCE'!F401),"",'_INSTANCE'!F401)</x:f>
      </x:c>
      <x:c r="X401" s="6"/>
      <x:c r="Y401" s="6"/>
      <x:c r="Z401" s="6"/>
      <x:c r="AA401" s="6"/>
      <x:c r="AB401" s="6"/>
      <x:c r="AC401" s="6"/>
      <x:c r="AD401" s="6"/>
      <x:c r="AE401" s="6"/>
      <x:c r="AF401" s="6"/>
    </x:row>
    <x:row r="402">
      <x:c r="A402" s="6"/>
      <x:c r="B402" s="6"/>
      <x:c r="C402" s="6"/>
      <x:c r="D402" s="6"/>
      <x:c r="E402" s="6"/>
      <x:c r="F402" s="6"/>
      <x:c r="G402" s="6"/>
      <x:c r="H402" s="6"/>
      <x:c r="I402" s="6"/>
      <x:c r="J402" s="6"/>
      <x:c r="K402" s="6"/>
      <x:c r="L402" s="6"/>
      <x:c r="M402" s="6"/>
      <x:c r="N402" s="6"/>
      <x:c r="O402" s="6"/>
      <x:c r="P402" s="6"/>
      <x:c r="Q402" s="6"/>
      <x:c r="R402" s="6"/>
      <x:c r="S402" s="6"/>
      <x:c r="T402" s="6"/>
      <x:c r="U402" s="6"/>
      <x:c r="V402" s="6" t="str">
        <x:f>IF(ISBLANK('_INSTANCE'!B402),"",'_INSTANCE'!B402)</x:f>
      </x:c>
      <x:c r="W402" s="6" t="str">
        <x:f>IF(ISBLANK('_INSTANCE'!F402),"",'_INSTANCE'!F402)</x:f>
      </x:c>
      <x:c r="X402" s="6"/>
      <x:c r="Y402" s="6"/>
      <x:c r="Z402" s="6"/>
      <x:c r="AA402" s="6"/>
      <x:c r="AB402" s="6"/>
      <x:c r="AC402" s="6"/>
      <x:c r="AD402" s="6"/>
      <x:c r="AE402" s="6"/>
      <x:c r="AF402" s="6"/>
    </x:row>
    <x:row r="403">
      <x:c r="A403" s="6"/>
      <x:c r="B403" s="6"/>
      <x:c r="C403" s="6"/>
      <x:c r="D403" s="6"/>
      <x:c r="E403" s="6"/>
      <x:c r="F403" s="6"/>
      <x:c r="G403" s="6"/>
      <x:c r="H403" s="6"/>
      <x:c r="I403" s="6"/>
      <x:c r="J403" s="6"/>
      <x:c r="K403" s="6"/>
      <x:c r="L403" s="6"/>
      <x:c r="M403" s="6"/>
      <x:c r="N403" s="6"/>
      <x:c r="O403" s="6"/>
      <x:c r="P403" s="6"/>
      <x:c r="Q403" s="6"/>
      <x:c r="R403" s="6"/>
      <x:c r="S403" s="6"/>
      <x:c r="T403" s="6"/>
      <x:c r="U403" s="6"/>
      <x:c r="V403" s="6" t="str">
        <x:f>IF(ISBLANK('_INSTANCE'!B403),"",'_INSTANCE'!B403)</x:f>
      </x:c>
      <x:c r="W403" s="6" t="str">
        <x:f>IF(ISBLANK('_INSTANCE'!F403),"",'_INSTANCE'!F403)</x:f>
      </x:c>
      <x:c r="X403" s="6"/>
      <x:c r="Y403" s="6"/>
      <x:c r="Z403" s="6"/>
      <x:c r="AA403" s="6"/>
      <x:c r="AB403" s="6"/>
      <x:c r="AC403" s="6"/>
      <x:c r="AD403" s="6"/>
      <x:c r="AE403" s="6"/>
      <x:c r="AF403" s="6"/>
    </x:row>
    <x:row r="404">
      <x:c r="A404" s="6"/>
      <x:c r="B404" s="6"/>
      <x:c r="C404" s="6"/>
      <x:c r="D404" s="6"/>
      <x:c r="E404" s="6"/>
      <x:c r="F404" s="6"/>
      <x:c r="G404" s="6"/>
      <x:c r="H404" s="6"/>
      <x:c r="I404" s="6"/>
      <x:c r="J404" s="6"/>
      <x:c r="K404" s="6"/>
      <x:c r="L404" s="6"/>
      <x:c r="M404" s="6"/>
      <x:c r="N404" s="6"/>
      <x:c r="O404" s="6"/>
      <x:c r="P404" s="6"/>
      <x:c r="Q404" s="6"/>
      <x:c r="R404" s="6"/>
      <x:c r="S404" s="6"/>
      <x:c r="T404" s="6"/>
      <x:c r="U404" s="6"/>
      <x:c r="V404" s="6" t="str">
        <x:f>IF(ISBLANK('_INSTANCE'!B404),"",'_INSTANCE'!B404)</x:f>
      </x:c>
      <x:c r="W404" s="6" t="str">
        <x:f>IF(ISBLANK('_INSTANCE'!F404),"",'_INSTANCE'!F404)</x:f>
      </x:c>
      <x:c r="X404" s="6"/>
      <x:c r="Y404" s="6"/>
      <x:c r="Z404" s="6"/>
      <x:c r="AA404" s="6"/>
      <x:c r="AB404" s="6"/>
      <x:c r="AC404" s="6"/>
      <x:c r="AD404" s="6"/>
      <x:c r="AE404" s="6"/>
      <x:c r="AF404" s="6"/>
    </x:row>
    <x:row r="405">
      <x:c r="A405" s="6"/>
      <x:c r="B405" s="6"/>
      <x:c r="C405" s="6"/>
      <x:c r="D405" s="6"/>
      <x:c r="E405" s="6"/>
      <x:c r="F405" s="6"/>
      <x:c r="G405" s="6"/>
      <x:c r="H405" s="6"/>
      <x:c r="I405" s="6"/>
      <x:c r="J405" s="6"/>
      <x:c r="K405" s="6"/>
      <x:c r="L405" s="6"/>
      <x:c r="M405" s="6"/>
      <x:c r="N405" s="6"/>
      <x:c r="O405" s="6"/>
      <x:c r="P405" s="6"/>
      <x:c r="Q405" s="6"/>
      <x:c r="R405" s="6"/>
      <x:c r="S405" s="6"/>
      <x:c r="T405" s="6"/>
      <x:c r="U405" s="6"/>
      <x:c r="V405" s="6" t="str">
        <x:f>IF(ISBLANK('_INSTANCE'!B405),"",'_INSTANCE'!B405)</x:f>
      </x:c>
      <x:c r="W405" s="6" t="str">
        <x:f>IF(ISBLANK('_INSTANCE'!F405),"",'_INSTANCE'!F405)</x:f>
      </x:c>
      <x:c r="X405" s="6"/>
      <x:c r="Y405" s="6"/>
      <x:c r="Z405" s="6"/>
      <x:c r="AA405" s="6"/>
      <x:c r="AB405" s="6"/>
      <x:c r="AC405" s="6"/>
      <x:c r="AD405" s="6"/>
      <x:c r="AE405" s="6"/>
      <x:c r="AF405" s="6"/>
    </x:row>
    <x:row r="406">
      <x:c r="A406" s="6"/>
      <x:c r="B406" s="6"/>
      <x:c r="C406" s="6"/>
      <x:c r="D406" s="6"/>
      <x:c r="E406" s="6"/>
      <x:c r="F406" s="6"/>
      <x:c r="G406" s="6"/>
      <x:c r="H406" s="6"/>
      <x:c r="I406" s="6"/>
      <x:c r="J406" s="6"/>
      <x:c r="K406" s="6"/>
      <x:c r="L406" s="6"/>
      <x:c r="M406" s="6"/>
      <x:c r="N406" s="6"/>
      <x:c r="O406" s="6"/>
      <x:c r="P406" s="6"/>
      <x:c r="Q406" s="6"/>
      <x:c r="R406" s="6"/>
      <x:c r="S406" s="6"/>
      <x:c r="T406" s="6"/>
      <x:c r="U406" s="6"/>
      <x:c r="V406" s="6" t="str">
        <x:f>IF(ISBLANK('_INSTANCE'!B406),"",'_INSTANCE'!B406)</x:f>
      </x:c>
      <x:c r="W406" s="6" t="str">
        <x:f>IF(ISBLANK('_INSTANCE'!F406),"",'_INSTANCE'!F406)</x:f>
      </x:c>
      <x:c r="X406" s="6"/>
      <x:c r="Y406" s="6"/>
      <x:c r="Z406" s="6"/>
      <x:c r="AA406" s="6"/>
      <x:c r="AB406" s="6"/>
      <x:c r="AC406" s="6"/>
      <x:c r="AD406" s="6"/>
      <x:c r="AE406" s="6"/>
      <x:c r="AF406" s="6"/>
    </x:row>
    <x:row r="407">
      <x:c r="A407" s="6"/>
      <x:c r="B407" s="6"/>
      <x:c r="C407" s="6"/>
      <x:c r="D407" s="6"/>
      <x:c r="E407" s="6"/>
      <x:c r="F407" s="6"/>
      <x:c r="G407" s="6"/>
      <x:c r="H407" s="6"/>
      <x:c r="I407" s="6"/>
      <x:c r="J407" s="6"/>
      <x:c r="K407" s="6"/>
      <x:c r="L407" s="6"/>
      <x:c r="M407" s="6"/>
      <x:c r="N407" s="6"/>
      <x:c r="O407" s="6"/>
      <x:c r="P407" s="6"/>
      <x:c r="Q407" s="6"/>
      <x:c r="R407" s="6"/>
      <x:c r="S407" s="6"/>
      <x:c r="T407" s="6"/>
      <x:c r="U407" s="6"/>
      <x:c r="V407" s="6" t="str">
        <x:f>IF(ISBLANK('_INSTANCE'!B407),"",'_INSTANCE'!B407)</x:f>
      </x:c>
      <x:c r="W407" s="6" t="str">
        <x:f>IF(ISBLANK('_INSTANCE'!F407),"",'_INSTANCE'!F407)</x:f>
      </x:c>
      <x:c r="X407" s="6"/>
      <x:c r="Y407" s="6"/>
      <x:c r="Z407" s="6"/>
      <x:c r="AA407" s="6"/>
      <x:c r="AB407" s="6"/>
      <x:c r="AC407" s="6"/>
      <x:c r="AD407" s="6"/>
      <x:c r="AE407" s="6"/>
      <x:c r="AF407" s="6"/>
    </x:row>
    <x:row r="408">
      <x:c r="A408" s="6"/>
      <x:c r="B408" s="6"/>
      <x:c r="C408" s="6"/>
      <x:c r="D408" s="6"/>
      <x:c r="E408" s="6"/>
      <x:c r="F408" s="6"/>
      <x:c r="G408" s="6"/>
      <x:c r="H408" s="6"/>
      <x:c r="I408" s="6"/>
      <x:c r="J408" s="6"/>
      <x:c r="K408" s="6"/>
      <x:c r="L408" s="6"/>
      <x:c r="M408" s="6"/>
      <x:c r="N408" s="6"/>
      <x:c r="O408" s="6"/>
      <x:c r="P408" s="6"/>
      <x:c r="Q408" s="6"/>
      <x:c r="R408" s="6"/>
      <x:c r="S408" s="6"/>
      <x:c r="T408" s="6"/>
      <x:c r="U408" s="6"/>
      <x:c r="V408" s="6" t="str">
        <x:f>IF(ISBLANK('_INSTANCE'!B408),"",'_INSTANCE'!B408)</x:f>
      </x:c>
      <x:c r="W408" s="6" t="str">
        <x:f>IF(ISBLANK('_INSTANCE'!F408),"",'_INSTANCE'!F408)</x:f>
      </x:c>
      <x:c r="X408" s="6"/>
      <x:c r="Y408" s="6"/>
      <x:c r="Z408" s="6"/>
      <x:c r="AA408" s="6"/>
      <x:c r="AB408" s="6"/>
      <x:c r="AC408" s="6"/>
      <x:c r="AD408" s="6"/>
      <x:c r="AE408" s="6"/>
      <x:c r="AF408" s="6"/>
    </x:row>
    <x:row r="409">
      <x:c r="A409" s="6"/>
      <x:c r="B409" s="6"/>
      <x:c r="C409" s="6"/>
      <x:c r="D409" s="6"/>
      <x:c r="E409" s="6"/>
      <x:c r="F409" s="6"/>
      <x:c r="G409" s="6"/>
      <x:c r="H409" s="6"/>
      <x:c r="I409" s="6"/>
      <x:c r="J409" s="6"/>
      <x:c r="K409" s="6"/>
      <x:c r="L409" s="6"/>
      <x:c r="M409" s="6"/>
      <x:c r="N409" s="6"/>
      <x:c r="O409" s="6"/>
      <x:c r="P409" s="6"/>
      <x:c r="Q409" s="6"/>
      <x:c r="R409" s="6"/>
      <x:c r="S409" s="6"/>
      <x:c r="T409" s="6"/>
      <x:c r="U409" s="6"/>
      <x:c r="V409" s="6" t="str">
        <x:f>IF(ISBLANK('_INSTANCE'!B409),"",'_INSTANCE'!B409)</x:f>
      </x:c>
      <x:c r="W409" s="6" t="str">
        <x:f>IF(ISBLANK('_INSTANCE'!F409),"",'_INSTANCE'!F409)</x:f>
      </x:c>
      <x:c r="X409" s="6"/>
      <x:c r="Y409" s="6"/>
      <x:c r="Z409" s="6"/>
      <x:c r="AA409" s="6"/>
      <x:c r="AB409" s="6"/>
      <x:c r="AC409" s="6"/>
      <x:c r="AD409" s="6"/>
      <x:c r="AE409" s="6"/>
      <x:c r="AF409" s="6"/>
    </x:row>
    <x:row r="410">
      <x:c r="A410" s="6"/>
      <x:c r="B410" s="6"/>
      <x:c r="C410" s="6"/>
      <x:c r="D410" s="6"/>
      <x:c r="E410" s="6"/>
      <x:c r="F410" s="6"/>
      <x:c r="G410" s="6"/>
      <x:c r="H410" s="6"/>
      <x:c r="I410" s="6"/>
      <x:c r="J410" s="6"/>
      <x:c r="K410" s="6"/>
      <x:c r="L410" s="6"/>
      <x:c r="M410" s="6"/>
      <x:c r="N410" s="6"/>
      <x:c r="O410" s="6"/>
      <x:c r="P410" s="6"/>
      <x:c r="Q410" s="6"/>
      <x:c r="R410" s="6"/>
      <x:c r="S410" s="6"/>
      <x:c r="T410" s="6"/>
      <x:c r="U410" s="6"/>
      <x:c r="V410" s="6" t="str">
        <x:f>IF(ISBLANK('_INSTANCE'!B410),"",'_INSTANCE'!B410)</x:f>
      </x:c>
      <x:c r="W410" s="6" t="str">
        <x:f>IF(ISBLANK('_INSTANCE'!F410),"",'_INSTANCE'!F410)</x:f>
      </x:c>
      <x:c r="X410" s="6"/>
      <x:c r="Y410" s="6"/>
      <x:c r="Z410" s="6"/>
      <x:c r="AA410" s="6"/>
      <x:c r="AB410" s="6"/>
      <x:c r="AC410" s="6"/>
      <x:c r="AD410" s="6"/>
      <x:c r="AE410" s="6"/>
      <x:c r="AF410" s="6"/>
    </x:row>
    <x:row r="411">
      <x:c r="A411" s="6"/>
      <x:c r="B411" s="6"/>
      <x:c r="C411" s="6"/>
      <x:c r="D411" s="6"/>
      <x:c r="E411" s="6"/>
      <x:c r="F411" s="6"/>
      <x:c r="G411" s="6"/>
      <x:c r="H411" s="6"/>
      <x:c r="I411" s="6"/>
      <x:c r="J411" s="6"/>
      <x:c r="K411" s="6"/>
      <x:c r="L411" s="6"/>
      <x:c r="M411" s="6"/>
      <x:c r="N411" s="6"/>
      <x:c r="O411" s="6"/>
      <x:c r="P411" s="6"/>
      <x:c r="Q411" s="6"/>
      <x:c r="R411" s="6"/>
      <x:c r="S411" s="6"/>
      <x:c r="T411" s="6"/>
      <x:c r="U411" s="6"/>
      <x:c r="V411" s="6" t="str">
        <x:f>IF(ISBLANK('_INSTANCE'!B411),"",'_INSTANCE'!B411)</x:f>
      </x:c>
      <x:c r="W411" s="6" t="str">
        <x:f>IF(ISBLANK('_INSTANCE'!F411),"",'_INSTANCE'!F411)</x:f>
      </x:c>
      <x:c r="X411" s="6"/>
      <x:c r="Y411" s="6"/>
      <x:c r="Z411" s="6"/>
      <x:c r="AA411" s="6"/>
      <x:c r="AB411" s="6"/>
      <x:c r="AC411" s="6"/>
      <x:c r="AD411" s="6"/>
      <x:c r="AE411" s="6"/>
      <x:c r="AF411" s="6"/>
    </x:row>
    <x:row r="412">
      <x:c r="A412" s="6"/>
      <x:c r="B412" s="6"/>
      <x:c r="C412" s="6"/>
      <x:c r="D412" s="6"/>
      <x:c r="E412" s="6"/>
      <x:c r="F412" s="6"/>
      <x:c r="G412" s="6"/>
      <x:c r="H412" s="6"/>
      <x:c r="I412" s="6"/>
      <x:c r="J412" s="6"/>
      <x:c r="K412" s="6"/>
      <x:c r="L412" s="6"/>
      <x:c r="M412" s="6"/>
      <x:c r="N412" s="6"/>
      <x:c r="O412" s="6"/>
      <x:c r="P412" s="6"/>
      <x:c r="Q412" s="6"/>
      <x:c r="R412" s="6"/>
      <x:c r="S412" s="6"/>
      <x:c r="T412" s="6"/>
      <x:c r="U412" s="6"/>
      <x:c r="V412" s="6" t="str">
        <x:f>IF(ISBLANK('_INSTANCE'!B412),"",'_INSTANCE'!B412)</x:f>
      </x:c>
      <x:c r="W412" s="6" t="str">
        <x:f>IF(ISBLANK('_INSTANCE'!F412),"",'_INSTANCE'!F412)</x:f>
      </x:c>
      <x:c r="X412" s="6"/>
      <x:c r="Y412" s="6"/>
      <x:c r="Z412" s="6"/>
      <x:c r="AA412" s="6"/>
      <x:c r="AB412" s="6"/>
      <x:c r="AC412" s="6"/>
      <x:c r="AD412" s="6"/>
      <x:c r="AE412" s="6"/>
      <x:c r="AF412" s="6"/>
    </x:row>
    <x:row r="413">
      <x:c r="A413" s="6"/>
      <x:c r="B413" s="6"/>
      <x:c r="C413" s="6"/>
      <x:c r="D413" s="6"/>
      <x:c r="E413" s="6"/>
      <x:c r="F413" s="6"/>
      <x:c r="G413" s="6"/>
      <x:c r="H413" s="6"/>
      <x:c r="I413" s="6"/>
      <x:c r="J413" s="6"/>
      <x:c r="K413" s="6"/>
      <x:c r="L413" s="6"/>
      <x:c r="M413" s="6"/>
      <x:c r="N413" s="6"/>
      <x:c r="O413" s="6"/>
      <x:c r="P413" s="6"/>
      <x:c r="Q413" s="6"/>
      <x:c r="R413" s="6"/>
      <x:c r="S413" s="6"/>
      <x:c r="T413" s="6"/>
      <x:c r="U413" s="6"/>
      <x:c r="V413" s="6" t="str">
        <x:f>IF(ISBLANK('_INSTANCE'!B413),"",'_INSTANCE'!B413)</x:f>
      </x:c>
      <x:c r="W413" s="6" t="str">
        <x:f>IF(ISBLANK('_INSTANCE'!F413),"",'_INSTANCE'!F413)</x:f>
      </x:c>
      <x:c r="X413" s="6"/>
      <x:c r="Y413" s="6"/>
      <x:c r="Z413" s="6"/>
      <x:c r="AA413" s="6"/>
      <x:c r="AB413" s="6"/>
      <x:c r="AC413" s="6"/>
      <x:c r="AD413" s="6"/>
      <x:c r="AE413" s="6"/>
      <x:c r="AF413" s="6"/>
    </x:row>
    <x:row r="414">
      <x:c r="A414" s="6"/>
      <x:c r="B414" s="6"/>
      <x:c r="C414" s="6"/>
      <x:c r="D414" s="6"/>
      <x:c r="E414" s="6"/>
      <x:c r="F414" s="6"/>
      <x:c r="G414" s="6"/>
      <x:c r="H414" s="6"/>
      <x:c r="I414" s="6"/>
      <x:c r="J414" s="6"/>
      <x:c r="K414" s="6"/>
      <x:c r="L414" s="6"/>
      <x:c r="M414" s="6"/>
      <x:c r="N414" s="6"/>
      <x:c r="O414" s="6"/>
      <x:c r="P414" s="6"/>
      <x:c r="Q414" s="6"/>
      <x:c r="R414" s="6"/>
      <x:c r="S414" s="6"/>
      <x:c r="T414" s="6"/>
      <x:c r="U414" s="6"/>
      <x:c r="V414" s="6" t="str">
        <x:f>IF(ISBLANK('_INSTANCE'!B414),"",'_INSTANCE'!B414)</x:f>
      </x:c>
      <x:c r="W414" s="6" t="str">
        <x:f>IF(ISBLANK('_INSTANCE'!F414),"",'_INSTANCE'!F414)</x:f>
      </x:c>
      <x:c r="X414" s="6"/>
      <x:c r="Y414" s="6"/>
      <x:c r="Z414" s="6"/>
      <x:c r="AA414" s="6"/>
      <x:c r="AB414" s="6"/>
      <x:c r="AC414" s="6"/>
      <x:c r="AD414" s="6"/>
      <x:c r="AE414" s="6"/>
      <x:c r="AF414" s="6"/>
    </x:row>
    <x:row r="415">
      <x:c r="A415" s="6"/>
      <x:c r="B415" s="6"/>
      <x:c r="C415" s="6"/>
      <x:c r="D415" s="6"/>
      <x:c r="E415" s="6"/>
      <x:c r="F415" s="6"/>
      <x:c r="G415" s="6"/>
      <x:c r="H415" s="6"/>
      <x:c r="I415" s="6"/>
      <x:c r="J415" s="6"/>
      <x:c r="K415" s="6"/>
      <x:c r="L415" s="6"/>
      <x:c r="M415" s="6"/>
      <x:c r="N415" s="6"/>
      <x:c r="O415" s="6"/>
      <x:c r="P415" s="6"/>
      <x:c r="Q415" s="6"/>
      <x:c r="R415" s="6"/>
      <x:c r="S415" s="6"/>
      <x:c r="T415" s="6"/>
      <x:c r="U415" s="6"/>
      <x:c r="V415" s="6" t="str">
        <x:f>IF(ISBLANK('_INSTANCE'!B415),"",'_INSTANCE'!B415)</x:f>
      </x:c>
      <x:c r="W415" s="6" t="str">
        <x:f>IF(ISBLANK('_INSTANCE'!F415),"",'_INSTANCE'!F415)</x:f>
      </x:c>
      <x:c r="X415" s="6"/>
      <x:c r="Y415" s="6"/>
      <x:c r="Z415" s="6"/>
      <x:c r="AA415" s="6"/>
      <x:c r="AB415" s="6"/>
      <x:c r="AC415" s="6"/>
      <x:c r="AD415" s="6"/>
      <x:c r="AE415" s="6"/>
      <x:c r="AF415" s="6"/>
    </x:row>
    <x:row r="416">
      <x:c r="A416" s="6"/>
      <x:c r="B416" s="6"/>
      <x:c r="C416" s="6"/>
      <x:c r="D416" s="6"/>
      <x:c r="E416" s="6"/>
      <x:c r="F416" s="6"/>
      <x:c r="G416" s="6"/>
      <x:c r="H416" s="6"/>
      <x:c r="I416" s="6"/>
      <x:c r="J416" s="6"/>
      <x:c r="K416" s="6"/>
      <x:c r="L416" s="6"/>
      <x:c r="M416" s="6"/>
      <x:c r="N416" s="6"/>
      <x:c r="O416" s="6"/>
      <x:c r="P416" s="6"/>
      <x:c r="Q416" s="6"/>
      <x:c r="R416" s="6"/>
      <x:c r="S416" s="6"/>
      <x:c r="T416" s="6"/>
      <x:c r="U416" s="6"/>
      <x:c r="V416" s="6" t="str">
        <x:f>IF(ISBLANK('_INSTANCE'!B416),"",'_INSTANCE'!B416)</x:f>
      </x:c>
      <x:c r="W416" s="6" t="str">
        <x:f>IF(ISBLANK('_INSTANCE'!F416),"",'_INSTANCE'!F416)</x:f>
      </x:c>
      <x:c r="X416" s="6"/>
      <x:c r="Y416" s="6"/>
      <x:c r="Z416" s="6"/>
      <x:c r="AA416" s="6"/>
      <x:c r="AB416" s="6"/>
      <x:c r="AC416" s="6"/>
      <x:c r="AD416" s="6"/>
      <x:c r="AE416" s="6"/>
      <x:c r="AF416" s="6"/>
    </x:row>
    <x:row r="417">
      <x:c r="A417" s="6"/>
      <x:c r="B417" s="6"/>
      <x:c r="C417" s="6"/>
      <x:c r="D417" s="6"/>
      <x:c r="E417" s="6"/>
      <x:c r="F417" s="6"/>
      <x:c r="G417" s="6"/>
      <x:c r="H417" s="6"/>
      <x:c r="I417" s="6"/>
      <x:c r="J417" s="6"/>
      <x:c r="K417" s="6"/>
      <x:c r="L417" s="6"/>
      <x:c r="M417" s="6"/>
      <x:c r="N417" s="6"/>
      <x:c r="O417" s="6"/>
      <x:c r="P417" s="6"/>
      <x:c r="Q417" s="6"/>
      <x:c r="R417" s="6"/>
      <x:c r="S417" s="6"/>
      <x:c r="T417" s="6"/>
      <x:c r="U417" s="6"/>
      <x:c r="V417" s="6" t="str">
        <x:f>IF(ISBLANK('_INSTANCE'!B417),"",'_INSTANCE'!B417)</x:f>
      </x:c>
      <x:c r="W417" s="6" t="str">
        <x:f>IF(ISBLANK('_INSTANCE'!F417),"",'_INSTANCE'!F417)</x:f>
      </x:c>
      <x:c r="X417" s="6"/>
      <x:c r="Y417" s="6"/>
      <x:c r="Z417" s="6"/>
      <x:c r="AA417" s="6"/>
      <x:c r="AB417" s="6"/>
      <x:c r="AC417" s="6"/>
      <x:c r="AD417" s="6"/>
      <x:c r="AE417" s="6"/>
      <x:c r="AF417" s="6"/>
    </x:row>
    <x:row r="418">
      <x:c r="A418" s="6"/>
      <x:c r="B418" s="6"/>
      <x:c r="C418" s="6"/>
      <x:c r="D418" s="6"/>
      <x:c r="E418" s="6"/>
      <x:c r="F418" s="6"/>
      <x:c r="G418" s="6"/>
      <x:c r="H418" s="6"/>
      <x:c r="I418" s="6"/>
      <x:c r="J418" s="6"/>
      <x:c r="K418" s="6"/>
      <x:c r="L418" s="6"/>
      <x:c r="M418" s="6"/>
      <x:c r="N418" s="6"/>
      <x:c r="O418" s="6"/>
      <x:c r="P418" s="6"/>
      <x:c r="Q418" s="6"/>
      <x:c r="R418" s="6"/>
      <x:c r="S418" s="6"/>
      <x:c r="T418" s="6"/>
      <x:c r="U418" s="6"/>
      <x:c r="V418" s="6" t="str">
        <x:f>IF(ISBLANK('_INSTANCE'!B418),"",'_INSTANCE'!B418)</x:f>
      </x:c>
      <x:c r="W418" s="6" t="str">
        <x:f>IF(ISBLANK('_INSTANCE'!F418),"",'_INSTANCE'!F418)</x:f>
      </x:c>
      <x:c r="X418" s="6"/>
      <x:c r="Y418" s="6"/>
      <x:c r="Z418" s="6"/>
      <x:c r="AA418" s="6"/>
      <x:c r="AB418" s="6"/>
      <x:c r="AC418" s="6"/>
      <x:c r="AD418" s="6"/>
      <x:c r="AE418" s="6"/>
      <x:c r="AF418" s="6"/>
    </x:row>
    <x:row r="419">
      <x:c r="A419" s="6"/>
      <x:c r="B419" s="6"/>
      <x:c r="C419" s="6"/>
      <x:c r="D419" s="6"/>
      <x:c r="E419" s="6"/>
      <x:c r="F419" s="6"/>
      <x:c r="G419" s="6"/>
      <x:c r="H419" s="6"/>
      <x:c r="I419" s="6"/>
      <x:c r="J419" s="6"/>
      <x:c r="K419" s="6"/>
      <x:c r="L419" s="6"/>
      <x:c r="M419" s="6"/>
      <x:c r="N419" s="6"/>
      <x:c r="O419" s="6"/>
      <x:c r="P419" s="6"/>
      <x:c r="Q419" s="6"/>
      <x:c r="R419" s="6"/>
      <x:c r="S419" s="6"/>
      <x:c r="T419" s="6"/>
      <x:c r="U419" s="6"/>
      <x:c r="V419" s="6" t="str">
        <x:f>IF(ISBLANK('_INSTANCE'!B419),"",'_INSTANCE'!B419)</x:f>
      </x:c>
      <x:c r="W419" s="6" t="str">
        <x:f>IF(ISBLANK('_INSTANCE'!F419),"",'_INSTANCE'!F419)</x:f>
      </x:c>
      <x:c r="X419" s="6"/>
      <x:c r="Y419" s="6"/>
      <x:c r="Z419" s="6"/>
      <x:c r="AA419" s="6"/>
      <x:c r="AB419" s="6"/>
      <x:c r="AC419" s="6"/>
      <x:c r="AD419" s="6"/>
      <x:c r="AE419" s="6"/>
      <x:c r="AF419" s="6"/>
    </x:row>
    <x:row r="420">
      <x:c r="A420" s="6"/>
      <x:c r="B420" s="6"/>
      <x:c r="C420" s="6"/>
      <x:c r="D420" s="6"/>
      <x:c r="E420" s="6"/>
      <x:c r="F420" s="6"/>
      <x:c r="G420" s="6"/>
      <x:c r="H420" s="6"/>
      <x:c r="I420" s="6"/>
      <x:c r="J420" s="6"/>
      <x:c r="K420" s="6"/>
      <x:c r="L420" s="6"/>
      <x:c r="M420" s="6"/>
      <x:c r="N420" s="6"/>
      <x:c r="O420" s="6"/>
      <x:c r="P420" s="6"/>
      <x:c r="Q420" s="6"/>
      <x:c r="R420" s="6"/>
      <x:c r="S420" s="6"/>
      <x:c r="T420" s="6"/>
      <x:c r="U420" s="6"/>
      <x:c r="V420" s="6" t="str">
        <x:f>IF(ISBLANK('_INSTANCE'!B420),"",'_INSTANCE'!B420)</x:f>
      </x:c>
      <x:c r="W420" s="6" t="str">
        <x:f>IF(ISBLANK('_INSTANCE'!F420),"",'_INSTANCE'!F420)</x:f>
      </x:c>
      <x:c r="X420" s="6"/>
      <x:c r="Y420" s="6"/>
      <x:c r="Z420" s="6"/>
      <x:c r="AA420" s="6"/>
      <x:c r="AB420" s="6"/>
      <x:c r="AC420" s="6"/>
      <x:c r="AD420" s="6"/>
      <x:c r="AE420" s="6"/>
      <x:c r="AF420" s="6"/>
    </x:row>
    <x:row r="421">
      <x:c r="A421" s="6"/>
      <x:c r="B421" s="6"/>
      <x:c r="C421" s="6"/>
      <x:c r="D421" s="6"/>
      <x:c r="E421" s="6"/>
      <x:c r="F421" s="6"/>
      <x:c r="G421" s="6"/>
      <x:c r="H421" s="6"/>
      <x:c r="I421" s="6"/>
      <x:c r="J421" s="6"/>
      <x:c r="K421" s="6"/>
      <x:c r="L421" s="6"/>
      <x:c r="M421" s="6"/>
      <x:c r="N421" s="6"/>
      <x:c r="O421" s="6"/>
      <x:c r="P421" s="6"/>
      <x:c r="Q421" s="6"/>
      <x:c r="R421" s="6"/>
      <x:c r="S421" s="6"/>
      <x:c r="T421" s="6"/>
      <x:c r="U421" s="6"/>
      <x:c r="V421" s="6" t="str">
        <x:f>IF(ISBLANK('_INSTANCE'!B421),"",'_INSTANCE'!B421)</x:f>
      </x:c>
      <x:c r="W421" s="6" t="str">
        <x:f>IF(ISBLANK('_INSTANCE'!F421),"",'_INSTANCE'!F421)</x:f>
      </x:c>
      <x:c r="X421" s="6"/>
      <x:c r="Y421" s="6"/>
      <x:c r="Z421" s="6"/>
      <x:c r="AA421" s="6"/>
      <x:c r="AB421" s="6"/>
      <x:c r="AC421" s="6"/>
      <x:c r="AD421" s="6"/>
      <x:c r="AE421" s="6"/>
      <x:c r="AF421" s="6"/>
    </x:row>
    <x:row r="422">
      <x:c r="A422" s="6"/>
      <x:c r="B422" s="6"/>
      <x:c r="C422" s="6"/>
      <x:c r="D422" s="6"/>
      <x:c r="E422" s="6"/>
      <x:c r="F422" s="6"/>
      <x:c r="G422" s="6"/>
      <x:c r="H422" s="6"/>
      <x:c r="I422" s="6"/>
      <x:c r="J422" s="6"/>
      <x:c r="K422" s="6"/>
      <x:c r="L422" s="6"/>
      <x:c r="M422" s="6"/>
      <x:c r="N422" s="6"/>
      <x:c r="O422" s="6"/>
      <x:c r="P422" s="6"/>
      <x:c r="Q422" s="6"/>
      <x:c r="R422" s="6"/>
      <x:c r="S422" s="6"/>
      <x:c r="T422" s="6"/>
      <x:c r="U422" s="6"/>
      <x:c r="V422" s="6" t="str">
        <x:f>IF(ISBLANK('_INSTANCE'!B422),"",'_INSTANCE'!B422)</x:f>
      </x:c>
      <x:c r="W422" s="6" t="str">
        <x:f>IF(ISBLANK('_INSTANCE'!F422),"",'_INSTANCE'!F422)</x:f>
      </x:c>
      <x:c r="X422" s="6"/>
      <x:c r="Y422" s="6"/>
      <x:c r="Z422" s="6"/>
      <x:c r="AA422" s="6"/>
      <x:c r="AB422" s="6"/>
      <x:c r="AC422" s="6"/>
      <x:c r="AD422" s="6"/>
      <x:c r="AE422" s="6"/>
      <x:c r="AF422" s="6"/>
    </x:row>
    <x:row r="423">
      <x:c r="A423" s="6"/>
      <x:c r="B423" s="6"/>
      <x:c r="C423" s="6"/>
      <x:c r="D423" s="6"/>
      <x:c r="E423" s="6"/>
      <x:c r="F423" s="6"/>
      <x:c r="G423" s="6"/>
      <x:c r="H423" s="6"/>
      <x:c r="I423" s="6"/>
      <x:c r="J423" s="6"/>
      <x:c r="K423" s="6"/>
      <x:c r="L423" s="6"/>
      <x:c r="M423" s="6"/>
      <x:c r="N423" s="6"/>
      <x:c r="O423" s="6"/>
      <x:c r="P423" s="6"/>
      <x:c r="Q423" s="6"/>
      <x:c r="R423" s="6"/>
      <x:c r="S423" s="6"/>
      <x:c r="T423" s="6"/>
      <x:c r="U423" s="6"/>
      <x:c r="V423" s="6" t="str">
        <x:f>IF(ISBLANK('_INSTANCE'!B423),"",'_INSTANCE'!B423)</x:f>
      </x:c>
      <x:c r="W423" s="6" t="str">
        <x:f>IF(ISBLANK('_INSTANCE'!F423),"",'_INSTANCE'!F423)</x:f>
      </x:c>
      <x:c r="X423" s="6"/>
      <x:c r="Y423" s="6"/>
      <x:c r="Z423" s="6"/>
      <x:c r="AA423" s="6"/>
      <x:c r="AB423" s="6"/>
      <x:c r="AC423" s="6"/>
      <x:c r="AD423" s="6"/>
      <x:c r="AE423" s="6"/>
      <x:c r="AF423" s="6"/>
    </x:row>
    <x:row r="424">
      <x:c r="A424" s="6"/>
      <x:c r="B424" s="6"/>
      <x:c r="C424" s="6"/>
      <x:c r="D424" s="6"/>
      <x:c r="E424" s="6"/>
      <x:c r="F424" s="6"/>
      <x:c r="G424" s="6"/>
      <x:c r="H424" s="6"/>
      <x:c r="I424" s="6"/>
      <x:c r="J424" s="6"/>
      <x:c r="K424" s="6"/>
      <x:c r="L424" s="6"/>
      <x:c r="M424" s="6"/>
      <x:c r="N424" s="6"/>
      <x:c r="O424" s="6"/>
      <x:c r="P424" s="6"/>
      <x:c r="Q424" s="6"/>
      <x:c r="R424" s="6"/>
      <x:c r="S424" s="6"/>
      <x:c r="T424" s="6"/>
      <x:c r="U424" s="6"/>
      <x:c r="V424" s="6" t="str">
        <x:f>IF(ISBLANK('_INSTANCE'!B424),"",'_INSTANCE'!B424)</x:f>
      </x:c>
      <x:c r="W424" s="6" t="str">
        <x:f>IF(ISBLANK('_INSTANCE'!F424),"",'_INSTANCE'!F424)</x:f>
      </x:c>
      <x:c r="X424" s="6"/>
      <x:c r="Y424" s="6"/>
      <x:c r="Z424" s="6"/>
      <x:c r="AA424" s="6"/>
      <x:c r="AB424" s="6"/>
      <x:c r="AC424" s="6"/>
      <x:c r="AD424" s="6"/>
      <x:c r="AE424" s="6"/>
      <x:c r="AF424" s="6"/>
    </x:row>
    <x:row r="425">
      <x:c r="A425" s="6"/>
      <x:c r="B425" s="6"/>
      <x:c r="C425" s="6"/>
      <x:c r="D425" s="6"/>
      <x:c r="E425" s="6"/>
      <x:c r="F425" s="6"/>
      <x:c r="G425" s="6"/>
      <x:c r="H425" s="6"/>
      <x:c r="I425" s="6"/>
      <x:c r="J425" s="6"/>
      <x:c r="K425" s="6"/>
      <x:c r="L425" s="6"/>
      <x:c r="M425" s="6"/>
      <x:c r="N425" s="6"/>
      <x:c r="O425" s="6"/>
      <x:c r="P425" s="6"/>
      <x:c r="Q425" s="6"/>
      <x:c r="R425" s="6"/>
      <x:c r="S425" s="6"/>
      <x:c r="T425" s="6"/>
      <x:c r="U425" s="6"/>
      <x:c r="V425" s="6" t="str">
        <x:f>IF(ISBLANK('_INSTANCE'!B425),"",'_INSTANCE'!B425)</x:f>
      </x:c>
      <x:c r="W425" s="6" t="str">
        <x:f>IF(ISBLANK('_INSTANCE'!F425),"",'_INSTANCE'!F425)</x:f>
      </x:c>
      <x:c r="X425" s="6"/>
      <x:c r="Y425" s="6"/>
      <x:c r="Z425" s="6"/>
      <x:c r="AA425" s="6"/>
      <x:c r="AB425" s="6"/>
      <x:c r="AC425" s="6"/>
      <x:c r="AD425" s="6"/>
      <x:c r="AE425" s="6"/>
      <x:c r="AF425" s="6"/>
    </x:row>
    <x:row r="426">
      <x:c r="A426" s="6"/>
      <x:c r="B426" s="6"/>
      <x:c r="C426" s="6"/>
      <x:c r="D426" s="6"/>
      <x:c r="E426" s="6"/>
      <x:c r="F426" s="6"/>
      <x:c r="G426" s="6"/>
      <x:c r="H426" s="6"/>
      <x:c r="I426" s="6"/>
      <x:c r="J426" s="6"/>
      <x:c r="K426" s="6"/>
      <x:c r="L426" s="6"/>
      <x:c r="M426" s="6"/>
      <x:c r="N426" s="6"/>
      <x:c r="O426" s="6"/>
      <x:c r="P426" s="6"/>
      <x:c r="Q426" s="6"/>
      <x:c r="R426" s="6"/>
      <x:c r="S426" s="6"/>
      <x:c r="T426" s="6"/>
      <x:c r="U426" s="6"/>
      <x:c r="V426" s="6" t="str">
        <x:f>IF(ISBLANK('_INSTANCE'!B426),"",'_INSTANCE'!B426)</x:f>
      </x:c>
      <x:c r="W426" s="6" t="str">
        <x:f>IF(ISBLANK('_INSTANCE'!F426),"",'_INSTANCE'!F426)</x:f>
      </x:c>
      <x:c r="X426" s="6"/>
      <x:c r="Y426" s="6"/>
      <x:c r="Z426" s="6"/>
      <x:c r="AA426" s="6"/>
      <x:c r="AB426" s="6"/>
      <x:c r="AC426" s="6"/>
      <x:c r="AD426" s="6"/>
      <x:c r="AE426" s="6"/>
      <x:c r="AF426" s="6"/>
    </x:row>
    <x:row r="427">
      <x:c r="A427" s="6"/>
      <x:c r="B427" s="6"/>
      <x:c r="C427" s="6"/>
      <x:c r="D427" s="6"/>
      <x:c r="E427" s="6"/>
      <x:c r="F427" s="6"/>
      <x:c r="G427" s="6"/>
      <x:c r="H427" s="6"/>
      <x:c r="I427" s="6"/>
      <x:c r="J427" s="6"/>
      <x:c r="K427" s="6"/>
      <x:c r="L427" s="6"/>
      <x:c r="M427" s="6"/>
      <x:c r="N427" s="6"/>
      <x:c r="O427" s="6"/>
      <x:c r="P427" s="6"/>
      <x:c r="Q427" s="6"/>
      <x:c r="R427" s="6"/>
      <x:c r="S427" s="6"/>
      <x:c r="T427" s="6"/>
      <x:c r="U427" s="6"/>
      <x:c r="V427" s="6" t="str">
        <x:f>IF(ISBLANK('_INSTANCE'!B427),"",'_INSTANCE'!B427)</x:f>
      </x:c>
      <x:c r="W427" s="6" t="str">
        <x:f>IF(ISBLANK('_INSTANCE'!F427),"",'_INSTANCE'!F427)</x:f>
      </x:c>
      <x:c r="X427" s="6"/>
      <x:c r="Y427" s="6"/>
      <x:c r="Z427" s="6"/>
      <x:c r="AA427" s="6"/>
      <x:c r="AB427" s="6"/>
      <x:c r="AC427" s="6"/>
      <x:c r="AD427" s="6"/>
      <x:c r="AE427" s="6"/>
      <x:c r="AF427" s="6"/>
    </x:row>
    <x:row r="428">
      <x:c r="A428" s="6"/>
      <x:c r="B428" s="6"/>
      <x:c r="C428" s="6"/>
      <x:c r="D428" s="6"/>
      <x:c r="E428" s="6"/>
      <x:c r="F428" s="6"/>
      <x:c r="G428" s="6"/>
      <x:c r="H428" s="6"/>
      <x:c r="I428" s="6"/>
      <x:c r="J428" s="6"/>
      <x:c r="K428" s="6"/>
      <x:c r="L428" s="6"/>
      <x:c r="M428" s="6"/>
      <x:c r="N428" s="6"/>
      <x:c r="O428" s="6"/>
      <x:c r="P428" s="6"/>
      <x:c r="Q428" s="6"/>
      <x:c r="R428" s="6"/>
      <x:c r="S428" s="6"/>
      <x:c r="T428" s="6"/>
      <x:c r="U428" s="6"/>
      <x:c r="V428" s="6" t="str">
        <x:f>IF(ISBLANK('_INSTANCE'!B428),"",'_INSTANCE'!B428)</x:f>
      </x:c>
      <x:c r="W428" s="6" t="str">
        <x:f>IF(ISBLANK('_INSTANCE'!F428),"",'_INSTANCE'!F428)</x:f>
      </x:c>
      <x:c r="X428" s="6"/>
      <x:c r="Y428" s="6"/>
      <x:c r="Z428" s="6"/>
      <x:c r="AA428" s="6"/>
      <x:c r="AB428" s="6"/>
      <x:c r="AC428" s="6"/>
      <x:c r="AD428" s="6"/>
      <x:c r="AE428" s="6"/>
      <x:c r="AF428" s="6"/>
    </x:row>
    <x:row r="429">
      <x:c r="A429" s="6"/>
      <x:c r="B429" s="6"/>
      <x:c r="C429" s="6"/>
      <x:c r="D429" s="6"/>
      <x:c r="E429" s="6"/>
      <x:c r="F429" s="6"/>
      <x:c r="G429" s="6"/>
      <x:c r="H429" s="6"/>
      <x:c r="I429" s="6"/>
      <x:c r="J429" s="6"/>
      <x:c r="K429" s="6"/>
      <x:c r="L429" s="6"/>
      <x:c r="M429" s="6"/>
      <x:c r="N429" s="6"/>
      <x:c r="O429" s="6"/>
      <x:c r="P429" s="6"/>
      <x:c r="Q429" s="6"/>
      <x:c r="R429" s="6"/>
      <x:c r="S429" s="6"/>
      <x:c r="T429" s="6"/>
      <x:c r="U429" s="6"/>
      <x:c r="V429" s="6" t="str">
        <x:f>IF(ISBLANK('_INSTANCE'!B429),"",'_INSTANCE'!B429)</x:f>
      </x:c>
      <x:c r="W429" s="6" t="str">
        <x:f>IF(ISBLANK('_INSTANCE'!F429),"",'_INSTANCE'!F429)</x:f>
      </x:c>
      <x:c r="X429" s="6"/>
      <x:c r="Y429" s="6"/>
      <x:c r="Z429" s="6"/>
      <x:c r="AA429" s="6"/>
      <x:c r="AB429" s="6"/>
      <x:c r="AC429" s="6"/>
      <x:c r="AD429" s="6"/>
      <x:c r="AE429" s="6"/>
      <x:c r="AF429" s="6"/>
    </x:row>
    <x:row r="430">
      <x:c r="A430" s="6"/>
      <x:c r="B430" s="6"/>
      <x:c r="C430" s="6"/>
      <x:c r="D430" s="6"/>
      <x:c r="E430" s="6"/>
      <x:c r="F430" s="6"/>
      <x:c r="G430" s="6"/>
      <x:c r="H430" s="6"/>
      <x:c r="I430" s="6"/>
      <x:c r="J430" s="6"/>
      <x:c r="K430" s="6"/>
      <x:c r="L430" s="6"/>
      <x:c r="M430" s="6"/>
      <x:c r="N430" s="6"/>
      <x:c r="O430" s="6"/>
      <x:c r="P430" s="6"/>
      <x:c r="Q430" s="6"/>
      <x:c r="R430" s="6"/>
      <x:c r="S430" s="6"/>
      <x:c r="T430" s="6"/>
      <x:c r="U430" s="6"/>
      <x:c r="V430" s="6" t="str">
        <x:f>IF(ISBLANK('_INSTANCE'!B430),"",'_INSTANCE'!B430)</x:f>
      </x:c>
      <x:c r="W430" s="6" t="str">
        <x:f>IF(ISBLANK('_INSTANCE'!F430),"",'_INSTANCE'!F430)</x:f>
      </x:c>
      <x:c r="X430" s="6"/>
      <x:c r="Y430" s="6"/>
      <x:c r="Z430" s="6"/>
      <x:c r="AA430" s="6"/>
      <x:c r="AB430" s="6"/>
      <x:c r="AC430" s="6"/>
      <x:c r="AD430" s="6"/>
      <x:c r="AE430" s="6"/>
      <x:c r="AF430" s="6"/>
    </x:row>
    <x:row r="431">
      <x:c r="A431" s="6"/>
      <x:c r="B431" s="6"/>
      <x:c r="C431" s="6"/>
      <x:c r="D431" s="6"/>
      <x:c r="E431" s="6"/>
      <x:c r="F431" s="6"/>
      <x:c r="G431" s="6"/>
      <x:c r="H431" s="6"/>
      <x:c r="I431" s="6"/>
      <x:c r="J431" s="6"/>
      <x:c r="K431" s="6"/>
      <x:c r="L431" s="6"/>
      <x:c r="M431" s="6"/>
      <x:c r="N431" s="6"/>
      <x:c r="O431" s="6"/>
      <x:c r="P431" s="6"/>
      <x:c r="Q431" s="6"/>
      <x:c r="R431" s="6"/>
      <x:c r="S431" s="6"/>
      <x:c r="T431" s="6"/>
      <x:c r="U431" s="6"/>
      <x:c r="V431" s="6" t="str">
        <x:f>IF(ISBLANK('_INSTANCE'!B431),"",'_INSTANCE'!B431)</x:f>
      </x:c>
      <x:c r="W431" s="6" t="str">
        <x:f>IF(ISBLANK('_INSTANCE'!F431),"",'_INSTANCE'!F431)</x:f>
      </x:c>
      <x:c r="X431" s="6"/>
      <x:c r="Y431" s="6"/>
      <x:c r="Z431" s="6"/>
      <x:c r="AA431" s="6"/>
      <x:c r="AB431" s="6"/>
      <x:c r="AC431" s="6"/>
      <x:c r="AD431" s="6"/>
      <x:c r="AE431" s="6"/>
      <x:c r="AF431" s="6"/>
    </x:row>
    <x:row r="432">
      <x:c r="A432" s="6"/>
      <x:c r="B432" s="6"/>
      <x:c r="C432" s="6"/>
      <x:c r="D432" s="6"/>
      <x:c r="E432" s="6"/>
      <x:c r="F432" s="6"/>
      <x:c r="G432" s="6"/>
      <x:c r="H432" s="6"/>
      <x:c r="I432" s="6"/>
      <x:c r="J432" s="6"/>
      <x:c r="K432" s="6"/>
      <x:c r="L432" s="6"/>
      <x:c r="M432" s="6"/>
      <x:c r="N432" s="6"/>
      <x:c r="O432" s="6"/>
      <x:c r="P432" s="6"/>
      <x:c r="Q432" s="6"/>
      <x:c r="R432" s="6"/>
      <x:c r="S432" s="6"/>
      <x:c r="T432" s="6"/>
      <x:c r="U432" s="6"/>
      <x:c r="V432" s="6" t="str">
        <x:f>IF(ISBLANK('_INSTANCE'!B432),"",'_INSTANCE'!B432)</x:f>
      </x:c>
      <x:c r="W432" s="6" t="str">
        <x:f>IF(ISBLANK('_INSTANCE'!F432),"",'_INSTANCE'!F432)</x:f>
      </x:c>
      <x:c r="X432" s="6"/>
      <x:c r="Y432" s="6"/>
      <x:c r="Z432" s="6"/>
      <x:c r="AA432" s="6"/>
      <x:c r="AB432" s="6"/>
      <x:c r="AC432" s="6"/>
      <x:c r="AD432" s="6"/>
      <x:c r="AE432" s="6"/>
      <x:c r="AF432" s="6"/>
    </x:row>
    <x:row r="433">
      <x:c r="A433" s="6"/>
      <x:c r="B433" s="6"/>
      <x:c r="C433" s="6"/>
      <x:c r="D433" s="6"/>
      <x:c r="E433" s="6"/>
      <x:c r="F433" s="6"/>
      <x:c r="G433" s="6"/>
      <x:c r="H433" s="6"/>
      <x:c r="I433" s="6"/>
      <x:c r="J433" s="6"/>
      <x:c r="K433" s="6"/>
      <x:c r="L433" s="6"/>
      <x:c r="M433" s="6"/>
      <x:c r="N433" s="6"/>
      <x:c r="O433" s="6"/>
      <x:c r="P433" s="6"/>
      <x:c r="Q433" s="6"/>
      <x:c r="R433" s="6"/>
      <x:c r="S433" s="6"/>
      <x:c r="T433" s="6"/>
      <x:c r="U433" s="6"/>
      <x:c r="V433" s="6" t="str">
        <x:f>IF(ISBLANK('_INSTANCE'!B433),"",'_INSTANCE'!B433)</x:f>
      </x:c>
      <x:c r="W433" s="6" t="str">
        <x:f>IF(ISBLANK('_INSTANCE'!F433),"",'_INSTANCE'!F433)</x:f>
      </x:c>
      <x:c r="X433" s="6"/>
      <x:c r="Y433" s="6"/>
      <x:c r="Z433" s="6"/>
      <x:c r="AA433" s="6"/>
      <x:c r="AB433" s="6"/>
      <x:c r="AC433" s="6"/>
      <x:c r="AD433" s="6"/>
      <x:c r="AE433" s="6"/>
      <x:c r="AF433" s="6"/>
    </x:row>
    <x:row r="434">
      <x:c r="A434" s="6"/>
      <x:c r="B434" s="6"/>
      <x:c r="C434" s="6"/>
      <x:c r="D434" s="6"/>
      <x:c r="E434" s="6"/>
      <x:c r="F434" s="6"/>
      <x:c r="G434" s="6"/>
      <x:c r="H434" s="6"/>
      <x:c r="I434" s="6"/>
      <x:c r="J434" s="6"/>
      <x:c r="K434" s="6"/>
      <x:c r="L434" s="6"/>
      <x:c r="M434" s="6"/>
      <x:c r="N434" s="6"/>
      <x:c r="O434" s="6"/>
      <x:c r="P434" s="6"/>
      <x:c r="Q434" s="6"/>
      <x:c r="R434" s="6"/>
      <x:c r="S434" s="6"/>
      <x:c r="T434" s="6"/>
      <x:c r="U434" s="6"/>
      <x:c r="V434" s="6" t="str">
        <x:f>IF(ISBLANK('_INSTANCE'!B434),"",'_INSTANCE'!B434)</x:f>
      </x:c>
      <x:c r="W434" s="6" t="str">
        <x:f>IF(ISBLANK('_INSTANCE'!F434),"",'_INSTANCE'!F434)</x:f>
      </x:c>
      <x:c r="X434" s="6"/>
      <x:c r="Y434" s="6"/>
      <x:c r="Z434" s="6"/>
      <x:c r="AA434" s="6"/>
      <x:c r="AB434" s="6"/>
      <x:c r="AC434" s="6"/>
      <x:c r="AD434" s="6"/>
      <x:c r="AE434" s="6"/>
      <x:c r="AF434" s="6"/>
    </x:row>
    <x:row r="435">
      <x:c r="A435" s="6"/>
      <x:c r="B435" s="6"/>
      <x:c r="C435" s="6"/>
      <x:c r="D435" s="6"/>
      <x:c r="E435" s="6"/>
      <x:c r="F435" s="6"/>
      <x:c r="G435" s="6"/>
      <x:c r="H435" s="6"/>
      <x:c r="I435" s="6"/>
      <x:c r="J435" s="6"/>
      <x:c r="K435" s="6"/>
      <x:c r="L435" s="6"/>
      <x:c r="M435" s="6"/>
      <x:c r="N435" s="6"/>
      <x:c r="O435" s="6"/>
      <x:c r="P435" s="6"/>
      <x:c r="Q435" s="6"/>
      <x:c r="R435" s="6"/>
      <x:c r="S435" s="6"/>
      <x:c r="T435" s="6"/>
      <x:c r="U435" s="6"/>
      <x:c r="V435" s="6" t="str">
        <x:f>IF(ISBLANK('_INSTANCE'!B435),"",'_INSTANCE'!B435)</x:f>
      </x:c>
      <x:c r="W435" s="6" t="str">
        <x:f>IF(ISBLANK('_INSTANCE'!F435),"",'_INSTANCE'!F435)</x:f>
      </x:c>
      <x:c r="X435" s="6"/>
      <x:c r="Y435" s="6"/>
      <x:c r="Z435" s="6"/>
      <x:c r="AA435" s="6"/>
      <x:c r="AB435" s="6"/>
      <x:c r="AC435" s="6"/>
      <x:c r="AD435" s="6"/>
      <x:c r="AE435" s="6"/>
      <x:c r="AF435" s="6"/>
    </x:row>
    <x:row r="436">
      <x:c r="A436" s="6"/>
      <x:c r="B436" s="6"/>
      <x:c r="C436" s="6"/>
      <x:c r="D436" s="6"/>
      <x:c r="E436" s="6"/>
      <x:c r="F436" s="6"/>
      <x:c r="G436" s="6"/>
      <x:c r="H436" s="6"/>
      <x:c r="I436" s="6"/>
      <x:c r="J436" s="6"/>
      <x:c r="K436" s="6"/>
      <x:c r="L436" s="6"/>
      <x:c r="M436" s="6"/>
      <x:c r="N436" s="6"/>
      <x:c r="O436" s="6"/>
      <x:c r="P436" s="6"/>
      <x:c r="Q436" s="6"/>
      <x:c r="R436" s="6"/>
      <x:c r="S436" s="6"/>
      <x:c r="T436" s="6"/>
      <x:c r="U436" s="6"/>
      <x:c r="V436" s="6" t="str">
        <x:f>IF(ISBLANK('_INSTANCE'!B436),"",'_INSTANCE'!B436)</x:f>
      </x:c>
      <x:c r="W436" s="6" t="str">
        <x:f>IF(ISBLANK('_INSTANCE'!F436),"",'_INSTANCE'!F436)</x:f>
      </x:c>
      <x:c r="X436" s="6"/>
      <x:c r="Y436" s="6"/>
      <x:c r="Z436" s="6"/>
      <x:c r="AA436" s="6"/>
      <x:c r="AB436" s="6"/>
      <x:c r="AC436" s="6"/>
      <x:c r="AD436" s="6"/>
      <x:c r="AE436" s="6"/>
      <x:c r="AF436" s="6"/>
    </x:row>
    <x:row r="437">
      <x:c r="A437" s="6"/>
      <x:c r="B437" s="6"/>
      <x:c r="C437" s="6"/>
      <x:c r="D437" s="6"/>
      <x:c r="E437" s="6"/>
      <x:c r="F437" s="6"/>
      <x:c r="G437" s="6"/>
      <x:c r="H437" s="6"/>
      <x:c r="I437" s="6"/>
      <x:c r="J437" s="6"/>
      <x:c r="K437" s="6"/>
      <x:c r="L437" s="6"/>
      <x:c r="M437" s="6"/>
      <x:c r="N437" s="6"/>
      <x:c r="O437" s="6"/>
      <x:c r="P437" s="6"/>
      <x:c r="Q437" s="6"/>
      <x:c r="R437" s="6"/>
      <x:c r="S437" s="6"/>
      <x:c r="T437" s="6"/>
      <x:c r="U437" s="6"/>
      <x:c r="V437" s="6" t="str">
        <x:f>IF(ISBLANK('_INSTANCE'!B437),"",'_INSTANCE'!B437)</x:f>
      </x:c>
      <x:c r="W437" s="6" t="str">
        <x:f>IF(ISBLANK('_INSTANCE'!F437),"",'_INSTANCE'!F437)</x:f>
      </x:c>
      <x:c r="X437" s="6"/>
      <x:c r="Y437" s="6"/>
      <x:c r="Z437" s="6"/>
      <x:c r="AA437" s="6"/>
      <x:c r="AB437" s="6"/>
      <x:c r="AC437" s="6"/>
      <x:c r="AD437" s="6"/>
      <x:c r="AE437" s="6"/>
      <x:c r="AF437" s="6"/>
    </x:row>
    <x:row r="438">
      <x:c r="A438" s="6"/>
      <x:c r="B438" s="6"/>
      <x:c r="C438" s="6"/>
      <x:c r="D438" s="6"/>
      <x:c r="E438" s="6"/>
      <x:c r="F438" s="6"/>
      <x:c r="G438" s="6"/>
      <x:c r="H438" s="6"/>
      <x:c r="I438" s="6"/>
      <x:c r="J438" s="6"/>
      <x:c r="K438" s="6"/>
      <x:c r="L438" s="6"/>
      <x:c r="M438" s="6"/>
      <x:c r="N438" s="6"/>
      <x:c r="O438" s="6"/>
      <x:c r="P438" s="6"/>
      <x:c r="Q438" s="6"/>
      <x:c r="R438" s="6"/>
      <x:c r="S438" s="6"/>
      <x:c r="T438" s="6"/>
      <x:c r="U438" s="6"/>
      <x:c r="V438" s="6" t="str">
        <x:f>IF(ISBLANK('_INSTANCE'!B438),"",'_INSTANCE'!B438)</x:f>
      </x:c>
      <x:c r="W438" s="6" t="str">
        <x:f>IF(ISBLANK('_INSTANCE'!F438),"",'_INSTANCE'!F438)</x:f>
      </x:c>
      <x:c r="X438" s="6"/>
      <x:c r="Y438" s="6"/>
      <x:c r="Z438" s="6"/>
      <x:c r="AA438" s="6"/>
      <x:c r="AB438" s="6"/>
      <x:c r="AC438" s="6"/>
      <x:c r="AD438" s="6"/>
      <x:c r="AE438" s="6"/>
      <x:c r="AF438" s="6"/>
    </x:row>
    <x:row r="439">
      <x:c r="A439" s="6"/>
      <x:c r="B439" s="6"/>
      <x:c r="C439" s="6"/>
      <x:c r="D439" s="6"/>
      <x:c r="E439" s="6"/>
      <x:c r="F439" s="6"/>
      <x:c r="G439" s="6"/>
      <x:c r="H439" s="6"/>
      <x:c r="I439" s="6"/>
      <x:c r="J439" s="6"/>
      <x:c r="K439" s="6"/>
      <x:c r="L439" s="6"/>
      <x:c r="M439" s="6"/>
      <x:c r="N439" s="6"/>
      <x:c r="O439" s="6"/>
      <x:c r="P439" s="6"/>
      <x:c r="Q439" s="6"/>
      <x:c r="R439" s="6"/>
      <x:c r="S439" s="6"/>
      <x:c r="T439" s="6"/>
      <x:c r="U439" s="6"/>
      <x:c r="V439" s="6" t="str">
        <x:f>IF(ISBLANK('_INSTANCE'!B439),"",'_INSTANCE'!B439)</x:f>
      </x:c>
      <x:c r="W439" s="6" t="str">
        <x:f>IF(ISBLANK('_INSTANCE'!F439),"",'_INSTANCE'!F439)</x:f>
      </x:c>
      <x:c r="X439" s="6"/>
      <x:c r="Y439" s="6"/>
      <x:c r="Z439" s="6"/>
      <x:c r="AA439" s="6"/>
      <x:c r="AB439" s="6"/>
      <x:c r="AC439" s="6"/>
      <x:c r="AD439" s="6"/>
      <x:c r="AE439" s="6"/>
      <x:c r="AF439" s="6"/>
    </x:row>
    <x:row r="440">
      <x:c r="A440" s="6"/>
      <x:c r="B440" s="6"/>
      <x:c r="C440" s="6"/>
      <x:c r="D440" s="6"/>
      <x:c r="E440" s="6"/>
      <x:c r="F440" s="6"/>
      <x:c r="G440" s="6"/>
      <x:c r="H440" s="6"/>
      <x:c r="I440" s="6"/>
      <x:c r="J440" s="6"/>
      <x:c r="K440" s="6"/>
      <x:c r="L440" s="6"/>
      <x:c r="M440" s="6"/>
      <x:c r="N440" s="6"/>
      <x:c r="O440" s="6"/>
      <x:c r="P440" s="6"/>
      <x:c r="Q440" s="6"/>
      <x:c r="R440" s="6"/>
      <x:c r="S440" s="6"/>
      <x:c r="T440" s="6"/>
      <x:c r="U440" s="6"/>
      <x:c r="V440" s="6" t="str">
        <x:f>IF(ISBLANK('_INSTANCE'!B440),"",'_INSTANCE'!B440)</x:f>
      </x:c>
      <x:c r="W440" s="6" t="str">
        <x:f>IF(ISBLANK('_INSTANCE'!F440),"",'_INSTANCE'!F440)</x:f>
      </x:c>
      <x:c r="X440" s="6"/>
      <x:c r="Y440" s="6"/>
      <x:c r="Z440" s="6"/>
      <x:c r="AA440" s="6"/>
      <x:c r="AB440" s="6"/>
      <x:c r="AC440" s="6"/>
      <x:c r="AD440" s="6"/>
      <x:c r="AE440" s="6"/>
      <x:c r="AF440" s="6"/>
    </x:row>
    <x:row r="441">
      <x:c r="A441" s="6"/>
      <x:c r="B441" s="6"/>
      <x:c r="C441" s="6"/>
      <x:c r="D441" s="6"/>
      <x:c r="E441" s="6"/>
      <x:c r="F441" s="6"/>
      <x:c r="G441" s="6"/>
      <x:c r="H441" s="6"/>
      <x:c r="I441" s="6"/>
      <x:c r="J441" s="6"/>
      <x:c r="K441" s="6"/>
      <x:c r="L441" s="6"/>
      <x:c r="M441" s="6"/>
      <x:c r="N441" s="6"/>
      <x:c r="O441" s="6"/>
      <x:c r="P441" s="6"/>
      <x:c r="Q441" s="6"/>
      <x:c r="R441" s="6"/>
      <x:c r="S441" s="6"/>
      <x:c r="T441" s="6"/>
      <x:c r="U441" s="6"/>
      <x:c r="V441" s="6" t="str">
        <x:f>IF(ISBLANK('_INSTANCE'!B441),"",'_INSTANCE'!B441)</x:f>
      </x:c>
      <x:c r="W441" s="6" t="str">
        <x:f>IF(ISBLANK('_INSTANCE'!F441),"",'_INSTANCE'!F441)</x:f>
      </x:c>
      <x:c r="X441" s="6"/>
      <x:c r="Y441" s="6"/>
      <x:c r="Z441" s="6"/>
      <x:c r="AA441" s="6"/>
      <x:c r="AB441" s="6"/>
      <x:c r="AC441" s="6"/>
      <x:c r="AD441" s="6"/>
      <x:c r="AE441" s="6"/>
      <x:c r="AF441" s="6"/>
    </x:row>
    <x:row r="442">
      <x:c r="A442" s="6"/>
      <x:c r="B442" s="6"/>
      <x:c r="C442" s="6"/>
      <x:c r="D442" s="6"/>
      <x:c r="E442" s="6"/>
      <x:c r="F442" s="6"/>
      <x:c r="G442" s="6"/>
      <x:c r="H442" s="6"/>
      <x:c r="I442" s="6"/>
      <x:c r="J442" s="6"/>
      <x:c r="K442" s="6"/>
      <x:c r="L442" s="6"/>
      <x:c r="M442" s="6"/>
      <x:c r="N442" s="6"/>
      <x:c r="O442" s="6"/>
      <x:c r="P442" s="6"/>
      <x:c r="Q442" s="6"/>
      <x:c r="R442" s="6"/>
      <x:c r="S442" s="6"/>
      <x:c r="T442" s="6"/>
      <x:c r="U442" s="6"/>
      <x:c r="V442" s="6" t="str">
        <x:f>IF(ISBLANK('_INSTANCE'!B442),"",'_INSTANCE'!B442)</x:f>
      </x:c>
      <x:c r="W442" s="6" t="str">
        <x:f>IF(ISBLANK('_INSTANCE'!F442),"",'_INSTANCE'!F442)</x:f>
      </x:c>
      <x:c r="X442" s="6"/>
      <x:c r="Y442" s="6"/>
      <x:c r="Z442" s="6"/>
      <x:c r="AA442" s="6"/>
      <x:c r="AB442" s="6"/>
      <x:c r="AC442" s="6"/>
      <x:c r="AD442" s="6"/>
      <x:c r="AE442" s="6"/>
      <x:c r="AF442" s="6"/>
    </x:row>
    <x:row r="443">
      <x:c r="A443" s="6"/>
      <x:c r="B443" s="6"/>
      <x:c r="C443" s="6"/>
      <x:c r="D443" s="6"/>
      <x:c r="E443" s="6"/>
      <x:c r="F443" s="6"/>
      <x:c r="G443" s="6"/>
      <x:c r="H443" s="6"/>
      <x:c r="I443" s="6"/>
      <x:c r="J443" s="6"/>
      <x:c r="K443" s="6"/>
      <x:c r="L443" s="6"/>
      <x:c r="M443" s="6"/>
      <x:c r="N443" s="6"/>
      <x:c r="O443" s="6"/>
      <x:c r="P443" s="6"/>
      <x:c r="Q443" s="6"/>
      <x:c r="R443" s="6"/>
      <x:c r="S443" s="6"/>
      <x:c r="T443" s="6"/>
      <x:c r="U443" s="6"/>
      <x:c r="V443" s="6" t="str">
        <x:f>IF(ISBLANK('_INSTANCE'!B443),"",'_INSTANCE'!B443)</x:f>
      </x:c>
      <x:c r="W443" s="6" t="str">
        <x:f>IF(ISBLANK('_INSTANCE'!F443),"",'_INSTANCE'!F443)</x:f>
      </x:c>
      <x:c r="X443" s="6"/>
      <x:c r="Y443" s="6"/>
      <x:c r="Z443" s="6"/>
      <x:c r="AA443" s="6"/>
      <x:c r="AB443" s="6"/>
      <x:c r="AC443" s="6"/>
      <x:c r="AD443" s="6"/>
      <x:c r="AE443" s="6"/>
      <x:c r="AF443" s="6"/>
    </x:row>
    <x:row r="444">
      <x:c r="A444" s="6"/>
      <x:c r="B444" s="6"/>
      <x:c r="C444" s="6"/>
      <x:c r="D444" s="6"/>
      <x:c r="E444" s="6"/>
      <x:c r="F444" s="6"/>
      <x:c r="G444" s="6"/>
      <x:c r="H444" s="6"/>
      <x:c r="I444" s="6"/>
      <x:c r="J444" s="6"/>
      <x:c r="K444" s="6"/>
      <x:c r="L444" s="6"/>
      <x:c r="M444" s="6"/>
      <x:c r="N444" s="6"/>
      <x:c r="O444" s="6"/>
      <x:c r="P444" s="6"/>
      <x:c r="Q444" s="6"/>
      <x:c r="R444" s="6"/>
      <x:c r="S444" s="6"/>
      <x:c r="T444" s="6"/>
      <x:c r="U444" s="6"/>
      <x:c r="V444" s="6" t="str">
        <x:f>IF(ISBLANK('_INSTANCE'!B444),"",'_INSTANCE'!B444)</x:f>
      </x:c>
      <x:c r="W444" s="6" t="str">
        <x:f>IF(ISBLANK('_INSTANCE'!F444),"",'_INSTANCE'!F444)</x:f>
      </x:c>
      <x:c r="X444" s="6"/>
      <x:c r="Y444" s="6"/>
      <x:c r="Z444" s="6"/>
      <x:c r="AA444" s="6"/>
      <x:c r="AB444" s="6"/>
      <x:c r="AC444" s="6"/>
      <x:c r="AD444" s="6"/>
      <x:c r="AE444" s="6"/>
      <x:c r="AF444" s="6"/>
    </x:row>
    <x:row r="445">
      <x:c r="A445" s="6"/>
      <x:c r="B445" s="6"/>
      <x:c r="C445" s="6"/>
      <x:c r="D445" s="6"/>
      <x:c r="E445" s="6"/>
      <x:c r="F445" s="6"/>
      <x:c r="G445" s="6"/>
      <x:c r="H445" s="6"/>
      <x:c r="I445" s="6"/>
      <x:c r="J445" s="6"/>
      <x:c r="K445" s="6"/>
      <x:c r="L445" s="6"/>
      <x:c r="M445" s="6"/>
      <x:c r="N445" s="6"/>
      <x:c r="O445" s="6"/>
      <x:c r="P445" s="6"/>
      <x:c r="Q445" s="6"/>
      <x:c r="R445" s="6"/>
      <x:c r="S445" s="6"/>
      <x:c r="T445" s="6"/>
      <x:c r="U445" s="6"/>
      <x:c r="V445" s="6" t="str">
        <x:f>IF(ISBLANK('_INSTANCE'!B445),"",'_INSTANCE'!B445)</x:f>
      </x:c>
      <x:c r="W445" s="6" t="str">
        <x:f>IF(ISBLANK('_INSTANCE'!F445),"",'_INSTANCE'!F445)</x:f>
      </x:c>
      <x:c r="X445" s="6"/>
      <x:c r="Y445" s="6"/>
      <x:c r="Z445" s="6"/>
      <x:c r="AA445" s="6"/>
      <x:c r="AB445" s="6"/>
      <x:c r="AC445" s="6"/>
      <x:c r="AD445" s="6"/>
      <x:c r="AE445" s="6"/>
      <x:c r="AF445" s="6"/>
    </x:row>
    <x:row r="446">
      <x:c r="A446" s="6"/>
      <x:c r="B446" s="6"/>
      <x:c r="C446" s="6"/>
      <x:c r="D446" s="6"/>
      <x:c r="E446" s="6"/>
      <x:c r="F446" s="6"/>
      <x:c r="G446" s="6"/>
      <x:c r="H446" s="6"/>
      <x:c r="I446" s="6"/>
      <x:c r="J446" s="6"/>
      <x:c r="K446" s="6"/>
      <x:c r="L446" s="6"/>
      <x:c r="M446" s="6"/>
      <x:c r="N446" s="6"/>
      <x:c r="O446" s="6"/>
      <x:c r="P446" s="6"/>
      <x:c r="Q446" s="6"/>
      <x:c r="R446" s="6"/>
      <x:c r="S446" s="6"/>
      <x:c r="T446" s="6"/>
      <x:c r="U446" s="6"/>
      <x:c r="V446" s="6" t="str">
        <x:f>IF(ISBLANK('_INSTANCE'!B446),"",'_INSTANCE'!B446)</x:f>
      </x:c>
      <x:c r="W446" s="6" t="str">
        <x:f>IF(ISBLANK('_INSTANCE'!F446),"",'_INSTANCE'!F446)</x:f>
      </x:c>
      <x:c r="X446" s="6"/>
      <x:c r="Y446" s="6"/>
      <x:c r="Z446" s="6"/>
      <x:c r="AA446" s="6"/>
      <x:c r="AB446" s="6"/>
      <x:c r="AC446" s="6"/>
      <x:c r="AD446" s="6"/>
      <x:c r="AE446" s="6"/>
      <x:c r="AF446" s="6"/>
    </x:row>
    <x:row r="447">
      <x:c r="A447" s="6"/>
      <x:c r="B447" s="6"/>
      <x:c r="C447" s="6"/>
      <x:c r="D447" s="6"/>
      <x:c r="E447" s="6"/>
      <x:c r="F447" s="6"/>
      <x:c r="G447" s="6"/>
      <x:c r="H447" s="6"/>
      <x:c r="I447" s="6"/>
      <x:c r="J447" s="6"/>
      <x:c r="K447" s="6"/>
      <x:c r="L447" s="6"/>
      <x:c r="M447" s="6"/>
      <x:c r="N447" s="6"/>
      <x:c r="O447" s="6"/>
      <x:c r="P447" s="6"/>
      <x:c r="Q447" s="6"/>
      <x:c r="R447" s="6"/>
      <x:c r="S447" s="6"/>
      <x:c r="T447" s="6"/>
      <x:c r="U447" s="6"/>
      <x:c r="V447" s="6" t="str">
        <x:f>IF(ISBLANK('_INSTANCE'!B447),"",'_INSTANCE'!B447)</x:f>
      </x:c>
      <x:c r="W447" s="6" t="str">
        <x:f>IF(ISBLANK('_INSTANCE'!F447),"",'_INSTANCE'!F447)</x:f>
      </x:c>
      <x:c r="X447" s="6"/>
      <x:c r="Y447" s="6"/>
      <x:c r="Z447" s="6"/>
      <x:c r="AA447" s="6"/>
      <x:c r="AB447" s="6"/>
      <x:c r="AC447" s="6"/>
      <x:c r="AD447" s="6"/>
      <x:c r="AE447" s="6"/>
      <x:c r="AF447" s="6"/>
    </x:row>
    <x:row r="448">
      <x:c r="A448" s="6"/>
      <x:c r="B448" s="6"/>
      <x:c r="C448" s="6"/>
      <x:c r="D448" s="6"/>
      <x:c r="E448" s="6"/>
      <x:c r="F448" s="6"/>
      <x:c r="G448" s="6"/>
      <x:c r="H448" s="6"/>
      <x:c r="I448" s="6"/>
      <x:c r="J448" s="6"/>
      <x:c r="K448" s="6"/>
      <x:c r="L448" s="6"/>
      <x:c r="M448" s="6"/>
      <x:c r="N448" s="6"/>
      <x:c r="O448" s="6"/>
      <x:c r="P448" s="6"/>
      <x:c r="Q448" s="6"/>
      <x:c r="R448" s="6"/>
      <x:c r="S448" s="6"/>
      <x:c r="T448" s="6"/>
      <x:c r="U448" s="6"/>
      <x:c r="V448" s="6" t="str">
        <x:f>IF(ISBLANK('_INSTANCE'!B448),"",'_INSTANCE'!B448)</x:f>
      </x:c>
      <x:c r="W448" s="6" t="str">
        <x:f>IF(ISBLANK('_INSTANCE'!F448),"",'_INSTANCE'!F448)</x:f>
      </x:c>
      <x:c r="X448" s="6"/>
      <x:c r="Y448" s="6"/>
      <x:c r="Z448" s="6"/>
      <x:c r="AA448" s="6"/>
      <x:c r="AB448" s="6"/>
      <x:c r="AC448" s="6"/>
      <x:c r="AD448" s="6"/>
      <x:c r="AE448" s="6"/>
      <x:c r="AF448" s="6"/>
    </x:row>
    <x:row r="449">
      <x:c r="A449" s="6"/>
      <x:c r="B449" s="6"/>
      <x:c r="C449" s="6"/>
      <x:c r="D449" s="6"/>
      <x:c r="E449" s="6"/>
      <x:c r="F449" s="6"/>
      <x:c r="G449" s="6"/>
      <x:c r="H449" s="6"/>
      <x:c r="I449" s="6"/>
      <x:c r="J449" s="6"/>
      <x:c r="K449" s="6"/>
      <x:c r="L449" s="6"/>
      <x:c r="M449" s="6"/>
      <x:c r="N449" s="6"/>
      <x:c r="O449" s="6"/>
      <x:c r="P449" s="6"/>
      <x:c r="Q449" s="6"/>
      <x:c r="R449" s="6"/>
      <x:c r="S449" s="6"/>
      <x:c r="T449" s="6"/>
      <x:c r="U449" s="6"/>
      <x:c r="V449" s="6" t="str">
        <x:f>IF(ISBLANK('_INSTANCE'!B449),"",'_INSTANCE'!B449)</x:f>
      </x:c>
      <x:c r="W449" s="6" t="str">
        <x:f>IF(ISBLANK('_INSTANCE'!F449),"",'_INSTANCE'!F449)</x:f>
      </x:c>
      <x:c r="X449" s="6"/>
      <x:c r="Y449" s="6"/>
      <x:c r="Z449" s="6"/>
      <x:c r="AA449" s="6"/>
      <x:c r="AB449" s="6"/>
      <x:c r="AC449" s="6"/>
      <x:c r="AD449" s="6"/>
      <x:c r="AE449" s="6"/>
      <x:c r="AF449" s="6"/>
    </x:row>
    <x:row r="450">
      <x:c r="A450" s="6"/>
      <x:c r="B450" s="6"/>
      <x:c r="C450" s="6"/>
      <x:c r="D450" s="6"/>
      <x:c r="E450" s="6"/>
      <x:c r="F450" s="6"/>
      <x:c r="G450" s="6"/>
      <x:c r="H450" s="6"/>
      <x:c r="I450" s="6"/>
      <x:c r="J450" s="6"/>
      <x:c r="K450" s="6"/>
      <x:c r="L450" s="6"/>
      <x:c r="M450" s="6"/>
      <x:c r="N450" s="6"/>
      <x:c r="O450" s="6"/>
      <x:c r="P450" s="6"/>
      <x:c r="Q450" s="6"/>
      <x:c r="R450" s="6"/>
      <x:c r="S450" s="6"/>
      <x:c r="T450" s="6"/>
      <x:c r="U450" s="6"/>
      <x:c r="V450" s="6" t="str">
        <x:f>IF(ISBLANK('_INSTANCE'!B450),"",'_INSTANCE'!B450)</x:f>
      </x:c>
      <x:c r="W450" s="6" t="str">
        <x:f>IF(ISBLANK('_INSTANCE'!F450),"",'_INSTANCE'!F450)</x:f>
      </x:c>
      <x:c r="X450" s="6"/>
      <x:c r="Y450" s="6"/>
      <x:c r="Z450" s="6"/>
      <x:c r="AA450" s="6"/>
      <x:c r="AB450" s="6"/>
      <x:c r="AC450" s="6"/>
      <x:c r="AD450" s="6"/>
      <x:c r="AE450" s="6"/>
      <x:c r="AF450" s="6"/>
    </x:row>
    <x:row r="451">
      <x:c r="A451" s="6"/>
      <x:c r="B451" s="6"/>
      <x:c r="C451" s="6"/>
      <x:c r="D451" s="6"/>
      <x:c r="E451" s="6"/>
      <x:c r="F451" s="6"/>
      <x:c r="G451" s="6"/>
      <x:c r="H451" s="6"/>
      <x:c r="I451" s="6"/>
      <x:c r="J451" s="6"/>
      <x:c r="K451" s="6"/>
      <x:c r="L451" s="6"/>
      <x:c r="M451" s="6"/>
      <x:c r="N451" s="6"/>
      <x:c r="O451" s="6"/>
      <x:c r="P451" s="6"/>
      <x:c r="Q451" s="6"/>
      <x:c r="R451" s="6"/>
      <x:c r="S451" s="6"/>
      <x:c r="T451" s="6"/>
      <x:c r="U451" s="6"/>
      <x:c r="V451" s="6" t="str">
        <x:f>IF(ISBLANK('_INSTANCE'!B451),"",'_INSTANCE'!B451)</x:f>
      </x:c>
      <x:c r="W451" s="6" t="str">
        <x:f>IF(ISBLANK('_INSTANCE'!F451),"",'_INSTANCE'!F451)</x:f>
      </x:c>
      <x:c r="X451" s="6"/>
      <x:c r="Y451" s="6"/>
      <x:c r="Z451" s="6"/>
      <x:c r="AA451" s="6"/>
      <x:c r="AB451" s="6"/>
      <x:c r="AC451" s="6"/>
      <x:c r="AD451" s="6"/>
      <x:c r="AE451" s="6"/>
      <x:c r="AF451" s="6"/>
    </x:row>
    <x:row r="452">
      <x:c r="A452" s="6"/>
      <x:c r="B452" s="6"/>
      <x:c r="C452" s="6"/>
      <x:c r="D452" s="6"/>
      <x:c r="E452" s="6"/>
      <x:c r="F452" s="6"/>
      <x:c r="G452" s="6"/>
      <x:c r="H452" s="6"/>
      <x:c r="I452" s="6"/>
      <x:c r="J452" s="6"/>
      <x:c r="K452" s="6"/>
      <x:c r="L452" s="6"/>
      <x:c r="M452" s="6"/>
      <x:c r="N452" s="6"/>
      <x:c r="O452" s="6"/>
      <x:c r="P452" s="6"/>
      <x:c r="Q452" s="6"/>
      <x:c r="R452" s="6"/>
      <x:c r="S452" s="6"/>
      <x:c r="T452" s="6"/>
      <x:c r="U452" s="6"/>
      <x:c r="V452" s="6" t="str">
        <x:f>IF(ISBLANK('_INSTANCE'!B452),"",'_INSTANCE'!B452)</x:f>
      </x:c>
      <x:c r="W452" s="6" t="str">
        <x:f>IF(ISBLANK('_INSTANCE'!F452),"",'_INSTANCE'!F452)</x:f>
      </x:c>
      <x:c r="X452" s="6"/>
      <x:c r="Y452" s="6"/>
      <x:c r="Z452" s="6"/>
      <x:c r="AA452" s="6"/>
      <x:c r="AB452" s="6"/>
      <x:c r="AC452" s="6"/>
      <x:c r="AD452" s="6"/>
      <x:c r="AE452" s="6"/>
      <x:c r="AF452" s="6"/>
    </x:row>
    <x:row r="453">
      <x:c r="A453" s="6"/>
      <x:c r="B453" s="6"/>
      <x:c r="C453" s="6"/>
      <x:c r="D453" s="6"/>
      <x:c r="E453" s="6"/>
      <x:c r="F453" s="6"/>
      <x:c r="G453" s="6"/>
      <x:c r="H453" s="6"/>
      <x:c r="I453" s="6"/>
      <x:c r="J453" s="6"/>
      <x:c r="K453" s="6"/>
      <x:c r="L453" s="6"/>
      <x:c r="M453" s="6"/>
      <x:c r="N453" s="6"/>
      <x:c r="O453" s="6"/>
      <x:c r="P453" s="6"/>
      <x:c r="Q453" s="6"/>
      <x:c r="R453" s="6"/>
      <x:c r="S453" s="6"/>
      <x:c r="T453" s="6"/>
      <x:c r="U453" s="6"/>
      <x:c r="V453" s="6" t="str">
        <x:f>IF(ISBLANK('_INSTANCE'!B453),"",'_INSTANCE'!B453)</x:f>
      </x:c>
      <x:c r="W453" s="6" t="str">
        <x:f>IF(ISBLANK('_INSTANCE'!F453),"",'_INSTANCE'!F453)</x:f>
      </x:c>
      <x:c r="X453" s="6"/>
      <x:c r="Y453" s="6"/>
      <x:c r="Z453" s="6"/>
      <x:c r="AA453" s="6"/>
      <x:c r="AB453" s="6"/>
      <x:c r="AC453" s="6"/>
      <x:c r="AD453" s="6"/>
      <x:c r="AE453" s="6"/>
      <x:c r="AF453" s="6"/>
    </x:row>
    <x:row r="454">
      <x:c r="A454" s="6"/>
      <x:c r="B454" s="6"/>
      <x:c r="C454" s="6"/>
      <x:c r="D454" s="6"/>
      <x:c r="E454" s="6"/>
      <x:c r="F454" s="6"/>
      <x:c r="G454" s="6"/>
      <x:c r="H454" s="6"/>
      <x:c r="I454" s="6"/>
      <x:c r="J454" s="6"/>
      <x:c r="K454" s="6"/>
      <x:c r="L454" s="6"/>
      <x:c r="M454" s="6"/>
      <x:c r="N454" s="6"/>
      <x:c r="O454" s="6"/>
      <x:c r="P454" s="6"/>
      <x:c r="Q454" s="6"/>
      <x:c r="R454" s="6"/>
      <x:c r="S454" s="6"/>
      <x:c r="T454" s="6"/>
      <x:c r="U454" s="6"/>
      <x:c r="V454" s="6" t="str">
        <x:f>IF(ISBLANK('_INSTANCE'!B454),"",'_INSTANCE'!B454)</x:f>
      </x:c>
      <x:c r="W454" s="6" t="str">
        <x:f>IF(ISBLANK('_INSTANCE'!F454),"",'_INSTANCE'!F454)</x:f>
      </x:c>
      <x:c r="X454" s="6"/>
      <x:c r="Y454" s="6"/>
      <x:c r="Z454" s="6"/>
      <x:c r="AA454" s="6"/>
      <x:c r="AB454" s="6"/>
      <x:c r="AC454" s="6"/>
      <x:c r="AD454" s="6"/>
      <x:c r="AE454" s="6"/>
      <x:c r="AF454" s="6"/>
    </x:row>
    <x:row r="455">
      <x:c r="A455" s="6"/>
      <x:c r="B455" s="6"/>
      <x:c r="C455" s="6"/>
      <x:c r="D455" s="6"/>
      <x:c r="E455" s="6"/>
      <x:c r="F455" s="6"/>
      <x:c r="G455" s="6"/>
      <x:c r="H455" s="6"/>
      <x:c r="I455" s="6"/>
      <x:c r="J455" s="6"/>
      <x:c r="K455" s="6"/>
      <x:c r="L455" s="6"/>
      <x:c r="M455" s="6"/>
      <x:c r="N455" s="6"/>
      <x:c r="O455" s="6"/>
      <x:c r="P455" s="6"/>
      <x:c r="Q455" s="6"/>
      <x:c r="R455" s="6"/>
      <x:c r="S455" s="6"/>
      <x:c r="T455" s="6"/>
      <x:c r="U455" s="6"/>
      <x:c r="V455" s="6" t="str">
        <x:f>IF(ISBLANK('_INSTANCE'!B455),"",'_INSTANCE'!B455)</x:f>
      </x:c>
      <x:c r="W455" s="6" t="str">
        <x:f>IF(ISBLANK('_INSTANCE'!F455),"",'_INSTANCE'!F455)</x:f>
      </x:c>
      <x:c r="X455" s="6"/>
      <x:c r="Y455" s="6"/>
      <x:c r="Z455" s="6"/>
      <x:c r="AA455" s="6"/>
      <x:c r="AB455" s="6"/>
      <x:c r="AC455" s="6"/>
      <x:c r="AD455" s="6"/>
      <x:c r="AE455" s="6"/>
      <x:c r="AF455" s="6"/>
    </x:row>
    <x:row r="456">
      <x:c r="A456" s="6"/>
      <x:c r="B456" s="6"/>
      <x:c r="C456" s="6"/>
      <x:c r="D456" s="6"/>
      <x:c r="E456" s="6"/>
      <x:c r="F456" s="6"/>
      <x:c r="G456" s="6"/>
      <x:c r="H456" s="6"/>
      <x:c r="I456" s="6"/>
      <x:c r="J456" s="6"/>
      <x:c r="K456" s="6"/>
      <x:c r="L456" s="6"/>
      <x:c r="M456" s="6"/>
      <x:c r="N456" s="6"/>
      <x:c r="O456" s="6"/>
      <x:c r="P456" s="6"/>
      <x:c r="Q456" s="6"/>
      <x:c r="R456" s="6"/>
      <x:c r="S456" s="6"/>
      <x:c r="T456" s="6"/>
      <x:c r="U456" s="6"/>
      <x:c r="V456" s="6" t="str">
        <x:f>IF(ISBLANK('_INSTANCE'!B456),"",'_INSTANCE'!B456)</x:f>
      </x:c>
      <x:c r="W456" s="6" t="str">
        <x:f>IF(ISBLANK('_INSTANCE'!F456),"",'_INSTANCE'!F456)</x:f>
      </x:c>
      <x:c r="X456" s="6"/>
      <x:c r="Y456" s="6"/>
      <x:c r="Z456" s="6"/>
      <x:c r="AA456" s="6"/>
      <x:c r="AB456" s="6"/>
      <x:c r="AC456" s="6"/>
      <x:c r="AD456" s="6"/>
      <x:c r="AE456" s="6"/>
      <x:c r="AF456" s="6"/>
    </x:row>
    <x:row r="457">
      <x:c r="A457" s="6"/>
      <x:c r="B457" s="6"/>
      <x:c r="C457" s="6"/>
      <x:c r="D457" s="6"/>
      <x:c r="E457" s="6"/>
      <x:c r="F457" s="6"/>
      <x:c r="G457" s="6"/>
      <x:c r="H457" s="6"/>
      <x:c r="I457" s="6"/>
      <x:c r="J457" s="6"/>
      <x:c r="K457" s="6"/>
      <x:c r="L457" s="6"/>
      <x:c r="M457" s="6"/>
      <x:c r="N457" s="6"/>
      <x:c r="O457" s="6"/>
      <x:c r="P457" s="6"/>
      <x:c r="Q457" s="6"/>
      <x:c r="R457" s="6"/>
      <x:c r="S457" s="6"/>
      <x:c r="T457" s="6"/>
      <x:c r="U457" s="6"/>
      <x:c r="V457" s="6" t="str">
        <x:f>IF(ISBLANK('_INSTANCE'!B457),"",'_INSTANCE'!B457)</x:f>
      </x:c>
      <x:c r="W457" s="6" t="str">
        <x:f>IF(ISBLANK('_INSTANCE'!F457),"",'_INSTANCE'!F457)</x:f>
      </x:c>
      <x:c r="X457" s="6"/>
      <x:c r="Y457" s="6"/>
      <x:c r="Z457" s="6"/>
      <x:c r="AA457" s="6"/>
      <x:c r="AB457" s="6"/>
      <x:c r="AC457" s="6"/>
      <x:c r="AD457" s="6"/>
      <x:c r="AE457" s="6"/>
      <x:c r="AF457" s="6"/>
    </x:row>
    <x:row r="458">
      <x:c r="A458" s="6"/>
      <x:c r="B458" s="6"/>
      <x:c r="C458" s="6"/>
      <x:c r="D458" s="6"/>
      <x:c r="E458" s="6"/>
      <x:c r="F458" s="6"/>
      <x:c r="G458" s="6"/>
      <x:c r="H458" s="6"/>
      <x:c r="I458" s="6"/>
      <x:c r="J458" s="6"/>
      <x:c r="K458" s="6"/>
      <x:c r="L458" s="6"/>
      <x:c r="M458" s="6"/>
      <x:c r="N458" s="6"/>
      <x:c r="O458" s="6"/>
      <x:c r="P458" s="6"/>
      <x:c r="Q458" s="6"/>
      <x:c r="R458" s="6"/>
      <x:c r="S458" s="6"/>
      <x:c r="T458" s="6"/>
      <x:c r="U458" s="6"/>
      <x:c r="V458" s="6" t="str">
        <x:f>IF(ISBLANK('_INSTANCE'!B458),"",'_INSTANCE'!B458)</x:f>
      </x:c>
      <x:c r="W458" s="6" t="str">
        <x:f>IF(ISBLANK('_INSTANCE'!F458),"",'_INSTANCE'!F458)</x:f>
      </x:c>
      <x:c r="X458" s="6"/>
      <x:c r="Y458" s="6"/>
      <x:c r="Z458" s="6"/>
      <x:c r="AA458" s="6"/>
      <x:c r="AB458" s="6"/>
      <x:c r="AC458" s="6"/>
      <x:c r="AD458" s="6"/>
      <x:c r="AE458" s="6"/>
      <x:c r="AF458" s="6"/>
    </x:row>
    <x:row r="459">
      <x:c r="A459" s="6"/>
      <x:c r="B459" s="6"/>
      <x:c r="C459" s="6"/>
      <x:c r="D459" s="6"/>
      <x:c r="E459" s="6"/>
      <x:c r="F459" s="6"/>
      <x:c r="G459" s="6"/>
      <x:c r="H459" s="6"/>
      <x:c r="I459" s="6"/>
      <x:c r="J459" s="6"/>
      <x:c r="K459" s="6"/>
      <x:c r="L459" s="6"/>
      <x:c r="M459" s="6"/>
      <x:c r="N459" s="6"/>
      <x:c r="O459" s="6"/>
      <x:c r="P459" s="6"/>
      <x:c r="Q459" s="6"/>
      <x:c r="R459" s="6"/>
      <x:c r="S459" s="6"/>
      <x:c r="T459" s="6"/>
      <x:c r="U459" s="6"/>
      <x:c r="V459" s="6" t="str">
        <x:f>IF(ISBLANK('_INSTANCE'!B459),"",'_INSTANCE'!B459)</x:f>
      </x:c>
      <x:c r="W459" s="6" t="str">
        <x:f>IF(ISBLANK('_INSTANCE'!F459),"",'_INSTANCE'!F459)</x:f>
      </x:c>
      <x:c r="X459" s="6"/>
      <x:c r="Y459" s="6"/>
      <x:c r="Z459" s="6"/>
      <x:c r="AA459" s="6"/>
      <x:c r="AB459" s="6"/>
      <x:c r="AC459" s="6"/>
      <x:c r="AD459" s="6"/>
      <x:c r="AE459" s="6"/>
      <x:c r="AF459" s="6"/>
    </x:row>
    <x:row r="460">
      <x:c r="A460" s="6"/>
      <x:c r="B460" s="6"/>
      <x:c r="C460" s="6"/>
      <x:c r="D460" s="6"/>
      <x:c r="E460" s="6"/>
      <x:c r="F460" s="6"/>
      <x:c r="G460" s="6"/>
      <x:c r="H460" s="6"/>
      <x:c r="I460" s="6"/>
      <x:c r="J460" s="6"/>
      <x:c r="K460" s="6"/>
      <x:c r="L460" s="6"/>
      <x:c r="M460" s="6"/>
      <x:c r="N460" s="6"/>
      <x:c r="O460" s="6"/>
      <x:c r="P460" s="6"/>
      <x:c r="Q460" s="6"/>
      <x:c r="R460" s="6"/>
      <x:c r="S460" s="6"/>
      <x:c r="T460" s="6"/>
      <x:c r="U460" s="6"/>
      <x:c r="V460" s="6" t="str">
        <x:f>IF(ISBLANK('_INSTANCE'!B460),"",'_INSTANCE'!B460)</x:f>
      </x:c>
      <x:c r="W460" s="6" t="str">
        <x:f>IF(ISBLANK('_INSTANCE'!F460),"",'_INSTANCE'!F460)</x:f>
      </x:c>
      <x:c r="X460" s="6"/>
      <x:c r="Y460" s="6"/>
      <x:c r="Z460" s="6"/>
      <x:c r="AA460" s="6"/>
      <x:c r="AB460" s="6"/>
      <x:c r="AC460" s="6"/>
      <x:c r="AD460" s="6"/>
      <x:c r="AE460" s="6"/>
      <x:c r="AF460" s="6"/>
    </x:row>
    <x:row r="461">
      <x:c r="A461" s="6"/>
      <x:c r="B461" s="6"/>
      <x:c r="C461" s="6"/>
      <x:c r="D461" s="6"/>
      <x:c r="E461" s="6"/>
      <x:c r="F461" s="6"/>
      <x:c r="G461" s="6"/>
      <x:c r="H461" s="6"/>
      <x:c r="I461" s="6"/>
      <x:c r="J461" s="6"/>
      <x:c r="K461" s="6"/>
      <x:c r="L461" s="6"/>
      <x:c r="M461" s="6"/>
      <x:c r="N461" s="6"/>
      <x:c r="O461" s="6"/>
      <x:c r="P461" s="6"/>
      <x:c r="Q461" s="6"/>
      <x:c r="R461" s="6"/>
      <x:c r="S461" s="6"/>
      <x:c r="T461" s="6"/>
      <x:c r="U461" s="6"/>
      <x:c r="V461" s="6" t="str">
        <x:f>IF(ISBLANK('_INSTANCE'!B461),"",'_INSTANCE'!B461)</x:f>
      </x:c>
      <x:c r="W461" s="6" t="str">
        <x:f>IF(ISBLANK('_INSTANCE'!F461),"",'_INSTANCE'!F461)</x:f>
      </x:c>
      <x:c r="X461" s="6"/>
      <x:c r="Y461" s="6"/>
      <x:c r="Z461" s="6"/>
      <x:c r="AA461" s="6"/>
      <x:c r="AB461" s="6"/>
      <x:c r="AC461" s="6"/>
      <x:c r="AD461" s="6"/>
      <x:c r="AE461" s="6"/>
      <x:c r="AF461" s="6"/>
    </x:row>
    <x:row r="462">
      <x:c r="A462" s="6"/>
      <x:c r="B462" s="6"/>
      <x:c r="C462" s="6"/>
      <x:c r="D462" s="6"/>
      <x:c r="E462" s="6"/>
      <x:c r="F462" s="6"/>
      <x:c r="G462" s="6"/>
      <x:c r="H462" s="6"/>
      <x:c r="I462" s="6"/>
      <x:c r="J462" s="6"/>
      <x:c r="K462" s="6"/>
      <x:c r="L462" s="6"/>
      <x:c r="M462" s="6"/>
      <x:c r="N462" s="6"/>
      <x:c r="O462" s="6"/>
      <x:c r="P462" s="6"/>
      <x:c r="Q462" s="6"/>
      <x:c r="R462" s="6"/>
      <x:c r="S462" s="6"/>
      <x:c r="T462" s="6"/>
      <x:c r="U462" s="6"/>
      <x:c r="V462" s="6" t="str">
        <x:f>IF(ISBLANK('_INSTANCE'!B462),"",'_INSTANCE'!B462)</x:f>
      </x:c>
      <x:c r="W462" s="6" t="str">
        <x:f>IF(ISBLANK('_INSTANCE'!F462),"",'_INSTANCE'!F462)</x:f>
      </x:c>
      <x:c r="X462" s="6"/>
      <x:c r="Y462" s="6"/>
      <x:c r="Z462" s="6"/>
      <x:c r="AA462" s="6"/>
      <x:c r="AB462" s="6"/>
      <x:c r="AC462" s="6"/>
      <x:c r="AD462" s="6"/>
      <x:c r="AE462" s="6"/>
      <x:c r="AF462" s="6"/>
    </x:row>
    <x:row r="463">
      <x:c r="A463" s="6"/>
      <x:c r="B463" s="6"/>
      <x:c r="C463" s="6"/>
      <x:c r="D463" s="6"/>
      <x:c r="E463" s="6"/>
      <x:c r="F463" s="6"/>
      <x:c r="G463" s="6"/>
      <x:c r="H463" s="6"/>
      <x:c r="I463" s="6"/>
      <x:c r="J463" s="6"/>
      <x:c r="K463" s="6"/>
      <x:c r="L463" s="6"/>
      <x:c r="M463" s="6"/>
      <x:c r="N463" s="6"/>
      <x:c r="O463" s="6"/>
      <x:c r="P463" s="6"/>
      <x:c r="Q463" s="6"/>
      <x:c r="R463" s="6"/>
      <x:c r="S463" s="6"/>
      <x:c r="T463" s="6"/>
      <x:c r="U463" s="6"/>
      <x:c r="V463" s="6" t="str">
        <x:f>IF(ISBLANK('_INSTANCE'!B463),"",'_INSTANCE'!B463)</x:f>
      </x:c>
      <x:c r="W463" s="6" t="str">
        <x:f>IF(ISBLANK('_INSTANCE'!F463),"",'_INSTANCE'!F463)</x:f>
      </x:c>
      <x:c r="X463" s="6"/>
      <x:c r="Y463" s="6"/>
      <x:c r="Z463" s="6"/>
      <x:c r="AA463" s="6"/>
      <x:c r="AB463" s="6"/>
      <x:c r="AC463" s="6"/>
      <x:c r="AD463" s="6"/>
      <x:c r="AE463" s="6"/>
      <x:c r="AF463" s="6"/>
    </x:row>
    <x:row r="464">
      <x:c r="A464" s="6"/>
      <x:c r="B464" s="6"/>
      <x:c r="C464" s="6"/>
      <x:c r="D464" s="6"/>
      <x:c r="E464" s="6"/>
      <x:c r="F464" s="6"/>
      <x:c r="G464" s="6"/>
      <x:c r="H464" s="6"/>
      <x:c r="I464" s="6"/>
      <x:c r="J464" s="6"/>
      <x:c r="K464" s="6"/>
      <x:c r="L464" s="6"/>
      <x:c r="M464" s="6"/>
      <x:c r="N464" s="6"/>
      <x:c r="O464" s="6"/>
      <x:c r="P464" s="6"/>
      <x:c r="Q464" s="6"/>
      <x:c r="R464" s="6"/>
      <x:c r="S464" s="6"/>
      <x:c r="T464" s="6"/>
      <x:c r="U464" s="6"/>
      <x:c r="V464" s="6" t="str">
        <x:f>IF(ISBLANK('_INSTANCE'!B464),"",'_INSTANCE'!B464)</x:f>
      </x:c>
      <x:c r="W464" s="6" t="str">
        <x:f>IF(ISBLANK('_INSTANCE'!F464),"",'_INSTANCE'!F464)</x:f>
      </x:c>
      <x:c r="X464" s="6"/>
      <x:c r="Y464" s="6"/>
      <x:c r="Z464" s="6"/>
      <x:c r="AA464" s="6"/>
      <x:c r="AB464" s="6"/>
      <x:c r="AC464" s="6"/>
      <x:c r="AD464" s="6"/>
      <x:c r="AE464" s="6"/>
      <x:c r="AF464" s="6"/>
    </x:row>
    <x:row r="465">
      <x:c r="A465" s="6"/>
      <x:c r="B465" s="6"/>
      <x:c r="C465" s="6"/>
      <x:c r="D465" s="6"/>
      <x:c r="E465" s="6"/>
      <x:c r="F465" s="6"/>
      <x:c r="G465" s="6"/>
      <x:c r="H465" s="6"/>
      <x:c r="I465" s="6"/>
      <x:c r="J465" s="6"/>
      <x:c r="K465" s="6"/>
      <x:c r="L465" s="6"/>
      <x:c r="M465" s="6"/>
      <x:c r="N465" s="6"/>
      <x:c r="O465" s="6"/>
      <x:c r="P465" s="6"/>
      <x:c r="Q465" s="6"/>
      <x:c r="R465" s="6"/>
      <x:c r="S465" s="6"/>
      <x:c r="T465" s="6"/>
      <x:c r="U465" s="6"/>
      <x:c r="V465" s="6" t="str">
        <x:f>IF(ISBLANK('_INSTANCE'!B465),"",'_INSTANCE'!B465)</x:f>
      </x:c>
      <x:c r="W465" s="6" t="str">
        <x:f>IF(ISBLANK('_INSTANCE'!F465),"",'_INSTANCE'!F465)</x:f>
      </x:c>
      <x:c r="X465" s="6"/>
      <x:c r="Y465" s="6"/>
      <x:c r="Z465" s="6"/>
      <x:c r="AA465" s="6"/>
      <x:c r="AB465" s="6"/>
      <x:c r="AC465" s="6"/>
      <x:c r="AD465" s="6"/>
      <x:c r="AE465" s="6"/>
      <x:c r="AF465" s="6"/>
    </x:row>
    <x:row r="466">
      <x:c r="A466" s="6"/>
      <x:c r="B466" s="6"/>
      <x:c r="C466" s="6"/>
      <x:c r="D466" s="6"/>
      <x:c r="E466" s="6"/>
      <x:c r="F466" s="6"/>
      <x:c r="G466" s="6"/>
      <x:c r="H466" s="6"/>
      <x:c r="I466" s="6"/>
      <x:c r="J466" s="6"/>
      <x:c r="K466" s="6"/>
      <x:c r="L466" s="6"/>
      <x:c r="M466" s="6"/>
      <x:c r="N466" s="6"/>
      <x:c r="O466" s="6"/>
      <x:c r="P466" s="6"/>
      <x:c r="Q466" s="6"/>
      <x:c r="R466" s="6"/>
      <x:c r="S466" s="6"/>
      <x:c r="T466" s="6"/>
      <x:c r="U466" s="6"/>
      <x:c r="V466" s="6" t="str">
        <x:f>IF(ISBLANK('_INSTANCE'!B466),"",'_INSTANCE'!B466)</x:f>
      </x:c>
      <x:c r="W466" s="6" t="str">
        <x:f>IF(ISBLANK('_INSTANCE'!F466),"",'_INSTANCE'!F466)</x:f>
      </x:c>
      <x:c r="X466" s="6"/>
      <x:c r="Y466" s="6"/>
      <x:c r="Z466" s="6"/>
      <x:c r="AA466" s="6"/>
      <x:c r="AB466" s="6"/>
      <x:c r="AC466" s="6"/>
      <x:c r="AD466" s="6"/>
      <x:c r="AE466" s="6"/>
      <x:c r="AF466" s="6"/>
    </x:row>
    <x:row r="467">
      <x:c r="A467" s="6"/>
      <x:c r="B467" s="6"/>
      <x:c r="C467" s="6"/>
      <x:c r="D467" s="6"/>
      <x:c r="E467" s="6"/>
      <x:c r="F467" s="6"/>
      <x:c r="G467" s="6"/>
      <x:c r="H467" s="6"/>
      <x:c r="I467" s="6"/>
      <x:c r="J467" s="6"/>
      <x:c r="K467" s="6"/>
      <x:c r="L467" s="6"/>
      <x:c r="M467" s="6"/>
      <x:c r="N467" s="6"/>
      <x:c r="O467" s="6"/>
      <x:c r="P467" s="6"/>
      <x:c r="Q467" s="6"/>
      <x:c r="R467" s="6"/>
      <x:c r="S467" s="6"/>
      <x:c r="T467" s="6"/>
      <x:c r="U467" s="6"/>
      <x:c r="V467" s="6" t="str">
        <x:f>IF(ISBLANK('_INSTANCE'!B467),"",'_INSTANCE'!B467)</x:f>
      </x:c>
      <x:c r="W467" s="6" t="str">
        <x:f>IF(ISBLANK('_INSTANCE'!F467),"",'_INSTANCE'!F467)</x:f>
      </x:c>
      <x:c r="X467" s="6"/>
      <x:c r="Y467" s="6"/>
      <x:c r="Z467" s="6"/>
      <x:c r="AA467" s="6"/>
      <x:c r="AB467" s="6"/>
      <x:c r="AC467" s="6"/>
      <x:c r="AD467" s="6"/>
      <x:c r="AE467" s="6"/>
      <x:c r="AF467" s="6"/>
    </x:row>
    <x:row r="468">
      <x:c r="A468" s="6"/>
      <x:c r="B468" s="6"/>
      <x:c r="C468" s="6"/>
      <x:c r="D468" s="6"/>
      <x:c r="E468" s="6"/>
      <x:c r="F468" s="6"/>
      <x:c r="G468" s="6"/>
      <x:c r="H468" s="6"/>
      <x:c r="I468" s="6"/>
      <x:c r="J468" s="6"/>
      <x:c r="K468" s="6"/>
      <x:c r="L468" s="6"/>
      <x:c r="M468" s="6"/>
      <x:c r="N468" s="6"/>
      <x:c r="O468" s="6"/>
      <x:c r="P468" s="6"/>
      <x:c r="Q468" s="6"/>
      <x:c r="R468" s="6"/>
      <x:c r="S468" s="6"/>
      <x:c r="T468" s="6"/>
      <x:c r="U468" s="6"/>
      <x:c r="V468" s="6" t="str">
        <x:f>IF(ISBLANK('_INSTANCE'!B468),"",'_INSTANCE'!B468)</x:f>
      </x:c>
      <x:c r="W468" s="6" t="str">
        <x:f>IF(ISBLANK('_INSTANCE'!F468),"",'_INSTANCE'!F468)</x:f>
      </x:c>
      <x:c r="X468" s="6"/>
      <x:c r="Y468" s="6"/>
      <x:c r="Z468" s="6"/>
      <x:c r="AA468" s="6"/>
      <x:c r="AB468" s="6"/>
      <x:c r="AC468" s="6"/>
      <x:c r="AD468" s="6"/>
      <x:c r="AE468" s="6"/>
      <x:c r="AF468" s="6"/>
    </x:row>
    <x:row r="469">
      <x:c r="A469" s="6"/>
      <x:c r="B469" s="6"/>
      <x:c r="C469" s="6"/>
      <x:c r="D469" s="6"/>
      <x:c r="E469" s="6"/>
      <x:c r="F469" s="6"/>
      <x:c r="G469" s="6"/>
      <x:c r="H469" s="6"/>
      <x:c r="I469" s="6"/>
      <x:c r="J469" s="6"/>
      <x:c r="K469" s="6"/>
      <x:c r="L469" s="6"/>
      <x:c r="M469" s="6"/>
      <x:c r="N469" s="6"/>
      <x:c r="O469" s="6"/>
      <x:c r="P469" s="6"/>
      <x:c r="Q469" s="6"/>
      <x:c r="R469" s="6"/>
      <x:c r="S469" s="6"/>
      <x:c r="T469" s="6"/>
      <x:c r="U469" s="6"/>
      <x:c r="V469" s="6" t="str">
        <x:f>IF(ISBLANK('_INSTANCE'!B469),"",'_INSTANCE'!B469)</x:f>
      </x:c>
      <x:c r="W469" s="6" t="str">
        <x:f>IF(ISBLANK('_INSTANCE'!F469),"",'_INSTANCE'!F469)</x:f>
      </x:c>
      <x:c r="X469" s="6"/>
      <x:c r="Y469" s="6"/>
      <x:c r="Z469" s="6"/>
      <x:c r="AA469" s="6"/>
      <x:c r="AB469" s="6"/>
      <x:c r="AC469" s="6"/>
      <x:c r="AD469" s="6"/>
      <x:c r="AE469" s="6"/>
      <x:c r="AF469" s="6"/>
    </x:row>
    <x:row r="470">
      <x:c r="A470" s="6"/>
      <x:c r="B470" s="6"/>
      <x:c r="C470" s="6"/>
      <x:c r="D470" s="6"/>
      <x:c r="E470" s="6"/>
      <x:c r="F470" s="6"/>
      <x:c r="G470" s="6"/>
      <x:c r="H470" s="6"/>
      <x:c r="I470" s="6"/>
      <x:c r="J470" s="6"/>
      <x:c r="K470" s="6"/>
      <x:c r="L470" s="6"/>
      <x:c r="M470" s="6"/>
      <x:c r="N470" s="6"/>
      <x:c r="O470" s="6"/>
      <x:c r="P470" s="6"/>
      <x:c r="Q470" s="6"/>
      <x:c r="R470" s="6"/>
      <x:c r="S470" s="6"/>
      <x:c r="T470" s="6"/>
      <x:c r="U470" s="6"/>
      <x:c r="V470" s="6" t="str">
        <x:f>IF(ISBLANK('_INSTANCE'!B470),"",'_INSTANCE'!B470)</x:f>
      </x:c>
      <x:c r="W470" s="6" t="str">
        <x:f>IF(ISBLANK('_INSTANCE'!F470),"",'_INSTANCE'!F470)</x:f>
      </x:c>
      <x:c r="X470" s="6"/>
      <x:c r="Y470" s="6"/>
      <x:c r="Z470" s="6"/>
      <x:c r="AA470" s="6"/>
      <x:c r="AB470" s="6"/>
      <x:c r="AC470" s="6"/>
      <x:c r="AD470" s="6"/>
      <x:c r="AE470" s="6"/>
      <x:c r="AF470" s="6"/>
    </x:row>
    <x:row r="471">
      <x:c r="A471" s="6"/>
      <x:c r="B471" s="6"/>
      <x:c r="C471" s="6"/>
      <x:c r="D471" s="6"/>
      <x:c r="E471" s="6"/>
      <x:c r="F471" s="6"/>
      <x:c r="G471" s="6"/>
      <x:c r="H471" s="6"/>
      <x:c r="I471" s="6"/>
      <x:c r="J471" s="6"/>
      <x:c r="K471" s="6"/>
      <x:c r="L471" s="6"/>
      <x:c r="M471" s="6"/>
      <x:c r="N471" s="6"/>
      <x:c r="O471" s="6"/>
      <x:c r="P471" s="6"/>
      <x:c r="Q471" s="6"/>
      <x:c r="R471" s="6"/>
      <x:c r="S471" s="6"/>
      <x:c r="T471" s="6"/>
      <x:c r="U471" s="6"/>
      <x:c r="V471" s="6" t="str">
        <x:f>IF(ISBLANK('_INSTANCE'!B471),"",'_INSTANCE'!B471)</x:f>
      </x:c>
      <x:c r="W471" s="6" t="str">
        <x:f>IF(ISBLANK('_INSTANCE'!F471),"",'_INSTANCE'!F471)</x:f>
      </x:c>
      <x:c r="X471" s="6"/>
      <x:c r="Y471" s="6"/>
      <x:c r="Z471" s="6"/>
      <x:c r="AA471" s="6"/>
      <x:c r="AB471" s="6"/>
      <x:c r="AC471" s="6"/>
      <x:c r="AD471" s="6"/>
      <x:c r="AE471" s="6"/>
      <x:c r="AF471" s="6"/>
    </x:row>
    <x:row r="472">
      <x:c r="A472" s="6"/>
      <x:c r="B472" s="6"/>
      <x:c r="C472" s="6"/>
      <x:c r="D472" s="6"/>
      <x:c r="E472" s="6"/>
      <x:c r="F472" s="6"/>
      <x:c r="G472" s="6"/>
      <x:c r="H472" s="6"/>
      <x:c r="I472" s="6"/>
      <x:c r="J472" s="6"/>
      <x:c r="K472" s="6"/>
      <x:c r="L472" s="6"/>
      <x:c r="M472" s="6"/>
      <x:c r="N472" s="6"/>
      <x:c r="O472" s="6"/>
      <x:c r="P472" s="6"/>
      <x:c r="Q472" s="6"/>
      <x:c r="R472" s="6"/>
      <x:c r="S472" s="6"/>
      <x:c r="T472" s="6"/>
      <x:c r="U472" s="6"/>
      <x:c r="V472" s="6" t="str">
        <x:f>IF(ISBLANK('_INSTANCE'!B472),"",'_INSTANCE'!B472)</x:f>
      </x:c>
      <x:c r="W472" s="6" t="str">
        <x:f>IF(ISBLANK('_INSTANCE'!F472),"",'_INSTANCE'!F472)</x:f>
      </x:c>
      <x:c r="X472" s="6"/>
      <x:c r="Y472" s="6"/>
      <x:c r="Z472" s="6"/>
      <x:c r="AA472" s="6"/>
      <x:c r="AB472" s="6"/>
      <x:c r="AC472" s="6"/>
      <x:c r="AD472" s="6"/>
      <x:c r="AE472" s="6"/>
      <x:c r="AF472" s="6"/>
    </x:row>
    <x:row r="473">
      <x:c r="A473" s="6"/>
      <x:c r="B473" s="6"/>
      <x:c r="C473" s="6"/>
      <x:c r="D473" s="6"/>
      <x:c r="E473" s="6"/>
      <x:c r="F473" s="6"/>
      <x:c r="G473" s="6"/>
      <x:c r="H473" s="6"/>
      <x:c r="I473" s="6"/>
      <x:c r="J473" s="6"/>
      <x:c r="K473" s="6"/>
      <x:c r="L473" s="6"/>
      <x:c r="M473" s="6"/>
      <x:c r="N473" s="6"/>
      <x:c r="O473" s="6"/>
      <x:c r="P473" s="6"/>
      <x:c r="Q473" s="6"/>
      <x:c r="R473" s="6"/>
      <x:c r="S473" s="6"/>
      <x:c r="T473" s="6"/>
      <x:c r="U473" s="6"/>
      <x:c r="V473" s="6" t="str">
        <x:f>IF(ISBLANK('_INSTANCE'!B473),"",'_INSTANCE'!B473)</x:f>
      </x:c>
      <x:c r="W473" s="6" t="str">
        <x:f>IF(ISBLANK('_INSTANCE'!F473),"",'_INSTANCE'!F473)</x:f>
      </x:c>
      <x:c r="X473" s="6"/>
      <x:c r="Y473" s="6"/>
      <x:c r="Z473" s="6"/>
      <x:c r="AA473" s="6"/>
      <x:c r="AB473" s="6"/>
      <x:c r="AC473" s="6"/>
      <x:c r="AD473" s="6"/>
      <x:c r="AE473" s="6"/>
      <x:c r="AF473" s="6"/>
    </x:row>
    <x:row r="474">
      <x:c r="A474" s="6"/>
      <x:c r="B474" s="6"/>
      <x:c r="C474" s="6"/>
      <x:c r="D474" s="6"/>
      <x:c r="E474" s="6"/>
      <x:c r="F474" s="6"/>
      <x:c r="G474" s="6"/>
      <x:c r="H474" s="6"/>
      <x:c r="I474" s="6"/>
      <x:c r="J474" s="6"/>
      <x:c r="K474" s="6"/>
      <x:c r="L474" s="6"/>
      <x:c r="M474" s="6"/>
      <x:c r="N474" s="6"/>
      <x:c r="O474" s="6"/>
      <x:c r="P474" s="6"/>
      <x:c r="Q474" s="6"/>
      <x:c r="R474" s="6"/>
      <x:c r="S474" s="6"/>
      <x:c r="T474" s="6"/>
      <x:c r="U474" s="6"/>
      <x:c r="V474" s="6" t="str">
        <x:f>IF(ISBLANK('_INSTANCE'!B474),"",'_INSTANCE'!B474)</x:f>
      </x:c>
      <x:c r="W474" s="6" t="str">
        <x:f>IF(ISBLANK('_INSTANCE'!F474),"",'_INSTANCE'!F474)</x:f>
      </x:c>
      <x:c r="X474" s="6"/>
      <x:c r="Y474" s="6"/>
      <x:c r="Z474" s="6"/>
      <x:c r="AA474" s="6"/>
      <x:c r="AB474" s="6"/>
      <x:c r="AC474" s="6"/>
      <x:c r="AD474" s="6"/>
      <x:c r="AE474" s="6"/>
      <x:c r="AF474" s="6"/>
    </x:row>
    <x:row r="475">
      <x:c r="A475" s="6"/>
      <x:c r="B475" s="6"/>
      <x:c r="C475" s="6"/>
      <x:c r="D475" s="6"/>
      <x:c r="E475" s="6"/>
      <x:c r="F475" s="6"/>
      <x:c r="G475" s="6"/>
      <x:c r="H475" s="6"/>
      <x:c r="I475" s="6"/>
      <x:c r="J475" s="6"/>
      <x:c r="K475" s="6"/>
      <x:c r="L475" s="6"/>
      <x:c r="M475" s="6"/>
      <x:c r="N475" s="6"/>
      <x:c r="O475" s="6"/>
      <x:c r="P475" s="6"/>
      <x:c r="Q475" s="6"/>
      <x:c r="R475" s="6"/>
      <x:c r="S475" s="6"/>
      <x:c r="T475" s="6"/>
      <x:c r="U475" s="6"/>
      <x:c r="V475" s="6" t="str">
        <x:f>IF(ISBLANK('_INSTANCE'!B475),"",'_INSTANCE'!B475)</x:f>
      </x:c>
      <x:c r="W475" s="6" t="str">
        <x:f>IF(ISBLANK('_INSTANCE'!F475),"",'_INSTANCE'!F475)</x:f>
      </x:c>
      <x:c r="X475" s="6"/>
      <x:c r="Y475" s="6"/>
      <x:c r="Z475" s="6"/>
      <x:c r="AA475" s="6"/>
      <x:c r="AB475" s="6"/>
      <x:c r="AC475" s="6"/>
      <x:c r="AD475" s="6"/>
      <x:c r="AE475" s="6"/>
      <x:c r="AF475" s="6"/>
    </x:row>
    <x:row r="476">
      <x:c r="A476" s="6"/>
      <x:c r="B476" s="6"/>
      <x:c r="C476" s="6"/>
      <x:c r="D476" s="6"/>
      <x:c r="E476" s="6"/>
      <x:c r="F476" s="6"/>
      <x:c r="G476" s="6"/>
      <x:c r="H476" s="6"/>
      <x:c r="I476" s="6"/>
      <x:c r="J476" s="6"/>
      <x:c r="K476" s="6"/>
      <x:c r="L476" s="6"/>
      <x:c r="M476" s="6"/>
      <x:c r="N476" s="6"/>
      <x:c r="O476" s="6"/>
      <x:c r="P476" s="6"/>
      <x:c r="Q476" s="6"/>
      <x:c r="R476" s="6"/>
      <x:c r="S476" s="6"/>
      <x:c r="T476" s="6"/>
      <x:c r="U476" s="6"/>
      <x:c r="V476" s="6" t="str">
        <x:f>IF(ISBLANK('_INSTANCE'!B476),"",'_INSTANCE'!B476)</x:f>
      </x:c>
      <x:c r="W476" s="6" t="str">
        <x:f>IF(ISBLANK('_INSTANCE'!F476),"",'_INSTANCE'!F476)</x:f>
      </x:c>
      <x:c r="X476" s="6"/>
      <x:c r="Y476" s="6"/>
      <x:c r="Z476" s="6"/>
      <x:c r="AA476" s="6"/>
      <x:c r="AB476" s="6"/>
      <x:c r="AC476" s="6"/>
      <x:c r="AD476" s="6"/>
      <x:c r="AE476" s="6"/>
      <x:c r="AF476" s="6"/>
    </x:row>
    <x:row r="477">
      <x:c r="A477" s="6"/>
      <x:c r="B477" s="6"/>
      <x:c r="C477" s="6"/>
      <x:c r="D477" s="6"/>
      <x:c r="E477" s="6"/>
      <x:c r="F477" s="6"/>
      <x:c r="G477" s="6"/>
      <x:c r="H477" s="6"/>
      <x:c r="I477" s="6"/>
      <x:c r="J477" s="6"/>
      <x:c r="K477" s="6"/>
      <x:c r="L477" s="6"/>
      <x:c r="M477" s="6"/>
      <x:c r="N477" s="6"/>
      <x:c r="O477" s="6"/>
      <x:c r="P477" s="6"/>
      <x:c r="Q477" s="6"/>
      <x:c r="R477" s="6"/>
      <x:c r="S477" s="6"/>
      <x:c r="T477" s="6"/>
      <x:c r="U477" s="6"/>
      <x:c r="V477" s="6" t="str">
        <x:f>IF(ISBLANK('_INSTANCE'!B477),"",'_INSTANCE'!B477)</x:f>
      </x:c>
      <x:c r="W477" s="6" t="str">
        <x:f>IF(ISBLANK('_INSTANCE'!F477),"",'_INSTANCE'!F477)</x:f>
      </x:c>
      <x:c r="X477" s="6"/>
      <x:c r="Y477" s="6"/>
      <x:c r="Z477" s="6"/>
      <x:c r="AA477" s="6"/>
      <x:c r="AB477" s="6"/>
      <x:c r="AC477" s="6"/>
      <x:c r="AD477" s="6"/>
      <x:c r="AE477" s="6"/>
      <x:c r="AF477" s="6"/>
    </x:row>
    <x:row r="478">
      <x:c r="A478" s="6"/>
      <x:c r="B478" s="6"/>
      <x:c r="C478" s="6"/>
      <x:c r="D478" s="6"/>
      <x:c r="E478" s="6"/>
      <x:c r="F478" s="6"/>
      <x:c r="G478" s="6"/>
      <x:c r="H478" s="6"/>
      <x:c r="I478" s="6"/>
      <x:c r="J478" s="6"/>
      <x:c r="K478" s="6"/>
      <x:c r="L478" s="6"/>
      <x:c r="M478" s="6"/>
      <x:c r="N478" s="6"/>
      <x:c r="O478" s="6"/>
      <x:c r="P478" s="6"/>
      <x:c r="Q478" s="6"/>
      <x:c r="R478" s="6"/>
      <x:c r="S478" s="6"/>
      <x:c r="T478" s="6"/>
      <x:c r="U478" s="6"/>
      <x:c r="V478" s="6" t="str">
        <x:f>IF(ISBLANK('_INSTANCE'!B478),"",'_INSTANCE'!B478)</x:f>
      </x:c>
      <x:c r="W478" s="6" t="str">
        <x:f>IF(ISBLANK('_INSTANCE'!F478),"",'_INSTANCE'!F478)</x:f>
      </x:c>
      <x:c r="X478" s="6"/>
      <x:c r="Y478" s="6"/>
      <x:c r="Z478" s="6"/>
      <x:c r="AA478" s="6"/>
      <x:c r="AB478" s="6"/>
      <x:c r="AC478" s="6"/>
      <x:c r="AD478" s="6"/>
      <x:c r="AE478" s="6"/>
      <x:c r="AF478" s="6"/>
    </x:row>
    <x:row r="479">
      <x:c r="A479" s="6"/>
      <x:c r="B479" s="6"/>
      <x:c r="C479" s="6"/>
      <x:c r="D479" s="6"/>
      <x:c r="E479" s="6"/>
      <x:c r="F479" s="6"/>
      <x:c r="G479" s="6"/>
      <x:c r="H479" s="6"/>
      <x:c r="I479" s="6"/>
      <x:c r="J479" s="6"/>
      <x:c r="K479" s="6"/>
      <x:c r="L479" s="6"/>
      <x:c r="M479" s="6"/>
      <x:c r="N479" s="6"/>
      <x:c r="O479" s="6"/>
      <x:c r="P479" s="6"/>
      <x:c r="Q479" s="6"/>
      <x:c r="R479" s="6"/>
      <x:c r="S479" s="6"/>
      <x:c r="T479" s="6"/>
      <x:c r="U479" s="6"/>
      <x:c r="V479" s="6" t="str">
        <x:f>IF(ISBLANK('_INSTANCE'!B479),"",'_INSTANCE'!B479)</x:f>
      </x:c>
      <x:c r="W479" s="6" t="str">
        <x:f>IF(ISBLANK('_INSTANCE'!F479),"",'_INSTANCE'!F479)</x:f>
      </x:c>
      <x:c r="X479" s="6"/>
      <x:c r="Y479" s="6"/>
      <x:c r="Z479" s="6"/>
      <x:c r="AA479" s="6"/>
      <x:c r="AB479" s="6"/>
      <x:c r="AC479" s="6"/>
      <x:c r="AD479" s="6"/>
      <x:c r="AE479" s="6"/>
      <x:c r="AF479" s="6"/>
    </x:row>
    <x:row r="480">
      <x:c r="A480" s="6"/>
      <x:c r="B480" s="6"/>
      <x:c r="C480" s="6"/>
      <x:c r="D480" s="6"/>
      <x:c r="E480" s="6"/>
      <x:c r="F480" s="6"/>
      <x:c r="G480" s="6"/>
      <x:c r="H480" s="6"/>
      <x:c r="I480" s="6"/>
      <x:c r="J480" s="6"/>
      <x:c r="K480" s="6"/>
      <x:c r="L480" s="6"/>
      <x:c r="M480" s="6"/>
      <x:c r="N480" s="6"/>
      <x:c r="O480" s="6"/>
      <x:c r="P480" s="6"/>
      <x:c r="Q480" s="6"/>
      <x:c r="R480" s="6"/>
      <x:c r="S480" s="6"/>
      <x:c r="T480" s="6"/>
      <x:c r="U480" s="6"/>
      <x:c r="V480" s="6" t="str">
        <x:f>IF(ISBLANK('_INSTANCE'!B480),"",'_INSTANCE'!B480)</x:f>
      </x:c>
      <x:c r="W480" s="6" t="str">
        <x:f>IF(ISBLANK('_INSTANCE'!F480),"",'_INSTANCE'!F480)</x:f>
      </x:c>
      <x:c r="X480" s="6"/>
      <x:c r="Y480" s="6"/>
      <x:c r="Z480" s="6"/>
      <x:c r="AA480" s="6"/>
      <x:c r="AB480" s="6"/>
      <x:c r="AC480" s="6"/>
      <x:c r="AD480" s="6"/>
      <x:c r="AE480" s="6"/>
      <x:c r="AF480" s="6"/>
    </x:row>
    <x:row r="481">
      <x:c r="A481" s="6"/>
      <x:c r="B481" s="6"/>
      <x:c r="C481" s="6"/>
      <x:c r="D481" s="6"/>
      <x:c r="E481" s="6"/>
      <x:c r="F481" s="6"/>
      <x:c r="G481" s="6"/>
      <x:c r="H481" s="6"/>
      <x:c r="I481" s="6"/>
      <x:c r="J481" s="6"/>
      <x:c r="K481" s="6"/>
      <x:c r="L481" s="6"/>
      <x:c r="M481" s="6"/>
      <x:c r="N481" s="6"/>
      <x:c r="O481" s="6"/>
      <x:c r="P481" s="6"/>
      <x:c r="Q481" s="6"/>
      <x:c r="R481" s="6"/>
      <x:c r="S481" s="6"/>
      <x:c r="T481" s="6"/>
      <x:c r="U481" s="6"/>
      <x:c r="V481" s="6" t="str">
        <x:f>IF(ISBLANK('_INSTANCE'!B481),"",'_INSTANCE'!B481)</x:f>
      </x:c>
      <x:c r="W481" s="6" t="str">
        <x:f>IF(ISBLANK('_INSTANCE'!F481),"",'_INSTANCE'!F481)</x:f>
      </x:c>
      <x:c r="X481" s="6"/>
      <x:c r="Y481" s="6"/>
      <x:c r="Z481" s="6"/>
      <x:c r="AA481" s="6"/>
      <x:c r="AB481" s="6"/>
      <x:c r="AC481" s="6"/>
      <x:c r="AD481" s="6"/>
      <x:c r="AE481" s="6"/>
      <x:c r="AF481" s="6"/>
    </x:row>
    <x:row r="482">
      <x:c r="A482" s="6"/>
      <x:c r="B482" s="6"/>
      <x:c r="C482" s="6"/>
      <x:c r="D482" s="6"/>
      <x:c r="E482" s="6"/>
      <x:c r="F482" s="6"/>
      <x:c r="G482" s="6"/>
      <x:c r="H482" s="6"/>
      <x:c r="I482" s="6"/>
      <x:c r="J482" s="6"/>
      <x:c r="K482" s="6"/>
      <x:c r="L482" s="6"/>
      <x:c r="M482" s="6"/>
      <x:c r="N482" s="6"/>
      <x:c r="O482" s="6"/>
      <x:c r="P482" s="6"/>
      <x:c r="Q482" s="6"/>
      <x:c r="R482" s="6"/>
      <x:c r="S482" s="6"/>
      <x:c r="T482" s="6"/>
      <x:c r="U482" s="6"/>
      <x:c r="V482" s="6" t="str">
        <x:f>IF(ISBLANK('_INSTANCE'!B482),"",'_INSTANCE'!B482)</x:f>
      </x:c>
      <x:c r="W482" s="6" t="str">
        <x:f>IF(ISBLANK('_INSTANCE'!F482),"",'_INSTANCE'!F482)</x:f>
      </x:c>
      <x:c r="X482" s="6"/>
      <x:c r="Y482" s="6"/>
      <x:c r="Z482" s="6"/>
      <x:c r="AA482" s="6"/>
      <x:c r="AB482" s="6"/>
      <x:c r="AC482" s="6"/>
      <x:c r="AD482" s="6"/>
      <x:c r="AE482" s="6"/>
      <x:c r="AF482" s="6"/>
    </x:row>
    <x:row r="483">
      <x:c r="A483" s="6"/>
      <x:c r="B483" s="6"/>
      <x:c r="C483" s="6"/>
      <x:c r="D483" s="6"/>
      <x:c r="E483" s="6"/>
      <x:c r="F483" s="6"/>
      <x:c r="G483" s="6"/>
      <x:c r="H483" s="6"/>
      <x:c r="I483" s="6"/>
      <x:c r="J483" s="6"/>
      <x:c r="K483" s="6"/>
      <x:c r="L483" s="6"/>
      <x:c r="M483" s="6"/>
      <x:c r="N483" s="6"/>
      <x:c r="O483" s="6"/>
      <x:c r="P483" s="6"/>
      <x:c r="Q483" s="6"/>
      <x:c r="R483" s="6"/>
      <x:c r="S483" s="6"/>
      <x:c r="T483" s="6"/>
      <x:c r="U483" s="6"/>
      <x:c r="V483" s="6" t="str">
        <x:f>IF(ISBLANK('_INSTANCE'!B483),"",'_INSTANCE'!B483)</x:f>
      </x:c>
      <x:c r="W483" s="6" t="str">
        <x:f>IF(ISBLANK('_INSTANCE'!F483),"",'_INSTANCE'!F483)</x:f>
      </x:c>
      <x:c r="X483" s="6"/>
      <x:c r="Y483" s="6"/>
      <x:c r="Z483" s="6"/>
      <x:c r="AA483" s="6"/>
      <x:c r="AB483" s="6"/>
      <x:c r="AC483" s="6"/>
      <x:c r="AD483" s="6"/>
      <x:c r="AE483" s="6"/>
      <x:c r="AF483" s="6"/>
    </x:row>
    <x:row r="484">
      <x:c r="A484" s="6"/>
      <x:c r="B484" s="6"/>
      <x:c r="C484" s="6"/>
      <x:c r="D484" s="6"/>
      <x:c r="E484" s="6"/>
      <x:c r="F484" s="6"/>
      <x:c r="G484" s="6"/>
      <x:c r="H484" s="6"/>
      <x:c r="I484" s="6"/>
      <x:c r="J484" s="6"/>
      <x:c r="K484" s="6"/>
      <x:c r="L484" s="6"/>
      <x:c r="M484" s="6"/>
      <x:c r="N484" s="6"/>
      <x:c r="O484" s="6"/>
      <x:c r="P484" s="6"/>
      <x:c r="Q484" s="6"/>
      <x:c r="R484" s="6"/>
      <x:c r="S484" s="6"/>
      <x:c r="T484" s="6"/>
      <x:c r="U484" s="6"/>
      <x:c r="V484" s="6" t="str">
        <x:f>IF(ISBLANK('_INSTANCE'!B484),"",'_INSTANCE'!B484)</x:f>
      </x:c>
      <x:c r="W484" s="6" t="str">
        <x:f>IF(ISBLANK('_INSTANCE'!F484),"",'_INSTANCE'!F484)</x:f>
      </x:c>
      <x:c r="X484" s="6"/>
      <x:c r="Y484" s="6"/>
      <x:c r="Z484" s="6"/>
      <x:c r="AA484" s="6"/>
      <x:c r="AB484" s="6"/>
      <x:c r="AC484" s="6"/>
      <x:c r="AD484" s="6"/>
      <x:c r="AE484" s="6"/>
      <x:c r="AF484" s="6"/>
    </x:row>
    <x:row r="485">
      <x:c r="A485" s="6"/>
      <x:c r="B485" s="6"/>
      <x:c r="C485" s="6"/>
      <x:c r="D485" s="6"/>
      <x:c r="E485" s="6"/>
      <x:c r="F485" s="6"/>
      <x:c r="G485" s="6"/>
      <x:c r="H485" s="6"/>
      <x:c r="I485" s="6"/>
      <x:c r="J485" s="6"/>
      <x:c r="K485" s="6"/>
      <x:c r="L485" s="6"/>
      <x:c r="M485" s="6"/>
      <x:c r="N485" s="6"/>
      <x:c r="O485" s="6"/>
      <x:c r="P485" s="6"/>
      <x:c r="Q485" s="6"/>
      <x:c r="R485" s="6"/>
      <x:c r="S485" s="6"/>
      <x:c r="T485" s="6"/>
      <x:c r="U485" s="6"/>
      <x:c r="V485" s="6" t="str">
        <x:f>IF(ISBLANK('_INSTANCE'!B485),"",'_INSTANCE'!B485)</x:f>
      </x:c>
      <x:c r="W485" s="6" t="str">
        <x:f>IF(ISBLANK('_INSTANCE'!F485),"",'_INSTANCE'!F485)</x:f>
      </x:c>
      <x:c r="X485" s="6"/>
      <x:c r="Y485" s="6"/>
      <x:c r="Z485" s="6"/>
      <x:c r="AA485" s="6"/>
      <x:c r="AB485" s="6"/>
      <x:c r="AC485" s="6"/>
      <x:c r="AD485" s="6"/>
      <x:c r="AE485" s="6"/>
      <x:c r="AF485" s="6"/>
    </x:row>
    <x:row r="486">
      <x:c r="A486" s="6"/>
      <x:c r="B486" s="6"/>
      <x:c r="C486" s="6"/>
      <x:c r="D486" s="6"/>
      <x:c r="E486" s="6"/>
      <x:c r="F486" s="6"/>
      <x:c r="G486" s="6"/>
      <x:c r="H486" s="6"/>
      <x:c r="I486" s="6"/>
      <x:c r="J486" s="6"/>
      <x:c r="K486" s="6"/>
      <x:c r="L486" s="6"/>
      <x:c r="M486" s="6"/>
      <x:c r="N486" s="6"/>
      <x:c r="O486" s="6"/>
      <x:c r="P486" s="6"/>
      <x:c r="Q486" s="6"/>
      <x:c r="R486" s="6"/>
      <x:c r="S486" s="6"/>
      <x:c r="T486" s="6"/>
      <x:c r="U486" s="6"/>
      <x:c r="V486" s="6" t="str">
        <x:f>IF(ISBLANK('_INSTANCE'!B486),"",'_INSTANCE'!B486)</x:f>
      </x:c>
      <x:c r="W486" s="6" t="str">
        <x:f>IF(ISBLANK('_INSTANCE'!F486),"",'_INSTANCE'!F486)</x:f>
      </x:c>
      <x:c r="X486" s="6"/>
      <x:c r="Y486" s="6"/>
      <x:c r="Z486" s="6"/>
      <x:c r="AA486" s="6"/>
      <x:c r="AB486" s="6"/>
      <x:c r="AC486" s="6"/>
      <x:c r="AD486" s="6"/>
      <x:c r="AE486" s="6"/>
      <x:c r="AF486" s="6"/>
    </x:row>
    <x:row r="487">
      <x:c r="A487" s="6"/>
      <x:c r="B487" s="6"/>
      <x:c r="C487" s="6"/>
      <x:c r="D487" s="6"/>
      <x:c r="E487" s="6"/>
      <x:c r="F487" s="6"/>
      <x:c r="G487" s="6"/>
      <x:c r="H487" s="6"/>
      <x:c r="I487" s="6"/>
      <x:c r="J487" s="6"/>
      <x:c r="K487" s="6"/>
      <x:c r="L487" s="6"/>
      <x:c r="M487" s="6"/>
      <x:c r="N487" s="6"/>
      <x:c r="O487" s="6"/>
      <x:c r="P487" s="6"/>
      <x:c r="Q487" s="6"/>
      <x:c r="R487" s="6"/>
      <x:c r="S487" s="6"/>
      <x:c r="T487" s="6"/>
      <x:c r="U487" s="6"/>
      <x:c r="V487" s="6" t="str">
        <x:f>IF(ISBLANK('_INSTANCE'!B487),"",'_INSTANCE'!B487)</x:f>
      </x:c>
      <x:c r="W487" s="6" t="str">
        <x:f>IF(ISBLANK('_INSTANCE'!F487),"",'_INSTANCE'!F487)</x:f>
      </x:c>
      <x:c r="X487" s="6"/>
      <x:c r="Y487" s="6"/>
      <x:c r="Z487" s="6"/>
      <x:c r="AA487" s="6"/>
      <x:c r="AB487" s="6"/>
      <x:c r="AC487" s="6"/>
      <x:c r="AD487" s="6"/>
      <x:c r="AE487" s="6"/>
      <x:c r="AF487" s="6"/>
    </x:row>
    <x:row r="488">
      <x:c r="A488" s="6"/>
      <x:c r="B488" s="6"/>
      <x:c r="C488" s="6"/>
      <x:c r="D488" s="6"/>
      <x:c r="E488" s="6"/>
      <x:c r="F488" s="6"/>
      <x:c r="G488" s="6"/>
      <x:c r="H488" s="6"/>
      <x:c r="I488" s="6"/>
      <x:c r="J488" s="6"/>
      <x:c r="K488" s="6"/>
      <x:c r="L488" s="6"/>
      <x:c r="M488" s="6"/>
      <x:c r="N488" s="6"/>
      <x:c r="O488" s="6"/>
      <x:c r="P488" s="6"/>
      <x:c r="Q488" s="6"/>
      <x:c r="R488" s="6"/>
      <x:c r="S488" s="6"/>
      <x:c r="T488" s="6"/>
      <x:c r="U488" s="6"/>
      <x:c r="V488" s="6" t="str">
        <x:f>IF(ISBLANK('_INSTANCE'!B488),"",'_INSTANCE'!B488)</x:f>
      </x:c>
      <x:c r="W488" s="6" t="str">
        <x:f>IF(ISBLANK('_INSTANCE'!F488),"",'_INSTANCE'!F488)</x:f>
      </x:c>
      <x:c r="X488" s="6"/>
      <x:c r="Y488" s="6"/>
      <x:c r="Z488" s="6"/>
      <x:c r="AA488" s="6"/>
      <x:c r="AB488" s="6"/>
      <x:c r="AC488" s="6"/>
      <x:c r="AD488" s="6"/>
      <x:c r="AE488" s="6"/>
      <x:c r="AF488" s="6"/>
    </x:row>
    <x:row r="489">
      <x:c r="A489" s="6"/>
      <x:c r="B489" s="6"/>
      <x:c r="C489" s="6"/>
      <x:c r="D489" s="6"/>
      <x:c r="E489" s="6"/>
      <x:c r="F489" s="6"/>
      <x:c r="G489" s="6"/>
      <x:c r="H489" s="6"/>
      <x:c r="I489" s="6"/>
      <x:c r="J489" s="6"/>
      <x:c r="K489" s="6"/>
      <x:c r="L489" s="6"/>
      <x:c r="M489" s="6"/>
      <x:c r="N489" s="6"/>
      <x:c r="O489" s="6"/>
      <x:c r="P489" s="6"/>
      <x:c r="Q489" s="6"/>
      <x:c r="R489" s="6"/>
      <x:c r="S489" s="6"/>
      <x:c r="T489" s="6"/>
      <x:c r="U489" s="6"/>
      <x:c r="V489" s="6" t="str">
        <x:f>IF(ISBLANK('_INSTANCE'!B489),"",'_INSTANCE'!B489)</x:f>
      </x:c>
      <x:c r="W489" s="6" t="str">
        <x:f>IF(ISBLANK('_INSTANCE'!F489),"",'_INSTANCE'!F489)</x:f>
      </x:c>
      <x:c r="X489" s="6"/>
      <x:c r="Y489" s="6"/>
      <x:c r="Z489" s="6"/>
      <x:c r="AA489" s="6"/>
      <x:c r="AB489" s="6"/>
      <x:c r="AC489" s="6"/>
      <x:c r="AD489" s="6"/>
      <x:c r="AE489" s="6"/>
      <x:c r="AF489" s="6"/>
    </x:row>
    <x:row r="490">
      <x:c r="A490" s="6"/>
      <x:c r="B490" s="6"/>
      <x:c r="C490" s="6"/>
      <x:c r="D490" s="6"/>
      <x:c r="E490" s="6"/>
      <x:c r="F490" s="6"/>
      <x:c r="G490" s="6"/>
      <x:c r="H490" s="6"/>
      <x:c r="I490" s="6"/>
      <x:c r="J490" s="6"/>
      <x:c r="K490" s="6"/>
      <x:c r="L490" s="6"/>
      <x:c r="M490" s="6"/>
      <x:c r="N490" s="6"/>
      <x:c r="O490" s="6"/>
      <x:c r="P490" s="6"/>
      <x:c r="Q490" s="6"/>
      <x:c r="R490" s="6"/>
      <x:c r="S490" s="6"/>
      <x:c r="T490" s="6"/>
      <x:c r="U490" s="6"/>
      <x:c r="V490" s="6" t="str">
        <x:f>IF(ISBLANK('_INSTANCE'!B490),"",'_INSTANCE'!B490)</x:f>
      </x:c>
      <x:c r="W490" s="6" t="str">
        <x:f>IF(ISBLANK('_INSTANCE'!F490),"",'_INSTANCE'!F490)</x:f>
      </x:c>
      <x:c r="X490" s="6"/>
      <x:c r="Y490" s="6"/>
      <x:c r="Z490" s="6"/>
      <x:c r="AA490" s="6"/>
      <x:c r="AB490" s="6"/>
      <x:c r="AC490" s="6"/>
      <x:c r="AD490" s="6"/>
      <x:c r="AE490" s="6"/>
      <x:c r="AF490" s="6"/>
    </x:row>
    <x:row r="491">
      <x:c r="A491" s="6"/>
      <x:c r="B491" s="6"/>
      <x:c r="C491" s="6"/>
      <x:c r="D491" s="6"/>
      <x:c r="E491" s="6"/>
      <x:c r="F491" s="6"/>
      <x:c r="G491" s="6"/>
      <x:c r="H491" s="6"/>
      <x:c r="I491" s="6"/>
      <x:c r="J491" s="6"/>
      <x:c r="K491" s="6"/>
      <x:c r="L491" s="6"/>
      <x:c r="M491" s="6"/>
      <x:c r="N491" s="6"/>
      <x:c r="O491" s="6"/>
      <x:c r="P491" s="6"/>
      <x:c r="Q491" s="6"/>
      <x:c r="R491" s="6"/>
      <x:c r="S491" s="6"/>
      <x:c r="T491" s="6"/>
      <x:c r="U491" s="6"/>
      <x:c r="V491" s="6" t="str">
        <x:f>IF(ISBLANK('_INSTANCE'!B491),"",'_INSTANCE'!B491)</x:f>
      </x:c>
      <x:c r="W491" s="6" t="str">
        <x:f>IF(ISBLANK('_INSTANCE'!F491),"",'_INSTANCE'!F491)</x:f>
      </x:c>
      <x:c r="X491" s="6"/>
      <x:c r="Y491" s="6"/>
      <x:c r="Z491" s="6"/>
      <x:c r="AA491" s="6"/>
      <x:c r="AB491" s="6"/>
      <x:c r="AC491" s="6"/>
      <x:c r="AD491" s="6"/>
      <x:c r="AE491" s="6"/>
      <x:c r="AF491" s="6"/>
    </x:row>
    <x:row r="492">
      <x:c r="A492" s="6"/>
      <x:c r="B492" s="6"/>
      <x:c r="C492" s="6"/>
      <x:c r="D492" s="6"/>
      <x:c r="E492" s="6"/>
      <x:c r="F492" s="6"/>
      <x:c r="G492" s="6"/>
      <x:c r="H492" s="6"/>
      <x:c r="I492" s="6"/>
      <x:c r="J492" s="6"/>
      <x:c r="K492" s="6"/>
      <x:c r="L492" s="6"/>
      <x:c r="M492" s="6"/>
      <x:c r="N492" s="6"/>
      <x:c r="O492" s="6"/>
      <x:c r="P492" s="6"/>
      <x:c r="Q492" s="6"/>
      <x:c r="R492" s="6"/>
      <x:c r="S492" s="6"/>
      <x:c r="T492" s="6"/>
      <x:c r="U492" s="6"/>
      <x:c r="V492" s="6" t="str">
        <x:f>IF(ISBLANK('_INSTANCE'!B492),"",'_INSTANCE'!B492)</x:f>
      </x:c>
      <x:c r="W492" s="6" t="str">
        <x:f>IF(ISBLANK('_INSTANCE'!F492),"",'_INSTANCE'!F492)</x:f>
      </x:c>
      <x:c r="X492" s="6"/>
      <x:c r="Y492" s="6"/>
      <x:c r="Z492" s="6"/>
      <x:c r="AA492" s="6"/>
      <x:c r="AB492" s="6"/>
      <x:c r="AC492" s="6"/>
      <x:c r="AD492" s="6"/>
      <x:c r="AE492" s="6"/>
      <x:c r="AF492" s="6"/>
    </x:row>
    <x:row r="493">
      <x:c r="A493" s="6"/>
      <x:c r="B493" s="6"/>
      <x:c r="C493" s="6"/>
      <x:c r="D493" s="6"/>
      <x:c r="E493" s="6"/>
      <x:c r="F493" s="6"/>
      <x:c r="G493" s="6"/>
      <x:c r="H493" s="6"/>
      <x:c r="I493" s="6"/>
      <x:c r="J493" s="6"/>
      <x:c r="K493" s="6"/>
      <x:c r="L493" s="6"/>
      <x:c r="M493" s="6"/>
      <x:c r="N493" s="6"/>
      <x:c r="O493" s="6"/>
      <x:c r="P493" s="6"/>
      <x:c r="Q493" s="6"/>
      <x:c r="R493" s="6"/>
      <x:c r="S493" s="6"/>
      <x:c r="T493" s="6"/>
      <x:c r="U493" s="6"/>
      <x:c r="V493" s="6" t="str">
        <x:f>IF(ISBLANK('_INSTANCE'!B493),"",'_INSTANCE'!B493)</x:f>
      </x:c>
      <x:c r="W493" s="6" t="str">
        <x:f>IF(ISBLANK('_INSTANCE'!F493),"",'_INSTANCE'!F493)</x:f>
      </x:c>
      <x:c r="X493" s="6"/>
      <x:c r="Y493" s="6"/>
      <x:c r="Z493" s="6"/>
      <x:c r="AA493" s="6"/>
      <x:c r="AB493" s="6"/>
      <x:c r="AC493" s="6"/>
      <x:c r="AD493" s="6"/>
      <x:c r="AE493" s="6"/>
      <x:c r="AF493" s="6"/>
    </x:row>
    <x:row r="494">
      <x:c r="A494" s="6"/>
      <x:c r="B494" s="6"/>
      <x:c r="C494" s="6"/>
      <x:c r="D494" s="6"/>
      <x:c r="E494" s="6"/>
      <x:c r="F494" s="6"/>
      <x:c r="G494" s="6"/>
      <x:c r="H494" s="6"/>
      <x:c r="I494" s="6"/>
      <x:c r="J494" s="6"/>
      <x:c r="K494" s="6"/>
      <x:c r="L494" s="6"/>
      <x:c r="M494" s="6"/>
      <x:c r="N494" s="6"/>
      <x:c r="O494" s="6"/>
      <x:c r="P494" s="6"/>
      <x:c r="Q494" s="6"/>
      <x:c r="R494" s="6"/>
      <x:c r="S494" s="6"/>
      <x:c r="T494" s="6"/>
      <x:c r="U494" s="6"/>
      <x:c r="V494" s="6" t="str">
        <x:f>IF(ISBLANK('_INSTANCE'!B494),"",'_INSTANCE'!B494)</x:f>
      </x:c>
      <x:c r="W494" s="6" t="str">
        <x:f>IF(ISBLANK('_INSTANCE'!F494),"",'_INSTANCE'!F494)</x:f>
      </x:c>
      <x:c r="X494" s="6"/>
      <x:c r="Y494" s="6"/>
      <x:c r="Z494" s="6"/>
      <x:c r="AA494" s="6"/>
      <x:c r="AB494" s="6"/>
      <x:c r="AC494" s="6"/>
      <x:c r="AD494" s="6"/>
      <x:c r="AE494" s="6"/>
      <x:c r="AF494" s="6"/>
    </x:row>
    <x:row r="495">
      <x:c r="A495" s="6"/>
      <x:c r="B495" s="6"/>
      <x:c r="C495" s="6"/>
      <x:c r="D495" s="6"/>
      <x:c r="E495" s="6"/>
      <x:c r="F495" s="6"/>
      <x:c r="G495" s="6"/>
      <x:c r="H495" s="6"/>
      <x:c r="I495" s="6"/>
      <x:c r="J495" s="6"/>
      <x:c r="K495" s="6"/>
      <x:c r="L495" s="6"/>
      <x:c r="M495" s="6"/>
      <x:c r="N495" s="6"/>
      <x:c r="O495" s="6"/>
      <x:c r="P495" s="6"/>
      <x:c r="Q495" s="6"/>
      <x:c r="R495" s="6"/>
      <x:c r="S495" s="6"/>
      <x:c r="T495" s="6"/>
      <x:c r="U495" s="6"/>
      <x:c r="V495" s="6" t="str">
        <x:f>IF(ISBLANK('_INSTANCE'!B495),"",'_INSTANCE'!B495)</x:f>
      </x:c>
      <x:c r="W495" s="6" t="str">
        <x:f>IF(ISBLANK('_INSTANCE'!F495),"",'_INSTANCE'!F495)</x:f>
      </x:c>
      <x:c r="X495" s="6"/>
      <x:c r="Y495" s="6"/>
      <x:c r="Z495" s="6"/>
      <x:c r="AA495" s="6"/>
      <x:c r="AB495" s="6"/>
      <x:c r="AC495" s="6"/>
      <x:c r="AD495" s="6"/>
      <x:c r="AE495" s="6"/>
      <x:c r="AF495" s="6"/>
    </x:row>
    <x:row r="496">
      <x:c r="A496" s="6"/>
      <x:c r="B496" s="6"/>
      <x:c r="C496" s="6"/>
      <x:c r="D496" s="6"/>
      <x:c r="E496" s="6"/>
      <x:c r="F496" s="6"/>
      <x:c r="G496" s="6"/>
      <x:c r="H496" s="6"/>
      <x:c r="I496" s="6"/>
      <x:c r="J496" s="6"/>
      <x:c r="K496" s="6"/>
      <x:c r="L496" s="6"/>
      <x:c r="M496" s="6"/>
      <x:c r="N496" s="6"/>
      <x:c r="O496" s="6"/>
      <x:c r="P496" s="6"/>
      <x:c r="Q496" s="6"/>
      <x:c r="R496" s="6"/>
      <x:c r="S496" s="6"/>
      <x:c r="T496" s="6"/>
      <x:c r="U496" s="6"/>
      <x:c r="V496" s="6" t="str">
        <x:f>IF(ISBLANK('_INSTANCE'!B496),"",'_INSTANCE'!B496)</x:f>
      </x:c>
      <x:c r="W496" s="6" t="str">
        <x:f>IF(ISBLANK('_INSTANCE'!F496),"",'_INSTANCE'!F496)</x:f>
      </x:c>
      <x:c r="X496" s="6"/>
      <x:c r="Y496" s="6"/>
      <x:c r="Z496" s="6"/>
      <x:c r="AA496" s="6"/>
      <x:c r="AB496" s="6"/>
      <x:c r="AC496" s="6"/>
      <x:c r="AD496" s="6"/>
      <x:c r="AE496" s="6"/>
      <x:c r="AF496" s="6"/>
    </x:row>
    <x:row r="497">
      <x:c r="A497" s="6"/>
      <x:c r="B497" s="6"/>
      <x:c r="C497" s="6"/>
      <x:c r="D497" s="6"/>
      <x:c r="E497" s="6"/>
      <x:c r="F497" s="6"/>
      <x:c r="G497" s="6"/>
      <x:c r="H497" s="6"/>
      <x:c r="I497" s="6"/>
      <x:c r="J497" s="6"/>
      <x:c r="K497" s="6"/>
      <x:c r="L497" s="6"/>
      <x:c r="M497" s="6"/>
      <x:c r="N497" s="6"/>
      <x:c r="O497" s="6"/>
      <x:c r="P497" s="6"/>
      <x:c r="Q497" s="6"/>
      <x:c r="R497" s="6"/>
      <x:c r="S497" s="6"/>
      <x:c r="T497" s="6"/>
      <x:c r="U497" s="6"/>
      <x:c r="V497" s="6" t="str">
        <x:f>IF(ISBLANK('_INSTANCE'!B497),"",'_INSTANCE'!B497)</x:f>
      </x:c>
      <x:c r="W497" s="6" t="str">
        <x:f>IF(ISBLANK('_INSTANCE'!F497),"",'_INSTANCE'!F497)</x:f>
      </x:c>
      <x:c r="X497" s="6"/>
      <x:c r="Y497" s="6"/>
      <x:c r="Z497" s="6"/>
      <x:c r="AA497" s="6"/>
      <x:c r="AB497" s="6"/>
      <x:c r="AC497" s="6"/>
      <x:c r="AD497" s="6"/>
      <x:c r="AE497" s="6"/>
      <x:c r="AF497" s="6"/>
    </x:row>
    <x:row r="498">
      <x:c r="A498" s="6"/>
      <x:c r="B498" s="6"/>
      <x:c r="C498" s="6"/>
      <x:c r="D498" s="6"/>
      <x:c r="E498" s="6"/>
      <x:c r="F498" s="6"/>
      <x:c r="G498" s="6"/>
      <x:c r="H498" s="6"/>
      <x:c r="I498" s="6"/>
      <x:c r="J498" s="6"/>
      <x:c r="K498" s="6"/>
      <x:c r="L498" s="6"/>
      <x:c r="M498" s="6"/>
      <x:c r="N498" s="6"/>
      <x:c r="O498" s="6"/>
      <x:c r="P498" s="6"/>
      <x:c r="Q498" s="6"/>
      <x:c r="R498" s="6"/>
      <x:c r="S498" s="6"/>
      <x:c r="T498" s="6"/>
      <x:c r="U498" s="6"/>
      <x:c r="V498" s="6" t="str">
        <x:f>IF(ISBLANK('_INSTANCE'!B498),"",'_INSTANCE'!B498)</x:f>
      </x:c>
      <x:c r="W498" s="6" t="str">
        <x:f>IF(ISBLANK('_INSTANCE'!F498),"",'_INSTANCE'!F498)</x:f>
      </x:c>
      <x:c r="X498" s="6"/>
      <x:c r="Y498" s="6"/>
      <x:c r="Z498" s="6"/>
      <x:c r="AA498" s="6"/>
      <x:c r="AB498" s="6"/>
      <x:c r="AC498" s="6"/>
      <x:c r="AD498" s="6"/>
      <x:c r="AE498" s="6"/>
      <x:c r="AF498" s="6"/>
    </x:row>
    <x:row r="499">
      <x:c r="A499" s="6"/>
      <x:c r="B499" s="6"/>
      <x:c r="C499" s="6"/>
      <x:c r="D499" s="6"/>
      <x:c r="E499" s="6"/>
      <x:c r="F499" s="6"/>
      <x:c r="G499" s="6"/>
      <x:c r="H499" s="6"/>
      <x:c r="I499" s="6"/>
      <x:c r="J499" s="6"/>
      <x:c r="K499" s="6"/>
      <x:c r="L499" s="6"/>
      <x:c r="M499" s="6"/>
      <x:c r="N499" s="6"/>
      <x:c r="O499" s="6"/>
      <x:c r="P499" s="6"/>
      <x:c r="Q499" s="6"/>
      <x:c r="R499" s="6"/>
      <x:c r="S499" s="6"/>
      <x:c r="T499" s="6"/>
      <x:c r="U499" s="6"/>
      <x:c r="V499" s="6" t="str">
        <x:f>IF(ISBLANK('_INSTANCE'!B499),"",'_INSTANCE'!B499)</x:f>
      </x:c>
      <x:c r="W499" s="6" t="str">
        <x:f>IF(ISBLANK('_INSTANCE'!F499),"",'_INSTANCE'!F499)</x:f>
      </x:c>
      <x:c r="X499" s="6"/>
      <x:c r="Y499" s="6"/>
      <x:c r="Z499" s="6"/>
      <x:c r="AA499" s="6"/>
      <x:c r="AB499" s="6"/>
      <x:c r="AC499" s="6"/>
      <x:c r="AD499" s="6"/>
      <x:c r="AE499" s="6"/>
      <x:c r="AF499" s="6"/>
    </x:row>
    <x:row r="500">
      <x:c r="A500" s="6"/>
      <x:c r="B500" s="6"/>
      <x:c r="C500" s="6"/>
      <x:c r="D500" s="6"/>
      <x:c r="E500" s="6"/>
      <x:c r="F500" s="6"/>
      <x:c r="G500" s="6"/>
      <x:c r="H500" s="6"/>
      <x:c r="I500" s="6"/>
      <x:c r="J500" s="6"/>
      <x:c r="K500" s="6"/>
      <x:c r="L500" s="6"/>
      <x:c r="M500" s="6"/>
      <x:c r="N500" s="6"/>
      <x:c r="O500" s="6"/>
      <x:c r="P500" s="6"/>
      <x:c r="Q500" s="6"/>
      <x:c r="R500" s="6"/>
      <x:c r="S500" s="6"/>
      <x:c r="T500" s="6"/>
      <x:c r="U500" s="6"/>
      <x:c r="V500" s="6" t="str">
        <x:f>IF(ISBLANK('_INSTANCE'!B500),"",'_INSTANCE'!B500)</x:f>
      </x:c>
      <x:c r="W500" s="6" t="str">
        <x:f>IF(ISBLANK('_INSTANCE'!F500),"",'_INSTANCE'!F500)</x:f>
      </x:c>
      <x:c r="X500" s="6"/>
      <x:c r="Y500" s="6"/>
      <x:c r="Z500" s="6"/>
      <x:c r="AA500" s="6"/>
      <x:c r="AB500" s="6"/>
      <x:c r="AC500" s="6"/>
      <x:c r="AD500" s="6"/>
      <x:c r="AE500" s="6"/>
      <x:c r="AF500" s="6"/>
    </x:row>
    <x:row r="501">
      <x:c r="A501" s="6"/>
      <x:c r="B501" s="6"/>
      <x:c r="C501" s="6"/>
      <x:c r="D501" s="6"/>
      <x:c r="E501" s="6"/>
      <x:c r="F501" s="6"/>
      <x:c r="G501" s="6"/>
      <x:c r="H501" s="6"/>
      <x:c r="I501" s="6"/>
      <x:c r="J501" s="6"/>
      <x:c r="K501" s="6"/>
      <x:c r="L501" s="6"/>
      <x:c r="M501" s="6"/>
      <x:c r="N501" s="6"/>
      <x:c r="O501" s="6"/>
      <x:c r="P501" s="6"/>
      <x:c r="Q501" s="6"/>
      <x:c r="R501" s="6"/>
      <x:c r="S501" s="6"/>
      <x:c r="T501" s="6"/>
      <x:c r="U501" s="6"/>
      <x:c r="V501" s="6" t="str">
        <x:f>IF(ISBLANK('_INSTANCE'!B501),"",'_INSTANCE'!B501)</x:f>
      </x:c>
      <x:c r="W501" s="6" t="str">
        <x:f>IF(ISBLANK('_INSTANCE'!F501),"",'_INSTANCE'!F501)</x:f>
      </x:c>
      <x:c r="X501" s="6"/>
      <x:c r="Y501" s="6"/>
      <x:c r="Z501" s="6"/>
      <x:c r="AA501" s="6"/>
      <x:c r="AB501" s="6"/>
      <x:c r="AC501" s="6"/>
      <x:c r="AD501" s="6"/>
      <x:c r="AE501" s="6"/>
      <x:c r="AF501" s="6"/>
    </x:row>
    <x:row r="502">
      <x:c r="A502" s="6"/>
      <x:c r="B502" s="6"/>
      <x:c r="C502" s="6"/>
      <x:c r="D502" s="6"/>
      <x:c r="E502" s="6"/>
      <x:c r="F502" s="6"/>
      <x:c r="G502" s="6"/>
      <x:c r="H502" s="6"/>
      <x:c r="I502" s="6"/>
      <x:c r="J502" s="6"/>
      <x:c r="K502" s="6"/>
      <x:c r="L502" s="6"/>
      <x:c r="M502" s="6"/>
      <x:c r="N502" s="6"/>
      <x:c r="O502" s="6"/>
      <x:c r="P502" s="6"/>
      <x:c r="Q502" s="6"/>
      <x:c r="R502" s="6"/>
      <x:c r="S502" s="6"/>
      <x:c r="T502" s="6"/>
      <x:c r="U502" s="6"/>
      <x:c r="V502" s="6" t="str">
        <x:f>IF(ISBLANK('_INSTANCE'!B502),"",'_INSTANCE'!B502)</x:f>
      </x:c>
      <x:c r="W502" s="6" t="str">
        <x:f>IF(ISBLANK('_INSTANCE'!F502),"",'_INSTANCE'!F502)</x:f>
      </x:c>
      <x:c r="X502" s="6"/>
      <x:c r="Y502" s="6"/>
      <x:c r="Z502" s="6"/>
      <x:c r="AA502" s="6"/>
      <x:c r="AB502" s="6"/>
      <x:c r="AC502" s="6"/>
      <x:c r="AD502" s="6"/>
      <x:c r="AE502" s="6"/>
      <x:c r="AF502" s="6"/>
    </x:row>
    <x:row r="503">
      <x:c r="A503" s="6"/>
      <x:c r="B503" s="6"/>
      <x:c r="C503" s="6"/>
      <x:c r="D503" s="6"/>
      <x:c r="E503" s="6"/>
      <x:c r="F503" s="6"/>
      <x:c r="G503" s="6"/>
      <x:c r="H503" s="6"/>
      <x:c r="I503" s="6"/>
      <x:c r="J503" s="6"/>
      <x:c r="K503" s="6"/>
      <x:c r="L503" s="6"/>
      <x:c r="M503" s="6"/>
      <x:c r="N503" s="6"/>
      <x:c r="O503" s="6"/>
      <x:c r="P503" s="6"/>
      <x:c r="Q503" s="6"/>
      <x:c r="R503" s="6"/>
      <x:c r="S503" s="6"/>
      <x:c r="T503" s="6"/>
      <x:c r="U503" s="6"/>
      <x:c r="V503" s="6" t="str">
        <x:f>IF(ISBLANK('_INSTANCE'!B503),"",'_INSTANCE'!B503)</x:f>
      </x:c>
      <x:c r="W503" s="6" t="str">
        <x:f>IF(ISBLANK('_INSTANCE'!F503),"",'_INSTANCE'!F503)</x:f>
      </x:c>
      <x:c r="X503" s="6"/>
      <x:c r="Y503" s="6"/>
      <x:c r="Z503" s="6"/>
      <x:c r="AA503" s="6"/>
      <x:c r="AB503" s="6"/>
      <x:c r="AC503" s="6"/>
      <x:c r="AD503" s="6"/>
      <x:c r="AE503" s="6"/>
      <x:c r="AF503" s="6"/>
    </x:row>
    <x:row r="504">
      <x:c r="A504" s="6"/>
      <x:c r="B504" s="6"/>
      <x:c r="C504" s="6"/>
      <x:c r="D504" s="6"/>
      <x:c r="E504" s="6"/>
      <x:c r="F504" s="6"/>
      <x:c r="G504" s="6"/>
      <x:c r="H504" s="6"/>
      <x:c r="I504" s="6"/>
      <x:c r="J504" s="6"/>
      <x:c r="K504" s="6"/>
      <x:c r="L504" s="6"/>
      <x:c r="M504" s="6"/>
      <x:c r="N504" s="6"/>
      <x:c r="O504" s="6"/>
      <x:c r="P504" s="6"/>
      <x:c r="Q504" s="6"/>
      <x:c r="R504" s="6"/>
      <x:c r="S504" s="6"/>
      <x:c r="T504" s="6"/>
      <x:c r="U504" s="6"/>
      <x:c r="V504" s="6" t="str">
        <x:f>IF(ISBLANK('_INSTANCE'!B504),"",'_INSTANCE'!B504)</x:f>
      </x:c>
      <x:c r="W504" s="6" t="str">
        <x:f>IF(ISBLANK('_INSTANCE'!F504),"",'_INSTANCE'!F504)</x:f>
      </x:c>
      <x:c r="X504" s="6"/>
      <x:c r="Y504" s="6"/>
      <x:c r="Z504" s="6"/>
      <x:c r="AA504" s="6"/>
      <x:c r="AB504" s="6"/>
      <x:c r="AC504" s="6"/>
      <x:c r="AD504" s="6"/>
      <x:c r="AE504" s="6"/>
      <x:c r="AF504" s="6"/>
    </x:row>
    <x:row r="505">
      <x:c r="A505" s="6"/>
      <x:c r="B505" s="6"/>
      <x:c r="C505" s="6"/>
      <x:c r="D505" s="6"/>
      <x:c r="E505" s="6"/>
      <x:c r="F505" s="6"/>
      <x:c r="G505" s="6"/>
      <x:c r="H505" s="6"/>
      <x:c r="I505" s="6"/>
      <x:c r="J505" s="6"/>
      <x:c r="K505" s="6"/>
      <x:c r="L505" s="6"/>
      <x:c r="M505" s="6"/>
      <x:c r="N505" s="6"/>
      <x:c r="O505" s="6"/>
      <x:c r="P505" s="6"/>
      <x:c r="Q505" s="6"/>
      <x:c r="R505" s="6"/>
      <x:c r="S505" s="6"/>
      <x:c r="T505" s="6"/>
      <x:c r="U505" s="6"/>
      <x:c r="V505" s="6" t="str">
        <x:f>IF(ISBLANK('_INSTANCE'!B505),"",'_INSTANCE'!B505)</x:f>
      </x:c>
      <x:c r="W505" s="6" t="str">
        <x:f>IF(ISBLANK('_INSTANCE'!F505),"",'_INSTANCE'!F505)</x:f>
      </x:c>
      <x:c r="X505" s="6"/>
      <x:c r="Y505" s="6"/>
      <x:c r="Z505" s="6"/>
      <x:c r="AA505" s="6"/>
      <x:c r="AB505" s="6"/>
      <x:c r="AC505" s="6"/>
      <x:c r="AD505" s="6"/>
      <x:c r="AE505" s="6"/>
      <x:c r="AF505" s="6"/>
    </x:row>
    <x:row r="506">
      <x:c r="A506" s="6"/>
      <x:c r="B506" s="6"/>
      <x:c r="C506" s="6"/>
      <x:c r="D506" s="6"/>
      <x:c r="E506" s="6"/>
      <x:c r="F506" s="6"/>
      <x:c r="G506" s="6"/>
      <x:c r="H506" s="6"/>
      <x:c r="I506" s="6"/>
      <x:c r="J506" s="6"/>
      <x:c r="K506" s="6"/>
      <x:c r="L506" s="6"/>
      <x:c r="M506" s="6"/>
      <x:c r="N506" s="6"/>
      <x:c r="O506" s="6"/>
      <x:c r="P506" s="6"/>
      <x:c r="Q506" s="6"/>
      <x:c r="R506" s="6"/>
      <x:c r="S506" s="6"/>
      <x:c r="T506" s="6"/>
      <x:c r="U506" s="6"/>
      <x:c r="V506" s="6" t="str">
        <x:f>IF(ISBLANK('_INSTANCE'!B506),"",'_INSTANCE'!B506)</x:f>
      </x:c>
      <x:c r="W506" s="6" t="str">
        <x:f>IF(ISBLANK('_INSTANCE'!F506),"",'_INSTANCE'!F506)</x:f>
      </x:c>
      <x:c r="X506" s="6"/>
      <x:c r="Y506" s="6"/>
      <x:c r="Z506" s="6"/>
      <x:c r="AA506" s="6"/>
      <x:c r="AB506" s="6"/>
      <x:c r="AC506" s="6"/>
      <x:c r="AD506" s="6"/>
      <x:c r="AE506" s="6"/>
      <x:c r="AF506" s="6"/>
    </x:row>
    <x:row r="507">
      <x:c r="A507" s="6"/>
      <x:c r="B507" s="6"/>
      <x:c r="C507" s="6"/>
      <x:c r="D507" s="6"/>
      <x:c r="E507" s="6"/>
      <x:c r="F507" s="6"/>
      <x:c r="G507" s="6"/>
      <x:c r="H507" s="6"/>
      <x:c r="I507" s="6"/>
      <x:c r="J507" s="6"/>
      <x:c r="K507" s="6"/>
      <x:c r="L507" s="6"/>
      <x:c r="M507" s="6"/>
      <x:c r="N507" s="6"/>
      <x:c r="O507" s="6"/>
      <x:c r="P507" s="6"/>
      <x:c r="Q507" s="6"/>
      <x:c r="R507" s="6"/>
      <x:c r="S507" s="6"/>
      <x:c r="T507" s="6"/>
      <x:c r="U507" s="6"/>
      <x:c r="V507" s="6" t="str">
        <x:f>IF(ISBLANK('_INSTANCE'!B507),"",'_INSTANCE'!B507)</x:f>
      </x:c>
      <x:c r="W507" s="6" t="str">
        <x:f>IF(ISBLANK('_INSTANCE'!F507),"",'_INSTANCE'!F507)</x:f>
      </x:c>
      <x:c r="X507" s="6"/>
      <x:c r="Y507" s="6"/>
      <x:c r="Z507" s="6"/>
      <x:c r="AA507" s="6"/>
      <x:c r="AB507" s="6"/>
      <x:c r="AC507" s="6"/>
      <x:c r="AD507" s="6"/>
      <x:c r="AE507" s="6"/>
      <x:c r="AF507" s="6"/>
    </x:row>
    <x:row r="508">
      <x:c r="A508" s="6"/>
      <x:c r="B508" s="6"/>
      <x:c r="C508" s="6"/>
      <x:c r="D508" s="6"/>
      <x:c r="E508" s="6"/>
      <x:c r="F508" s="6"/>
      <x:c r="G508" s="6"/>
      <x:c r="H508" s="6"/>
      <x:c r="I508" s="6"/>
      <x:c r="J508" s="6"/>
      <x:c r="K508" s="6"/>
      <x:c r="L508" s="6"/>
      <x:c r="M508" s="6"/>
      <x:c r="N508" s="6"/>
      <x:c r="O508" s="6"/>
      <x:c r="P508" s="6"/>
      <x:c r="Q508" s="6"/>
      <x:c r="R508" s="6"/>
      <x:c r="S508" s="6"/>
      <x:c r="T508" s="6"/>
      <x:c r="U508" s="6"/>
      <x:c r="V508" s="6" t="str">
        <x:f>IF(ISBLANK('_INSTANCE'!B508),"",'_INSTANCE'!B508)</x:f>
      </x:c>
      <x:c r="W508" s="6" t="str">
        <x:f>IF(ISBLANK('_INSTANCE'!F508),"",'_INSTANCE'!F508)</x:f>
      </x:c>
      <x:c r="X508" s="6"/>
      <x:c r="Y508" s="6"/>
      <x:c r="Z508" s="6"/>
      <x:c r="AA508" s="6"/>
      <x:c r="AB508" s="6"/>
      <x:c r="AC508" s="6"/>
      <x:c r="AD508" s="6"/>
      <x:c r="AE508" s="6"/>
      <x:c r="AF508" s="6"/>
    </x:row>
    <x:row r="509">
      <x:c r="A509" s="6"/>
      <x:c r="B509" s="6"/>
      <x:c r="C509" s="6"/>
      <x:c r="D509" s="6"/>
      <x:c r="E509" s="6"/>
      <x:c r="F509" s="6"/>
      <x:c r="G509" s="6"/>
      <x:c r="H509" s="6"/>
      <x:c r="I509" s="6"/>
      <x:c r="J509" s="6"/>
      <x:c r="K509" s="6"/>
      <x:c r="L509" s="6"/>
      <x:c r="M509" s="6"/>
      <x:c r="N509" s="6"/>
      <x:c r="O509" s="6"/>
      <x:c r="P509" s="6"/>
      <x:c r="Q509" s="6"/>
      <x:c r="R509" s="6"/>
      <x:c r="S509" s="6"/>
      <x:c r="T509" s="6"/>
      <x:c r="U509" s="6"/>
      <x:c r="V509" s="6" t="str">
        <x:f>IF(ISBLANK('_INSTANCE'!B509),"",'_INSTANCE'!B509)</x:f>
      </x:c>
      <x:c r="W509" s="6" t="str">
        <x:f>IF(ISBLANK('_INSTANCE'!F509),"",'_INSTANCE'!F509)</x:f>
      </x:c>
      <x:c r="X509" s="6"/>
      <x:c r="Y509" s="6"/>
      <x:c r="Z509" s="6"/>
      <x:c r="AA509" s="6"/>
      <x:c r="AB509" s="6"/>
      <x:c r="AC509" s="6"/>
      <x:c r="AD509" s="6"/>
      <x:c r="AE509" s="6"/>
      <x:c r="AF509" s="6"/>
    </x:row>
    <x:row r="510">
      <x:c r="A510" s="6"/>
      <x:c r="B510" s="6"/>
      <x:c r="C510" s="6"/>
      <x:c r="D510" s="6"/>
      <x:c r="E510" s="6"/>
      <x:c r="F510" s="6"/>
      <x:c r="G510" s="6"/>
      <x:c r="H510" s="6"/>
      <x:c r="I510" s="6"/>
      <x:c r="J510" s="6"/>
      <x:c r="K510" s="6"/>
      <x:c r="L510" s="6"/>
      <x:c r="M510" s="6"/>
      <x:c r="N510" s="6"/>
      <x:c r="O510" s="6"/>
      <x:c r="P510" s="6"/>
      <x:c r="Q510" s="6"/>
      <x:c r="R510" s="6"/>
      <x:c r="S510" s="6"/>
      <x:c r="T510" s="6"/>
      <x:c r="U510" s="6"/>
      <x:c r="V510" s="6" t="str">
        <x:f>IF(ISBLANK('_INSTANCE'!B510),"",'_INSTANCE'!B510)</x:f>
      </x:c>
      <x:c r="W510" s="6" t="str">
        <x:f>IF(ISBLANK('_INSTANCE'!F510),"",'_INSTANCE'!F510)</x:f>
      </x:c>
      <x:c r="X510" s="6"/>
      <x:c r="Y510" s="6"/>
      <x:c r="Z510" s="6"/>
      <x:c r="AA510" s="6"/>
      <x:c r="AB510" s="6"/>
      <x:c r="AC510" s="6"/>
      <x:c r="AD510" s="6"/>
      <x:c r="AE510" s="6"/>
      <x:c r="AF510" s="6"/>
    </x:row>
    <x:row r="511">
      <x:c r="A511" s="6"/>
      <x:c r="B511" s="6"/>
      <x:c r="C511" s="6"/>
      <x:c r="D511" s="6"/>
      <x:c r="E511" s="6"/>
      <x:c r="F511" s="6"/>
      <x:c r="G511" s="6"/>
      <x:c r="H511" s="6"/>
      <x:c r="I511" s="6"/>
      <x:c r="J511" s="6"/>
      <x:c r="K511" s="6"/>
      <x:c r="L511" s="6"/>
      <x:c r="M511" s="6"/>
      <x:c r="N511" s="6"/>
      <x:c r="O511" s="6"/>
      <x:c r="P511" s="6"/>
      <x:c r="Q511" s="6"/>
      <x:c r="R511" s="6"/>
      <x:c r="S511" s="6"/>
      <x:c r="T511" s="6"/>
      <x:c r="U511" s="6"/>
      <x:c r="V511" s="6" t="str">
        <x:f>IF(ISBLANK('_INSTANCE'!B511),"",'_INSTANCE'!B511)</x:f>
      </x:c>
      <x:c r="W511" s="6" t="str">
        <x:f>IF(ISBLANK('_INSTANCE'!F511),"",'_INSTANCE'!F511)</x:f>
      </x:c>
      <x:c r="X511" s="6"/>
      <x:c r="Y511" s="6"/>
      <x:c r="Z511" s="6"/>
      <x:c r="AA511" s="6"/>
      <x:c r="AB511" s="6"/>
      <x:c r="AC511" s="6"/>
      <x:c r="AD511" s="6"/>
      <x:c r="AE511" s="6"/>
      <x:c r="AF511" s="6"/>
    </x:row>
    <x:row r="512">
      <x:c r="A512" s="6"/>
      <x:c r="B512" s="6"/>
      <x:c r="C512" s="6"/>
      <x:c r="D512" s="6"/>
      <x:c r="E512" s="6"/>
      <x:c r="F512" s="6"/>
      <x:c r="G512" s="6"/>
      <x:c r="H512" s="6"/>
      <x:c r="I512" s="6"/>
      <x:c r="J512" s="6"/>
      <x:c r="K512" s="6"/>
      <x:c r="L512" s="6"/>
      <x:c r="M512" s="6"/>
      <x:c r="N512" s="6"/>
      <x:c r="O512" s="6"/>
      <x:c r="P512" s="6"/>
      <x:c r="Q512" s="6"/>
      <x:c r="R512" s="6"/>
      <x:c r="S512" s="6"/>
      <x:c r="T512" s="6"/>
      <x:c r="U512" s="6"/>
      <x:c r="V512" s="6" t="str">
        <x:f>IF(ISBLANK('_INSTANCE'!B512),"",'_INSTANCE'!B512)</x:f>
      </x:c>
      <x:c r="W512" s="6" t="str">
        <x:f>IF(ISBLANK('_INSTANCE'!F512),"",'_INSTANCE'!F512)</x:f>
      </x:c>
      <x:c r="X512" s="6"/>
      <x:c r="Y512" s="6"/>
      <x:c r="Z512" s="6"/>
      <x:c r="AA512" s="6"/>
      <x:c r="AB512" s="6"/>
      <x:c r="AC512" s="6"/>
      <x:c r="AD512" s="6"/>
      <x:c r="AE512" s="6"/>
      <x:c r="AF512" s="6"/>
    </x:row>
    <x:row r="513">
      <x:c r="A513" s="6"/>
      <x:c r="B513" s="6"/>
      <x:c r="C513" s="6"/>
      <x:c r="D513" s="6"/>
      <x:c r="E513" s="6"/>
      <x:c r="F513" s="6"/>
      <x:c r="G513" s="6"/>
      <x:c r="H513" s="6"/>
      <x:c r="I513" s="6"/>
      <x:c r="J513" s="6"/>
      <x:c r="K513" s="6"/>
      <x:c r="L513" s="6"/>
      <x:c r="M513" s="6"/>
      <x:c r="N513" s="6"/>
      <x:c r="O513" s="6"/>
      <x:c r="P513" s="6"/>
      <x:c r="Q513" s="6"/>
      <x:c r="R513" s="6"/>
      <x:c r="S513" s="6"/>
      <x:c r="T513" s="6"/>
      <x:c r="U513" s="6"/>
      <x:c r="V513" s="6" t="str">
        <x:f>IF(ISBLANK('_INSTANCE'!B513),"",'_INSTANCE'!B513)</x:f>
      </x:c>
      <x:c r="W513" s="6" t="str">
        <x:f>IF(ISBLANK('_INSTANCE'!F513),"",'_INSTANCE'!F513)</x:f>
      </x:c>
      <x:c r="X513" s="6"/>
      <x:c r="Y513" s="6"/>
      <x:c r="Z513" s="6"/>
      <x:c r="AA513" s="6"/>
      <x:c r="AB513" s="6"/>
      <x:c r="AC513" s="6"/>
      <x:c r="AD513" s="6"/>
      <x:c r="AE513" s="6"/>
      <x:c r="AF513" s="6"/>
    </x:row>
    <x:row r="514">
      <x:c r="A514" s="6"/>
      <x:c r="B514" s="6"/>
      <x:c r="C514" s="6"/>
      <x:c r="D514" s="6"/>
      <x:c r="E514" s="6"/>
      <x:c r="F514" s="6"/>
      <x:c r="G514" s="6"/>
      <x:c r="H514" s="6"/>
      <x:c r="I514" s="6"/>
      <x:c r="J514" s="6"/>
      <x:c r="K514" s="6"/>
      <x:c r="L514" s="6"/>
      <x:c r="M514" s="6"/>
      <x:c r="N514" s="6"/>
      <x:c r="O514" s="6"/>
      <x:c r="P514" s="6"/>
      <x:c r="Q514" s="6"/>
      <x:c r="R514" s="6"/>
      <x:c r="S514" s="6"/>
      <x:c r="T514" s="6"/>
      <x:c r="U514" s="6"/>
      <x:c r="V514" s="6" t="str">
        <x:f>IF(ISBLANK('_INSTANCE'!B514),"",'_INSTANCE'!B514)</x:f>
      </x:c>
      <x:c r="W514" s="6" t="str">
        <x:f>IF(ISBLANK('_INSTANCE'!F514),"",'_INSTANCE'!F514)</x:f>
      </x:c>
      <x:c r="X514" s="6"/>
      <x:c r="Y514" s="6"/>
      <x:c r="Z514" s="6"/>
      <x:c r="AA514" s="6"/>
      <x:c r="AB514" s="6"/>
      <x:c r="AC514" s="6"/>
      <x:c r="AD514" s="6"/>
      <x:c r="AE514" s="6"/>
      <x:c r="AF514" s="6"/>
    </x:row>
    <x:row r="515">
      <x:c r="A515" s="6"/>
      <x:c r="B515" s="6"/>
      <x:c r="C515" s="6"/>
      <x:c r="D515" s="6"/>
      <x:c r="E515" s="6"/>
      <x:c r="F515" s="6"/>
      <x:c r="G515" s="6"/>
      <x:c r="H515" s="6"/>
      <x:c r="I515" s="6"/>
      <x:c r="J515" s="6"/>
      <x:c r="K515" s="6"/>
      <x:c r="L515" s="6"/>
      <x:c r="M515" s="6"/>
      <x:c r="N515" s="6"/>
      <x:c r="O515" s="6"/>
      <x:c r="P515" s="6"/>
      <x:c r="Q515" s="6"/>
      <x:c r="R515" s="6"/>
      <x:c r="S515" s="6"/>
      <x:c r="T515" s="6"/>
      <x:c r="U515" s="6"/>
      <x:c r="V515" s="6" t="str">
        <x:f>IF(ISBLANK('_INSTANCE'!B515),"",'_INSTANCE'!B515)</x:f>
      </x:c>
      <x:c r="W515" s="6" t="str">
        <x:f>IF(ISBLANK('_INSTANCE'!F515),"",'_INSTANCE'!F515)</x:f>
      </x:c>
      <x:c r="X515" s="6"/>
      <x:c r="Y515" s="6"/>
      <x:c r="Z515" s="6"/>
      <x:c r="AA515" s="6"/>
      <x:c r="AB515" s="6"/>
      <x:c r="AC515" s="6"/>
      <x:c r="AD515" s="6"/>
      <x:c r="AE515" s="6"/>
      <x:c r="AF515" s="6"/>
    </x:row>
    <x:row r="516">
      <x:c r="A516" s="6"/>
      <x:c r="B516" s="6"/>
      <x:c r="C516" s="6"/>
      <x:c r="D516" s="6"/>
      <x:c r="E516" s="6"/>
      <x:c r="F516" s="6"/>
      <x:c r="G516" s="6"/>
      <x:c r="H516" s="6"/>
      <x:c r="I516" s="6"/>
      <x:c r="J516" s="6"/>
      <x:c r="K516" s="6"/>
      <x:c r="L516" s="6"/>
      <x:c r="M516" s="6"/>
      <x:c r="N516" s="6"/>
      <x:c r="O516" s="6"/>
      <x:c r="P516" s="6"/>
      <x:c r="Q516" s="6"/>
      <x:c r="R516" s="6"/>
      <x:c r="S516" s="6"/>
      <x:c r="T516" s="6"/>
      <x:c r="U516" s="6"/>
      <x:c r="V516" s="6" t="str">
        <x:f>IF(ISBLANK('_INSTANCE'!B516),"",'_INSTANCE'!B516)</x:f>
      </x:c>
      <x:c r="W516" s="6" t="str">
        <x:f>IF(ISBLANK('_INSTANCE'!F516),"",'_INSTANCE'!F516)</x:f>
      </x:c>
      <x:c r="X516" s="6"/>
      <x:c r="Y516" s="6"/>
      <x:c r="Z516" s="6"/>
      <x:c r="AA516" s="6"/>
      <x:c r="AB516" s="6"/>
      <x:c r="AC516" s="6"/>
      <x:c r="AD516" s="6"/>
      <x:c r="AE516" s="6"/>
      <x:c r="AF516" s="6"/>
    </x:row>
    <x:row r="517">
      <x:c r="A517" s="6"/>
      <x:c r="B517" s="6"/>
      <x:c r="C517" s="6"/>
      <x:c r="D517" s="6"/>
      <x:c r="E517" s="6"/>
      <x:c r="F517" s="6"/>
      <x:c r="G517" s="6"/>
      <x:c r="H517" s="6"/>
      <x:c r="I517" s="6"/>
      <x:c r="J517" s="6"/>
      <x:c r="K517" s="6"/>
      <x:c r="L517" s="6"/>
      <x:c r="M517" s="6"/>
      <x:c r="N517" s="6"/>
      <x:c r="O517" s="6"/>
      <x:c r="P517" s="6"/>
      <x:c r="Q517" s="6"/>
      <x:c r="R517" s="6"/>
      <x:c r="S517" s="6"/>
      <x:c r="T517" s="6"/>
      <x:c r="U517" s="6"/>
      <x:c r="V517" s="6" t="str">
        <x:f>IF(ISBLANK('_INSTANCE'!B517),"",'_INSTANCE'!B517)</x:f>
      </x:c>
      <x:c r="W517" s="6" t="str">
        <x:f>IF(ISBLANK('_INSTANCE'!F517),"",'_INSTANCE'!F517)</x:f>
      </x:c>
      <x:c r="X517" s="6"/>
      <x:c r="Y517" s="6"/>
      <x:c r="Z517" s="6"/>
      <x:c r="AA517" s="6"/>
      <x:c r="AB517" s="6"/>
      <x:c r="AC517" s="6"/>
      <x:c r="AD517" s="6"/>
      <x:c r="AE517" s="6"/>
      <x:c r="AF517" s="6"/>
    </x:row>
    <x:row r="518">
      <x:c r="A518" s="6"/>
      <x:c r="B518" s="6"/>
      <x:c r="C518" s="6"/>
      <x:c r="D518" s="6"/>
      <x:c r="E518" s="6"/>
      <x:c r="F518" s="6"/>
      <x:c r="G518" s="6"/>
      <x:c r="H518" s="6"/>
      <x:c r="I518" s="6"/>
      <x:c r="J518" s="6"/>
      <x:c r="K518" s="6"/>
      <x:c r="L518" s="6"/>
      <x:c r="M518" s="6"/>
      <x:c r="N518" s="6"/>
      <x:c r="O518" s="6"/>
      <x:c r="P518" s="6"/>
      <x:c r="Q518" s="6"/>
      <x:c r="R518" s="6"/>
      <x:c r="S518" s="6"/>
      <x:c r="T518" s="6"/>
      <x:c r="U518" s="6"/>
      <x:c r="V518" s="6" t="str">
        <x:f>IF(ISBLANK('_INSTANCE'!B518),"",'_INSTANCE'!B518)</x:f>
      </x:c>
      <x:c r="W518" s="6" t="str">
        <x:f>IF(ISBLANK('_INSTANCE'!F518),"",'_INSTANCE'!F518)</x:f>
      </x:c>
      <x:c r="X518" s="6"/>
      <x:c r="Y518" s="6"/>
      <x:c r="Z518" s="6"/>
      <x:c r="AA518" s="6"/>
      <x:c r="AB518" s="6"/>
      <x:c r="AC518" s="6"/>
      <x:c r="AD518" s="6"/>
      <x:c r="AE518" s="6"/>
      <x:c r="AF518" s="6"/>
    </x:row>
    <x:row r="519">
      <x:c r="A519" s="6"/>
      <x:c r="B519" s="6"/>
      <x:c r="C519" s="6"/>
      <x:c r="D519" s="6"/>
      <x:c r="E519" s="6"/>
      <x:c r="F519" s="6"/>
      <x:c r="G519" s="6"/>
      <x:c r="H519" s="6"/>
      <x:c r="I519" s="6"/>
      <x:c r="J519" s="6"/>
      <x:c r="K519" s="6"/>
      <x:c r="L519" s="6"/>
      <x:c r="M519" s="6"/>
      <x:c r="N519" s="6"/>
      <x:c r="O519" s="6"/>
      <x:c r="P519" s="6"/>
      <x:c r="Q519" s="6"/>
      <x:c r="R519" s="6"/>
      <x:c r="S519" s="6"/>
      <x:c r="T519" s="6"/>
      <x:c r="U519" s="6"/>
      <x:c r="V519" s="6" t="str">
        <x:f>IF(ISBLANK('_INSTANCE'!B519),"",'_INSTANCE'!B519)</x:f>
      </x:c>
      <x:c r="W519" s="6" t="str">
        <x:f>IF(ISBLANK('_INSTANCE'!F519),"",'_INSTANCE'!F519)</x:f>
      </x:c>
      <x:c r="X519" s="6"/>
      <x:c r="Y519" s="6"/>
      <x:c r="Z519" s="6"/>
      <x:c r="AA519" s="6"/>
      <x:c r="AB519" s="6"/>
      <x:c r="AC519" s="6"/>
      <x:c r="AD519" s="6"/>
      <x:c r="AE519" s="6"/>
      <x:c r="AF519" s="6"/>
    </x:row>
    <x:row r="520">
      <x:c r="A520" s="6"/>
      <x:c r="B520" s="6"/>
      <x:c r="C520" s="6"/>
      <x:c r="D520" s="6"/>
      <x:c r="E520" s="6"/>
      <x:c r="F520" s="6"/>
      <x:c r="G520" s="6"/>
      <x:c r="H520" s="6"/>
      <x:c r="I520" s="6"/>
      <x:c r="J520" s="6"/>
      <x:c r="K520" s="6"/>
      <x:c r="L520" s="6"/>
      <x:c r="M520" s="6"/>
      <x:c r="N520" s="6"/>
      <x:c r="O520" s="6"/>
      <x:c r="P520" s="6"/>
      <x:c r="Q520" s="6"/>
      <x:c r="R520" s="6"/>
      <x:c r="S520" s="6"/>
      <x:c r="T520" s="6"/>
      <x:c r="U520" s="6"/>
      <x:c r="V520" s="6" t="str">
        <x:f>IF(ISBLANK('_INSTANCE'!B520),"",'_INSTANCE'!B520)</x:f>
      </x:c>
      <x:c r="W520" s="6" t="str">
        <x:f>IF(ISBLANK('_INSTANCE'!F520),"",'_INSTANCE'!F520)</x:f>
      </x:c>
      <x:c r="X520" s="6"/>
      <x:c r="Y520" s="6"/>
      <x:c r="Z520" s="6"/>
      <x:c r="AA520" s="6"/>
      <x:c r="AB520" s="6"/>
      <x:c r="AC520" s="6"/>
      <x:c r="AD520" s="6"/>
      <x:c r="AE520" s="6"/>
      <x:c r="AF520" s="6"/>
    </x:row>
    <x:row r="521">
      <x:c r="A521" s="6"/>
      <x:c r="B521" s="6"/>
      <x:c r="C521" s="6"/>
      <x:c r="D521" s="6"/>
      <x:c r="E521" s="6"/>
      <x:c r="F521" s="6"/>
      <x:c r="G521" s="6"/>
      <x:c r="H521" s="6"/>
      <x:c r="I521" s="6"/>
      <x:c r="J521" s="6"/>
      <x:c r="K521" s="6"/>
      <x:c r="L521" s="6"/>
      <x:c r="M521" s="6"/>
      <x:c r="N521" s="6"/>
      <x:c r="O521" s="6"/>
      <x:c r="P521" s="6"/>
      <x:c r="Q521" s="6"/>
      <x:c r="R521" s="6"/>
      <x:c r="S521" s="6"/>
      <x:c r="T521" s="6"/>
      <x:c r="U521" s="6"/>
      <x:c r="V521" s="6" t="str">
        <x:f>IF(ISBLANK('_INSTANCE'!B521),"",'_INSTANCE'!B521)</x:f>
      </x:c>
      <x:c r="W521" s="6" t="str">
        <x:f>IF(ISBLANK('_INSTANCE'!F521),"",'_INSTANCE'!F521)</x:f>
      </x:c>
      <x:c r="X521" s="6"/>
      <x:c r="Y521" s="6"/>
      <x:c r="Z521" s="6"/>
      <x:c r="AA521" s="6"/>
      <x:c r="AB521" s="6"/>
      <x:c r="AC521" s="6"/>
      <x:c r="AD521" s="6"/>
      <x:c r="AE521" s="6"/>
      <x:c r="AF521" s="6"/>
    </x:row>
    <x:row r="522">
      <x:c r="A522" s="6"/>
      <x:c r="B522" s="6"/>
      <x:c r="C522" s="6"/>
      <x:c r="D522" s="6"/>
      <x:c r="E522" s="6"/>
      <x:c r="F522" s="6"/>
      <x:c r="G522" s="6"/>
      <x:c r="H522" s="6"/>
      <x:c r="I522" s="6"/>
      <x:c r="J522" s="6"/>
      <x:c r="K522" s="6"/>
      <x:c r="L522" s="6"/>
      <x:c r="M522" s="6"/>
      <x:c r="N522" s="6"/>
      <x:c r="O522" s="6"/>
      <x:c r="P522" s="6"/>
      <x:c r="Q522" s="6"/>
      <x:c r="R522" s="6"/>
      <x:c r="S522" s="6"/>
      <x:c r="T522" s="6"/>
      <x:c r="U522" s="6"/>
      <x:c r="V522" s="6" t="str">
        <x:f>IF(ISBLANK('_INSTANCE'!B522),"",'_INSTANCE'!B522)</x:f>
      </x:c>
      <x:c r="W522" s="6" t="str">
        <x:f>IF(ISBLANK('_INSTANCE'!F522),"",'_INSTANCE'!F522)</x:f>
      </x:c>
      <x:c r="X522" s="6"/>
      <x:c r="Y522" s="6"/>
      <x:c r="Z522" s="6"/>
      <x:c r="AA522" s="6"/>
      <x:c r="AB522" s="6"/>
      <x:c r="AC522" s="6"/>
      <x:c r="AD522" s="6"/>
      <x:c r="AE522" s="6"/>
      <x:c r="AF522" s="6"/>
    </x:row>
    <x:row r="523">
      <x:c r="A523" s="6"/>
      <x:c r="B523" s="6"/>
      <x:c r="C523" s="6"/>
      <x:c r="D523" s="6"/>
      <x:c r="E523" s="6"/>
      <x:c r="F523" s="6"/>
      <x:c r="G523" s="6"/>
      <x:c r="H523" s="6"/>
      <x:c r="I523" s="6"/>
      <x:c r="J523" s="6"/>
      <x:c r="K523" s="6"/>
      <x:c r="L523" s="6"/>
      <x:c r="M523" s="6"/>
      <x:c r="N523" s="6"/>
      <x:c r="O523" s="6"/>
      <x:c r="P523" s="6"/>
      <x:c r="Q523" s="6"/>
      <x:c r="R523" s="6"/>
      <x:c r="S523" s="6"/>
      <x:c r="T523" s="6"/>
      <x:c r="U523" s="6"/>
      <x:c r="V523" s="6" t="str">
        <x:f>IF(ISBLANK('_INSTANCE'!B523),"",'_INSTANCE'!B523)</x:f>
      </x:c>
      <x:c r="W523" s="6" t="str">
        <x:f>IF(ISBLANK('_INSTANCE'!F523),"",'_INSTANCE'!F523)</x:f>
      </x:c>
      <x:c r="X523" s="6"/>
      <x:c r="Y523" s="6"/>
      <x:c r="Z523" s="6"/>
      <x:c r="AA523" s="6"/>
      <x:c r="AB523" s="6"/>
      <x:c r="AC523" s="6"/>
      <x:c r="AD523" s="6"/>
      <x:c r="AE523" s="6"/>
      <x:c r="AF523" s="6"/>
    </x:row>
    <x:row r="524">
      <x:c r="A524" s="6"/>
      <x:c r="B524" s="6"/>
      <x:c r="C524" s="6"/>
      <x:c r="D524" s="6"/>
      <x:c r="E524" s="6"/>
      <x:c r="F524" s="6"/>
      <x:c r="G524" s="6"/>
      <x:c r="H524" s="6"/>
      <x:c r="I524" s="6"/>
      <x:c r="J524" s="6"/>
      <x:c r="K524" s="6"/>
      <x:c r="L524" s="6"/>
      <x:c r="M524" s="6"/>
      <x:c r="N524" s="6"/>
      <x:c r="O524" s="6"/>
      <x:c r="P524" s="6"/>
      <x:c r="Q524" s="6"/>
      <x:c r="R524" s="6"/>
      <x:c r="S524" s="6"/>
      <x:c r="T524" s="6"/>
      <x:c r="U524" s="6"/>
      <x:c r="V524" s="6" t="str">
        <x:f>IF(ISBLANK('_INSTANCE'!B524),"",'_INSTANCE'!B524)</x:f>
      </x:c>
      <x:c r="W524" s="6" t="str">
        <x:f>IF(ISBLANK('_INSTANCE'!F524),"",'_INSTANCE'!F524)</x:f>
      </x:c>
      <x:c r="X524" s="6"/>
      <x:c r="Y524" s="6"/>
      <x:c r="Z524" s="6"/>
      <x:c r="AA524" s="6"/>
      <x:c r="AB524" s="6"/>
      <x:c r="AC524" s="6"/>
      <x:c r="AD524" s="6"/>
      <x:c r="AE524" s="6"/>
      <x:c r="AF524" s="6"/>
    </x:row>
    <x:row r="525">
      <x:c r="A525" s="6"/>
      <x:c r="B525" s="6"/>
      <x:c r="C525" s="6"/>
      <x:c r="D525" s="6"/>
      <x:c r="E525" s="6"/>
      <x:c r="F525" s="6"/>
      <x:c r="G525" s="6"/>
      <x:c r="H525" s="6"/>
      <x:c r="I525" s="6"/>
      <x:c r="J525" s="6"/>
      <x:c r="K525" s="6"/>
      <x:c r="L525" s="6"/>
      <x:c r="M525" s="6"/>
      <x:c r="N525" s="6"/>
      <x:c r="O525" s="6"/>
      <x:c r="P525" s="6"/>
      <x:c r="Q525" s="6"/>
      <x:c r="R525" s="6"/>
      <x:c r="S525" s="6"/>
      <x:c r="T525" s="6"/>
      <x:c r="U525" s="6"/>
      <x:c r="V525" s="6" t="str">
        <x:f>IF(ISBLANK('_INSTANCE'!B525),"",'_INSTANCE'!B525)</x:f>
      </x:c>
      <x:c r="W525" s="6" t="str">
        <x:f>IF(ISBLANK('_INSTANCE'!F525),"",'_INSTANCE'!F525)</x:f>
      </x:c>
      <x:c r="X525" s="6"/>
      <x:c r="Y525" s="6"/>
      <x:c r="Z525" s="6"/>
      <x:c r="AA525" s="6"/>
      <x:c r="AB525" s="6"/>
      <x:c r="AC525" s="6"/>
      <x:c r="AD525" s="6"/>
      <x:c r="AE525" s="6"/>
      <x:c r="AF525" s="6"/>
    </x:row>
    <x:row r="526">
      <x:c r="A526" s="6"/>
      <x:c r="B526" s="6"/>
      <x:c r="C526" s="6"/>
      <x:c r="D526" s="6"/>
      <x:c r="E526" s="6"/>
      <x:c r="F526" s="6"/>
      <x:c r="G526" s="6"/>
      <x:c r="H526" s="6"/>
      <x:c r="I526" s="6"/>
      <x:c r="J526" s="6"/>
      <x:c r="K526" s="6"/>
      <x:c r="L526" s="6"/>
      <x:c r="M526" s="6"/>
      <x:c r="N526" s="6"/>
      <x:c r="O526" s="6"/>
      <x:c r="P526" s="6"/>
      <x:c r="Q526" s="6"/>
      <x:c r="R526" s="6"/>
      <x:c r="S526" s="6"/>
      <x:c r="T526" s="6"/>
      <x:c r="U526" s="6"/>
      <x:c r="V526" s="6" t="str">
        <x:f>IF(ISBLANK('_INSTANCE'!B526),"",'_INSTANCE'!B526)</x:f>
      </x:c>
      <x:c r="W526" s="6" t="str">
        <x:f>IF(ISBLANK('_INSTANCE'!F526),"",'_INSTANCE'!F526)</x:f>
      </x:c>
      <x:c r="X526" s="6"/>
      <x:c r="Y526" s="6"/>
      <x:c r="Z526" s="6"/>
      <x:c r="AA526" s="6"/>
      <x:c r="AB526" s="6"/>
      <x:c r="AC526" s="6"/>
      <x:c r="AD526" s="6"/>
      <x:c r="AE526" s="6"/>
      <x:c r="AF526" s="6"/>
    </x:row>
    <x:row r="527">
      <x:c r="A527" s="6"/>
      <x:c r="B527" s="6"/>
      <x:c r="C527" s="6"/>
      <x:c r="D527" s="6"/>
      <x:c r="E527" s="6"/>
      <x:c r="F527" s="6"/>
      <x:c r="G527" s="6"/>
      <x:c r="H527" s="6"/>
      <x:c r="I527" s="6"/>
      <x:c r="J527" s="6"/>
      <x:c r="K527" s="6"/>
      <x:c r="L527" s="6"/>
      <x:c r="M527" s="6"/>
      <x:c r="N527" s="6"/>
      <x:c r="O527" s="6"/>
      <x:c r="P527" s="6"/>
      <x:c r="Q527" s="6"/>
      <x:c r="R527" s="6"/>
      <x:c r="S527" s="6"/>
      <x:c r="T527" s="6"/>
      <x:c r="U527" s="6"/>
      <x:c r="V527" s="6" t="str">
        <x:f>IF(ISBLANK('_INSTANCE'!B527),"",'_INSTANCE'!B527)</x:f>
      </x:c>
      <x:c r="W527" s="6" t="str">
        <x:f>IF(ISBLANK('_INSTANCE'!F527),"",'_INSTANCE'!F527)</x:f>
      </x:c>
      <x:c r="X527" s="6"/>
      <x:c r="Y527" s="6"/>
      <x:c r="Z527" s="6"/>
      <x:c r="AA527" s="6"/>
      <x:c r="AB527" s="6"/>
      <x:c r="AC527" s="6"/>
      <x:c r="AD527" s="6"/>
      <x:c r="AE527" s="6"/>
      <x:c r="AF527" s="6"/>
    </x:row>
    <x:row r="528">
      <x:c r="A528" s="6"/>
      <x:c r="B528" s="6"/>
      <x:c r="C528" s="6"/>
      <x:c r="D528" s="6"/>
      <x:c r="E528" s="6"/>
      <x:c r="F528" s="6"/>
      <x:c r="G528" s="6"/>
      <x:c r="H528" s="6"/>
      <x:c r="I528" s="6"/>
      <x:c r="J528" s="6"/>
      <x:c r="K528" s="6"/>
      <x:c r="L528" s="6"/>
      <x:c r="M528" s="6"/>
      <x:c r="N528" s="6"/>
      <x:c r="O528" s="6"/>
      <x:c r="P528" s="6"/>
      <x:c r="Q528" s="6"/>
      <x:c r="R528" s="6"/>
      <x:c r="S528" s="6"/>
      <x:c r="T528" s="6"/>
      <x:c r="U528" s="6"/>
      <x:c r="V528" s="6" t="str">
        <x:f>IF(ISBLANK('_INSTANCE'!B528),"",'_INSTANCE'!B528)</x:f>
      </x:c>
      <x:c r="W528" s="6" t="str">
        <x:f>IF(ISBLANK('_INSTANCE'!F528),"",'_INSTANCE'!F528)</x:f>
      </x:c>
      <x:c r="X528" s="6"/>
      <x:c r="Y528" s="6"/>
      <x:c r="Z528" s="6"/>
      <x:c r="AA528" s="6"/>
      <x:c r="AB528" s="6"/>
      <x:c r="AC528" s="6"/>
      <x:c r="AD528" s="6"/>
      <x:c r="AE528" s="6"/>
      <x:c r="AF528" s="6"/>
    </x:row>
    <x:row r="529">
      <x:c r="A529" s="6"/>
      <x:c r="B529" s="6"/>
      <x:c r="C529" s="6"/>
      <x:c r="D529" s="6"/>
      <x:c r="E529" s="6"/>
      <x:c r="F529" s="6"/>
      <x:c r="G529" s="6"/>
      <x:c r="H529" s="6"/>
      <x:c r="I529" s="6"/>
      <x:c r="J529" s="6"/>
      <x:c r="K529" s="6"/>
      <x:c r="L529" s="6"/>
      <x:c r="M529" s="6"/>
      <x:c r="N529" s="6"/>
      <x:c r="O529" s="6"/>
      <x:c r="P529" s="6"/>
      <x:c r="Q529" s="6"/>
      <x:c r="R529" s="6"/>
      <x:c r="S529" s="6"/>
      <x:c r="T529" s="6"/>
      <x:c r="U529" s="6"/>
      <x:c r="V529" s="6" t="str">
        <x:f>IF(ISBLANK('_INSTANCE'!B529),"",'_INSTANCE'!B529)</x:f>
      </x:c>
      <x:c r="W529" s="6" t="str">
        <x:f>IF(ISBLANK('_INSTANCE'!F529),"",'_INSTANCE'!F529)</x:f>
      </x:c>
      <x:c r="X529" s="6"/>
      <x:c r="Y529" s="6"/>
      <x:c r="Z529" s="6"/>
      <x:c r="AA529" s="6"/>
      <x:c r="AB529" s="6"/>
      <x:c r="AC529" s="6"/>
      <x:c r="AD529" s="6"/>
      <x:c r="AE529" s="6"/>
      <x:c r="AF529" s="6"/>
    </x:row>
    <x:row r="530">
      <x:c r="A530" s="6"/>
      <x:c r="B530" s="6"/>
      <x:c r="C530" s="6"/>
      <x:c r="D530" s="6"/>
      <x:c r="E530" s="6"/>
      <x:c r="F530" s="6"/>
      <x:c r="G530" s="6"/>
      <x:c r="H530" s="6"/>
      <x:c r="I530" s="6"/>
      <x:c r="J530" s="6"/>
      <x:c r="K530" s="6"/>
      <x:c r="L530" s="6"/>
      <x:c r="M530" s="6"/>
      <x:c r="N530" s="6"/>
      <x:c r="O530" s="6"/>
      <x:c r="P530" s="6"/>
      <x:c r="Q530" s="6"/>
      <x:c r="R530" s="6"/>
      <x:c r="S530" s="6"/>
      <x:c r="T530" s="6"/>
      <x:c r="U530" s="6"/>
      <x:c r="V530" s="6" t="str">
        <x:f>IF(ISBLANK('_INSTANCE'!B530),"",'_INSTANCE'!B530)</x:f>
      </x:c>
      <x:c r="W530" s="6" t="str">
        <x:f>IF(ISBLANK('_INSTANCE'!F530),"",'_INSTANCE'!F530)</x:f>
      </x:c>
      <x:c r="X530" s="6"/>
      <x:c r="Y530" s="6"/>
      <x:c r="Z530" s="6"/>
      <x:c r="AA530" s="6"/>
      <x:c r="AB530" s="6"/>
      <x:c r="AC530" s="6"/>
      <x:c r="AD530" s="6"/>
      <x:c r="AE530" s="6"/>
      <x:c r="AF530" s="6"/>
    </x:row>
    <x:row r="531">
      <x:c r="A531" s="6"/>
      <x:c r="B531" s="6"/>
      <x:c r="C531" s="6"/>
      <x:c r="D531" s="6"/>
      <x:c r="E531" s="6"/>
      <x:c r="F531" s="6"/>
      <x:c r="G531" s="6"/>
      <x:c r="H531" s="6"/>
      <x:c r="I531" s="6"/>
      <x:c r="J531" s="6"/>
      <x:c r="K531" s="6"/>
      <x:c r="L531" s="6"/>
      <x:c r="M531" s="6"/>
      <x:c r="N531" s="6"/>
      <x:c r="O531" s="6"/>
      <x:c r="P531" s="6"/>
      <x:c r="Q531" s="6"/>
      <x:c r="R531" s="6"/>
      <x:c r="S531" s="6"/>
      <x:c r="T531" s="6"/>
      <x:c r="U531" s="6"/>
      <x:c r="V531" s="6" t="str">
        <x:f>IF(ISBLANK('_INSTANCE'!B531),"",'_INSTANCE'!B531)</x:f>
      </x:c>
      <x:c r="W531" s="6" t="str">
        <x:f>IF(ISBLANK('_INSTANCE'!F531),"",'_INSTANCE'!F531)</x:f>
      </x:c>
      <x:c r="X531" s="6"/>
      <x:c r="Y531" s="6"/>
      <x:c r="Z531" s="6"/>
      <x:c r="AA531" s="6"/>
      <x:c r="AB531" s="6"/>
      <x:c r="AC531" s="6"/>
      <x:c r="AD531" s="6"/>
      <x:c r="AE531" s="6"/>
      <x:c r="AF531" s="6"/>
    </x:row>
    <x:row r="532">
      <x:c r="A532" s="6"/>
      <x:c r="B532" s="6"/>
      <x:c r="C532" s="6"/>
      <x:c r="D532" s="6"/>
      <x:c r="E532" s="6"/>
      <x:c r="F532" s="6"/>
      <x:c r="G532" s="6"/>
      <x:c r="H532" s="6"/>
      <x:c r="I532" s="6"/>
      <x:c r="J532" s="6"/>
      <x:c r="K532" s="6"/>
      <x:c r="L532" s="6"/>
      <x:c r="M532" s="6"/>
      <x:c r="N532" s="6"/>
      <x:c r="O532" s="6"/>
      <x:c r="P532" s="6"/>
      <x:c r="Q532" s="6"/>
      <x:c r="R532" s="6"/>
      <x:c r="S532" s="6"/>
      <x:c r="T532" s="6"/>
      <x:c r="U532" s="6"/>
      <x:c r="V532" s="6" t="str">
        <x:f>IF(ISBLANK('_INSTANCE'!B532),"",'_INSTANCE'!B532)</x:f>
      </x:c>
      <x:c r="W532" s="6" t="str">
        <x:f>IF(ISBLANK('_INSTANCE'!F532),"",'_INSTANCE'!F532)</x:f>
      </x:c>
      <x:c r="X532" s="6"/>
      <x:c r="Y532" s="6"/>
      <x:c r="Z532" s="6"/>
      <x:c r="AA532" s="6"/>
      <x:c r="AB532" s="6"/>
      <x:c r="AC532" s="6"/>
      <x:c r="AD532" s="6"/>
      <x:c r="AE532" s="6"/>
      <x:c r="AF532" s="6"/>
    </x:row>
    <x:row r="533">
      <x:c r="A533" s="6"/>
      <x:c r="B533" s="6"/>
      <x:c r="C533" s="6"/>
      <x:c r="D533" s="6"/>
      <x:c r="E533" s="6"/>
      <x:c r="F533" s="6"/>
      <x:c r="G533" s="6"/>
      <x:c r="H533" s="6"/>
      <x:c r="I533" s="6"/>
      <x:c r="J533" s="6"/>
      <x:c r="K533" s="6"/>
      <x:c r="L533" s="6"/>
      <x:c r="M533" s="6"/>
      <x:c r="N533" s="6"/>
      <x:c r="O533" s="6"/>
      <x:c r="P533" s="6"/>
      <x:c r="Q533" s="6"/>
      <x:c r="R533" s="6"/>
      <x:c r="S533" s="6"/>
      <x:c r="T533" s="6"/>
      <x:c r="U533" s="6"/>
      <x:c r="V533" s="6" t="str">
        <x:f>IF(ISBLANK('_INSTANCE'!B533),"",'_INSTANCE'!B533)</x:f>
      </x:c>
      <x:c r="W533" s="6" t="str">
        <x:f>IF(ISBLANK('_INSTANCE'!F533),"",'_INSTANCE'!F533)</x:f>
      </x:c>
      <x:c r="X533" s="6"/>
      <x:c r="Y533" s="6"/>
      <x:c r="Z533" s="6"/>
      <x:c r="AA533" s="6"/>
      <x:c r="AB533" s="6"/>
      <x:c r="AC533" s="6"/>
      <x:c r="AD533" s="6"/>
      <x:c r="AE533" s="6"/>
      <x:c r="AF533" s="6"/>
    </x:row>
    <x:row r="534">
      <x:c r="A534" s="6"/>
      <x:c r="B534" s="6"/>
      <x:c r="C534" s="6"/>
      <x:c r="D534" s="6"/>
      <x:c r="E534" s="6"/>
      <x:c r="F534" s="6"/>
      <x:c r="G534" s="6"/>
      <x:c r="H534" s="6"/>
      <x:c r="I534" s="6"/>
      <x:c r="J534" s="6"/>
      <x:c r="K534" s="6"/>
      <x:c r="L534" s="6"/>
      <x:c r="M534" s="6"/>
      <x:c r="N534" s="6"/>
      <x:c r="O534" s="6"/>
      <x:c r="P534" s="6"/>
      <x:c r="Q534" s="6"/>
      <x:c r="R534" s="6"/>
      <x:c r="S534" s="6"/>
      <x:c r="T534" s="6"/>
      <x:c r="U534" s="6"/>
      <x:c r="V534" s="6" t="str">
        <x:f>IF(ISBLANK('_INSTANCE'!B534),"",'_INSTANCE'!B534)</x:f>
      </x:c>
      <x:c r="W534" s="6" t="str">
        <x:f>IF(ISBLANK('_INSTANCE'!F534),"",'_INSTANCE'!F534)</x:f>
      </x:c>
      <x:c r="X534" s="6"/>
      <x:c r="Y534" s="6"/>
      <x:c r="Z534" s="6"/>
      <x:c r="AA534" s="6"/>
      <x:c r="AB534" s="6"/>
      <x:c r="AC534" s="6"/>
      <x:c r="AD534" s="6"/>
      <x:c r="AE534" s="6"/>
      <x:c r="AF534" s="6"/>
    </x:row>
    <x:row r="535">
      <x:c r="A535" s="6"/>
      <x:c r="B535" s="6"/>
      <x:c r="C535" s="6"/>
      <x:c r="D535" s="6"/>
      <x:c r="E535" s="6"/>
      <x:c r="F535" s="6"/>
      <x:c r="G535" s="6"/>
      <x:c r="H535" s="6"/>
      <x:c r="I535" s="6"/>
      <x:c r="J535" s="6"/>
      <x:c r="K535" s="6"/>
      <x:c r="L535" s="6"/>
      <x:c r="M535" s="6"/>
      <x:c r="N535" s="6"/>
      <x:c r="O535" s="6"/>
      <x:c r="P535" s="6"/>
      <x:c r="Q535" s="6"/>
      <x:c r="R535" s="6"/>
      <x:c r="S535" s="6"/>
      <x:c r="T535" s="6"/>
      <x:c r="U535" s="6"/>
      <x:c r="V535" s="6" t="str">
        <x:f>IF(ISBLANK('_INSTANCE'!B535),"",'_INSTANCE'!B535)</x:f>
      </x:c>
      <x:c r="W535" s="6" t="str">
        <x:f>IF(ISBLANK('_INSTANCE'!F535),"",'_INSTANCE'!F535)</x:f>
      </x:c>
      <x:c r="X535" s="6"/>
      <x:c r="Y535" s="6"/>
      <x:c r="Z535" s="6"/>
      <x:c r="AA535" s="6"/>
      <x:c r="AB535" s="6"/>
      <x:c r="AC535" s="6"/>
      <x:c r="AD535" s="6"/>
      <x:c r="AE535" s="6"/>
      <x:c r="AF535" s="6"/>
    </x:row>
    <x:row r="536">
      <x:c r="A536" s="6"/>
      <x:c r="B536" s="6"/>
      <x:c r="C536" s="6"/>
      <x:c r="D536" s="6"/>
      <x:c r="E536" s="6"/>
      <x:c r="F536" s="6"/>
      <x:c r="G536" s="6"/>
      <x:c r="H536" s="6"/>
      <x:c r="I536" s="6"/>
      <x:c r="J536" s="6"/>
      <x:c r="K536" s="6"/>
      <x:c r="L536" s="6"/>
      <x:c r="M536" s="6"/>
      <x:c r="N536" s="6"/>
      <x:c r="O536" s="6"/>
      <x:c r="P536" s="6"/>
      <x:c r="Q536" s="6"/>
      <x:c r="R536" s="6"/>
      <x:c r="S536" s="6"/>
      <x:c r="T536" s="6"/>
      <x:c r="U536" s="6"/>
      <x:c r="V536" s="6" t="str">
        <x:f>IF(ISBLANK('_INSTANCE'!B536),"",'_INSTANCE'!B536)</x:f>
      </x:c>
      <x:c r="W536" s="6" t="str">
        <x:f>IF(ISBLANK('_INSTANCE'!F536),"",'_INSTANCE'!F536)</x:f>
      </x:c>
      <x:c r="X536" s="6"/>
      <x:c r="Y536" s="6"/>
      <x:c r="Z536" s="6"/>
      <x:c r="AA536" s="6"/>
      <x:c r="AB536" s="6"/>
      <x:c r="AC536" s="6"/>
      <x:c r="AD536" s="6"/>
      <x:c r="AE536" s="6"/>
      <x:c r="AF536" s="6"/>
    </x:row>
    <x:row r="537">
      <x:c r="A537" s="6"/>
      <x:c r="B537" s="6"/>
      <x:c r="C537" s="6"/>
      <x:c r="D537" s="6"/>
      <x:c r="E537" s="6"/>
      <x:c r="F537" s="6"/>
      <x:c r="G537" s="6"/>
      <x:c r="H537" s="6"/>
      <x:c r="I537" s="6"/>
      <x:c r="J537" s="6"/>
      <x:c r="K537" s="6"/>
      <x:c r="L537" s="6"/>
      <x:c r="M537" s="6"/>
      <x:c r="N537" s="6"/>
      <x:c r="O537" s="6"/>
      <x:c r="P537" s="6"/>
      <x:c r="Q537" s="6"/>
      <x:c r="R537" s="6"/>
      <x:c r="S537" s="6"/>
      <x:c r="T537" s="6"/>
      <x:c r="U537" s="6"/>
      <x:c r="V537" s="6" t="str">
        <x:f>IF(ISBLANK('_INSTANCE'!B537),"",'_INSTANCE'!B537)</x:f>
      </x:c>
      <x:c r="W537" s="6" t="str">
        <x:f>IF(ISBLANK('_INSTANCE'!F537),"",'_INSTANCE'!F537)</x:f>
      </x:c>
      <x:c r="X537" s="6"/>
      <x:c r="Y537" s="6"/>
      <x:c r="Z537" s="6"/>
      <x:c r="AA537" s="6"/>
      <x:c r="AB537" s="6"/>
      <x:c r="AC537" s="6"/>
      <x:c r="AD537" s="6"/>
      <x:c r="AE537" s="6"/>
      <x:c r="AF537" s="6"/>
    </x:row>
    <x:row r="538">
      <x:c r="A538" s="6"/>
      <x:c r="B538" s="6"/>
      <x:c r="C538" s="6"/>
      <x:c r="D538" s="6"/>
      <x:c r="E538" s="6"/>
      <x:c r="F538" s="6"/>
      <x:c r="G538" s="6"/>
      <x:c r="H538" s="6"/>
      <x:c r="I538" s="6"/>
      <x:c r="J538" s="6"/>
      <x:c r="K538" s="6"/>
      <x:c r="L538" s="6"/>
      <x:c r="M538" s="6"/>
      <x:c r="N538" s="6"/>
      <x:c r="O538" s="6"/>
      <x:c r="P538" s="6"/>
      <x:c r="Q538" s="6"/>
      <x:c r="R538" s="6"/>
      <x:c r="S538" s="6"/>
      <x:c r="T538" s="6"/>
      <x:c r="U538" s="6"/>
      <x:c r="V538" s="6" t="str">
        <x:f>IF(ISBLANK('_INSTANCE'!B538),"",'_INSTANCE'!B538)</x:f>
      </x:c>
      <x:c r="W538" s="6" t="str">
        <x:f>IF(ISBLANK('_INSTANCE'!F538),"",'_INSTANCE'!F538)</x:f>
      </x:c>
      <x:c r="X538" s="6"/>
      <x:c r="Y538" s="6"/>
      <x:c r="Z538" s="6"/>
      <x:c r="AA538" s="6"/>
      <x:c r="AB538" s="6"/>
      <x:c r="AC538" s="6"/>
      <x:c r="AD538" s="6"/>
      <x:c r="AE538" s="6"/>
      <x:c r="AF538" s="6"/>
    </x:row>
    <x:row r="539">
      <x:c r="A539" s="6"/>
      <x:c r="B539" s="6"/>
      <x:c r="C539" s="6"/>
      <x:c r="D539" s="6"/>
      <x:c r="E539" s="6"/>
      <x:c r="F539" s="6"/>
      <x:c r="G539" s="6"/>
      <x:c r="H539" s="6"/>
      <x:c r="I539" s="6"/>
      <x:c r="J539" s="6"/>
      <x:c r="K539" s="6"/>
      <x:c r="L539" s="6"/>
      <x:c r="M539" s="6"/>
      <x:c r="N539" s="6"/>
      <x:c r="O539" s="6"/>
      <x:c r="P539" s="6"/>
      <x:c r="Q539" s="6"/>
      <x:c r="R539" s="6"/>
      <x:c r="S539" s="6"/>
      <x:c r="T539" s="6"/>
      <x:c r="U539" s="6"/>
      <x:c r="V539" s="6" t="str">
        <x:f>IF(ISBLANK('_INSTANCE'!B539),"",'_INSTANCE'!B539)</x:f>
      </x:c>
      <x:c r="W539" s="6" t="str">
        <x:f>IF(ISBLANK('_INSTANCE'!F539),"",'_INSTANCE'!F539)</x:f>
      </x:c>
      <x:c r="X539" s="6"/>
      <x:c r="Y539" s="6"/>
      <x:c r="Z539" s="6"/>
      <x:c r="AA539" s="6"/>
      <x:c r="AB539" s="6"/>
      <x:c r="AC539" s="6"/>
      <x:c r="AD539" s="6"/>
      <x:c r="AE539" s="6"/>
      <x:c r="AF539" s="6"/>
    </x:row>
    <x:row r="540">
      <x:c r="A540" s="6"/>
      <x:c r="B540" s="6"/>
      <x:c r="C540" s="6"/>
      <x:c r="D540" s="6"/>
      <x:c r="E540" s="6"/>
      <x:c r="F540" s="6"/>
      <x:c r="G540" s="6"/>
      <x:c r="H540" s="6"/>
      <x:c r="I540" s="6"/>
      <x:c r="J540" s="6"/>
      <x:c r="K540" s="6"/>
      <x:c r="L540" s="6"/>
      <x:c r="M540" s="6"/>
      <x:c r="N540" s="6"/>
      <x:c r="O540" s="6"/>
      <x:c r="P540" s="6"/>
      <x:c r="Q540" s="6"/>
      <x:c r="R540" s="6"/>
      <x:c r="S540" s="6"/>
      <x:c r="T540" s="6"/>
      <x:c r="U540" s="6"/>
      <x:c r="V540" s="6" t="str">
        <x:f>IF(ISBLANK('_INSTANCE'!B540),"",'_INSTANCE'!B540)</x:f>
      </x:c>
      <x:c r="W540" s="6" t="str">
        <x:f>IF(ISBLANK('_INSTANCE'!F540),"",'_INSTANCE'!F540)</x:f>
      </x:c>
      <x:c r="X540" s="6"/>
      <x:c r="Y540" s="6"/>
      <x:c r="Z540" s="6"/>
      <x:c r="AA540" s="6"/>
      <x:c r="AB540" s="6"/>
      <x:c r="AC540" s="6"/>
      <x:c r="AD540" s="6"/>
      <x:c r="AE540" s="6"/>
      <x:c r="AF540" s="6"/>
    </x:row>
    <x:row r="541">
      <x:c r="A541" s="6"/>
      <x:c r="B541" s="6"/>
      <x:c r="C541" s="6"/>
      <x:c r="D541" s="6"/>
      <x:c r="E541" s="6"/>
      <x:c r="F541" s="6"/>
      <x:c r="G541" s="6"/>
      <x:c r="H541" s="6"/>
      <x:c r="I541" s="6"/>
      <x:c r="J541" s="6"/>
      <x:c r="K541" s="6"/>
      <x:c r="L541" s="6"/>
      <x:c r="M541" s="6"/>
      <x:c r="N541" s="6"/>
      <x:c r="O541" s="6"/>
      <x:c r="P541" s="6"/>
      <x:c r="Q541" s="6"/>
      <x:c r="R541" s="6"/>
      <x:c r="S541" s="6"/>
      <x:c r="T541" s="6"/>
      <x:c r="U541" s="6"/>
      <x:c r="V541" s="6" t="str">
        <x:f>IF(ISBLANK('_INSTANCE'!B541),"",'_INSTANCE'!B541)</x:f>
      </x:c>
      <x:c r="W541" s="6" t="str">
        <x:f>IF(ISBLANK('_INSTANCE'!F541),"",'_INSTANCE'!F541)</x:f>
      </x:c>
      <x:c r="X541" s="6"/>
      <x:c r="Y541" s="6"/>
      <x:c r="Z541" s="6"/>
      <x:c r="AA541" s="6"/>
      <x:c r="AB541" s="6"/>
      <x:c r="AC541" s="6"/>
      <x:c r="AD541" s="6"/>
      <x:c r="AE541" s="6"/>
      <x:c r="AF541" s="6"/>
    </x:row>
    <x:row r="542">
      <x:c r="A542" s="6"/>
      <x:c r="B542" s="6"/>
      <x:c r="C542" s="6"/>
      <x:c r="D542" s="6"/>
      <x:c r="E542" s="6"/>
      <x:c r="F542" s="6"/>
      <x:c r="G542" s="6"/>
      <x:c r="H542" s="6"/>
      <x:c r="I542" s="6"/>
      <x:c r="J542" s="6"/>
      <x:c r="K542" s="6"/>
      <x:c r="L542" s="6"/>
      <x:c r="M542" s="6"/>
      <x:c r="N542" s="6"/>
      <x:c r="O542" s="6"/>
      <x:c r="P542" s="6"/>
      <x:c r="Q542" s="6"/>
      <x:c r="R542" s="6"/>
      <x:c r="S542" s="6"/>
      <x:c r="T542" s="6"/>
      <x:c r="U542" s="6"/>
      <x:c r="V542" s="6" t="str">
        <x:f>IF(ISBLANK('_INSTANCE'!B542),"",'_INSTANCE'!B542)</x:f>
      </x:c>
      <x:c r="W542" s="6" t="str">
        <x:f>IF(ISBLANK('_INSTANCE'!F542),"",'_INSTANCE'!F542)</x:f>
      </x:c>
      <x:c r="X542" s="6"/>
      <x:c r="Y542" s="6"/>
      <x:c r="Z542" s="6"/>
      <x:c r="AA542" s="6"/>
      <x:c r="AB542" s="6"/>
      <x:c r="AC542" s="6"/>
      <x:c r="AD542" s="6"/>
      <x:c r="AE542" s="6"/>
      <x:c r="AF542" s="6"/>
    </x:row>
    <x:row r="543">
      <x:c r="A543" s="6"/>
      <x:c r="B543" s="6"/>
      <x:c r="C543" s="6"/>
      <x:c r="D543" s="6"/>
      <x:c r="E543" s="6"/>
      <x:c r="F543" s="6"/>
      <x:c r="G543" s="6"/>
      <x:c r="H543" s="6"/>
      <x:c r="I543" s="6"/>
      <x:c r="J543" s="6"/>
      <x:c r="K543" s="6"/>
      <x:c r="L543" s="6"/>
      <x:c r="M543" s="6"/>
      <x:c r="N543" s="6"/>
      <x:c r="O543" s="6"/>
      <x:c r="P543" s="6"/>
      <x:c r="Q543" s="6"/>
      <x:c r="R543" s="6"/>
      <x:c r="S543" s="6"/>
      <x:c r="T543" s="6"/>
      <x:c r="U543" s="6"/>
      <x:c r="V543" s="6" t="str">
        <x:f>IF(ISBLANK('_INSTANCE'!B543),"",'_INSTANCE'!B543)</x:f>
      </x:c>
      <x:c r="W543" s="6" t="str">
        <x:f>IF(ISBLANK('_INSTANCE'!F543),"",'_INSTANCE'!F543)</x:f>
      </x:c>
      <x:c r="X543" s="6"/>
      <x:c r="Y543" s="6"/>
      <x:c r="Z543" s="6"/>
      <x:c r="AA543" s="6"/>
      <x:c r="AB543" s="6"/>
      <x:c r="AC543" s="6"/>
      <x:c r="AD543" s="6"/>
      <x:c r="AE543" s="6"/>
      <x:c r="AF543" s="6"/>
    </x:row>
    <x:row r="544">
      <x:c r="A544" s="6"/>
      <x:c r="B544" s="6"/>
      <x:c r="C544" s="6"/>
      <x:c r="D544" s="6"/>
      <x:c r="E544" s="6"/>
      <x:c r="F544" s="6"/>
      <x:c r="G544" s="6"/>
      <x:c r="H544" s="6"/>
      <x:c r="I544" s="6"/>
      <x:c r="J544" s="6"/>
      <x:c r="K544" s="6"/>
      <x:c r="L544" s="6"/>
      <x:c r="M544" s="6"/>
      <x:c r="N544" s="6"/>
      <x:c r="O544" s="6"/>
      <x:c r="P544" s="6"/>
      <x:c r="Q544" s="6"/>
      <x:c r="R544" s="6"/>
      <x:c r="S544" s="6"/>
      <x:c r="T544" s="6"/>
      <x:c r="U544" s="6"/>
      <x:c r="V544" s="6" t="str">
        <x:f>IF(ISBLANK('_INSTANCE'!B544),"",'_INSTANCE'!B544)</x:f>
      </x:c>
      <x:c r="W544" s="6" t="str">
        <x:f>IF(ISBLANK('_INSTANCE'!F544),"",'_INSTANCE'!F544)</x:f>
      </x:c>
      <x:c r="X544" s="6"/>
      <x:c r="Y544" s="6"/>
      <x:c r="Z544" s="6"/>
      <x:c r="AA544" s="6"/>
      <x:c r="AB544" s="6"/>
      <x:c r="AC544" s="6"/>
      <x:c r="AD544" s="6"/>
      <x:c r="AE544" s="6"/>
      <x:c r="AF544" s="6"/>
    </x:row>
    <x:row r="545">
      <x:c r="A545" s="6"/>
      <x:c r="B545" s="6"/>
      <x:c r="C545" s="6"/>
      <x:c r="D545" s="6"/>
      <x:c r="E545" s="6"/>
      <x:c r="F545" s="6"/>
      <x:c r="G545" s="6"/>
      <x:c r="H545" s="6"/>
      <x:c r="I545" s="6"/>
      <x:c r="J545" s="6"/>
      <x:c r="K545" s="6"/>
      <x:c r="L545" s="6"/>
      <x:c r="M545" s="6"/>
      <x:c r="N545" s="6"/>
      <x:c r="O545" s="6"/>
      <x:c r="P545" s="6"/>
      <x:c r="Q545" s="6"/>
      <x:c r="R545" s="6"/>
      <x:c r="S545" s="6"/>
      <x:c r="T545" s="6"/>
      <x:c r="U545" s="6"/>
      <x:c r="V545" s="6" t="str">
        <x:f>IF(ISBLANK('_INSTANCE'!B545),"",'_INSTANCE'!B545)</x:f>
      </x:c>
      <x:c r="W545" s="6" t="str">
        <x:f>IF(ISBLANK('_INSTANCE'!F545),"",'_INSTANCE'!F545)</x:f>
      </x:c>
      <x:c r="X545" s="6"/>
      <x:c r="Y545" s="6"/>
      <x:c r="Z545" s="6"/>
      <x:c r="AA545" s="6"/>
      <x:c r="AB545" s="6"/>
      <x:c r="AC545" s="6"/>
      <x:c r="AD545" s="6"/>
      <x:c r="AE545" s="6"/>
      <x:c r="AF545" s="6"/>
    </x:row>
    <x:row r="546">
      <x:c r="A546" s="6"/>
      <x:c r="B546" s="6"/>
      <x:c r="C546" s="6"/>
      <x:c r="D546" s="6"/>
      <x:c r="E546" s="6"/>
      <x:c r="F546" s="6"/>
      <x:c r="G546" s="6"/>
      <x:c r="H546" s="6"/>
      <x:c r="I546" s="6"/>
      <x:c r="J546" s="6"/>
      <x:c r="K546" s="6"/>
      <x:c r="L546" s="6"/>
      <x:c r="M546" s="6"/>
      <x:c r="N546" s="6"/>
      <x:c r="O546" s="6"/>
      <x:c r="P546" s="6"/>
      <x:c r="Q546" s="6"/>
      <x:c r="R546" s="6"/>
      <x:c r="S546" s="6"/>
      <x:c r="T546" s="6"/>
      <x:c r="U546" s="6"/>
      <x:c r="V546" s="6" t="str">
        <x:f>IF(ISBLANK('_INSTANCE'!B546),"",'_INSTANCE'!B546)</x:f>
      </x:c>
      <x:c r="W546" s="6" t="str">
        <x:f>IF(ISBLANK('_INSTANCE'!F546),"",'_INSTANCE'!F546)</x:f>
      </x:c>
      <x:c r="X546" s="6"/>
      <x:c r="Y546" s="6"/>
      <x:c r="Z546" s="6"/>
      <x:c r="AA546" s="6"/>
      <x:c r="AB546" s="6"/>
      <x:c r="AC546" s="6"/>
      <x:c r="AD546" s="6"/>
      <x:c r="AE546" s="6"/>
      <x:c r="AF546" s="6"/>
    </x:row>
    <x:row r="547">
      <x:c r="A547" s="6"/>
      <x:c r="B547" s="6"/>
      <x:c r="C547" s="6"/>
      <x:c r="D547" s="6"/>
      <x:c r="E547" s="6"/>
      <x:c r="F547" s="6"/>
      <x:c r="G547" s="6"/>
      <x:c r="H547" s="6"/>
      <x:c r="I547" s="6"/>
      <x:c r="J547" s="6"/>
      <x:c r="K547" s="6"/>
      <x:c r="L547" s="6"/>
      <x:c r="M547" s="6"/>
      <x:c r="N547" s="6"/>
      <x:c r="O547" s="6"/>
      <x:c r="P547" s="6"/>
      <x:c r="Q547" s="6"/>
      <x:c r="R547" s="6"/>
      <x:c r="S547" s="6"/>
      <x:c r="T547" s="6"/>
      <x:c r="U547" s="6"/>
      <x:c r="V547" s="6" t="str">
        <x:f>IF(ISBLANK('_INSTANCE'!B547),"",'_INSTANCE'!B547)</x:f>
      </x:c>
      <x:c r="W547" s="6" t="str">
        <x:f>IF(ISBLANK('_INSTANCE'!F547),"",'_INSTANCE'!F547)</x:f>
      </x:c>
      <x:c r="X547" s="6"/>
      <x:c r="Y547" s="6"/>
      <x:c r="Z547" s="6"/>
      <x:c r="AA547" s="6"/>
      <x:c r="AB547" s="6"/>
      <x:c r="AC547" s="6"/>
      <x:c r="AD547" s="6"/>
      <x:c r="AE547" s="6"/>
      <x:c r="AF547" s="6"/>
    </x:row>
    <x:row r="548">
      <x:c r="A548" s="6"/>
      <x:c r="B548" s="6"/>
      <x:c r="C548" s="6"/>
      <x:c r="D548" s="6"/>
      <x:c r="E548" s="6"/>
      <x:c r="F548" s="6"/>
      <x:c r="G548" s="6"/>
      <x:c r="H548" s="6"/>
      <x:c r="I548" s="6"/>
      <x:c r="J548" s="6"/>
      <x:c r="K548" s="6"/>
      <x:c r="L548" s="6"/>
      <x:c r="M548" s="6"/>
      <x:c r="N548" s="6"/>
      <x:c r="O548" s="6"/>
      <x:c r="P548" s="6"/>
      <x:c r="Q548" s="6"/>
      <x:c r="R548" s="6"/>
      <x:c r="S548" s="6"/>
      <x:c r="T548" s="6"/>
      <x:c r="U548" s="6"/>
      <x:c r="V548" s="6" t="str">
        <x:f>IF(ISBLANK('_INSTANCE'!B548),"",'_INSTANCE'!B548)</x:f>
      </x:c>
      <x:c r="W548" s="6" t="str">
        <x:f>IF(ISBLANK('_INSTANCE'!F548),"",'_INSTANCE'!F548)</x:f>
      </x:c>
      <x:c r="X548" s="6"/>
      <x:c r="Y548" s="6"/>
      <x:c r="Z548" s="6"/>
      <x:c r="AA548" s="6"/>
      <x:c r="AB548" s="6"/>
      <x:c r="AC548" s="6"/>
      <x:c r="AD548" s="6"/>
      <x:c r="AE548" s="6"/>
      <x:c r="AF548" s="6"/>
    </x:row>
    <x:row r="549">
      <x:c r="A549" s="6"/>
      <x:c r="B549" s="6"/>
      <x:c r="C549" s="6"/>
      <x:c r="D549" s="6"/>
      <x:c r="E549" s="6"/>
      <x:c r="F549" s="6"/>
      <x:c r="G549" s="6"/>
      <x:c r="H549" s="6"/>
      <x:c r="I549" s="6"/>
      <x:c r="J549" s="6"/>
      <x:c r="K549" s="6"/>
      <x:c r="L549" s="6"/>
      <x:c r="M549" s="6"/>
      <x:c r="N549" s="6"/>
      <x:c r="O549" s="6"/>
      <x:c r="P549" s="6"/>
      <x:c r="Q549" s="6"/>
      <x:c r="R549" s="6"/>
      <x:c r="S549" s="6"/>
      <x:c r="T549" s="6"/>
      <x:c r="U549" s="6"/>
      <x:c r="V549" s="6" t="str">
        <x:f>IF(ISBLANK('_INSTANCE'!B549),"",'_INSTANCE'!B549)</x:f>
      </x:c>
      <x:c r="W549" s="6" t="str">
        <x:f>IF(ISBLANK('_INSTANCE'!F549),"",'_INSTANCE'!F549)</x:f>
      </x:c>
      <x:c r="X549" s="6"/>
      <x:c r="Y549" s="6"/>
      <x:c r="Z549" s="6"/>
      <x:c r="AA549" s="6"/>
      <x:c r="AB549" s="6"/>
      <x:c r="AC549" s="6"/>
      <x:c r="AD549" s="6"/>
      <x:c r="AE549" s="6"/>
      <x:c r="AF549" s="6"/>
    </x:row>
    <x:row r="550">
      <x:c r="A550" s="6"/>
      <x:c r="B550" s="6"/>
      <x:c r="C550" s="6"/>
      <x:c r="D550" s="6"/>
      <x:c r="E550" s="6"/>
      <x:c r="F550" s="6"/>
      <x:c r="G550" s="6"/>
      <x:c r="H550" s="6"/>
      <x:c r="I550" s="6"/>
      <x:c r="J550" s="6"/>
      <x:c r="K550" s="6"/>
      <x:c r="L550" s="6"/>
      <x:c r="M550" s="6"/>
      <x:c r="N550" s="6"/>
      <x:c r="O550" s="6"/>
      <x:c r="P550" s="6"/>
      <x:c r="Q550" s="6"/>
      <x:c r="R550" s="6"/>
      <x:c r="S550" s="6"/>
      <x:c r="T550" s="6"/>
      <x:c r="U550" s="6"/>
      <x:c r="V550" s="6" t="str">
        <x:f>IF(ISBLANK('_INSTANCE'!B550),"",'_INSTANCE'!B550)</x:f>
      </x:c>
      <x:c r="W550" s="6" t="str">
        <x:f>IF(ISBLANK('_INSTANCE'!F550),"",'_INSTANCE'!F550)</x:f>
      </x:c>
      <x:c r="X550" s="6"/>
      <x:c r="Y550" s="6"/>
      <x:c r="Z550" s="6"/>
      <x:c r="AA550" s="6"/>
      <x:c r="AB550" s="6"/>
      <x:c r="AC550" s="6"/>
      <x:c r="AD550" s="6"/>
      <x:c r="AE550" s="6"/>
      <x:c r="AF550" s="6"/>
    </x:row>
    <x:row r="551">
      <x:c r="A551" s="6"/>
      <x:c r="B551" s="6"/>
      <x:c r="C551" s="6"/>
      <x:c r="D551" s="6"/>
      <x:c r="E551" s="6"/>
      <x:c r="F551" s="6"/>
      <x:c r="G551" s="6"/>
      <x:c r="H551" s="6"/>
      <x:c r="I551" s="6"/>
      <x:c r="J551" s="6"/>
      <x:c r="K551" s="6"/>
      <x:c r="L551" s="6"/>
      <x:c r="M551" s="6"/>
      <x:c r="N551" s="6"/>
      <x:c r="O551" s="6"/>
      <x:c r="P551" s="6"/>
      <x:c r="Q551" s="6"/>
      <x:c r="R551" s="6"/>
      <x:c r="S551" s="6"/>
      <x:c r="T551" s="6"/>
      <x:c r="U551" s="6"/>
      <x:c r="V551" s="6" t="str">
        <x:f>IF(ISBLANK('_INSTANCE'!B551),"",'_INSTANCE'!B551)</x:f>
      </x:c>
      <x:c r="W551" s="6" t="str">
        <x:f>IF(ISBLANK('_INSTANCE'!F551),"",'_INSTANCE'!F551)</x:f>
      </x:c>
      <x:c r="X551" s="6"/>
      <x:c r="Y551" s="6"/>
      <x:c r="Z551" s="6"/>
      <x:c r="AA551" s="6"/>
      <x:c r="AB551" s="6"/>
      <x:c r="AC551" s="6"/>
      <x:c r="AD551" s="6"/>
      <x:c r="AE551" s="6"/>
      <x:c r="AF551" s="6"/>
    </x:row>
    <x:row r="552">
      <x:c r="A552" s="6"/>
      <x:c r="B552" s="6"/>
      <x:c r="C552" s="6"/>
      <x:c r="D552" s="6"/>
      <x:c r="E552" s="6"/>
      <x:c r="F552" s="6"/>
      <x:c r="G552" s="6"/>
      <x:c r="H552" s="6"/>
      <x:c r="I552" s="6"/>
      <x:c r="J552" s="6"/>
      <x:c r="K552" s="6"/>
      <x:c r="L552" s="6"/>
      <x:c r="M552" s="6"/>
      <x:c r="N552" s="6"/>
      <x:c r="O552" s="6"/>
      <x:c r="P552" s="6"/>
      <x:c r="Q552" s="6"/>
      <x:c r="R552" s="6"/>
      <x:c r="S552" s="6"/>
      <x:c r="T552" s="6"/>
      <x:c r="U552" s="6"/>
      <x:c r="V552" s="6" t="str">
        <x:f>IF(ISBLANK('_INSTANCE'!B552),"",'_INSTANCE'!B552)</x:f>
      </x:c>
      <x:c r="W552" s="6" t="str">
        <x:f>IF(ISBLANK('_INSTANCE'!F552),"",'_INSTANCE'!F552)</x:f>
      </x:c>
      <x:c r="X552" s="6"/>
      <x:c r="Y552" s="6"/>
      <x:c r="Z552" s="6"/>
      <x:c r="AA552" s="6"/>
      <x:c r="AB552" s="6"/>
      <x:c r="AC552" s="6"/>
      <x:c r="AD552" s="6"/>
      <x:c r="AE552" s="6"/>
      <x:c r="AF552" s="6"/>
    </x:row>
    <x:row r="553">
      <x:c r="A553" s="6"/>
      <x:c r="B553" s="6"/>
      <x:c r="C553" s="6"/>
      <x:c r="D553" s="6"/>
      <x:c r="E553" s="6"/>
      <x:c r="F553" s="6"/>
      <x:c r="G553" s="6"/>
      <x:c r="H553" s="6"/>
      <x:c r="I553" s="6"/>
      <x:c r="J553" s="6"/>
      <x:c r="K553" s="6"/>
      <x:c r="L553" s="6"/>
      <x:c r="M553" s="6"/>
      <x:c r="N553" s="6"/>
      <x:c r="O553" s="6"/>
      <x:c r="P553" s="6"/>
      <x:c r="Q553" s="6"/>
      <x:c r="R553" s="6"/>
      <x:c r="S553" s="6"/>
      <x:c r="T553" s="6"/>
      <x:c r="U553" s="6"/>
      <x:c r="V553" s="6" t="str">
        <x:f>IF(ISBLANK('_INSTANCE'!B553),"",'_INSTANCE'!B553)</x:f>
      </x:c>
      <x:c r="W553" s="6" t="str">
        <x:f>IF(ISBLANK('_INSTANCE'!F553),"",'_INSTANCE'!F553)</x:f>
      </x:c>
      <x:c r="X553" s="6"/>
      <x:c r="Y553" s="6"/>
      <x:c r="Z553" s="6"/>
      <x:c r="AA553" s="6"/>
      <x:c r="AB553" s="6"/>
      <x:c r="AC553" s="6"/>
      <x:c r="AD553" s="6"/>
      <x:c r="AE553" s="6"/>
      <x:c r="AF553" s="6"/>
    </x:row>
    <x:row r="554">
      <x:c r="A554" s="6"/>
      <x:c r="B554" s="6"/>
      <x:c r="C554" s="6"/>
      <x:c r="D554" s="6"/>
      <x:c r="E554" s="6"/>
      <x:c r="F554" s="6"/>
      <x:c r="G554" s="6"/>
      <x:c r="H554" s="6"/>
      <x:c r="I554" s="6"/>
      <x:c r="J554" s="6"/>
      <x:c r="K554" s="6"/>
      <x:c r="L554" s="6"/>
      <x:c r="M554" s="6"/>
      <x:c r="N554" s="6"/>
      <x:c r="O554" s="6"/>
      <x:c r="P554" s="6"/>
      <x:c r="Q554" s="6"/>
      <x:c r="R554" s="6"/>
      <x:c r="S554" s="6"/>
      <x:c r="T554" s="6"/>
      <x:c r="U554" s="6"/>
      <x:c r="V554" s="6" t="str">
        <x:f>IF(ISBLANK('_INSTANCE'!B554),"",'_INSTANCE'!B554)</x:f>
      </x:c>
      <x:c r="W554" s="6" t="str">
        <x:f>IF(ISBLANK('_INSTANCE'!F554),"",'_INSTANCE'!F554)</x:f>
      </x:c>
      <x:c r="X554" s="6"/>
      <x:c r="Y554" s="6"/>
      <x:c r="Z554" s="6"/>
      <x:c r="AA554" s="6"/>
      <x:c r="AB554" s="6"/>
      <x:c r="AC554" s="6"/>
      <x:c r="AD554" s="6"/>
      <x:c r="AE554" s="6"/>
      <x:c r="AF554" s="6"/>
    </x:row>
    <x:row r="555">
      <x:c r="A555" s="6"/>
      <x:c r="B555" s="6"/>
      <x:c r="C555" s="6"/>
      <x:c r="D555" s="6"/>
      <x:c r="E555" s="6"/>
      <x:c r="F555" s="6"/>
      <x:c r="G555" s="6"/>
      <x:c r="H555" s="6"/>
      <x:c r="I555" s="6"/>
      <x:c r="J555" s="6"/>
      <x:c r="K555" s="6"/>
      <x:c r="L555" s="6"/>
      <x:c r="M555" s="6"/>
      <x:c r="N555" s="6"/>
      <x:c r="O555" s="6"/>
      <x:c r="P555" s="6"/>
      <x:c r="Q555" s="6"/>
      <x:c r="R555" s="6"/>
      <x:c r="S555" s="6"/>
      <x:c r="T555" s="6"/>
      <x:c r="U555" s="6"/>
      <x:c r="V555" s="6" t="str">
        <x:f>IF(ISBLANK('_INSTANCE'!B555),"",'_INSTANCE'!B555)</x:f>
      </x:c>
      <x:c r="W555" s="6" t="str">
        <x:f>IF(ISBLANK('_INSTANCE'!F555),"",'_INSTANCE'!F555)</x:f>
      </x:c>
      <x:c r="X555" s="6"/>
      <x:c r="Y555" s="6"/>
      <x:c r="Z555" s="6"/>
      <x:c r="AA555" s="6"/>
      <x:c r="AB555" s="6"/>
      <x:c r="AC555" s="6"/>
      <x:c r="AD555" s="6"/>
      <x:c r="AE555" s="6"/>
      <x:c r="AF555" s="6"/>
    </x:row>
    <x:row r="556">
      <x:c r="A556" s="6"/>
      <x:c r="B556" s="6"/>
      <x:c r="C556" s="6"/>
      <x:c r="D556" s="6"/>
      <x:c r="E556" s="6"/>
      <x:c r="F556" s="6"/>
      <x:c r="G556" s="6"/>
      <x:c r="H556" s="6"/>
      <x:c r="I556" s="6"/>
      <x:c r="J556" s="6"/>
      <x:c r="K556" s="6"/>
      <x:c r="L556" s="6"/>
      <x:c r="M556" s="6"/>
      <x:c r="N556" s="6"/>
      <x:c r="O556" s="6"/>
      <x:c r="P556" s="6"/>
      <x:c r="Q556" s="6"/>
      <x:c r="R556" s="6"/>
      <x:c r="S556" s="6"/>
      <x:c r="T556" s="6"/>
      <x:c r="U556" s="6"/>
      <x:c r="V556" s="6" t="str">
        <x:f>IF(ISBLANK('_INSTANCE'!B556),"",'_INSTANCE'!B556)</x:f>
      </x:c>
      <x:c r="W556" s="6" t="str">
        <x:f>IF(ISBLANK('_INSTANCE'!F556),"",'_INSTANCE'!F556)</x:f>
      </x:c>
      <x:c r="X556" s="6"/>
      <x:c r="Y556" s="6"/>
      <x:c r="Z556" s="6"/>
      <x:c r="AA556" s="6"/>
      <x:c r="AB556" s="6"/>
      <x:c r="AC556" s="6"/>
      <x:c r="AD556" s="6"/>
      <x:c r="AE556" s="6"/>
      <x:c r="AF556" s="6"/>
    </x:row>
    <x:row r="557">
      <x:c r="A557" s="6"/>
      <x:c r="B557" s="6"/>
      <x:c r="C557" s="6"/>
      <x:c r="D557" s="6"/>
      <x:c r="E557" s="6"/>
      <x:c r="F557" s="6"/>
      <x:c r="G557" s="6"/>
      <x:c r="H557" s="6"/>
      <x:c r="I557" s="6"/>
      <x:c r="J557" s="6"/>
      <x:c r="K557" s="6"/>
      <x:c r="L557" s="6"/>
      <x:c r="M557" s="6"/>
      <x:c r="N557" s="6"/>
      <x:c r="O557" s="6"/>
      <x:c r="P557" s="6"/>
      <x:c r="Q557" s="6"/>
      <x:c r="R557" s="6"/>
      <x:c r="S557" s="6"/>
      <x:c r="T557" s="6"/>
      <x:c r="U557" s="6"/>
      <x:c r="V557" s="6" t="str">
        <x:f>IF(ISBLANK('_INSTANCE'!B557),"",'_INSTANCE'!B557)</x:f>
      </x:c>
      <x:c r="W557" s="6" t="str">
        <x:f>IF(ISBLANK('_INSTANCE'!F557),"",'_INSTANCE'!F557)</x:f>
      </x:c>
      <x:c r="X557" s="6"/>
      <x:c r="Y557" s="6"/>
      <x:c r="Z557" s="6"/>
      <x:c r="AA557" s="6"/>
      <x:c r="AB557" s="6"/>
      <x:c r="AC557" s="6"/>
      <x:c r="AD557" s="6"/>
      <x:c r="AE557" s="6"/>
      <x:c r="AF557" s="6"/>
    </x:row>
    <x:row r="558">
      <x:c r="A558" s="6"/>
      <x:c r="B558" s="6"/>
      <x:c r="C558" s="6"/>
      <x:c r="D558" s="6"/>
      <x:c r="E558" s="6"/>
      <x:c r="F558" s="6"/>
      <x:c r="G558" s="6"/>
      <x:c r="H558" s="6"/>
      <x:c r="I558" s="6"/>
      <x:c r="J558" s="6"/>
      <x:c r="K558" s="6"/>
      <x:c r="L558" s="6"/>
      <x:c r="M558" s="6"/>
      <x:c r="N558" s="6"/>
      <x:c r="O558" s="6"/>
      <x:c r="P558" s="6"/>
      <x:c r="Q558" s="6"/>
      <x:c r="R558" s="6"/>
      <x:c r="S558" s="6"/>
      <x:c r="T558" s="6"/>
      <x:c r="U558" s="6"/>
      <x:c r="V558" s="6" t="str">
        <x:f>IF(ISBLANK('_INSTANCE'!B558),"",'_INSTANCE'!B558)</x:f>
      </x:c>
      <x:c r="W558" s="6" t="str">
        <x:f>IF(ISBLANK('_INSTANCE'!F558),"",'_INSTANCE'!F558)</x:f>
      </x:c>
      <x:c r="X558" s="6"/>
      <x:c r="Y558" s="6"/>
      <x:c r="Z558" s="6"/>
      <x:c r="AA558" s="6"/>
      <x:c r="AB558" s="6"/>
      <x:c r="AC558" s="6"/>
      <x:c r="AD558" s="6"/>
      <x:c r="AE558" s="6"/>
      <x:c r="AF558" s="6"/>
    </x:row>
    <x:row r="559">
      <x:c r="A559" s="6"/>
      <x:c r="B559" s="6"/>
      <x:c r="C559" s="6"/>
      <x:c r="D559" s="6"/>
      <x:c r="E559" s="6"/>
      <x:c r="F559" s="6"/>
      <x:c r="G559" s="6"/>
      <x:c r="H559" s="6"/>
      <x:c r="I559" s="6"/>
      <x:c r="J559" s="6"/>
      <x:c r="K559" s="6"/>
      <x:c r="L559" s="6"/>
      <x:c r="M559" s="6"/>
      <x:c r="N559" s="6"/>
      <x:c r="O559" s="6"/>
      <x:c r="P559" s="6"/>
      <x:c r="Q559" s="6"/>
      <x:c r="R559" s="6"/>
      <x:c r="S559" s="6"/>
      <x:c r="T559" s="6"/>
      <x:c r="U559" s="6"/>
      <x:c r="V559" s="6" t="str">
        <x:f>IF(ISBLANK('_INSTANCE'!B559),"",'_INSTANCE'!B559)</x:f>
      </x:c>
      <x:c r="W559" s="6" t="str">
        <x:f>IF(ISBLANK('_INSTANCE'!F559),"",'_INSTANCE'!F559)</x:f>
      </x:c>
      <x:c r="X559" s="6"/>
      <x:c r="Y559" s="6"/>
      <x:c r="Z559" s="6"/>
      <x:c r="AA559" s="6"/>
      <x:c r="AB559" s="6"/>
      <x:c r="AC559" s="6"/>
      <x:c r="AD559" s="6"/>
      <x:c r="AE559" s="6"/>
      <x:c r="AF559" s="6"/>
    </x:row>
    <x:row r="560">
      <x:c r="A560" s="6"/>
      <x:c r="B560" s="6"/>
      <x:c r="C560" s="6"/>
      <x:c r="D560" s="6"/>
      <x:c r="E560" s="6"/>
      <x:c r="F560" s="6"/>
      <x:c r="G560" s="6"/>
      <x:c r="H560" s="6"/>
      <x:c r="I560" s="6"/>
      <x:c r="J560" s="6"/>
      <x:c r="K560" s="6"/>
      <x:c r="L560" s="6"/>
      <x:c r="M560" s="6"/>
      <x:c r="N560" s="6"/>
      <x:c r="O560" s="6"/>
      <x:c r="P560" s="6"/>
      <x:c r="Q560" s="6"/>
      <x:c r="R560" s="6"/>
      <x:c r="S560" s="6"/>
      <x:c r="T560" s="6"/>
      <x:c r="U560" s="6"/>
      <x:c r="V560" s="6" t="str">
        <x:f>IF(ISBLANK('_INSTANCE'!B560),"",'_INSTANCE'!B560)</x:f>
      </x:c>
      <x:c r="W560" s="6" t="str">
        <x:f>IF(ISBLANK('_INSTANCE'!F560),"",'_INSTANCE'!F560)</x:f>
      </x:c>
      <x:c r="X560" s="6"/>
      <x:c r="Y560" s="6"/>
      <x:c r="Z560" s="6"/>
      <x:c r="AA560" s="6"/>
      <x:c r="AB560" s="6"/>
      <x:c r="AC560" s="6"/>
      <x:c r="AD560" s="6"/>
      <x:c r="AE560" s="6"/>
      <x:c r="AF560" s="6"/>
    </x:row>
    <x:row r="561">
      <x:c r="A561" s="6"/>
      <x:c r="B561" s="6"/>
      <x:c r="C561" s="6"/>
      <x:c r="D561" s="6"/>
      <x:c r="E561" s="6"/>
      <x:c r="F561" s="6"/>
      <x:c r="G561" s="6"/>
      <x:c r="H561" s="6"/>
      <x:c r="I561" s="6"/>
      <x:c r="J561" s="6"/>
      <x:c r="K561" s="6"/>
      <x:c r="L561" s="6"/>
      <x:c r="M561" s="6"/>
      <x:c r="N561" s="6"/>
      <x:c r="O561" s="6"/>
      <x:c r="P561" s="6"/>
      <x:c r="Q561" s="6"/>
      <x:c r="R561" s="6"/>
      <x:c r="S561" s="6"/>
      <x:c r="T561" s="6"/>
      <x:c r="U561" s="6"/>
      <x:c r="V561" s="6" t="str">
        <x:f>IF(ISBLANK('_INSTANCE'!B561),"",'_INSTANCE'!B561)</x:f>
      </x:c>
      <x:c r="W561" s="6" t="str">
        <x:f>IF(ISBLANK('_INSTANCE'!F561),"",'_INSTANCE'!F561)</x:f>
      </x:c>
      <x:c r="X561" s="6"/>
      <x:c r="Y561" s="6"/>
      <x:c r="Z561" s="6"/>
      <x:c r="AA561" s="6"/>
      <x:c r="AB561" s="6"/>
      <x:c r="AC561" s="6"/>
      <x:c r="AD561" s="6"/>
      <x:c r="AE561" s="6"/>
      <x:c r="AF561" s="6"/>
    </x:row>
    <x:row r="562">
      <x:c r="A562" s="6"/>
      <x:c r="B562" s="6"/>
      <x:c r="C562" s="6"/>
      <x:c r="D562" s="6"/>
      <x:c r="E562" s="6"/>
      <x:c r="F562" s="6"/>
      <x:c r="G562" s="6"/>
      <x:c r="H562" s="6"/>
      <x:c r="I562" s="6"/>
      <x:c r="J562" s="6"/>
      <x:c r="K562" s="6"/>
      <x:c r="L562" s="6"/>
      <x:c r="M562" s="6"/>
      <x:c r="N562" s="6"/>
      <x:c r="O562" s="6"/>
      <x:c r="P562" s="6"/>
      <x:c r="Q562" s="6"/>
      <x:c r="R562" s="6"/>
      <x:c r="S562" s="6"/>
      <x:c r="T562" s="6"/>
      <x:c r="U562" s="6"/>
      <x:c r="V562" s="6" t="str">
        <x:f>IF(ISBLANK('_INSTANCE'!B562),"",'_INSTANCE'!B562)</x:f>
      </x:c>
      <x:c r="W562" s="6" t="str">
        <x:f>IF(ISBLANK('_INSTANCE'!F562),"",'_INSTANCE'!F562)</x:f>
      </x:c>
      <x:c r="X562" s="6"/>
      <x:c r="Y562" s="6"/>
      <x:c r="Z562" s="6"/>
      <x:c r="AA562" s="6"/>
      <x:c r="AB562" s="6"/>
      <x:c r="AC562" s="6"/>
      <x:c r="AD562" s="6"/>
      <x:c r="AE562" s="6"/>
      <x:c r="AF562" s="6"/>
    </x:row>
    <x:row r="563">
      <x:c r="A563" s="6"/>
      <x:c r="B563" s="6"/>
      <x:c r="C563" s="6"/>
      <x:c r="D563" s="6"/>
      <x:c r="E563" s="6"/>
      <x:c r="F563" s="6"/>
      <x:c r="G563" s="6"/>
      <x:c r="H563" s="6"/>
      <x:c r="I563" s="6"/>
      <x:c r="J563" s="6"/>
      <x:c r="K563" s="6"/>
      <x:c r="L563" s="6"/>
      <x:c r="M563" s="6"/>
      <x:c r="N563" s="6"/>
      <x:c r="O563" s="6"/>
      <x:c r="P563" s="6"/>
      <x:c r="Q563" s="6"/>
      <x:c r="R563" s="6"/>
      <x:c r="S563" s="6"/>
      <x:c r="T563" s="6"/>
      <x:c r="U563" s="6"/>
      <x:c r="V563" s="6" t="str">
        <x:f>IF(ISBLANK('_INSTANCE'!B563),"",'_INSTANCE'!B563)</x:f>
      </x:c>
      <x:c r="W563" s="6" t="str">
        <x:f>IF(ISBLANK('_INSTANCE'!F563),"",'_INSTANCE'!F563)</x:f>
      </x:c>
      <x:c r="X563" s="6"/>
      <x:c r="Y563" s="6"/>
      <x:c r="Z563" s="6"/>
      <x:c r="AA563" s="6"/>
      <x:c r="AB563" s="6"/>
      <x:c r="AC563" s="6"/>
      <x:c r="AD563" s="6"/>
      <x:c r="AE563" s="6"/>
      <x:c r="AF563" s="6"/>
    </x:row>
    <x:row r="564">
      <x:c r="A564" s="6"/>
      <x:c r="B564" s="6"/>
      <x:c r="C564" s="6"/>
      <x:c r="D564" s="6"/>
      <x:c r="E564" s="6"/>
      <x:c r="F564" s="6"/>
      <x:c r="G564" s="6"/>
      <x:c r="H564" s="6"/>
      <x:c r="I564" s="6"/>
      <x:c r="J564" s="6"/>
      <x:c r="K564" s="6"/>
      <x:c r="L564" s="6"/>
      <x:c r="M564" s="6"/>
      <x:c r="N564" s="6"/>
      <x:c r="O564" s="6"/>
      <x:c r="P564" s="6"/>
      <x:c r="Q564" s="6"/>
      <x:c r="R564" s="6"/>
      <x:c r="S564" s="6"/>
      <x:c r="T564" s="6"/>
      <x:c r="U564" s="6"/>
      <x:c r="V564" s="6" t="str">
        <x:f>IF(ISBLANK('_INSTANCE'!B564),"",'_INSTANCE'!B564)</x:f>
      </x:c>
      <x:c r="W564" s="6" t="str">
        <x:f>IF(ISBLANK('_INSTANCE'!F564),"",'_INSTANCE'!F564)</x:f>
      </x:c>
      <x:c r="X564" s="6"/>
      <x:c r="Y564" s="6"/>
      <x:c r="Z564" s="6"/>
      <x:c r="AA564" s="6"/>
      <x:c r="AB564" s="6"/>
      <x:c r="AC564" s="6"/>
      <x:c r="AD564" s="6"/>
      <x:c r="AE564" s="6"/>
      <x:c r="AF564" s="6"/>
    </x:row>
    <x:row r="565">
      <x:c r="A565" s="6"/>
      <x:c r="B565" s="6"/>
      <x:c r="C565" s="6"/>
      <x:c r="D565" s="6"/>
      <x:c r="E565" s="6"/>
      <x:c r="F565" s="6"/>
      <x:c r="G565" s="6"/>
      <x:c r="H565" s="6"/>
      <x:c r="I565" s="6"/>
      <x:c r="J565" s="6"/>
      <x:c r="K565" s="6"/>
      <x:c r="L565" s="6"/>
      <x:c r="M565" s="6"/>
      <x:c r="N565" s="6"/>
      <x:c r="O565" s="6"/>
      <x:c r="P565" s="6"/>
      <x:c r="Q565" s="6"/>
      <x:c r="R565" s="6"/>
      <x:c r="S565" s="6"/>
      <x:c r="T565" s="6"/>
      <x:c r="U565" s="6"/>
      <x:c r="V565" s="6" t="str">
        <x:f>IF(ISBLANK('_INSTANCE'!B565),"",'_INSTANCE'!B565)</x:f>
      </x:c>
      <x:c r="W565" s="6" t="str">
        <x:f>IF(ISBLANK('_INSTANCE'!F565),"",'_INSTANCE'!F565)</x:f>
      </x:c>
      <x:c r="X565" s="6"/>
      <x:c r="Y565" s="6"/>
      <x:c r="Z565" s="6"/>
      <x:c r="AA565" s="6"/>
      <x:c r="AB565" s="6"/>
      <x:c r="AC565" s="6"/>
      <x:c r="AD565" s="6"/>
      <x:c r="AE565" s="6"/>
      <x:c r="AF565" s="6"/>
    </x:row>
    <x:row r="566">
      <x:c r="A566" s="6"/>
      <x:c r="B566" s="6"/>
      <x:c r="C566" s="6"/>
      <x:c r="D566" s="6"/>
      <x:c r="E566" s="6"/>
      <x:c r="F566" s="6"/>
      <x:c r="G566" s="6"/>
      <x:c r="H566" s="6"/>
      <x:c r="I566" s="6"/>
      <x:c r="J566" s="6"/>
      <x:c r="K566" s="6"/>
      <x:c r="L566" s="6"/>
      <x:c r="M566" s="6"/>
      <x:c r="N566" s="6"/>
      <x:c r="O566" s="6"/>
      <x:c r="P566" s="6"/>
      <x:c r="Q566" s="6"/>
      <x:c r="R566" s="6"/>
      <x:c r="S566" s="6"/>
      <x:c r="T566" s="6"/>
      <x:c r="U566" s="6"/>
      <x:c r="V566" s="6" t="str">
        <x:f>IF(ISBLANK('_INSTANCE'!B566),"",'_INSTANCE'!B566)</x:f>
      </x:c>
      <x:c r="W566" s="6" t="str">
        <x:f>IF(ISBLANK('_INSTANCE'!F566),"",'_INSTANCE'!F566)</x:f>
      </x:c>
      <x:c r="X566" s="6"/>
      <x:c r="Y566" s="6"/>
      <x:c r="Z566" s="6"/>
      <x:c r="AA566" s="6"/>
      <x:c r="AB566" s="6"/>
      <x:c r="AC566" s="6"/>
      <x:c r="AD566" s="6"/>
      <x:c r="AE566" s="6"/>
      <x:c r="AF566" s="6"/>
    </x:row>
    <x:row r="567">
      <x:c r="A567" s="6"/>
      <x:c r="B567" s="6"/>
      <x:c r="C567" s="6"/>
      <x:c r="D567" s="6"/>
      <x:c r="E567" s="6"/>
      <x:c r="F567" s="6"/>
      <x:c r="G567" s="6"/>
      <x:c r="H567" s="6"/>
      <x:c r="I567" s="6"/>
      <x:c r="J567" s="6"/>
      <x:c r="K567" s="6"/>
      <x:c r="L567" s="6"/>
      <x:c r="M567" s="6"/>
      <x:c r="N567" s="6"/>
      <x:c r="O567" s="6"/>
      <x:c r="P567" s="6"/>
      <x:c r="Q567" s="6"/>
      <x:c r="R567" s="6"/>
      <x:c r="S567" s="6"/>
      <x:c r="T567" s="6"/>
      <x:c r="U567" s="6"/>
      <x:c r="V567" s="6" t="str">
        <x:f>IF(ISBLANK('_INSTANCE'!B567),"",'_INSTANCE'!B567)</x:f>
      </x:c>
      <x:c r="W567" s="6" t="str">
        <x:f>IF(ISBLANK('_INSTANCE'!F567),"",'_INSTANCE'!F567)</x:f>
      </x:c>
      <x:c r="X567" s="6"/>
      <x:c r="Y567" s="6"/>
      <x:c r="Z567" s="6"/>
      <x:c r="AA567" s="6"/>
      <x:c r="AB567" s="6"/>
      <x:c r="AC567" s="6"/>
      <x:c r="AD567" s="6"/>
      <x:c r="AE567" s="6"/>
      <x:c r="AF567" s="6"/>
    </x:row>
    <x:row r="568">
      <x:c r="A568" s="6"/>
      <x:c r="B568" s="6"/>
      <x:c r="C568" s="6"/>
      <x:c r="D568" s="6"/>
      <x:c r="E568" s="6"/>
      <x:c r="F568" s="6"/>
      <x:c r="G568" s="6"/>
      <x:c r="H568" s="6"/>
      <x:c r="I568" s="6"/>
      <x:c r="J568" s="6"/>
      <x:c r="K568" s="6"/>
      <x:c r="L568" s="6"/>
      <x:c r="M568" s="6"/>
      <x:c r="N568" s="6"/>
      <x:c r="O568" s="6"/>
      <x:c r="P568" s="6"/>
      <x:c r="Q568" s="6"/>
      <x:c r="R568" s="6"/>
      <x:c r="S568" s="6"/>
      <x:c r="T568" s="6"/>
      <x:c r="U568" s="6"/>
      <x:c r="V568" s="6" t="str">
        <x:f>IF(ISBLANK('_INSTANCE'!B568),"",'_INSTANCE'!B568)</x:f>
      </x:c>
      <x:c r="W568" s="6" t="str">
        <x:f>IF(ISBLANK('_INSTANCE'!F568),"",'_INSTANCE'!F568)</x:f>
      </x:c>
      <x:c r="X568" s="6"/>
      <x:c r="Y568" s="6"/>
      <x:c r="Z568" s="6"/>
      <x:c r="AA568" s="6"/>
      <x:c r="AB568" s="6"/>
      <x:c r="AC568" s="6"/>
      <x:c r="AD568" s="6"/>
      <x:c r="AE568" s="6"/>
      <x:c r="AF568" s="6"/>
    </x:row>
    <x:row r="569">
      <x:c r="A569" s="6"/>
      <x:c r="B569" s="6"/>
      <x:c r="C569" s="6"/>
      <x:c r="D569" s="6"/>
      <x:c r="E569" s="6"/>
      <x:c r="F569" s="6"/>
      <x:c r="G569" s="6"/>
      <x:c r="H569" s="6"/>
      <x:c r="I569" s="6"/>
      <x:c r="J569" s="6"/>
      <x:c r="K569" s="6"/>
      <x:c r="L569" s="6"/>
      <x:c r="M569" s="6"/>
      <x:c r="N569" s="6"/>
      <x:c r="O569" s="6"/>
      <x:c r="P569" s="6"/>
      <x:c r="Q569" s="6"/>
      <x:c r="R569" s="6"/>
      <x:c r="S569" s="6"/>
      <x:c r="T569" s="6"/>
      <x:c r="U569" s="6"/>
      <x:c r="V569" s="6" t="str">
        <x:f>IF(ISBLANK('_INSTANCE'!B569),"",'_INSTANCE'!B569)</x:f>
      </x:c>
      <x:c r="W569" s="6" t="str">
        <x:f>IF(ISBLANK('_INSTANCE'!F569),"",'_INSTANCE'!F569)</x:f>
      </x:c>
      <x:c r="X569" s="6"/>
      <x:c r="Y569" s="6"/>
      <x:c r="Z569" s="6"/>
      <x:c r="AA569" s="6"/>
      <x:c r="AB569" s="6"/>
      <x:c r="AC569" s="6"/>
      <x:c r="AD569" s="6"/>
      <x:c r="AE569" s="6"/>
      <x:c r="AF569" s="6"/>
    </x:row>
    <x:row r="570">
      <x:c r="A570" s="6"/>
      <x:c r="B570" s="6"/>
      <x:c r="C570" s="6"/>
      <x:c r="D570" s="6"/>
      <x:c r="E570" s="6"/>
      <x:c r="F570" s="6"/>
      <x:c r="G570" s="6"/>
      <x:c r="H570" s="6"/>
      <x:c r="I570" s="6"/>
      <x:c r="J570" s="6"/>
      <x:c r="K570" s="6"/>
      <x:c r="L570" s="6"/>
      <x:c r="M570" s="6"/>
      <x:c r="N570" s="6"/>
      <x:c r="O570" s="6"/>
      <x:c r="P570" s="6"/>
      <x:c r="Q570" s="6"/>
      <x:c r="R570" s="6"/>
      <x:c r="S570" s="6"/>
      <x:c r="T570" s="6"/>
      <x:c r="U570" s="6"/>
      <x:c r="V570" s="6" t="str">
        <x:f>IF(ISBLANK('_INSTANCE'!B570),"",'_INSTANCE'!B570)</x:f>
      </x:c>
      <x:c r="W570" s="6" t="str">
        <x:f>IF(ISBLANK('_INSTANCE'!F570),"",'_INSTANCE'!F570)</x:f>
      </x:c>
      <x:c r="X570" s="6"/>
      <x:c r="Y570" s="6"/>
      <x:c r="Z570" s="6"/>
      <x:c r="AA570" s="6"/>
      <x:c r="AB570" s="6"/>
      <x:c r="AC570" s="6"/>
      <x:c r="AD570" s="6"/>
      <x:c r="AE570" s="6"/>
      <x:c r="AF570" s="6"/>
    </x:row>
    <x:row r="571">
      <x:c r="A571" s="6"/>
      <x:c r="B571" s="6"/>
      <x:c r="C571" s="6"/>
      <x:c r="D571" s="6"/>
      <x:c r="E571" s="6"/>
      <x:c r="F571" s="6"/>
      <x:c r="G571" s="6"/>
      <x:c r="H571" s="6"/>
      <x:c r="I571" s="6"/>
      <x:c r="J571" s="6"/>
      <x:c r="K571" s="6"/>
      <x:c r="L571" s="6"/>
      <x:c r="M571" s="6"/>
      <x:c r="N571" s="6"/>
      <x:c r="O571" s="6"/>
      <x:c r="P571" s="6"/>
      <x:c r="Q571" s="6"/>
      <x:c r="R571" s="6"/>
      <x:c r="S571" s="6"/>
      <x:c r="T571" s="6"/>
      <x:c r="U571" s="6"/>
      <x:c r="V571" s="6" t="str">
        <x:f>IF(ISBLANK('_INSTANCE'!B571),"",'_INSTANCE'!B571)</x:f>
      </x:c>
      <x:c r="W571" s="6" t="str">
        <x:f>IF(ISBLANK('_INSTANCE'!F571),"",'_INSTANCE'!F571)</x:f>
      </x:c>
      <x:c r="X571" s="6"/>
      <x:c r="Y571" s="6"/>
      <x:c r="Z571" s="6"/>
      <x:c r="AA571" s="6"/>
      <x:c r="AB571" s="6"/>
      <x:c r="AC571" s="6"/>
      <x:c r="AD571" s="6"/>
      <x:c r="AE571" s="6"/>
      <x:c r="AF571" s="6"/>
    </x:row>
    <x:row r="572">
      <x:c r="A572" s="6"/>
      <x:c r="B572" s="6"/>
      <x:c r="C572" s="6"/>
      <x:c r="D572" s="6"/>
      <x:c r="E572" s="6"/>
      <x:c r="F572" s="6"/>
      <x:c r="G572" s="6"/>
      <x:c r="H572" s="6"/>
      <x:c r="I572" s="6"/>
      <x:c r="J572" s="6"/>
      <x:c r="K572" s="6"/>
      <x:c r="L572" s="6"/>
      <x:c r="M572" s="6"/>
      <x:c r="N572" s="6"/>
      <x:c r="O572" s="6"/>
      <x:c r="P572" s="6"/>
      <x:c r="Q572" s="6"/>
      <x:c r="R572" s="6"/>
      <x:c r="S572" s="6"/>
      <x:c r="T572" s="6"/>
      <x:c r="U572" s="6"/>
      <x:c r="V572" s="6" t="str">
        <x:f>IF(ISBLANK('_INSTANCE'!B572),"",'_INSTANCE'!B572)</x:f>
      </x:c>
      <x:c r="W572" s="6" t="str">
        <x:f>IF(ISBLANK('_INSTANCE'!F572),"",'_INSTANCE'!F572)</x:f>
      </x:c>
      <x:c r="X572" s="6"/>
      <x:c r="Y572" s="6"/>
      <x:c r="Z572" s="6"/>
      <x:c r="AA572" s="6"/>
      <x:c r="AB572" s="6"/>
      <x:c r="AC572" s="6"/>
      <x:c r="AD572" s="6"/>
      <x:c r="AE572" s="6"/>
      <x:c r="AF572" s="6"/>
    </x:row>
    <x:row r="573">
      <x:c r="A573" s="6"/>
      <x:c r="B573" s="6"/>
      <x:c r="C573" s="6"/>
      <x:c r="D573" s="6"/>
      <x:c r="E573" s="6"/>
      <x:c r="F573" s="6"/>
      <x:c r="G573" s="6"/>
      <x:c r="H573" s="6"/>
      <x:c r="I573" s="6"/>
      <x:c r="J573" s="6"/>
      <x:c r="K573" s="6"/>
      <x:c r="L573" s="6"/>
      <x:c r="M573" s="6"/>
      <x:c r="N573" s="6"/>
      <x:c r="O573" s="6"/>
      <x:c r="P573" s="6"/>
      <x:c r="Q573" s="6"/>
      <x:c r="R573" s="6"/>
      <x:c r="S573" s="6"/>
      <x:c r="T573" s="6"/>
      <x:c r="U573" s="6"/>
      <x:c r="V573" s="6" t="str">
        <x:f>IF(ISBLANK('_INSTANCE'!B573),"",'_INSTANCE'!B573)</x:f>
      </x:c>
      <x:c r="W573" s="6" t="str">
        <x:f>IF(ISBLANK('_INSTANCE'!F573),"",'_INSTANCE'!F573)</x:f>
      </x:c>
      <x:c r="X573" s="6"/>
      <x:c r="Y573" s="6"/>
      <x:c r="Z573" s="6"/>
      <x:c r="AA573" s="6"/>
      <x:c r="AB573" s="6"/>
      <x:c r="AC573" s="6"/>
      <x:c r="AD573" s="6"/>
      <x:c r="AE573" s="6"/>
      <x:c r="AF573" s="6"/>
    </x:row>
    <x:row r="574">
      <x:c r="A574" s="6"/>
      <x:c r="B574" s="6"/>
      <x:c r="C574" s="6"/>
      <x:c r="D574" s="6"/>
      <x:c r="E574" s="6"/>
      <x:c r="F574" s="6"/>
      <x:c r="G574" s="6"/>
      <x:c r="H574" s="6"/>
      <x:c r="I574" s="6"/>
      <x:c r="J574" s="6"/>
      <x:c r="K574" s="6"/>
      <x:c r="L574" s="6"/>
      <x:c r="M574" s="6"/>
      <x:c r="N574" s="6"/>
      <x:c r="O574" s="6"/>
      <x:c r="P574" s="6"/>
      <x:c r="Q574" s="6"/>
      <x:c r="R574" s="6"/>
      <x:c r="S574" s="6"/>
      <x:c r="T574" s="6"/>
      <x:c r="U574" s="6"/>
      <x:c r="V574" s="6" t="str">
        <x:f>IF(ISBLANK('_INSTANCE'!B574),"",'_INSTANCE'!B574)</x:f>
      </x:c>
      <x:c r="W574" s="6" t="str">
        <x:f>IF(ISBLANK('_INSTANCE'!F574),"",'_INSTANCE'!F574)</x:f>
      </x:c>
      <x:c r="X574" s="6"/>
      <x:c r="Y574" s="6"/>
      <x:c r="Z574" s="6"/>
      <x:c r="AA574" s="6"/>
      <x:c r="AB574" s="6"/>
      <x:c r="AC574" s="6"/>
      <x:c r="AD574" s="6"/>
      <x:c r="AE574" s="6"/>
      <x:c r="AF574" s="6"/>
    </x:row>
    <x:row r="575">
      <x:c r="A575" s="6"/>
      <x:c r="B575" s="6"/>
      <x:c r="C575" s="6"/>
      <x:c r="D575" s="6"/>
      <x:c r="E575" s="6"/>
      <x:c r="F575" s="6"/>
      <x:c r="G575" s="6"/>
      <x:c r="H575" s="6"/>
      <x:c r="I575" s="6"/>
      <x:c r="J575" s="6"/>
      <x:c r="K575" s="6"/>
      <x:c r="L575" s="6"/>
      <x:c r="M575" s="6"/>
      <x:c r="N575" s="6"/>
      <x:c r="O575" s="6"/>
      <x:c r="P575" s="6"/>
      <x:c r="Q575" s="6"/>
      <x:c r="R575" s="6"/>
      <x:c r="S575" s="6"/>
      <x:c r="T575" s="6"/>
      <x:c r="U575" s="6"/>
      <x:c r="V575" s="6" t="str">
        <x:f>IF(ISBLANK('_INSTANCE'!B575),"",'_INSTANCE'!B575)</x:f>
      </x:c>
      <x:c r="W575" s="6" t="str">
        <x:f>IF(ISBLANK('_INSTANCE'!F575),"",'_INSTANCE'!F575)</x:f>
      </x:c>
      <x:c r="X575" s="6"/>
      <x:c r="Y575" s="6"/>
      <x:c r="Z575" s="6"/>
      <x:c r="AA575" s="6"/>
      <x:c r="AB575" s="6"/>
      <x:c r="AC575" s="6"/>
      <x:c r="AD575" s="6"/>
      <x:c r="AE575" s="6"/>
      <x:c r="AF575" s="6"/>
    </x:row>
    <x:row r="576">
      <x:c r="A576" s="6"/>
      <x:c r="B576" s="6"/>
      <x:c r="C576" s="6"/>
      <x:c r="D576" s="6"/>
      <x:c r="E576" s="6"/>
      <x:c r="F576" s="6"/>
      <x:c r="G576" s="6"/>
      <x:c r="H576" s="6"/>
      <x:c r="I576" s="6"/>
      <x:c r="J576" s="6"/>
      <x:c r="K576" s="6"/>
      <x:c r="L576" s="6"/>
      <x:c r="M576" s="6"/>
      <x:c r="N576" s="6"/>
      <x:c r="O576" s="6"/>
      <x:c r="P576" s="6"/>
      <x:c r="Q576" s="6"/>
      <x:c r="R576" s="6"/>
      <x:c r="S576" s="6"/>
      <x:c r="T576" s="6"/>
      <x:c r="U576" s="6"/>
      <x:c r="V576" s="6" t="str">
        <x:f>IF(ISBLANK('_INSTANCE'!B576),"",'_INSTANCE'!B576)</x:f>
      </x:c>
      <x:c r="W576" s="6" t="str">
        <x:f>IF(ISBLANK('_INSTANCE'!F576),"",'_INSTANCE'!F576)</x:f>
      </x:c>
      <x:c r="X576" s="6"/>
      <x:c r="Y576" s="6"/>
      <x:c r="Z576" s="6"/>
      <x:c r="AA576" s="6"/>
      <x:c r="AB576" s="6"/>
      <x:c r="AC576" s="6"/>
      <x:c r="AD576" s="6"/>
      <x:c r="AE576" s="6"/>
      <x:c r="AF576" s="6"/>
    </x:row>
    <x:row r="577">
      <x:c r="A577" s="6"/>
      <x:c r="B577" s="6"/>
      <x:c r="C577" s="6"/>
      <x:c r="D577" s="6"/>
      <x:c r="E577" s="6"/>
      <x:c r="F577" s="6"/>
      <x:c r="G577" s="6"/>
      <x:c r="H577" s="6"/>
      <x:c r="I577" s="6"/>
      <x:c r="J577" s="6"/>
      <x:c r="K577" s="6"/>
      <x:c r="L577" s="6"/>
      <x:c r="M577" s="6"/>
      <x:c r="N577" s="6"/>
      <x:c r="O577" s="6"/>
      <x:c r="P577" s="6"/>
      <x:c r="Q577" s="6"/>
      <x:c r="R577" s="6"/>
      <x:c r="S577" s="6"/>
      <x:c r="T577" s="6"/>
      <x:c r="U577" s="6"/>
      <x:c r="V577" s="6" t="str">
        <x:f>IF(ISBLANK('_INSTANCE'!B577),"",'_INSTANCE'!B577)</x:f>
      </x:c>
      <x:c r="W577" s="6" t="str">
        <x:f>IF(ISBLANK('_INSTANCE'!F577),"",'_INSTANCE'!F577)</x:f>
      </x:c>
      <x:c r="X577" s="6"/>
      <x:c r="Y577" s="6"/>
      <x:c r="Z577" s="6"/>
      <x:c r="AA577" s="6"/>
      <x:c r="AB577" s="6"/>
      <x:c r="AC577" s="6"/>
      <x:c r="AD577" s="6"/>
      <x:c r="AE577" s="6"/>
      <x:c r="AF577" s="6"/>
    </x:row>
    <x:row r="578">
      <x:c r="A578" s="6"/>
      <x:c r="B578" s="6"/>
      <x:c r="C578" s="6"/>
      <x:c r="D578" s="6"/>
      <x:c r="E578" s="6"/>
      <x:c r="F578" s="6"/>
      <x:c r="G578" s="6"/>
      <x:c r="H578" s="6"/>
      <x:c r="I578" s="6"/>
      <x:c r="J578" s="6"/>
      <x:c r="K578" s="6"/>
      <x:c r="L578" s="6"/>
      <x:c r="M578" s="6"/>
      <x:c r="N578" s="6"/>
      <x:c r="O578" s="6"/>
      <x:c r="P578" s="6"/>
      <x:c r="Q578" s="6"/>
      <x:c r="R578" s="6"/>
      <x:c r="S578" s="6"/>
      <x:c r="T578" s="6"/>
      <x:c r="U578" s="6"/>
      <x:c r="V578" s="6" t="str">
        <x:f>IF(ISBLANK('_INSTANCE'!B578),"",'_INSTANCE'!B578)</x:f>
      </x:c>
      <x:c r="W578" s="6" t="str">
        <x:f>IF(ISBLANK('_INSTANCE'!F578),"",'_INSTANCE'!F578)</x:f>
      </x:c>
      <x:c r="X578" s="6"/>
      <x:c r="Y578" s="6"/>
      <x:c r="Z578" s="6"/>
      <x:c r="AA578" s="6"/>
      <x:c r="AB578" s="6"/>
      <x:c r="AC578" s="6"/>
      <x:c r="AD578" s="6"/>
      <x:c r="AE578" s="6"/>
      <x:c r="AF578" s="6"/>
    </x:row>
    <x:row r="579">
      <x:c r="A579" s="6"/>
      <x:c r="B579" s="6"/>
      <x:c r="C579" s="6"/>
      <x:c r="D579" s="6"/>
      <x:c r="E579" s="6"/>
      <x:c r="F579" s="6"/>
      <x:c r="G579" s="6"/>
      <x:c r="H579" s="6"/>
      <x:c r="I579" s="6"/>
      <x:c r="J579" s="6"/>
      <x:c r="K579" s="6"/>
      <x:c r="L579" s="6"/>
      <x:c r="M579" s="6"/>
      <x:c r="N579" s="6"/>
      <x:c r="O579" s="6"/>
      <x:c r="P579" s="6"/>
      <x:c r="Q579" s="6"/>
      <x:c r="R579" s="6"/>
      <x:c r="S579" s="6"/>
      <x:c r="T579" s="6"/>
      <x:c r="U579" s="6"/>
      <x:c r="V579" s="6" t="str">
        <x:f>IF(ISBLANK('_INSTANCE'!B579),"",'_INSTANCE'!B579)</x:f>
      </x:c>
      <x:c r="W579" s="6" t="str">
        <x:f>IF(ISBLANK('_INSTANCE'!F579),"",'_INSTANCE'!F579)</x:f>
      </x:c>
      <x:c r="X579" s="6"/>
      <x:c r="Y579" s="6"/>
      <x:c r="Z579" s="6"/>
      <x:c r="AA579" s="6"/>
      <x:c r="AB579" s="6"/>
      <x:c r="AC579" s="6"/>
      <x:c r="AD579" s="6"/>
      <x:c r="AE579" s="6"/>
      <x:c r="AF579" s="6"/>
    </x:row>
    <x:row r="580">
      <x:c r="A580" s="6"/>
      <x:c r="B580" s="6"/>
      <x:c r="C580" s="6"/>
      <x:c r="D580" s="6"/>
      <x:c r="E580" s="6"/>
      <x:c r="F580" s="6"/>
      <x:c r="G580" s="6"/>
      <x:c r="H580" s="6"/>
      <x:c r="I580" s="6"/>
      <x:c r="J580" s="6"/>
      <x:c r="K580" s="6"/>
      <x:c r="L580" s="6"/>
      <x:c r="M580" s="6"/>
      <x:c r="N580" s="6"/>
      <x:c r="O580" s="6"/>
      <x:c r="P580" s="6"/>
      <x:c r="Q580" s="6"/>
      <x:c r="R580" s="6"/>
      <x:c r="S580" s="6"/>
      <x:c r="T580" s="6"/>
      <x:c r="U580" s="6"/>
      <x:c r="V580" s="6" t="str">
        <x:f>IF(ISBLANK('_INSTANCE'!B580),"",'_INSTANCE'!B580)</x:f>
      </x:c>
      <x:c r="W580" s="6" t="str">
        <x:f>IF(ISBLANK('_INSTANCE'!F580),"",'_INSTANCE'!F580)</x:f>
      </x:c>
      <x:c r="X580" s="6"/>
      <x:c r="Y580" s="6"/>
      <x:c r="Z580" s="6"/>
      <x:c r="AA580" s="6"/>
      <x:c r="AB580" s="6"/>
      <x:c r="AC580" s="6"/>
      <x:c r="AD580" s="6"/>
      <x:c r="AE580" s="6"/>
      <x:c r="AF580" s="6"/>
    </x:row>
    <x:row r="581">
      <x:c r="A581" s="6"/>
      <x:c r="B581" s="6"/>
      <x:c r="C581" s="6"/>
      <x:c r="D581" s="6"/>
      <x:c r="E581" s="6"/>
      <x:c r="F581" s="6"/>
      <x:c r="G581" s="6"/>
      <x:c r="H581" s="6"/>
      <x:c r="I581" s="6"/>
      <x:c r="J581" s="6"/>
      <x:c r="K581" s="6"/>
      <x:c r="L581" s="6"/>
      <x:c r="M581" s="6"/>
      <x:c r="N581" s="6"/>
      <x:c r="O581" s="6"/>
      <x:c r="P581" s="6"/>
      <x:c r="Q581" s="6"/>
      <x:c r="R581" s="6"/>
      <x:c r="S581" s="6"/>
      <x:c r="T581" s="6"/>
      <x:c r="U581" s="6"/>
      <x:c r="V581" s="6" t="str">
        <x:f>IF(ISBLANK('_INSTANCE'!B581),"",'_INSTANCE'!B581)</x:f>
      </x:c>
      <x:c r="W581" s="6" t="str">
        <x:f>IF(ISBLANK('_INSTANCE'!F581),"",'_INSTANCE'!F581)</x:f>
      </x:c>
      <x:c r="X581" s="6"/>
      <x:c r="Y581" s="6"/>
      <x:c r="Z581" s="6"/>
      <x:c r="AA581" s="6"/>
      <x:c r="AB581" s="6"/>
      <x:c r="AC581" s="6"/>
      <x:c r="AD581" s="6"/>
      <x:c r="AE581" s="6"/>
      <x:c r="AF581" s="6"/>
    </x:row>
    <x:row r="582">
      <x:c r="A582" s="6"/>
      <x:c r="B582" s="6"/>
      <x:c r="C582" s="6"/>
      <x:c r="D582" s="6"/>
      <x:c r="E582" s="6"/>
      <x:c r="F582" s="6"/>
      <x:c r="G582" s="6"/>
      <x:c r="H582" s="6"/>
      <x:c r="I582" s="6"/>
      <x:c r="J582" s="6"/>
      <x:c r="K582" s="6"/>
      <x:c r="L582" s="6"/>
      <x:c r="M582" s="6"/>
      <x:c r="N582" s="6"/>
      <x:c r="O582" s="6"/>
      <x:c r="P582" s="6"/>
      <x:c r="Q582" s="6"/>
      <x:c r="R582" s="6"/>
      <x:c r="S582" s="6"/>
      <x:c r="T582" s="6"/>
      <x:c r="U582" s="6"/>
      <x:c r="V582" s="6" t="str">
        <x:f>IF(ISBLANK('_INSTANCE'!B582),"",'_INSTANCE'!B582)</x:f>
      </x:c>
      <x:c r="W582" s="6" t="str">
        <x:f>IF(ISBLANK('_INSTANCE'!F582),"",'_INSTANCE'!F582)</x:f>
      </x:c>
      <x:c r="X582" s="6"/>
      <x:c r="Y582" s="6"/>
      <x:c r="Z582" s="6"/>
      <x:c r="AA582" s="6"/>
      <x:c r="AB582" s="6"/>
      <x:c r="AC582" s="6"/>
      <x:c r="AD582" s="6"/>
      <x:c r="AE582" s="6"/>
      <x:c r="AF582" s="6"/>
    </x:row>
    <x:row r="583">
      <x:c r="A583" s="6"/>
      <x:c r="B583" s="6"/>
      <x:c r="C583" s="6"/>
      <x:c r="D583" s="6"/>
      <x:c r="E583" s="6"/>
      <x:c r="F583" s="6"/>
      <x:c r="G583" s="6"/>
      <x:c r="H583" s="6"/>
      <x:c r="I583" s="6"/>
      <x:c r="J583" s="6"/>
      <x:c r="K583" s="6"/>
      <x:c r="L583" s="6"/>
      <x:c r="M583" s="6"/>
      <x:c r="N583" s="6"/>
      <x:c r="O583" s="6"/>
      <x:c r="P583" s="6"/>
      <x:c r="Q583" s="6"/>
      <x:c r="R583" s="6"/>
      <x:c r="S583" s="6"/>
      <x:c r="T583" s="6"/>
      <x:c r="U583" s="6"/>
      <x:c r="V583" s="6" t="str">
        <x:f>IF(ISBLANK('_INSTANCE'!B583),"",'_INSTANCE'!B583)</x:f>
      </x:c>
      <x:c r="W583" s="6" t="str">
        <x:f>IF(ISBLANK('_INSTANCE'!F583),"",'_INSTANCE'!F583)</x:f>
      </x:c>
      <x:c r="X583" s="6"/>
      <x:c r="Y583" s="6"/>
      <x:c r="Z583" s="6"/>
      <x:c r="AA583" s="6"/>
      <x:c r="AB583" s="6"/>
      <x:c r="AC583" s="6"/>
      <x:c r="AD583" s="6"/>
      <x:c r="AE583" s="6"/>
      <x:c r="AF583" s="6"/>
    </x:row>
    <x:row r="584">
      <x:c r="A584" s="6"/>
      <x:c r="B584" s="6"/>
      <x:c r="C584" s="6"/>
      <x:c r="D584" s="6"/>
      <x:c r="E584" s="6"/>
      <x:c r="F584" s="6"/>
      <x:c r="G584" s="6"/>
      <x:c r="H584" s="6"/>
      <x:c r="I584" s="6"/>
      <x:c r="J584" s="6"/>
      <x:c r="K584" s="6"/>
      <x:c r="L584" s="6"/>
      <x:c r="M584" s="6"/>
      <x:c r="N584" s="6"/>
      <x:c r="O584" s="6"/>
      <x:c r="P584" s="6"/>
      <x:c r="Q584" s="6"/>
      <x:c r="R584" s="6"/>
      <x:c r="S584" s="6"/>
      <x:c r="T584" s="6"/>
      <x:c r="U584" s="6"/>
      <x:c r="V584" s="6" t="str">
        <x:f>IF(ISBLANK('_INSTANCE'!B584),"",'_INSTANCE'!B584)</x:f>
      </x:c>
      <x:c r="W584" s="6" t="str">
        <x:f>IF(ISBLANK('_INSTANCE'!F584),"",'_INSTANCE'!F584)</x:f>
      </x:c>
      <x:c r="X584" s="6"/>
      <x:c r="Y584" s="6"/>
      <x:c r="Z584" s="6"/>
      <x:c r="AA584" s="6"/>
      <x:c r="AB584" s="6"/>
      <x:c r="AC584" s="6"/>
      <x:c r="AD584" s="6"/>
      <x:c r="AE584" s="6"/>
      <x:c r="AF584" s="6"/>
    </x:row>
    <x:row r="585">
      <x:c r="A585" s="6"/>
      <x:c r="B585" s="6"/>
      <x:c r="C585" s="6"/>
      <x:c r="D585" s="6"/>
      <x:c r="E585" s="6"/>
      <x:c r="F585" s="6"/>
      <x:c r="G585" s="6"/>
      <x:c r="H585" s="6"/>
      <x:c r="I585" s="6"/>
      <x:c r="J585" s="6"/>
      <x:c r="K585" s="6"/>
      <x:c r="L585" s="6"/>
      <x:c r="M585" s="6"/>
      <x:c r="N585" s="6"/>
      <x:c r="O585" s="6"/>
      <x:c r="P585" s="6"/>
      <x:c r="Q585" s="6"/>
      <x:c r="R585" s="6"/>
      <x:c r="S585" s="6"/>
      <x:c r="T585" s="6"/>
      <x:c r="U585" s="6"/>
      <x:c r="V585" s="6" t="str">
        <x:f>IF(ISBLANK('_INSTANCE'!B585),"",'_INSTANCE'!B585)</x:f>
      </x:c>
      <x:c r="W585" s="6" t="str">
        <x:f>IF(ISBLANK('_INSTANCE'!F585),"",'_INSTANCE'!F585)</x:f>
      </x:c>
      <x:c r="X585" s="6"/>
      <x:c r="Y585" s="6"/>
      <x:c r="Z585" s="6"/>
      <x:c r="AA585" s="6"/>
      <x:c r="AB585" s="6"/>
      <x:c r="AC585" s="6"/>
      <x:c r="AD585" s="6"/>
      <x:c r="AE585" s="6"/>
      <x:c r="AF585" s="6"/>
    </x:row>
    <x:row r="586">
      <x:c r="A586" s="6"/>
      <x:c r="B586" s="6"/>
      <x:c r="C586" s="6"/>
      <x:c r="D586" s="6"/>
      <x:c r="E586" s="6"/>
      <x:c r="F586" s="6"/>
      <x:c r="G586" s="6"/>
      <x:c r="H586" s="6"/>
      <x:c r="I586" s="6"/>
      <x:c r="J586" s="6"/>
      <x:c r="K586" s="6"/>
      <x:c r="L586" s="6"/>
      <x:c r="M586" s="6"/>
      <x:c r="N586" s="6"/>
      <x:c r="O586" s="6"/>
      <x:c r="P586" s="6"/>
      <x:c r="Q586" s="6"/>
      <x:c r="R586" s="6"/>
      <x:c r="S586" s="6"/>
      <x:c r="T586" s="6"/>
      <x:c r="U586" s="6"/>
      <x:c r="V586" s="6" t="str">
        <x:f>IF(ISBLANK('_INSTANCE'!B586),"",'_INSTANCE'!B586)</x:f>
      </x:c>
      <x:c r="W586" s="6" t="str">
        <x:f>IF(ISBLANK('_INSTANCE'!F586),"",'_INSTANCE'!F586)</x:f>
      </x:c>
      <x:c r="X586" s="6"/>
      <x:c r="Y586" s="6"/>
      <x:c r="Z586" s="6"/>
      <x:c r="AA586" s="6"/>
      <x:c r="AB586" s="6"/>
      <x:c r="AC586" s="6"/>
      <x:c r="AD586" s="6"/>
      <x:c r="AE586" s="6"/>
      <x:c r="AF586" s="6"/>
    </x:row>
    <x:row r="587">
      <x:c r="A587" s="6"/>
      <x:c r="B587" s="6"/>
      <x:c r="C587" s="6"/>
      <x:c r="D587" s="6"/>
      <x:c r="E587" s="6"/>
      <x:c r="F587" s="6"/>
      <x:c r="G587" s="6"/>
      <x:c r="H587" s="6"/>
      <x:c r="I587" s="6"/>
      <x:c r="J587" s="6"/>
      <x:c r="K587" s="6"/>
      <x:c r="L587" s="6"/>
      <x:c r="M587" s="6"/>
      <x:c r="N587" s="6"/>
      <x:c r="O587" s="6"/>
      <x:c r="P587" s="6"/>
      <x:c r="Q587" s="6"/>
      <x:c r="R587" s="6"/>
      <x:c r="S587" s="6"/>
      <x:c r="T587" s="6"/>
      <x:c r="U587" s="6"/>
      <x:c r="V587" s="6" t="str">
        <x:f>IF(ISBLANK('_INSTANCE'!B587),"",'_INSTANCE'!B587)</x:f>
      </x:c>
      <x:c r="W587" s="6" t="str">
        <x:f>IF(ISBLANK('_INSTANCE'!F587),"",'_INSTANCE'!F587)</x:f>
      </x:c>
      <x:c r="X587" s="6"/>
      <x:c r="Y587" s="6"/>
      <x:c r="Z587" s="6"/>
      <x:c r="AA587" s="6"/>
      <x:c r="AB587" s="6"/>
      <x:c r="AC587" s="6"/>
      <x:c r="AD587" s="6"/>
      <x:c r="AE587" s="6"/>
      <x:c r="AF587" s="6"/>
    </x:row>
    <x:row r="588">
      <x:c r="A588" s="6"/>
      <x:c r="B588" s="6"/>
      <x:c r="C588" s="6"/>
      <x:c r="D588" s="6"/>
      <x:c r="E588" s="6"/>
      <x:c r="F588" s="6"/>
      <x:c r="G588" s="6"/>
      <x:c r="H588" s="6"/>
      <x:c r="I588" s="6"/>
      <x:c r="J588" s="6"/>
      <x:c r="K588" s="6"/>
      <x:c r="L588" s="6"/>
      <x:c r="M588" s="6"/>
      <x:c r="N588" s="6"/>
      <x:c r="O588" s="6"/>
      <x:c r="P588" s="6"/>
      <x:c r="Q588" s="6"/>
      <x:c r="R588" s="6"/>
      <x:c r="S588" s="6"/>
      <x:c r="T588" s="6"/>
      <x:c r="U588" s="6"/>
      <x:c r="V588" s="6" t="str">
        <x:f>IF(ISBLANK('_INSTANCE'!B588),"",'_INSTANCE'!B588)</x:f>
      </x:c>
      <x:c r="W588" s="6" t="str">
        <x:f>IF(ISBLANK('_INSTANCE'!F588),"",'_INSTANCE'!F588)</x:f>
      </x:c>
      <x:c r="X588" s="6"/>
      <x:c r="Y588" s="6"/>
      <x:c r="Z588" s="6"/>
      <x:c r="AA588" s="6"/>
      <x:c r="AB588" s="6"/>
      <x:c r="AC588" s="6"/>
      <x:c r="AD588" s="6"/>
      <x:c r="AE588" s="6"/>
      <x:c r="AF588" s="6"/>
    </x:row>
    <x:row r="589">
      <x:c r="A589" s="6"/>
      <x:c r="B589" s="6"/>
      <x:c r="C589" s="6"/>
      <x:c r="D589" s="6"/>
      <x:c r="E589" s="6"/>
      <x:c r="F589" s="6"/>
      <x:c r="G589" s="6"/>
      <x:c r="H589" s="6"/>
      <x:c r="I589" s="6"/>
      <x:c r="J589" s="6"/>
      <x:c r="K589" s="6"/>
      <x:c r="L589" s="6"/>
      <x:c r="M589" s="6"/>
      <x:c r="N589" s="6"/>
      <x:c r="O589" s="6"/>
      <x:c r="P589" s="6"/>
      <x:c r="Q589" s="6"/>
      <x:c r="R589" s="6"/>
      <x:c r="S589" s="6"/>
      <x:c r="T589" s="6"/>
      <x:c r="U589" s="6"/>
      <x:c r="V589" s="6" t="str">
        <x:f>IF(ISBLANK('_INSTANCE'!B589),"",'_INSTANCE'!B589)</x:f>
      </x:c>
      <x:c r="W589" s="6" t="str">
        <x:f>IF(ISBLANK('_INSTANCE'!F589),"",'_INSTANCE'!F589)</x:f>
      </x:c>
      <x:c r="X589" s="6"/>
      <x:c r="Y589" s="6"/>
      <x:c r="Z589" s="6"/>
      <x:c r="AA589" s="6"/>
      <x:c r="AB589" s="6"/>
      <x:c r="AC589" s="6"/>
      <x:c r="AD589" s="6"/>
      <x:c r="AE589" s="6"/>
      <x:c r="AF589" s="6"/>
    </x:row>
    <x:row r="590">
      <x:c r="A590" s="6"/>
      <x:c r="B590" s="6"/>
      <x:c r="C590" s="6"/>
      <x:c r="D590" s="6"/>
      <x:c r="E590" s="6"/>
      <x:c r="F590" s="6"/>
      <x:c r="G590" s="6"/>
      <x:c r="H590" s="6"/>
      <x:c r="I590" s="6"/>
      <x:c r="J590" s="6"/>
      <x:c r="K590" s="6"/>
      <x:c r="L590" s="6"/>
      <x:c r="M590" s="6"/>
      <x:c r="N590" s="6"/>
      <x:c r="O590" s="6"/>
      <x:c r="P590" s="6"/>
      <x:c r="Q590" s="6"/>
      <x:c r="R590" s="6"/>
      <x:c r="S590" s="6"/>
      <x:c r="T590" s="6"/>
      <x:c r="U590" s="6"/>
      <x:c r="V590" s="6" t="str">
        <x:f>IF(ISBLANK('_INSTANCE'!B590),"",'_INSTANCE'!B590)</x:f>
      </x:c>
      <x:c r="W590" s="6" t="str">
        <x:f>IF(ISBLANK('_INSTANCE'!F590),"",'_INSTANCE'!F590)</x:f>
      </x:c>
      <x:c r="X590" s="6"/>
      <x:c r="Y590" s="6"/>
      <x:c r="Z590" s="6"/>
      <x:c r="AA590" s="6"/>
      <x:c r="AB590" s="6"/>
      <x:c r="AC590" s="6"/>
      <x:c r="AD590" s="6"/>
      <x:c r="AE590" s="6"/>
      <x:c r="AF590" s="6"/>
    </x:row>
    <x:row r="591">
      <x:c r="A591" s="6"/>
      <x:c r="B591" s="6"/>
      <x:c r="C591" s="6"/>
      <x:c r="D591" s="6"/>
      <x:c r="E591" s="6"/>
      <x:c r="F591" s="6"/>
      <x:c r="G591" s="6"/>
      <x:c r="H591" s="6"/>
      <x:c r="I591" s="6"/>
      <x:c r="J591" s="6"/>
      <x:c r="K591" s="6"/>
      <x:c r="L591" s="6"/>
      <x:c r="M591" s="6"/>
      <x:c r="N591" s="6"/>
      <x:c r="O591" s="6"/>
      <x:c r="P591" s="6"/>
      <x:c r="Q591" s="6"/>
      <x:c r="R591" s="6"/>
      <x:c r="S591" s="6"/>
      <x:c r="T591" s="6"/>
      <x:c r="U591" s="6"/>
      <x:c r="V591" s="6" t="str">
        <x:f>IF(ISBLANK('_INSTANCE'!B591),"",'_INSTANCE'!B591)</x:f>
      </x:c>
      <x:c r="W591" s="6" t="str">
        <x:f>IF(ISBLANK('_INSTANCE'!F591),"",'_INSTANCE'!F591)</x:f>
      </x:c>
      <x:c r="X591" s="6"/>
      <x:c r="Y591" s="6"/>
      <x:c r="Z591" s="6"/>
      <x:c r="AA591" s="6"/>
      <x:c r="AB591" s="6"/>
      <x:c r="AC591" s="6"/>
      <x:c r="AD591" s="6"/>
      <x:c r="AE591" s="6"/>
      <x:c r="AF591" s="6"/>
    </x:row>
    <x:row r="592">
      <x:c r="A592" s="6"/>
      <x:c r="B592" s="6"/>
      <x:c r="C592" s="6"/>
      <x:c r="D592" s="6"/>
      <x:c r="E592" s="6"/>
      <x:c r="F592" s="6"/>
      <x:c r="G592" s="6"/>
      <x:c r="H592" s="6"/>
      <x:c r="I592" s="6"/>
      <x:c r="J592" s="6"/>
      <x:c r="K592" s="6"/>
      <x:c r="L592" s="6"/>
      <x:c r="M592" s="6"/>
      <x:c r="N592" s="6"/>
      <x:c r="O592" s="6"/>
      <x:c r="P592" s="6"/>
      <x:c r="Q592" s="6"/>
      <x:c r="R592" s="6"/>
      <x:c r="S592" s="6"/>
      <x:c r="T592" s="6"/>
      <x:c r="U592" s="6"/>
      <x:c r="V592" s="6" t="str">
        <x:f>IF(ISBLANK('_INSTANCE'!B592),"",'_INSTANCE'!B592)</x:f>
      </x:c>
      <x:c r="W592" s="6" t="str">
        <x:f>IF(ISBLANK('_INSTANCE'!F592),"",'_INSTANCE'!F592)</x:f>
      </x:c>
      <x:c r="X592" s="6"/>
      <x:c r="Y592" s="6"/>
      <x:c r="Z592" s="6"/>
      <x:c r="AA592" s="6"/>
      <x:c r="AB592" s="6"/>
      <x:c r="AC592" s="6"/>
      <x:c r="AD592" s="6"/>
      <x:c r="AE592" s="6"/>
      <x:c r="AF592" s="6"/>
    </x:row>
    <x:row r="593">
      <x:c r="A593" s="6"/>
      <x:c r="B593" s="6"/>
      <x:c r="C593" s="6"/>
      <x:c r="D593" s="6"/>
      <x:c r="E593" s="6"/>
      <x:c r="F593" s="6"/>
      <x:c r="G593" s="6"/>
      <x:c r="H593" s="6"/>
      <x:c r="I593" s="6"/>
      <x:c r="J593" s="6"/>
      <x:c r="K593" s="6"/>
      <x:c r="L593" s="6"/>
      <x:c r="M593" s="6"/>
      <x:c r="N593" s="6"/>
      <x:c r="O593" s="6"/>
      <x:c r="P593" s="6"/>
      <x:c r="Q593" s="6"/>
      <x:c r="R593" s="6"/>
      <x:c r="S593" s="6"/>
      <x:c r="T593" s="6"/>
      <x:c r="U593" s="6"/>
      <x:c r="V593" s="6" t="str">
        <x:f>IF(ISBLANK('_INSTANCE'!B593),"",'_INSTANCE'!B593)</x:f>
      </x:c>
      <x:c r="W593" s="6" t="str">
        <x:f>IF(ISBLANK('_INSTANCE'!F593),"",'_INSTANCE'!F593)</x:f>
      </x:c>
      <x:c r="X593" s="6"/>
      <x:c r="Y593" s="6"/>
      <x:c r="Z593" s="6"/>
      <x:c r="AA593" s="6"/>
      <x:c r="AB593" s="6"/>
      <x:c r="AC593" s="6"/>
      <x:c r="AD593" s="6"/>
      <x:c r="AE593" s="6"/>
      <x:c r="AF593" s="6"/>
    </x:row>
    <x:row r="594">
      <x:c r="A594" s="6"/>
      <x:c r="B594" s="6"/>
      <x:c r="C594" s="6"/>
      <x:c r="D594" s="6"/>
      <x:c r="E594" s="6"/>
      <x:c r="F594" s="6"/>
      <x:c r="G594" s="6"/>
      <x:c r="H594" s="6"/>
      <x:c r="I594" s="6"/>
      <x:c r="J594" s="6"/>
      <x:c r="K594" s="6"/>
      <x:c r="L594" s="6"/>
      <x:c r="M594" s="6"/>
      <x:c r="N594" s="6"/>
      <x:c r="O594" s="6"/>
      <x:c r="P594" s="6"/>
      <x:c r="Q594" s="6"/>
      <x:c r="R594" s="6"/>
      <x:c r="S594" s="6"/>
      <x:c r="T594" s="6"/>
      <x:c r="U594" s="6"/>
      <x:c r="V594" s="6" t="str">
        <x:f>IF(ISBLANK('_INSTANCE'!B594),"",'_INSTANCE'!B594)</x:f>
      </x:c>
      <x:c r="W594" s="6" t="str">
        <x:f>IF(ISBLANK('_INSTANCE'!F594),"",'_INSTANCE'!F594)</x:f>
      </x:c>
      <x:c r="X594" s="6"/>
      <x:c r="Y594" s="6"/>
      <x:c r="Z594" s="6"/>
      <x:c r="AA594" s="6"/>
      <x:c r="AB594" s="6"/>
      <x:c r="AC594" s="6"/>
      <x:c r="AD594" s="6"/>
      <x:c r="AE594" s="6"/>
      <x:c r="AF594" s="6"/>
    </x:row>
    <x:row r="595">
      <x:c r="A595" s="6"/>
      <x:c r="B595" s="6"/>
      <x:c r="C595" s="6"/>
      <x:c r="D595" s="6"/>
      <x:c r="E595" s="6"/>
      <x:c r="F595" s="6"/>
      <x:c r="G595" s="6"/>
      <x:c r="H595" s="6"/>
      <x:c r="I595" s="6"/>
      <x:c r="J595" s="6"/>
      <x:c r="K595" s="6"/>
      <x:c r="L595" s="6"/>
      <x:c r="M595" s="6"/>
      <x:c r="N595" s="6"/>
      <x:c r="O595" s="6"/>
      <x:c r="P595" s="6"/>
      <x:c r="Q595" s="6"/>
      <x:c r="R595" s="6"/>
      <x:c r="S595" s="6"/>
      <x:c r="T595" s="6"/>
      <x:c r="U595" s="6"/>
      <x:c r="V595" s="6" t="str">
        <x:f>IF(ISBLANK('_INSTANCE'!B595),"",'_INSTANCE'!B595)</x:f>
      </x:c>
      <x:c r="W595" s="6" t="str">
        <x:f>IF(ISBLANK('_INSTANCE'!F595),"",'_INSTANCE'!F595)</x:f>
      </x:c>
      <x:c r="X595" s="6"/>
      <x:c r="Y595" s="6"/>
      <x:c r="Z595" s="6"/>
      <x:c r="AA595" s="6"/>
      <x:c r="AB595" s="6"/>
      <x:c r="AC595" s="6"/>
      <x:c r="AD595" s="6"/>
      <x:c r="AE595" s="6"/>
      <x:c r="AF595" s="6"/>
    </x:row>
    <x:row r="596">
      <x:c r="A596" s="6"/>
      <x:c r="B596" s="6"/>
      <x:c r="C596" s="6"/>
      <x:c r="D596" s="6"/>
      <x:c r="E596" s="6"/>
      <x:c r="F596" s="6"/>
      <x:c r="G596" s="6"/>
      <x:c r="H596" s="6"/>
      <x:c r="I596" s="6"/>
      <x:c r="J596" s="6"/>
      <x:c r="K596" s="6"/>
      <x:c r="L596" s="6"/>
      <x:c r="M596" s="6"/>
      <x:c r="N596" s="6"/>
      <x:c r="O596" s="6"/>
      <x:c r="P596" s="6"/>
      <x:c r="Q596" s="6"/>
      <x:c r="R596" s="6"/>
      <x:c r="S596" s="6"/>
      <x:c r="T596" s="6"/>
      <x:c r="U596" s="6"/>
      <x:c r="V596" s="6" t="str">
        <x:f>IF(ISBLANK('_INSTANCE'!B596),"",'_INSTANCE'!B596)</x:f>
      </x:c>
      <x:c r="W596" s="6" t="str">
        <x:f>IF(ISBLANK('_INSTANCE'!F596),"",'_INSTANCE'!F596)</x:f>
      </x:c>
      <x:c r="X596" s="6"/>
      <x:c r="Y596" s="6"/>
      <x:c r="Z596" s="6"/>
      <x:c r="AA596" s="6"/>
      <x:c r="AB596" s="6"/>
      <x:c r="AC596" s="6"/>
      <x:c r="AD596" s="6"/>
      <x:c r="AE596" s="6"/>
      <x:c r="AF596" s="6"/>
    </x:row>
    <x:row r="597">
      <x:c r="A597" s="6"/>
      <x:c r="B597" s="6"/>
      <x:c r="C597" s="6"/>
      <x:c r="D597" s="6"/>
      <x:c r="E597" s="6"/>
      <x:c r="F597" s="6"/>
      <x:c r="G597" s="6"/>
      <x:c r="H597" s="6"/>
      <x:c r="I597" s="6"/>
      <x:c r="J597" s="6"/>
      <x:c r="K597" s="6"/>
      <x:c r="L597" s="6"/>
      <x:c r="M597" s="6"/>
      <x:c r="N597" s="6"/>
      <x:c r="O597" s="6"/>
      <x:c r="P597" s="6"/>
      <x:c r="Q597" s="6"/>
      <x:c r="R597" s="6"/>
      <x:c r="S597" s="6"/>
      <x:c r="T597" s="6"/>
      <x:c r="U597" s="6"/>
      <x:c r="V597" s="6" t="str">
        <x:f>IF(ISBLANK('_INSTANCE'!B597),"",'_INSTANCE'!B597)</x:f>
      </x:c>
      <x:c r="W597" s="6" t="str">
        <x:f>IF(ISBLANK('_INSTANCE'!F597),"",'_INSTANCE'!F597)</x:f>
      </x:c>
      <x:c r="X597" s="6"/>
      <x:c r="Y597" s="6"/>
      <x:c r="Z597" s="6"/>
      <x:c r="AA597" s="6"/>
      <x:c r="AB597" s="6"/>
      <x:c r="AC597" s="6"/>
      <x:c r="AD597" s="6"/>
      <x:c r="AE597" s="6"/>
      <x:c r="AF597" s="6"/>
    </x:row>
    <x:row r="598">
      <x:c r="A598" s="6"/>
      <x:c r="B598" s="6"/>
      <x:c r="C598" s="6"/>
      <x:c r="D598" s="6"/>
      <x:c r="E598" s="6"/>
      <x:c r="F598" s="6"/>
      <x:c r="G598" s="6"/>
      <x:c r="H598" s="6"/>
      <x:c r="I598" s="6"/>
      <x:c r="J598" s="6"/>
      <x:c r="K598" s="6"/>
      <x:c r="L598" s="6"/>
      <x:c r="M598" s="6"/>
      <x:c r="N598" s="6"/>
      <x:c r="O598" s="6"/>
      <x:c r="P598" s="6"/>
      <x:c r="Q598" s="6"/>
      <x:c r="R598" s="6"/>
      <x:c r="S598" s="6"/>
      <x:c r="T598" s="6"/>
      <x:c r="U598" s="6"/>
      <x:c r="V598" s="6" t="str">
        <x:f>IF(ISBLANK('_INSTANCE'!B598),"",'_INSTANCE'!B598)</x:f>
      </x:c>
      <x:c r="W598" s="6" t="str">
        <x:f>IF(ISBLANK('_INSTANCE'!F598),"",'_INSTANCE'!F598)</x:f>
      </x:c>
      <x:c r="X598" s="6"/>
      <x:c r="Y598" s="6"/>
      <x:c r="Z598" s="6"/>
      <x:c r="AA598" s="6"/>
      <x:c r="AB598" s="6"/>
      <x:c r="AC598" s="6"/>
      <x:c r="AD598" s="6"/>
      <x:c r="AE598" s="6"/>
      <x:c r="AF598" s="6"/>
    </x:row>
    <x:row r="599">
      <x:c r="A599" s="6"/>
      <x:c r="B599" s="6"/>
      <x:c r="C599" s="6"/>
      <x:c r="D599" s="6"/>
      <x:c r="E599" s="6"/>
      <x:c r="F599" s="6"/>
      <x:c r="G599" s="6"/>
      <x:c r="H599" s="6"/>
      <x:c r="I599" s="6"/>
      <x:c r="J599" s="6"/>
      <x:c r="K599" s="6"/>
      <x:c r="L599" s="6"/>
      <x:c r="M599" s="6"/>
      <x:c r="N599" s="6"/>
      <x:c r="O599" s="6"/>
      <x:c r="P599" s="6"/>
      <x:c r="Q599" s="6"/>
      <x:c r="R599" s="6"/>
      <x:c r="S599" s="6"/>
      <x:c r="T599" s="6"/>
      <x:c r="U599" s="6"/>
      <x:c r="V599" s="6" t="str">
        <x:f>IF(ISBLANK('_INSTANCE'!B599),"",'_INSTANCE'!B599)</x:f>
      </x:c>
      <x:c r="W599" s="6" t="str">
        <x:f>IF(ISBLANK('_INSTANCE'!F599),"",'_INSTANCE'!F599)</x:f>
      </x:c>
      <x:c r="X599" s="6"/>
      <x:c r="Y599" s="6"/>
      <x:c r="Z599" s="6"/>
      <x:c r="AA599" s="6"/>
      <x:c r="AB599" s="6"/>
      <x:c r="AC599" s="6"/>
      <x:c r="AD599" s="6"/>
      <x:c r="AE599" s="6"/>
      <x:c r="AF599" s="6"/>
    </x:row>
    <x:row r="600">
      <x:c r="A600" s="6"/>
      <x:c r="B600" s="6"/>
      <x:c r="C600" s="6"/>
      <x:c r="D600" s="6"/>
      <x:c r="E600" s="6"/>
      <x:c r="F600" s="6"/>
      <x:c r="G600" s="6"/>
      <x:c r="H600" s="6"/>
      <x:c r="I600" s="6"/>
      <x:c r="J600" s="6"/>
      <x:c r="K600" s="6"/>
      <x:c r="L600" s="6"/>
      <x:c r="M600" s="6"/>
      <x:c r="N600" s="6"/>
      <x:c r="O600" s="6"/>
      <x:c r="P600" s="6"/>
      <x:c r="Q600" s="6"/>
      <x:c r="R600" s="6"/>
      <x:c r="S600" s="6"/>
      <x:c r="T600" s="6"/>
      <x:c r="U600" s="6"/>
      <x:c r="V600" s="6" t="str">
        <x:f>IF(ISBLANK('_INSTANCE'!B600),"",'_INSTANCE'!B600)</x:f>
      </x:c>
      <x:c r="W600" s="6" t="str">
        <x:f>IF(ISBLANK('_INSTANCE'!F600),"",'_INSTANCE'!F600)</x:f>
      </x:c>
      <x:c r="X600" s="6"/>
      <x:c r="Y600" s="6"/>
      <x:c r="Z600" s="6"/>
      <x:c r="AA600" s="6"/>
      <x:c r="AB600" s="6"/>
      <x:c r="AC600" s="6"/>
      <x:c r="AD600" s="6"/>
      <x:c r="AE600" s="6"/>
      <x:c r="AF600" s="6"/>
    </x:row>
    <x:row r="601">
      <x:c r="A601" s="6"/>
      <x:c r="B601" s="6"/>
      <x:c r="C601" s="6"/>
      <x:c r="D601" s="6"/>
      <x:c r="E601" s="6"/>
      <x:c r="F601" s="6"/>
      <x:c r="G601" s="6"/>
      <x:c r="H601" s="6"/>
      <x:c r="I601" s="6"/>
      <x:c r="J601" s="6"/>
      <x:c r="K601" s="6"/>
      <x:c r="L601" s="6"/>
      <x:c r="M601" s="6"/>
      <x:c r="N601" s="6"/>
      <x:c r="O601" s="6"/>
      <x:c r="P601" s="6"/>
      <x:c r="Q601" s="6"/>
      <x:c r="R601" s="6"/>
      <x:c r="S601" s="6"/>
      <x:c r="T601" s="6"/>
      <x:c r="U601" s="6"/>
      <x:c r="V601" s="6" t="str">
        <x:f>IF(ISBLANK('_INSTANCE'!B601),"",'_INSTANCE'!B601)</x:f>
      </x:c>
      <x:c r="W601" s="6" t="str">
        <x:f>IF(ISBLANK('_INSTANCE'!F601),"",'_INSTANCE'!F601)</x:f>
      </x:c>
      <x:c r="X601" s="6"/>
      <x:c r="Y601" s="6"/>
      <x:c r="Z601" s="6"/>
      <x:c r="AA601" s="6"/>
      <x:c r="AB601" s="6"/>
      <x:c r="AC601" s="6"/>
      <x:c r="AD601" s="6"/>
      <x:c r="AE601" s="6"/>
      <x:c r="AF601" s="6"/>
    </x:row>
    <x:row r="602">
      <x:c r="A602" s="6"/>
      <x:c r="B602" s="6"/>
      <x:c r="C602" s="6"/>
      <x:c r="D602" s="6"/>
      <x:c r="E602" s="6"/>
      <x:c r="F602" s="6"/>
      <x:c r="G602" s="6"/>
      <x:c r="H602" s="6"/>
      <x:c r="I602" s="6"/>
      <x:c r="J602" s="6"/>
      <x:c r="K602" s="6"/>
      <x:c r="L602" s="6"/>
      <x:c r="M602" s="6"/>
      <x:c r="N602" s="6"/>
      <x:c r="O602" s="6"/>
      <x:c r="P602" s="6"/>
      <x:c r="Q602" s="6"/>
      <x:c r="R602" s="6"/>
      <x:c r="S602" s="6"/>
      <x:c r="T602" s="6"/>
      <x:c r="U602" s="6"/>
      <x:c r="V602" s="6"/>
      <x:c r="W602" s="6"/>
      <x:c r="X602" s="6"/>
      <x:c r="Y602" s="6"/>
      <x:c r="Z602" s="6"/>
      <x:c r="AA602" s="6"/>
      <x:c r="AB602" s="6"/>
      <x:c r="AC602" s="6"/>
      <x:c r="AD602" s="6"/>
      <x:c r="AE602" s="6"/>
      <x:c r="AF602" s="6"/>
    </x:row>
    <x:row r="603">
      <x:c r="A603" s="6"/>
      <x:c r="B603" s="6"/>
      <x:c r="C603" s="6"/>
      <x:c r="D603" s="6"/>
      <x:c r="E603" s="6"/>
      <x:c r="F603" s="6"/>
      <x:c r="G603" s="6"/>
      <x:c r="H603" s="6"/>
      <x:c r="I603" s="6"/>
      <x:c r="J603" s="6"/>
      <x:c r="K603" s="6"/>
      <x:c r="L603" s="6"/>
      <x:c r="M603" s="6"/>
      <x:c r="N603" s="6"/>
      <x:c r="O603" s="6"/>
      <x:c r="P603" s="6"/>
      <x:c r="Q603" s="6"/>
      <x:c r="R603" s="6"/>
      <x:c r="S603" s="6"/>
      <x:c r="T603" s="6"/>
      <x:c r="U603" s="6"/>
      <x:c r="V603" s="6"/>
      <x:c r="W603" s="6"/>
      <x:c r="X603" s="6"/>
      <x:c r="Y603" s="6"/>
      <x:c r="Z603" s="6"/>
      <x:c r="AA603" s="6"/>
      <x:c r="AB603" s="6"/>
      <x:c r="AC603" s="6"/>
      <x:c r="AD603" s="6"/>
      <x:c r="AE603" s="6"/>
      <x:c r="AF603" s="6"/>
    </x:row>
    <x:row r="604">
      <x:c r="A604" s="6"/>
      <x:c r="B604" s="6"/>
      <x:c r="C604" s="6"/>
      <x:c r="D604" s="6"/>
      <x:c r="E604" s="6"/>
      <x:c r="F604" s="6"/>
      <x:c r="G604" s="6"/>
      <x:c r="H604" s="6"/>
      <x:c r="I604" s="6"/>
      <x:c r="J604" s="6"/>
      <x:c r="K604" s="6"/>
      <x:c r="L604" s="6"/>
      <x:c r="M604" s="6"/>
      <x:c r="N604" s="6"/>
      <x:c r="O604" s="6"/>
      <x:c r="P604" s="6"/>
      <x:c r="Q604" s="6"/>
      <x:c r="R604" s="6"/>
      <x:c r="S604" s="6"/>
      <x:c r="T604" s="6"/>
      <x:c r="U604" s="6"/>
      <x:c r="V604" s="6"/>
      <x:c r="W604" s="6"/>
      <x:c r="X604" s="6"/>
      <x:c r="Y604" s="6"/>
      <x:c r="Z604" s="6"/>
      <x:c r="AA604" s="6"/>
      <x:c r="AB604" s="6"/>
      <x:c r="AC604" s="6"/>
      <x:c r="AD604" s="6"/>
      <x:c r="AE604" s="6"/>
      <x:c r="AF604" s="6"/>
    </x:row>
    <x:row r="605">
      <x:c r="A605" s="6"/>
      <x:c r="B605" s="6"/>
      <x:c r="C605" s="6"/>
      <x:c r="D605" s="6"/>
      <x:c r="E605" s="6"/>
      <x:c r="F605" s="6"/>
      <x:c r="G605" s="6"/>
      <x:c r="H605" s="6"/>
      <x:c r="I605" s="6"/>
      <x:c r="J605" s="6"/>
      <x:c r="K605" s="6"/>
      <x:c r="L605" s="6"/>
      <x:c r="M605" s="6"/>
      <x:c r="N605" s="6"/>
      <x:c r="O605" s="6"/>
      <x:c r="P605" s="6"/>
      <x:c r="Q605" s="6"/>
      <x:c r="R605" s="6"/>
      <x:c r="S605" s="6"/>
      <x:c r="T605" s="6"/>
      <x:c r="U605" s="6"/>
      <x:c r="V605" s="6"/>
      <x:c r="W605" s="6"/>
      <x:c r="X605" s="6"/>
      <x:c r="Y605" s="6"/>
      <x:c r="Z605" s="6"/>
      <x:c r="AA605" s="6"/>
      <x:c r="AB605" s="6"/>
      <x:c r="AC605" s="6"/>
      <x:c r="AD605" s="6"/>
      <x:c r="AE605" s="6"/>
      <x:c r="AF605" s="6"/>
    </x:row>
    <x:row r="606">
      <x:c r="A606" s="6"/>
      <x:c r="B606" s="6"/>
      <x:c r="C606" s="6"/>
      <x:c r="D606" s="6"/>
      <x:c r="E606" s="6"/>
      <x:c r="F606" s="6"/>
      <x:c r="G606" s="6"/>
      <x:c r="H606" s="6"/>
      <x:c r="I606" s="6"/>
      <x:c r="J606" s="6"/>
      <x:c r="K606" s="6"/>
      <x:c r="L606" s="6"/>
      <x:c r="M606" s="6"/>
      <x:c r="N606" s="6"/>
      <x:c r="O606" s="6"/>
      <x:c r="P606" s="6"/>
      <x:c r="Q606" s="6"/>
      <x:c r="R606" s="6"/>
      <x:c r="S606" s="6"/>
      <x:c r="T606" s="6"/>
      <x:c r="U606" s="6"/>
      <x:c r="V606" s="6"/>
      <x:c r="W606" s="6"/>
      <x:c r="X606" s="6"/>
      <x:c r="Y606" s="6"/>
      <x:c r="Z606" s="6"/>
      <x:c r="AA606" s="6"/>
      <x:c r="AB606" s="6"/>
      <x:c r="AC606" s="6"/>
      <x:c r="AD606" s="6"/>
      <x:c r="AE606" s="6"/>
      <x:c r="AF606" s="6"/>
    </x:row>
    <x:row r="607">
      <x:c r="A607" s="6"/>
      <x:c r="B607" s="6"/>
      <x:c r="C607" s="6"/>
      <x:c r="D607" s="6"/>
      <x:c r="E607" s="6"/>
      <x:c r="F607" s="6"/>
      <x:c r="G607" s="6"/>
      <x:c r="H607" s="6"/>
      <x:c r="I607" s="6"/>
      <x:c r="J607" s="6"/>
      <x:c r="K607" s="6"/>
      <x:c r="L607" s="6"/>
      <x:c r="M607" s="6"/>
      <x:c r="N607" s="6"/>
      <x:c r="O607" s="6"/>
      <x:c r="P607" s="6"/>
      <x:c r="Q607" s="6"/>
      <x:c r="R607" s="6"/>
      <x:c r="S607" s="6"/>
      <x:c r="T607" s="6"/>
      <x:c r="U607" s="6"/>
      <x:c r="V607" s="6"/>
      <x:c r="W607" s="6"/>
      <x:c r="X607" s="6"/>
      <x:c r="Y607" s="6"/>
      <x:c r="Z607" s="6"/>
      <x:c r="AA607" s="6"/>
      <x:c r="AB607" s="6"/>
      <x:c r="AC607" s="6"/>
      <x:c r="AD607" s="6"/>
      <x:c r="AE607" s="6"/>
      <x:c r="AF607" s="6"/>
    </x:row>
    <x:row r="608">
      <x:c r="A608" s="6"/>
      <x:c r="B608" s="6"/>
      <x:c r="C608" s="6"/>
      <x:c r="D608" s="6"/>
      <x:c r="E608" s="6"/>
      <x:c r="F608" s="6"/>
      <x:c r="G608" s="6"/>
      <x:c r="H608" s="6"/>
      <x:c r="I608" s="6"/>
      <x:c r="J608" s="6"/>
      <x:c r="K608" s="6"/>
      <x:c r="L608" s="6"/>
      <x:c r="M608" s="6"/>
      <x:c r="N608" s="6"/>
      <x:c r="O608" s="6"/>
      <x:c r="P608" s="6"/>
      <x:c r="Q608" s="6"/>
      <x:c r="R608" s="6"/>
      <x:c r="S608" s="6"/>
      <x:c r="T608" s="6"/>
      <x:c r="U608" s="6"/>
      <x:c r="V608" s="6"/>
      <x:c r="W608" s="6"/>
      <x:c r="X608" s="6"/>
      <x:c r="Y608" s="6"/>
      <x:c r="Z608" s="6"/>
      <x:c r="AA608" s="6"/>
      <x:c r="AB608" s="6"/>
      <x:c r="AC608" s="6"/>
      <x:c r="AD608" s="6"/>
      <x:c r="AE608" s="6"/>
      <x:c r="AF608" s="6"/>
    </x:row>
    <x:row r="609">
      <x:c r="A609" s="6"/>
      <x:c r="B609" s="6"/>
      <x:c r="C609" s="6"/>
      <x:c r="D609" s="6"/>
      <x:c r="E609" s="6"/>
      <x:c r="F609" s="6"/>
      <x:c r="G609" s="6"/>
      <x:c r="H609" s="6"/>
      <x:c r="I609" s="6"/>
      <x:c r="J609" s="6"/>
      <x:c r="K609" s="6"/>
      <x:c r="L609" s="6"/>
      <x:c r="M609" s="6"/>
      <x:c r="N609" s="6"/>
      <x:c r="O609" s="6"/>
      <x:c r="P609" s="6"/>
      <x:c r="Q609" s="6"/>
      <x:c r="R609" s="6"/>
      <x:c r="S609" s="6"/>
      <x:c r="T609" s="6"/>
      <x:c r="U609" s="6"/>
      <x:c r="V609" s="6"/>
      <x:c r="W609" s="6"/>
      <x:c r="X609" s="6"/>
      <x:c r="Y609" s="6"/>
      <x:c r="Z609" s="6"/>
      <x:c r="AA609" s="6"/>
      <x:c r="AB609" s="6"/>
      <x:c r="AC609" s="6"/>
      <x:c r="AD609" s="6"/>
      <x:c r="AE609" s="6"/>
      <x:c r="AF609" s="6"/>
    </x:row>
    <x:row r="610">
      <x:c r="A610" s="6"/>
      <x:c r="B610" s="6"/>
      <x:c r="C610" s="6"/>
      <x:c r="D610" s="6"/>
      <x:c r="E610" s="6"/>
      <x:c r="F610" s="6"/>
      <x:c r="G610" s="6"/>
      <x:c r="H610" s="6"/>
      <x:c r="I610" s="6"/>
      <x:c r="J610" s="6"/>
      <x:c r="K610" s="6"/>
      <x:c r="L610" s="6"/>
      <x:c r="M610" s="6"/>
      <x:c r="N610" s="6"/>
      <x:c r="O610" s="6"/>
      <x:c r="P610" s="6"/>
      <x:c r="Q610" s="6"/>
      <x:c r="R610" s="6"/>
      <x:c r="S610" s="6"/>
      <x:c r="T610" s="6"/>
      <x:c r="U610" s="6"/>
      <x:c r="V610" s="6"/>
      <x:c r="W610" s="6"/>
      <x:c r="X610" s="6"/>
      <x:c r="Y610" s="6"/>
      <x:c r="Z610" s="6"/>
      <x:c r="AA610" s="6"/>
      <x:c r="AB610" s="6"/>
      <x:c r="AC610" s="6"/>
      <x:c r="AD610" s="6"/>
      <x:c r="AE610" s="6"/>
      <x:c r="AF610" s="6"/>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12.220000267028809" hidden="0" customWidth="1"/>
    <x:col min="3" max="3" width="37.779998779296875" hidden="0" customWidth="1"/>
  </x:cols>
  <x:sheetData>
    <x:row r="1">
      <x:c r="A1" s="14" t="str">
        <x:v>metric</x:v>
      </x:c>
      <x:c r="B1" s="18" t="str">
        <x:v>value</x:v>
      </x:c>
      <x:c r="C1" s="15" t="str">
        <x:v>definition</x:v>
      </x:c>
    </x:row>
    <x:row r="2">
      <x:c r="A2" s="6" t="str">
        <x:v>run_count</x:v>
      </x:c>
      <x:c r="B2" s="34" t="n">
        <x:f>COUNT('_RUNS'!$C$2:$C$101)</x:f>
        <x:v>10</x:v>
      </x:c>
      <x:c r="C2" s="6" t="str">
        <x:v>Number of verified equal-budget runs</x:v>
      </x:c>
    </x:row>
    <x:row r="3">
      <x:c r="A3" s="6" t="str">
        <x:v>best_cost</x:v>
      </x:c>
      <x:c r="B3" s="34" t="n">
        <x:f>'_CONFIG'!$B$11</x:f>
        <x:v>24048</x:v>
      </x:c>
      <x:c r="C3" s="6" t="str">
        <x:v>Minimum observed objective</x:v>
      </x:c>
    </x:row>
    <x:row r="4">
      <x:c r="A4" s="6" t="str">
        <x:v>median_cost</x:v>
      </x:c>
      <x:c r="B4" s="34" t="n">
        <x:f>'_CONFIG'!$B$25</x:f>
        <x:v>24051</x:v>
      </x:c>
      <x:c r="C4" s="6" t="str">
        <x:v>50th percentile</x:v>
      </x:c>
    </x:row>
    <x:row r="5">
      <x:c r="A5" s="6" t="str">
        <x:v>q1_cost</x:v>
      </x:c>
      <x:c r="B5" s="34" t="n">
        <x:f>'_CONFIG'!$B$26</x:f>
        <x:v>24048</x:v>
      </x:c>
      <x:c r="C5" s="6" t="str">
        <x:v>25th percentile</x:v>
      </x:c>
    </x:row>
    <x:row r="6">
      <x:c r="A6" s="6" t="str">
        <x:v>q3_cost</x:v>
      </x:c>
      <x:c r="B6" s="34" t="n">
        <x:f>'_CONFIG'!$B$27</x:f>
        <x:v>24159</x:v>
      </x:c>
      <x:c r="C6" s="6" t="str">
        <x:v>75th percentile</x:v>
      </x:c>
    </x:row>
    <x:row r="7">
      <x:c r="A7" s="6" t="str">
        <x:v>iqr</x:v>
      </x:c>
      <x:c r="B7" s="34" t="n">
        <x:f>IF(B2&lt;2,"",B6-B5)</x:f>
        <x:v>111</x:v>
      </x:c>
      <x:c r="C7" s="6" t="str">
        <x:v>Q3 − Q1</x:v>
      </x:c>
    </x:row>
    <x:row r="8">
      <x:c r="A8" s="6" t="str">
        <x:v>sample_sd</x:v>
      </x:c>
      <x:c r="B8" s="34" t="n">
        <x:f>IF(B2&lt;2,"",'_CONFIG'!$B$28)</x:f>
        <x:v>79.79306569704747</x:v>
      </x:c>
      <x:c r="C8" s="6" t="str">
        <x:v>Sample standard deviation</x:v>
      </x:c>
    </x:row>
    <x:row r="9">
      <x:c r="A9" s="6" t="str">
        <x:v>reference_hit_rate</x:v>
      </x:c>
      <x:c r="B9" s="35" t="n">
        <x:f>IF(OR(B2&lt;2,'_CONFIG'!$B$12=""),"",COUNTIFS('_RUNS'!$C$2:$C$101,"&lt;&gt;",'_RUNS'!$C$2:$C$101,"&lt;="&amp;'_CONFIG'!$B$12)/B2)</x:f>
        <x:v>0.7</x:v>
      </x:c>
      <x:c r="C9" s="6" t="str">
        <x:v>Share of runs at or below historical reference</x:v>
      </x:c>
    </x:row>
    <x:row r="10">
      <x:c r="A10" s="6" t="str">
        <x:v>mean_evaluations</x:v>
      </x:c>
      <x:c r="B10" s="34" t="n">
        <x:f>IF(B2=0,"",AVERAGE('_RUNS'!$F$2:$F$101))</x:f>
        <x:v>3050692.4</x:v>
      </x:c>
      <x:c r="C10" s="6" t="str">
        <x:v>Mean objective evaluations per run</x:v>
      </x:c>
    </x:row>
    <x:row r="11">
      <x:c r="A11" s="6" t="str">
        <x:v>mean_runtime_ms</x:v>
      </x:c>
      <x:c r="B11" s="34" t="n">
        <x:f>IF(B2=0,"",AVERAGE('_RUNS'!$G$2:$G$101))</x:f>
        <x:v>218.5864793</x:v>
      </x:c>
      <x:c r="C11" s="6" t="str">
        <x:v>Mean runtime in current environment</x:v>
      </x:c>
    </x:row>
    <x:row r="12">
      <x:c r="A12" s="6" t="str">
        <x:v>mean_eval_per_second</x:v>
      </x:c>
      <x:c r="B12" s="34" t="n">
        <x:f>IF(B2=0,"",AVERAGE('_RUNS'!$H$2:$H$101))</x:f>
        <x:v>13961103.628151527</x:v>
      </x:c>
      <x:c r="C12" s="6" t="str">
        <x:v>Mean evaluator throughput in current environment</x:v>
      </x:c>
    </x:row>
    <x:row r="13">
      <x:c r="A13" s="6"/>
      <x:c r="B13" s="6"/>
      <x:c r="C13" s="6"/>
    </x:row>
    <x:row r="14">
      <x:c r="A14" s="6"/>
      <x:c r="B14" s="6"/>
      <x:c r="C14" s="6"/>
    </x:row>
    <x:row r="15">
      <x:c r="A15" s="6"/>
      <x:c r="B15" s="6"/>
      <x:c r="C15" s="6"/>
    </x:row>
    <x:row r="16">
      <x:c r="A16" s="6"/>
      <x:c r="B16" s="6"/>
      <x:c r="C16" s="6"/>
    </x:row>
    <x:row r="17">
      <x:c r="A17" s="6"/>
      <x:c r="B17" s="6"/>
      <x:c r="C17" s="6"/>
    </x:row>
    <x:row r="18">
      <x:c r="A18" s="6"/>
      <x:c r="B18" s="6"/>
      <x:c r="C18" s="6"/>
    </x:row>
    <x:row r="19">
      <x:c r="A19" s="6"/>
      <x:c r="B19" s="6"/>
      <x:c r="C19" s="6"/>
    </x:row>
    <x:row r="20">
      <x:c r="A20" s="6"/>
      <x:c r="B20" s="6"/>
      <x:c r="C20" s="6"/>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21.110000610351562" hidden="0" customWidth="1"/>
    <x:col min="3" max="3" width="23.329999923706055" hidden="0" customWidth="1"/>
  </x:cols>
  <x:sheetData>
    <x:row r="1">
      <x:c r="A1" s="14" t="str">
        <x:v>key</x:v>
      </x:c>
      <x:c r="B1" s="18" t="str">
        <x:v>en</x:v>
      </x:c>
      <x:c r="C1" s="15" t="str">
        <x:v>pt-BR</x:v>
      </x:c>
    </x:row>
    <x:row r="2">
      <x:c r="A2" s="6" t="str">
        <x:v>best_cost</x:v>
      </x:c>
      <x:c r="B2" s="6" t="str">
        <x:v>Best objective</x:v>
      </x:c>
      <x:c r="C2" s="6" t="str">
        <x:v>Melhor objetivo</x:v>
      </x:c>
    </x:row>
    <x:row r="3">
      <x:c r="A3" s="6" t="str">
        <x:v>reference_cost</x:v>
      </x:c>
      <x:c r="B3" s="6" t="str">
        <x:v>Historical reference</x:v>
      </x:c>
      <x:c r="C3" s="6" t="str">
        <x:v>Referência histórica</x:v>
      </x:c>
    </x:row>
    <x:row r="4">
      <x:c r="A4" s="6" t="str">
        <x:v>gap</x:v>
      </x:c>
      <x:c r="B4" s="6" t="str">
        <x:v>Delta to historical reference</x:v>
      </x:c>
      <x:c r="C4" s="6" t="str">
        <x:v>Delta para referência histórica</x:v>
      </x:c>
    </x:row>
    <x:row r="5">
      <x:c r="A5" s="6" t="str">
        <x:v>scheduled</x:v>
      </x:c>
      <x:c r="B5" s="6" t="str">
        <x:v>Scheduled jobs</x:v>
      </x:c>
      <x:c r="C5" s="6" t="str">
        <x:v>Jobs programados</x:v>
      </x:c>
    </x:row>
    <x:row r="6">
      <x:c r="A6" s="6" t="str">
        <x:v>rejected</x:v>
      </x:c>
      <x:c r="B6" s="6" t="str">
        <x:v>Rejected jobs</x:v>
      </x:c>
      <x:c r="C6" s="6" t="str">
        <x:v>Jobs rejeitados</x:v>
      </x:c>
    </x:row>
    <x:row r="7">
      <x:c r="A7" s="6" t="str">
        <x:v>runs</x:v>
      </x:c>
      <x:c r="B7" s="6" t="str">
        <x:v>Equal-budget runs</x:v>
      </x:c>
      <x:c r="C7" s="6" t="str">
        <x:v>Execuções com mesmo orçamento</x:v>
      </x:c>
    </x:row>
    <x:row r="8">
      <x:c r="A8" s="6" t="str">
        <x:v>setup</x:v>
      </x:c>
      <x:c r="B8" s="6" t="str">
        <x:v>Setup</x:v>
      </x:c>
      <x:c r="C8" s="6" t="str">
        <x:v>Preparação</x:v>
      </x:c>
    </x:row>
    <x:row r="9">
      <x:c r="A9" s="6" t="str">
        <x:v>execution</x:v>
      </x:c>
      <x:c r="B9" s="6" t="str">
        <x:v>Execution</x:v>
      </x:c>
      <x:c r="C9" s="6" t="str">
        <x:v>Execução</x:v>
      </x:c>
    </x:row>
    <x:row r="10">
      <x:c r="A10" s="6" t="str">
        <x:v>tardiness</x:v>
      </x:c>
      <x:c r="B10" s="6" t="str">
        <x:v>Tardiness</x:v>
      </x:c>
      <x:c r="C10" s="6" t="str">
        <x:v>Atraso</x:v>
      </x:c>
    </x:row>
    <x:row r="11">
      <x:c r="A11" s="6" t="str">
        <x:v>rejection</x:v>
      </x:c>
      <x:c r="B11" s="6" t="str">
        <x:v>Rejection</x:v>
      </x:c>
      <x:c r="C11" s="6" t="str">
        <x:v>Rejeição</x:v>
      </x:c>
    </x:row>
    <x:row r="12">
      <x:c r="A12" s="6" t="str">
        <x:v>iteration</x:v>
      </x:c>
      <x:c r="B12" s="6" t="str">
        <x:v>Iteration</x:v>
      </x:c>
      <x:c r="C12" s="6" t="str">
        <x:v>Iteração</x:v>
      </x:c>
    </x:row>
    <x:row r="13">
      <x:c r="A13" s="6" t="str">
        <x:v>seed</x:v>
      </x:c>
      <x:c r="B13" s="6" t="str">
        <x:v>Seed</x:v>
      </x:c>
      <x:c r="C13" s="6" t="str">
        <x:v>Semente</x:v>
      </x:c>
    </x:row>
    <x:row r="14">
      <x:c r="A14" s="6" t="str">
        <x:v>family</x:v>
      </x:c>
      <x:c r="B14" s="6" t="str">
        <x:v>Family</x:v>
      </x:c>
      <x:c r="C14" s="6" t="str">
        <x:v>Família</x:v>
      </x:c>
    </x:row>
    <x:row r="15">
      <x:c r="A15" s="6" t="str">
        <x:v>release</x:v>
      </x:c>
      <x:c r="B15" s="6" t="str">
        <x:v>Release</x:v>
      </x:c>
      <x:c r="C15" s="6" t="str">
        <x:v>Liberação</x:v>
      </x:c>
    </x:row>
    <x:row r="16">
      <x:c r="A16" s="6" t="str">
        <x:v>due</x:v>
      </x:c>
      <x:c r="B16" s="6" t="str">
        <x:v>Due date</x:v>
      </x:c>
      <x:c r="C16" s="6" t="str">
        <x:v>Prazo</x:v>
      </x:c>
    </x:row>
    <x:row r="17">
      <x:c r="A17" s="6" t="str">
        <x:v>deadline</x:v>
      </x:c>
      <x:c r="B17" s="6" t="str">
        <x:v>Hard deadline</x:v>
      </x:c>
      <x:c r="C17" s="6" t="str">
        <x:v>Limite rígido</x:v>
      </x:c>
    </x:row>
    <x:row r="18">
      <x:c r="A18" s="6" t="str">
        <x:v>pass</x:v>
      </x:c>
      <x:c r="B18" s="6" t="str">
        <x:v>PASS</x:v>
      </x:c>
      <x:c r="C18" s="6" t="str">
        <x:v>APROVADO</x:v>
      </x:c>
    </x:row>
    <x:row r="19">
      <x:c r="A19" s="6"/>
      <x:c r="B19" s="6"/>
      <x:c r="C19" s="6"/>
    </x:row>
    <x:row r="20">
      <x:c r="A20" s="6"/>
      <x:c r="B20" s="6"/>
      <x:c r="C20" s="6"/>
    </x:row>
    <x:row r="21">
      <x:c r="A21" s="6"/>
      <x:c r="B21" s="6"/>
      <x:c r="C21" s="6"/>
    </x:row>
    <x:row r="22">
      <x:c r="A22" s="6"/>
      <x:c r="B22" s="6"/>
      <x:c r="C22" s="6"/>
    </x:row>
    <x:row r="23">
      <x:c r="A23" s="6"/>
      <x:c r="B23" s="6"/>
      <x:c r="C23" s="6"/>
    </x:row>
    <x:row r="24">
      <x:c r="A24" s="6"/>
      <x:c r="B24" s="6"/>
      <x:c r="C24" s="6"/>
    </x:row>
    <x:row r="25">
      <x:c r="A25" s="6"/>
      <x:c r="B25" s="6"/>
      <x:c r="C25" s="6"/>
    </x:row>
    <x:row r="26">
      <x:c r="A26" s="6"/>
      <x:c r="B26" s="6"/>
      <x:c r="C26" s="6"/>
    </x:row>
    <x:row r="27">
      <x:c r="A27" s="6"/>
      <x:c r="B27" s="6"/>
      <x:c r="C27" s="6"/>
    </x:row>
    <x:row r="28">
      <x:c r="A28" s="6"/>
      <x:c r="B28" s="6"/>
      <x:c r="C28" s="6"/>
    </x:row>
    <x:row r="29">
      <x:c r="A29" s="6"/>
      <x:c r="B29" s="6"/>
      <x:c r="C29" s="6"/>
    </x:row>
    <x:row r="30">
      <x:c r="A30" s="6"/>
      <x:c r="B30" s="6"/>
      <x:c r="C30" s="6"/>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7.780000686645508" hidden="0" customWidth="1"/>
    <x:col min="3" max="3" width="36.66999816894531" hidden="0" customWidth="1"/>
  </x:cols>
  <x:sheetData>
    <x:row r="1">
      <x:c r="A1" s="14" t="str">
        <x:v>key</x:v>
      </x:c>
      <x:c r="B1" s="18" t="str">
        <x:v>value</x:v>
      </x:c>
      <x:c r="C1" s="15" t="str">
        <x:v>purpose</x:v>
      </x:c>
    </x:row>
    <x:row r="2">
      <x:c r="A2" s="6" t="str">
        <x:v>job_count</x:v>
      </x:c>
      <x:c r="B2" s="6" t="n">
        <x:v>75</x:v>
      </x:c>
      <x:c r="C2" s="6" t="str">
        <x:v>Current instance cardinality</x:v>
      </x:c>
    </x:row>
    <x:row r="3">
      <x:c r="A3" s="6" t="str">
        <x:v>family_count</x:v>
      </x:c>
      <x:c r="B3" s="6" t="n">
        <x:v>4</x:v>
      </x:c>
      <x:c r="C3" s="6" t="str">
        <x:v>Current instance families</x:v>
      </x:c>
    </x:row>
    <x:row r="4">
      <x:c r="A4" s="6" t="str">
        <x:v>horizon</x:v>
      </x:c>
      <x:c r="B4" s="6" t="n">
        <x:v>20000</x:v>
      </x:c>
      <x:c r="C4" s="6" t="str">
        <x:v>Planning horizon</x:v>
      </x:c>
    </x:row>
    <x:row r="5">
      <x:c r="A5" s="6" t="str">
        <x:v>gantt_bins</x:v>
      </x:c>
      <x:c r="B5" s="6" t="n">
        <x:v>32</x:v>
      </x:c>
      <x:c r="C5" s="6" t="str">
        <x:v>Compact timeline resolution</x:v>
      </x:c>
    </x:row>
    <x:row r="6">
      <x:c r="A6" s="6" t="str">
        <x:v>gantt_jobs</x:v>
      </x:c>
      <x:c r="B6" s="6" t="n">
        <x:v>20</x:v>
      </x:c>
      <x:c r="C6" s="6" t="str">
        <x:v>Jobs shown in the compact timeline</x:v>
      </x:c>
    </x:row>
    <x:row r="7">
      <x:c r="A7" s="6" t="str">
        <x:v>engine_scale</x:v>
      </x:c>
      <x:c r="B7" s="6" t="n">
        <x:v>10</x:v>
      </x:c>
      <x:c r="C7" s="6" t="str">
        <x:v>Fixed-point monetary scale</x:v>
      </x:c>
    </x:row>
    <x:row r="8">
      <x:c r="A8" s="6" t="str">
        <x:v>wasm_bytes</x:v>
      </x:c>
      <x:c r="B8" s="6" t="n">
        <x:v>86871</x:v>
      </x:c>
      <x:c r="C8" s="6" t="str">
        <x:v>Canonical solver payload</x:v>
      </x:c>
    </x:row>
    <x:row r="9">
      <x:c r="A9" s="6" t="str">
        <x:v>sample_environment</x:v>
      </x:c>
      <x:c r="B9" s="6" t="str">
        <x:v>Node.js local build</x:v>
      </x:c>
      <x:c r="C9" s="6" t="str">
        <x:v>Runtime is contextual; objective is portable</x:v>
      </x:c>
    </x:row>
    <x:row r="10">
      <x:c r="A10" s="6" t="str">
        <x:v>instance_initial_state</x:v>
      </x:c>
      <x:c r="B10" s="6" t="n">
        <x:v>3</x:v>
      </x:c>
      <x:c r="C10" s="6" t="str">
        <x:v>Initial machine family/state</x:v>
      </x:c>
    </x:row>
    <x:row r="11">
      <x:c r="A11" s="6"/>
      <x:c r="B11" s="6"/>
      <x:c r="C11" s="6"/>
    </x:row>
    <x:row r="12">
      <x:c r="A12" s="6"/>
      <x:c r="B12" s="6"/>
      <x:c r="C12" s="6"/>
    </x:row>
    <x:row r="13">
      <x:c r="A13" s="6"/>
      <x:c r="B13" s="6"/>
      <x:c r="C13" s="6"/>
    </x:row>
    <x:row r="14">
      <x:c r="A14" s="6"/>
      <x:c r="B14" s="6"/>
      <x:c r="C14" s="6"/>
    </x:row>
    <x:row r="15">
      <x:c r="A15" s="6"/>
      <x:c r="B15" s="6"/>
      <x:c r="C15" s="6"/>
    </x:row>
    <x:row r="16">
      <x:c r="A16" s="6"/>
      <x:c r="B16" s="6"/>
      <x:c r="C16" s="6"/>
    </x:row>
    <x:row r="17">
      <x:c r="A17" s="6"/>
      <x:c r="B17" s="6"/>
      <x:c r="C17" s="6"/>
    </x:row>
    <x:row r="18">
      <x:c r="A18" s="6"/>
      <x:c r="B18" s="6"/>
      <x:c r="C18" s="6"/>
    </x:row>
    <x:row r="19">
      <x:c r="A19" s="6"/>
      <x:c r="B19" s="6"/>
      <x:c r="C19" s="6"/>
    </x:row>
    <x:row r="20">
      <x:c r="A20" s="6"/>
      <x:c r="B20" s="6"/>
      <x:c r="C20" s="6"/>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0.559999465942383" hidden="0" customWidth="1"/>
    <x:col min="2" max="2" width="15.5600004196167" hidden="0" customWidth="1"/>
    <x:col min="3" max="3" width="18.889999389648438" hidden="0" customWidth="1"/>
    <x:col min="4" max="4" width="8.329999923706055" hidden="0" customWidth="1"/>
    <x:col min="5" max="5" width="43.33000183105469" hidden="0" customWidth="1"/>
  </x:cols>
  <x:sheetData>
    <x:row r="1">
      <x:c r="A1" s="14" t="str">
        <x:v>control</x:v>
      </x:c>
      <x:c r="B1" s="18" t="str">
        <x:v>requirement</x:v>
      </x:c>
      <x:c r="C1" s="18" t="str">
        <x:v>observed</x:v>
      </x:c>
      <x:c r="D1" s="18" t="str">
        <x:v>status</x:v>
      </x:c>
      <x:c r="E1" s="15" t="str">
        <x:v>why it matters</x:v>
      </x:c>
    </x:row>
    <x:row r="2">
      <x:c r="A2" s="6" t="str">
        <x:v>Objective closure</x:v>
      </x:c>
      <x:c r="B2" s="6" t="n">
        <x:f>'_CONFIG'!$B$11</x:f>
        <x:v>24048</x:v>
      </x:c>
      <x:c r="C2" s="6" t="n">
        <x:f>SUM('_CONFIG'!$B$17:$B$20)</x:f>
        <x:v>24048</x:v>
      </x:c>
      <x:c r="D2" s="6" t="str">
        <x:f>IF(C2=B2,"PASS","FAIL")</x:f>
        <x:v>PASS</x:v>
      </x:c>
      <x:c r="E2" s="6" t="str">
        <x:v>Score equals setup + execution + tardiness + rejection</x:v>
      </x:c>
    </x:row>
    <x:row r="3">
      <x:c r="A3" s="6" t="str">
        <x:v>Job accounting</x:v>
      </x:c>
      <x:c r="B3" s="6" t="n">
        <x:f>'_STATE'!$B$2</x:f>
        <x:v>75</x:v>
      </x:c>
      <x:c r="C3" s="6" t="n">
        <x:f>SUM('_CONFIG'!$B$14:$B$15)</x:f>
        <x:v>75</x:v>
      </x:c>
      <x:c r="D3" s="6" t="str">
        <x:f>IF(C3=B3,"PASS","FAIL")</x:f>
        <x:v>PASS</x:v>
      </x:c>
      <x:c r="E3" s="6" t="str">
        <x:v>Scheduled + rejected equals the instance job count</x:v>
      </x:c>
    </x:row>
    <x:row r="4">
      <x:c r="A4" s="6" t="str">
        <x:v>Feasible schedule</x:v>
      </x:c>
      <x:c r="B4" s="6" t="n">
        <x:v>0</x:v>
      </x:c>
      <x:c r="C4" s="6" t="n">
        <x:f>COUNTIFS('_SCHEDULE'!$B$2:$B$601,"scheduled",'_SCHEDULE'!$S$2:$S$601,FALSE)</x:f>
        <x:v>0</x:v>
      </x:c>
      <x:c r="D4" s="6" t="str">
        <x:f>IF(C4=B4,"PASS","FAIL")</x:f>
        <x:v>PASS</x:v>
      </x:c>
      <x:c r="E4" s="6" t="str">
        <x:v>No scheduled job violates a hard constraint</x:v>
      </x:c>
    </x:row>
    <x:row r="5">
      <x:c r="A5" s="6" t="str">
        <x:v>Unique jobs</x:v>
      </x:c>
      <x:c r="B5" s="6" t="n">
        <x:v>1</x:v>
      </x:c>
      <x:c r="C5" s="6" t="n">
        <x:f>MAX('_SCHEDULE'!$T$2:$T$601)</x:f>
        <x:v>1</x:v>
      </x:c>
      <x:c r="D5" s="6" t="str">
        <x:f>IF(C5=B5,"PASS","FAIL")</x:f>
        <x:v>PASS</x:v>
      </x:c>
      <x:c r="E5" s="6" t="str">
        <x:v>Every job appears at most once</x:v>
      </x:c>
    </x:row>
    <x:row r="6">
      <x:c r="A6" s="6" t="str">
        <x:v>Checkpoint monotonicity</x:v>
      </x:c>
      <x:c r="B6" s="6" t="n">
        <x:v>0</x:v>
      </x:c>
      <x:c r="C6" s="6" t="n">
        <x:f>COUNTIF('_CHECKPOINTS'!$J$2:$J$151,"FAIL")</x:f>
        <x:v>0</x:v>
      </x:c>
      <x:c r="D6" s="6" t="str">
        <x:f>IF(C6=B6,"PASS","FAIL")</x:f>
        <x:v>PASS</x:v>
      </x:c>
      <x:c r="E6" s="6" t="str">
        <x:v>Best-so-far objective never increases</x:v>
      </x:c>
    </x:row>
    <x:row r="7">
      <x:c r="A7" s="6" t="str">
        <x:v>Equal iteration budget</x:v>
      </x:c>
      <x:c r="B7" s="6" t="n">
        <x:v>0</x:v>
      </x:c>
      <x:c r="C7" s="6" t="n">
        <x:f>COUNTIF('_RUNS'!$L$2:$L$101,FALSE)</x:f>
        <x:v>0</x:v>
      </x:c>
      <x:c r="D7" s="6" t="str">
        <x:f>IF(C7=B7,"PASS","FAIL")</x:f>
        <x:v>PASS</x:v>
      </x:c>
      <x:c r="E7" s="6" t="str">
        <x:v>Every comparison uses the same search budget</x:v>
      </x:c>
    </x:row>
    <x:row r="8">
      <x:c r="A8" s="6" t="str">
        <x:v>Unique experiment seeds</x:v>
      </x:c>
      <x:c r="B8" s="6" t="n">
        <x:v>1</x:v>
      </x:c>
      <x:c r="C8" s="6" t="n">
        <x:f>MAX('_RUNS'!$M$2:$M$101)</x:f>
        <x:v>1</x:v>
      </x:c>
      <x:c r="D8" s="6" t="str">
        <x:f>IF(C8=B8,"PASS","FAIL")</x:f>
        <x:v>PASS</x:v>
      </x:c>
      <x:c r="E8" s="6" t="str">
        <x:v>Replications are independently seeded</x:v>
      </x:c>
    </x:row>
    <x:row r="9">
      <x:c r="A9" s="6" t="str">
        <x:v>Historical reference</x:v>
      </x:c>
      <x:c r="B9" s="6" t="str">
        <x:v>present or disclosed</x:v>
      </x:c>
      <x:c r="C9" s="6" t="str">
        <x:f>IF('_CONFIG'!$B$12&lt;&gt;"","present","not provided")</x:f>
        <x:v>present</x:v>
      </x:c>
      <x:c r="D9" s="6" t="str">
        <x:f>IF(OR(C9="present",C9="not provided"),"PASS","FAIL")</x:f>
        <x:v>PASS</x:v>
      </x:c>
      <x:c r="E9" s="6" t="str">
        <x:v>Gap is shown only when a historical reference exists</x:v>
      </x:c>
    </x:row>
    <x:row r="10">
      <x:c r="A10" s="6" t="str">
        <x:v>Canonical engine</x:v>
      </x:c>
      <x:c r="B10" s="6" t="str">
        <x:v>Rust WebAssembly</x:v>
      </x:c>
      <x:c r="C10" s="6" t="str">
        <x:f>'_CONFIG'!$B$30</x:f>
        <x:v>Rust WebAssembly / fixed-point x10</x:v>
      </x:c>
      <x:c r="D10" s="6" t="str">
        <x:f>IF(LEFT(C10,16)=B10,"PASS","FAIL")</x:f>
        <x:v>PASS</x:v>
      </x:c>
      <x:c r="E10" s="6" t="str">
        <x:v>The spreadsheet runs the same fixed-point solver</x:v>
      </x:c>
    </x:row>
    <x:row r="11">
      <x:c r="A11" s="6"/>
      <x:c r="B11" s="6"/>
      <x:c r="C11" s="6"/>
      <x:c r="D11" s="6"/>
      <x:c r="E11" s="6"/>
    </x:row>
    <x:row r="12">
      <x:c r="A12" s="6"/>
      <x:c r="B12" s="6"/>
      <x:c r="C12" s="6"/>
      <x:c r="D12" s="6"/>
      <x:c r="E12" s="6"/>
    </x:row>
    <x:row r="13">
      <x:c r="A13" s="6"/>
      <x:c r="B13" s="6"/>
      <x:c r="C13" s="6"/>
      <x:c r="D13" s="6"/>
      <x:c r="E13" s="6"/>
    </x:row>
    <x:row r="14">
      <x:c r="A14" s="6"/>
      <x:c r="B14" s="6"/>
      <x:c r="C14" s="6"/>
      <x:c r="D14" s="6"/>
      <x:c r="E14" s="6"/>
    </x:row>
    <x:row r="15">
      <x:c r="A15" s="6"/>
      <x:c r="B15" s="6"/>
      <x:c r="C15" s="6"/>
      <x:c r="D15" s="6"/>
      <x:c r="E15" s="6"/>
    </x:row>
    <x:row r="16">
      <x:c r="A16" s="6"/>
      <x:c r="B16" s="6"/>
      <x:c r="C16" s="6"/>
      <x:c r="D16" s="6"/>
      <x:c r="E16" s="6"/>
    </x:row>
    <x:row r="17">
      <x:c r="A17" s="6"/>
      <x:c r="B17" s="6"/>
      <x:c r="C17" s="6"/>
      <x:c r="D17" s="6"/>
      <x:c r="E17" s="6"/>
    </x:row>
    <x:row r="18">
      <x:c r="A18" s="6"/>
      <x:c r="B18" s="6"/>
      <x:c r="C18" s="6"/>
      <x:c r="D18" s="6"/>
      <x:c r="E18" s="6"/>
    </x:row>
    <x:row r="19">
      <x:c r="A19" s="6"/>
      <x:c r="B19" s="6"/>
      <x:c r="C19" s="6"/>
      <x:c r="D19" s="6"/>
      <x:c r="E19" s="6"/>
    </x:row>
    <x:row r="20">
      <x:c r="A20" s="6"/>
      <x:c r="B20" s="6"/>
      <x:c r="C20" s="6"/>
      <x:c r="D20" s="6"/>
      <x:c r="E20" s="6"/>
    </x:row>
  </x:sheetData>
  <x:conditionalFormatting sqref="D2:D10">
    <x:cfRule type="containsText" dxfId="0" priority="1" operator="containsText" text="PASS"/>
    <x:cfRule type="containsText" dxfId="1" priority="2" operator="containsText" text="FAIL"/>
  </x:conditionalFormatting>
  <x:pageMargins left="0.7" right="0.7" top="0.75" bottom="0.75" header="0.3" footer="0.3"/>
</x:worksheet>
</file>